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4.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6.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7.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8.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9.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10.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11.xml" ContentType="application/vnd.openxmlformats-officedocument.drawing+xml"/>
  <Override PartName="/xl/ctrlProps/ctrlProp51.xml" ContentType="application/vnd.ms-excel.controlproperties+xml"/>
  <Override PartName="/xl/ctrlProps/ctrlProp52.xml" ContentType="application/vnd.ms-excel.controlproperties+xml"/>
  <Override PartName="/xl/drawings/drawing1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13.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omments3.xml" ContentType="application/vnd.openxmlformats-officedocument.spreadsheetml.comments+xml"/>
  <Override PartName="/xl/drawings/drawing14.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15.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16.xml" ContentType="application/vnd.openxmlformats-officedocument.drawing+xml"/>
  <Override PartName="/xl/ctrlProps/ctrlProp74.xml" ContentType="application/vnd.ms-excel.controlproperties+xml"/>
  <Override PartName="/xl/ctrlProps/ctrlProp75.xml" ContentType="application/vnd.ms-excel.controlproperties+xml"/>
  <Override PartName="/xl/drawings/drawing17.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Langyu\Desktop\Dropbox\GU\1.Investment\4. Alphas (new)\14.bog_sog\2.Production\Stock_universe\"/>
    </mc:Choice>
  </mc:AlternateContent>
  <bookViews>
    <workbookView xWindow="1005" yWindow="525" windowWidth="19440" windowHeight="10440" tabRatio="889" activeTab="18"/>
  </bookViews>
  <sheets>
    <sheet name="Tickers" sheetId="5" r:id="rId1"/>
    <sheet name="Basic Orders" sheetId="2" r:id="rId2"/>
    <sheet name="Extended Order Attributes" sheetId="11" state="hidden" r:id="rId3"/>
    <sheet name="Conditional Orders" sheetId="9" state="hidden" r:id="rId4"/>
    <sheet name="Advanced Orders" sheetId="35" state="hidden" r:id="rId5"/>
    <sheet name="Open Orders" sheetId="25" state="hidden" r:id="rId6"/>
    <sheet name="Executions" sheetId="31" state="hidden" r:id="rId7"/>
    <sheet name="Executions Reporting" sheetId="34" state="hidden" r:id="rId8"/>
    <sheet name="Account" sheetId="32" state="hidden" r:id="rId9"/>
    <sheet name="Portfolio" sheetId="33" state="hidden" r:id="rId10"/>
    <sheet name="Market Scanner" sheetId="24" state="hidden" r:id="rId11"/>
    <sheet name="Bond Contract Details" sheetId="12" state="hidden" r:id="rId12"/>
    <sheet name="Market Depth" sheetId="8" state="hidden" r:id="rId13"/>
    <sheet name="Advisors" sheetId="38" state="hidden" r:id="rId14"/>
    <sheet name="Old Style Executions" sheetId="7" state="hidden" r:id="rId15"/>
    <sheet name="Old Style Account-Portfolio" sheetId="4" state="hidden" r:id="rId16"/>
    <sheet name="Contract Details" sheetId="6" r:id="rId17"/>
    <sheet name="Historical Data" sheetId="16" r:id="rId18"/>
    <sheet name="Conid" sheetId="40" r:id="rId19"/>
  </sheets>
  <functionGroups builtInGroupCount="18"/>
  <externalReferences>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s>
  <definedNames>
    <definedName name="_ESU5">#REF!</definedName>
    <definedName name="_xlnm._FilterDatabase" localSheetId="18" hidden="1">Conid!$A$1:$C$698</definedName>
    <definedName name="_xlnm._FilterDatabase" localSheetId="16" hidden="1">'Contract Details'!$A$66:$R$763</definedName>
    <definedName name="accountValues">'Old Style Account-Portfolio'!$A$8:$J$32</definedName>
    <definedName name="acctCode">'Old Style Account-Portfolio'!$I$5</definedName>
    <definedName name="acctErrorPosition">'Old Style Account-Portfolio'!$L$6</definedName>
    <definedName name="acctsCode">Account!$E$5</definedName>
    <definedName name="acctsControl">Account!$L$3</definedName>
    <definedName name="acctsErrorPosition">Account!$L$11</definedName>
    <definedName name="acctServer">'Old Style Account-Portfolio'!$D$5</definedName>
    <definedName name="acctsServer">Account!$B$5</definedName>
    <definedName name="acctsSubColumn1">Account!$A$8:$C$207</definedName>
    <definedName name="acctsSubColumn2">Account!$D$8:$F$207</definedName>
    <definedName name="acctsSubColumn3">Account!$G$8:$I$207</definedName>
    <definedName name="acctsSubColumn4">Account!$J$8:$J$207</definedName>
    <definedName name="acctsTime">Account!$H$5</definedName>
    <definedName name="acctTime">'Old Style Account-Portfolio'!$B$6</definedName>
    <definedName name="advancedOrdersCells" localSheetId="4">'Advanced Orders'!$R$10:$Y$65536</definedName>
    <definedName name="advisorsOrderCells" localSheetId="13">Advisors!$R$10:$Y$65536</definedName>
    <definedName name="BIG_LOSE">#REF!</definedName>
    <definedName name="bondContractDetails">'Bond Contract Details'!$F$10:$AA$213</definedName>
    <definedName name="bondErrorPosition">'Bond Contract Details'!$M$4</definedName>
    <definedName name="bondServer">'Bond Contract Details'!$D$5</definedName>
    <definedName name="bulletinCell">Tickers!$Q$4:$V$6</definedName>
    <definedName name="bulletinCtrl">Tickers!$O$4</definedName>
    <definedName name="bulletinText">Tickers!$Q$4:$V$6</definedName>
    <definedName name="bulletinTitle">Tickers!$Q$3</definedName>
    <definedName name="CAC40_TRADES">#REF!</definedName>
    <definedName name="Close">#REF!</definedName>
    <definedName name="condErrorPosition">'Conditional Orders'!$P$4</definedName>
    <definedName name="conditionalOrderCells">'Conditional Orders'!$R$10:$Y$65536</definedName>
    <definedName name="condServer">'Conditional Orders'!$D$5</definedName>
    <definedName name="contErrorPosition">'Contract Details'!$L$4</definedName>
    <definedName name="contractDetails">'Contract Details'!$K$10:$R$65528</definedName>
    <definedName name="contServer">'Contract Details'!$D$5</definedName>
    <definedName name="Currency">Account!$A$29:$D$207</definedName>
    <definedName name="Daily">#REF!</definedName>
    <definedName name="DATA">#REF!</definedName>
    <definedName name="DTA_LE">#REF!</definedName>
    <definedName name="errorId">Tickers!#REF!</definedName>
    <definedName name="errorMsg">Tickers!$Q$6</definedName>
    <definedName name="EUR_FUT_ASK">#REF!</definedName>
    <definedName name="EUR_USD_MIDPOINT">#REF!</definedName>
    <definedName name="exec_filter_start">'Old Style Executions'!$U$9</definedName>
    <definedName name="execErrorPosition">'Old Style Executions'!$J$4</definedName>
    <definedName name="execReportKey">'Executions Reporting'!$F$4</definedName>
    <definedName name="execReportType">'Executions Reporting'!$B$4</definedName>
    <definedName name="execReportTypes">'Executions Reporting'!$T$8:$T$11</definedName>
    <definedName name="execServer">'Old Style Executions'!$D$5</definedName>
    <definedName name="execSubContracts">Executions!$A$10:$H$199</definedName>
    <definedName name="execSubControl">Executions!$I$5</definedName>
    <definedName name="execSubDetails">Executions!$I$10:$T$199</definedName>
    <definedName name="execSubErrorPosition">Executions!$L$4</definedName>
    <definedName name="execSubServer">Executions!$D$5</definedName>
    <definedName name="executionContracts">'Old Style Executions'!$A$10:$G$65536</definedName>
    <definedName name="executionDetails">'Old Style Executions'!$H$10:$Q$65536</definedName>
    <definedName name="EXPIRED_ES_FUTURE">#REF!</definedName>
    <definedName name="faAcctCtrl">'Old Style Account-Portfolio'!$L$3</definedName>
    <definedName name="faAcctValue">'Old Style Account-Portfolio'!$M$3</definedName>
    <definedName name="firstHistRow">'Historical Data'!$J$4</definedName>
    <definedName name="firstMonitorRow">'Conditional Orders'!$J$4</definedName>
    <definedName name="firstScanRow">'Market Scanner'!$G$4</definedName>
    <definedName name="FSMI">#REF!</definedName>
    <definedName name="GE_STK">#REF!</definedName>
    <definedName name="GOOG_STK">#REF!</definedName>
    <definedName name="HALTED">#REF!</definedName>
    <definedName name="HIGH_IMP_VOL">#REF!</definedName>
    <definedName name="HIGH_OPEN_GAP">#REF!</definedName>
    <definedName name="HIGH_OPT_IMP_VOLAT">#REF!</definedName>
    <definedName name="HIGH_OPT_IMP_VOLAT_OVER_HIST">#REF!</definedName>
    <definedName name="HIGH_OPT_VOLUME_PUT_CALL_RATIO">#REF!</definedName>
    <definedName name="HIST_DAX">#REF!</definedName>
    <definedName name="HIST_EUR_CASH">#REF!</definedName>
    <definedName name="HIST_IBM">#REF!</definedName>
    <definedName name="HIST_MSFT">#REF!</definedName>
    <definedName name="HIST_Z">#REF!</definedName>
    <definedName name="histCtrl">'Historical Data'!$L$10:$L$65536</definedName>
    <definedName name="histErrorPosition">'Historical Data'!$M$4</definedName>
    <definedName name="histid3">#REF!</definedName>
    <definedName name="histServer">'Historical Data'!$D$5</definedName>
    <definedName name="hjkhkj">#REF!</definedName>
    <definedName name="HOT_BY_OPT_VOLUME">#REF!</definedName>
    <definedName name="HOT_BY_PRICE">#REF!</definedName>
    <definedName name="HOT_BY_PRICE_RANGE">#REF!</definedName>
    <definedName name="HOT_VOLUME">#REF!</definedName>
    <definedName name="IBKR_STK">#REF!</definedName>
    <definedName name="IBM_OPT_TRADES">#REF!</definedName>
    <definedName name="lastHistRow">'Historical Data'!$J$5</definedName>
    <definedName name="lastMonitorRow">'Conditional Orders'!$J$5</definedName>
    <definedName name="lastScanRow">'Market Scanner'!$G$5</definedName>
    <definedName name="logLevel">Tickers!$J$5</definedName>
    <definedName name="logLevelResult">Tickers!$J$6</definedName>
    <definedName name="LOW_OPT_IMP_VOLAT">#REF!</definedName>
    <definedName name="LOW_OPT_IMP_VOLAT_OVER_HIST">#REF!</definedName>
    <definedName name="LOW_OPT_VOLUME_PUT_CALL_RATIO">#REF!</definedName>
    <definedName name="MBLY_STK">#REF!</definedName>
    <definedName name="Micro_structure">#REF!</definedName>
    <definedName name="microStruc_symbol">'Historical Data'!$A$49</definedName>
    <definedName name="mktDepthAsk">'Market Depth'!$P$11:$U$65536</definedName>
    <definedName name="mktDepthBid">'Market Depth'!$J$11:$N$65536</definedName>
    <definedName name="mktdErrorPosition">'Market Depth'!$P$4</definedName>
    <definedName name="mktdRefreshLink">'Market Depth'!$K$6</definedName>
    <definedName name="mktdRefreshRate">'Market Depth'!$K$5</definedName>
    <definedName name="mktdServer">'Market Depth'!$D$5</definedName>
    <definedName name="MONTH_QQQQ">#REF!</definedName>
    <definedName name="MOST_ACTIVE_LIST">#REF!</definedName>
    <definedName name="MOST_ACTIVE_US">#REF!</definedName>
    <definedName name="MSFT_FUT">#REF!</definedName>
    <definedName name="NOT_OPEN">#REF!</definedName>
    <definedName name="OLE_LINK1" localSheetId="4">'Advanced Orders'!#REF!</definedName>
    <definedName name="ONE_WEEK_MSFT">#REF!</definedName>
    <definedName name="Open_orders_can_be_downloaded_here." localSheetId="4">'Advanced Orders'!$A$82:$H$65536</definedName>
    <definedName name="Open_orders_can_be_downloaded_here." localSheetId="13">Advisors!$A$87:$H$65536</definedName>
    <definedName name="Open_orders_can_be_downloaded_here.">'Basic Orders'!$A$48:$H$65536</definedName>
    <definedName name="openOrdContracts" localSheetId="4">'Advanced Orders'!$A$69:$L$118</definedName>
    <definedName name="openOrdContracts" localSheetId="13">Advisors!$A$78:$L$126</definedName>
    <definedName name="openOrdContracts">'Basic Orders'!$A$48:$L$96</definedName>
    <definedName name="openOrdOrders" localSheetId="4">'Advanced Orders'!$M$69:$Q$118</definedName>
    <definedName name="openOrdOrders" localSheetId="13">Advisors!$M$78:$Q$126</definedName>
    <definedName name="openOrdOrders">'Basic Orders'!$M$48:$Q$96</definedName>
    <definedName name="openOrdStatuses" localSheetId="4">'Advanced Orders'!$R$69:$Y$118</definedName>
    <definedName name="openOrdStatuses" localSheetId="13">Advisors!$R$78:$Y$126</definedName>
    <definedName name="openOrdStatuses">'Basic Orders'!$R$48:$Y$96</definedName>
    <definedName name="openSubContracts">'Open Orders'!$A$10:$J$199</definedName>
    <definedName name="openSubExtended">'Open Orders'!$X$10:$BV$199</definedName>
    <definedName name="openSubOrders">'Open Orders'!$K$10:$O$199</definedName>
    <definedName name="openSubStatuses">'Open Orders'!$P$10:$W$199</definedName>
    <definedName name="OPT_PC_RATIO">#REF!</definedName>
    <definedName name="OPT_VOLUME_MOST_ACTIVE">#REF!</definedName>
    <definedName name="orderCells">'Basic Orders'!$R$10:$Y$65536</definedName>
    <definedName name="orderErrorPosition" localSheetId="4">'Advanced Orders'!$H$4</definedName>
    <definedName name="orderErrorPosition" localSheetId="13">Advisors!$H$4</definedName>
    <definedName name="orderErrorPosition">'Basic Orders'!$H$4</definedName>
    <definedName name="ordersControl">'Open Orders'!$I$5</definedName>
    <definedName name="ordersErrorPosition">'Open Orders'!$L$4</definedName>
    <definedName name="orderServer" localSheetId="4">'Advanced Orders'!$D$5</definedName>
    <definedName name="orderServer" localSheetId="13">Advisors!$D$5</definedName>
    <definedName name="orderServer">'Basic Orders'!$D$5</definedName>
    <definedName name="ordersServer">'Open Orders'!$D$5</definedName>
    <definedName name="portfolioValues">'Old Style Account-Portfolio'!$A$35:$N$65536</definedName>
    <definedName name="portsCode">Portfolio!$E$5</definedName>
    <definedName name="portsControl">Portfolio!$J$3</definedName>
    <definedName name="portsErrorPosition">Portfolio!$M$2</definedName>
    <definedName name="portsServer">Portfolio!$B$5</definedName>
    <definedName name="portsSubColumn">Portfolio!$A$8:$O$199</definedName>
    <definedName name="portsTime">Portfolio!$H$5</definedName>
    <definedName name="processingRate">Tickers!$H$5</definedName>
    <definedName name="processingRateLink">Tickers!$H$6</definedName>
    <definedName name="refreshRate">Tickers!$E$5</definedName>
    <definedName name="refreshRateLink">Tickers!$E$6</definedName>
    <definedName name="scanCtrl">'Market Scanner'!$A$10:$A$65536</definedName>
    <definedName name="scanErrorPosition">'Market Scanner'!$J$4</definedName>
    <definedName name="scanServer">'Market Scanner'!$B$5</definedName>
    <definedName name="subFAAcctCtrl">Account!$L$9</definedName>
    <definedName name="subFAAcctValue">Account!$M$9</definedName>
    <definedName name="tickerCells">Tickers!$P$10:$BG$157</definedName>
    <definedName name="tickerErrorPosition">Tickers!$Q$4</definedName>
    <definedName name="tickerServer">Tickers!$B$5</definedName>
    <definedName name="TOP_FUT_GAIN">#REF!</definedName>
    <definedName name="TOP_GAIN">#REF!</definedName>
    <definedName name="TOP_IND_GAIN">#REF!</definedName>
    <definedName name="TOP_LOSERS">#REF!</definedName>
    <definedName name="TOP_OPEN_PERC_GAIN">#REF!</definedName>
    <definedName name="TOP_OPEN_PERC_LOSE">#REF!</definedName>
    <definedName name="TOP_OPT_IMP_VOLAT_GAIN">#REF!</definedName>
    <definedName name="TOP_OPT_IMP_VOLAT_LOSE">#REF!</definedName>
    <definedName name="TOP_OPT_IMP_VOLAT_OVER_HIST">#REF!</definedName>
    <definedName name="TOP_PRICE_RANGE">#REF!</definedName>
    <definedName name="TOP_TRADE_COUNT">#REF!</definedName>
    <definedName name="TOP_TRADE_RATE">#REF!</definedName>
    <definedName name="TOP_VOLUME_RATE">#REF!</definedName>
    <definedName name="TSLA_STK">#REF!</definedName>
    <definedName name="TSLA_STK_daily">#REF!</definedName>
    <definedName name="YHOO_STK">#REF!</definedName>
  </definedNames>
  <calcPr calcId="152511"/>
</workbook>
</file>

<file path=xl/calcChain.xml><?xml version="1.0" encoding="utf-8"?>
<calcChain xmlns="http://schemas.openxmlformats.org/spreadsheetml/2006/main">
  <c r="R156" i="6" l="1"/>
  <c r="Q156" i="6"/>
  <c r="P156" i="6"/>
  <c r="O156" i="6"/>
  <c r="N156" i="6"/>
  <c r="M156" i="6"/>
  <c r="L156" i="6"/>
  <c r="K156" i="6"/>
  <c r="R144" i="6"/>
  <c r="Q144" i="6"/>
  <c r="P144" i="6"/>
  <c r="O144" i="6"/>
  <c r="N144" i="6"/>
  <c r="M144" i="6"/>
  <c r="L144" i="6"/>
  <c r="K144" i="6"/>
  <c r="R143" i="6"/>
  <c r="Q143" i="6"/>
  <c r="P143" i="6"/>
  <c r="O143" i="6"/>
  <c r="N143" i="6"/>
  <c r="M143" i="6"/>
  <c r="L143" i="6"/>
  <c r="K143" i="6"/>
  <c r="R142" i="6"/>
  <c r="Q142" i="6"/>
  <c r="P142" i="6"/>
  <c r="O142" i="6"/>
  <c r="N142" i="6"/>
  <c r="M142" i="6"/>
  <c r="L142" i="6"/>
  <c r="K142" i="6"/>
  <c r="R141" i="6"/>
  <c r="Q141" i="6"/>
  <c r="P141" i="6"/>
  <c r="O141" i="6"/>
  <c r="N141" i="6"/>
  <c r="M141" i="6"/>
  <c r="L141" i="6"/>
  <c r="K141" i="6"/>
  <c r="R140" i="6"/>
  <c r="Q140" i="6"/>
  <c r="P140" i="6"/>
  <c r="O140" i="6"/>
  <c r="N140" i="6"/>
  <c r="M140" i="6"/>
  <c r="L140" i="6"/>
  <c r="K140" i="6"/>
  <c r="R139" i="6"/>
  <c r="Q139" i="6"/>
  <c r="P139" i="6"/>
  <c r="O139" i="6"/>
  <c r="N139" i="6"/>
  <c r="M139" i="6"/>
  <c r="L139" i="6"/>
  <c r="K139" i="6"/>
  <c r="R138" i="6"/>
  <c r="Q138" i="6"/>
  <c r="P138" i="6"/>
  <c r="O138" i="6"/>
  <c r="N138" i="6"/>
  <c r="M138" i="6"/>
  <c r="L138" i="6"/>
  <c r="K138" i="6"/>
  <c r="R137" i="6"/>
  <c r="Q137" i="6"/>
  <c r="P137" i="6"/>
  <c r="O137" i="6"/>
  <c r="N137" i="6"/>
  <c r="M137" i="6"/>
  <c r="L137" i="6"/>
  <c r="K137" i="6"/>
  <c r="R136" i="6"/>
  <c r="Q136" i="6"/>
  <c r="P136" i="6"/>
  <c r="O136" i="6"/>
  <c r="N136" i="6"/>
  <c r="M136" i="6"/>
  <c r="L136" i="6"/>
  <c r="K136" i="6"/>
  <c r="R135" i="6"/>
  <c r="Q135" i="6"/>
  <c r="P135" i="6"/>
  <c r="O135" i="6"/>
  <c r="N135" i="6"/>
  <c r="M135" i="6"/>
  <c r="L135" i="6"/>
  <c r="K135" i="6"/>
  <c r="R134" i="6"/>
  <c r="Q134" i="6"/>
  <c r="P134" i="6"/>
  <c r="O134" i="6"/>
  <c r="N134" i="6"/>
  <c r="M134" i="6"/>
  <c r="L134" i="6"/>
  <c r="K134" i="6"/>
  <c r="R133" i="6"/>
  <c r="Q133" i="6"/>
  <c r="P133" i="6"/>
  <c r="O133" i="6"/>
  <c r="N133" i="6"/>
  <c r="M133" i="6"/>
  <c r="L133" i="6"/>
  <c r="K133" i="6"/>
  <c r="R132" i="6"/>
  <c r="Q132" i="6"/>
  <c r="P132" i="6"/>
  <c r="O132" i="6"/>
  <c r="N132" i="6"/>
  <c r="M132" i="6"/>
  <c r="L132" i="6"/>
  <c r="K132" i="6"/>
  <c r="R131" i="6"/>
  <c r="Q131" i="6"/>
  <c r="P131" i="6"/>
  <c r="O131" i="6"/>
  <c r="N131" i="6"/>
  <c r="M131" i="6"/>
  <c r="L131" i="6"/>
  <c r="K131" i="6"/>
  <c r="R130" i="6"/>
  <c r="Q130" i="6"/>
  <c r="P130" i="6"/>
  <c r="O130" i="6"/>
  <c r="N130" i="6"/>
  <c r="M130" i="6"/>
  <c r="L130" i="6"/>
  <c r="K130" i="6"/>
  <c r="R129" i="6"/>
  <c r="Q129" i="6"/>
  <c r="P129" i="6"/>
  <c r="O129" i="6"/>
  <c r="N129" i="6"/>
  <c r="M129" i="6"/>
  <c r="L129" i="6"/>
  <c r="K129" i="6"/>
  <c r="R128" i="6"/>
  <c r="Q128" i="6"/>
  <c r="P128" i="6"/>
  <c r="O128" i="6"/>
  <c r="N128" i="6"/>
  <c r="M128" i="6"/>
  <c r="L128" i="6"/>
  <c r="K128" i="6"/>
  <c r="R127" i="6"/>
  <c r="Q127" i="6"/>
  <c r="P127" i="6"/>
  <c r="O127" i="6"/>
  <c r="N127" i="6"/>
  <c r="M127" i="6"/>
  <c r="L127" i="6"/>
  <c r="K127" i="6"/>
  <c r="R126" i="6"/>
  <c r="Q126" i="6"/>
  <c r="P126" i="6"/>
  <c r="O126" i="6"/>
  <c r="N126" i="6"/>
  <c r="M126" i="6"/>
  <c r="L126" i="6"/>
  <c r="K126" i="6"/>
  <c r="R125" i="6"/>
  <c r="Q125" i="6"/>
  <c r="P125" i="6"/>
  <c r="O125" i="6"/>
  <c r="N125" i="6"/>
  <c r="M125" i="6"/>
  <c r="L125" i="6"/>
  <c r="K125" i="6"/>
  <c r="R124" i="6"/>
  <c r="Q124" i="6"/>
  <c r="P124" i="6"/>
  <c r="O124" i="6"/>
  <c r="N124" i="6"/>
  <c r="M124" i="6"/>
  <c r="L124" i="6"/>
  <c r="K124" i="6"/>
  <c r="R123" i="6"/>
  <c r="Q123" i="6"/>
  <c r="P123" i="6"/>
  <c r="O123" i="6"/>
  <c r="N123" i="6"/>
  <c r="M123" i="6"/>
  <c r="L123" i="6"/>
  <c r="K123" i="6"/>
  <c r="R122" i="6"/>
  <c r="Q122" i="6"/>
  <c r="P122" i="6"/>
  <c r="O122" i="6"/>
  <c r="N122" i="6"/>
  <c r="M122" i="6"/>
  <c r="L122" i="6"/>
  <c r="K122" i="6"/>
  <c r="R121" i="6"/>
  <c r="Q121" i="6"/>
  <c r="P121" i="6"/>
  <c r="O121" i="6"/>
  <c r="N121" i="6"/>
  <c r="M121" i="6"/>
  <c r="L121" i="6"/>
  <c r="K121" i="6"/>
  <c r="R120" i="6"/>
  <c r="Q120" i="6"/>
  <c r="P120" i="6"/>
  <c r="O120" i="6"/>
  <c r="N120" i="6"/>
  <c r="M120" i="6"/>
  <c r="L120" i="6"/>
  <c r="K120" i="6"/>
  <c r="R119" i="6"/>
  <c r="Q119" i="6"/>
  <c r="P119" i="6"/>
  <c r="O119" i="6"/>
  <c r="N119" i="6"/>
  <c r="M119" i="6"/>
  <c r="L119" i="6"/>
  <c r="K119" i="6"/>
  <c r="R118" i="6"/>
  <c r="Q118" i="6"/>
  <c r="P118" i="6"/>
  <c r="O118" i="6"/>
  <c r="N118" i="6"/>
  <c r="M118" i="6"/>
  <c r="L118" i="6"/>
  <c r="K118" i="6"/>
  <c r="R117" i="6"/>
  <c r="Q117" i="6"/>
  <c r="P117" i="6"/>
  <c r="O117" i="6"/>
  <c r="N117" i="6"/>
  <c r="M117" i="6"/>
  <c r="L117" i="6"/>
  <c r="K117" i="6"/>
  <c r="R116" i="6"/>
  <c r="Q116" i="6"/>
  <c r="P116" i="6"/>
  <c r="O116" i="6"/>
  <c r="N116" i="6"/>
  <c r="M116" i="6"/>
  <c r="L116" i="6"/>
  <c r="K116" i="6"/>
  <c r="R115" i="6"/>
  <c r="Q115" i="6"/>
  <c r="P115" i="6"/>
  <c r="O115" i="6"/>
  <c r="N115" i="6"/>
  <c r="M115" i="6"/>
  <c r="L115" i="6"/>
  <c r="K115" i="6"/>
  <c r="R114" i="6"/>
  <c r="Q114" i="6"/>
  <c r="P114" i="6"/>
  <c r="O114" i="6"/>
  <c r="N114" i="6"/>
  <c r="M114" i="6"/>
  <c r="L114" i="6"/>
  <c r="K114" i="6"/>
  <c r="R113" i="6"/>
  <c r="Q113" i="6"/>
  <c r="P113" i="6"/>
  <c r="O113" i="6"/>
  <c r="N113" i="6"/>
  <c r="M113" i="6"/>
  <c r="L113" i="6"/>
  <c r="K113" i="6"/>
  <c r="R112" i="6"/>
  <c r="Q112" i="6"/>
  <c r="P112" i="6"/>
  <c r="O112" i="6"/>
  <c r="N112" i="6"/>
  <c r="M112" i="6"/>
  <c r="L112" i="6"/>
  <c r="K112" i="6"/>
  <c r="R111" i="6"/>
  <c r="Q111" i="6"/>
  <c r="P111" i="6"/>
  <c r="O111" i="6"/>
  <c r="N111" i="6"/>
  <c r="M111" i="6"/>
  <c r="L111" i="6"/>
  <c r="K111" i="6"/>
  <c r="R110" i="6"/>
  <c r="Q110" i="6"/>
  <c r="P110" i="6"/>
  <c r="O110" i="6"/>
  <c r="N110" i="6"/>
  <c r="M110" i="6"/>
  <c r="L110" i="6"/>
  <c r="K110" i="6"/>
  <c r="R109" i="6"/>
  <c r="Q109" i="6"/>
  <c r="P109" i="6"/>
  <c r="O109" i="6"/>
  <c r="N109" i="6"/>
  <c r="M109" i="6"/>
  <c r="L109" i="6"/>
  <c r="K109" i="6"/>
  <c r="R108" i="6"/>
  <c r="Q108" i="6"/>
  <c r="P108" i="6"/>
  <c r="O108" i="6"/>
  <c r="N108" i="6"/>
  <c r="M108" i="6"/>
  <c r="L108" i="6"/>
  <c r="K108" i="6"/>
  <c r="R107" i="6"/>
  <c r="Q107" i="6"/>
  <c r="P107" i="6"/>
  <c r="O107" i="6"/>
  <c r="N107" i="6"/>
  <c r="M107" i="6"/>
  <c r="L107" i="6"/>
  <c r="K107" i="6"/>
  <c r="R106" i="6"/>
  <c r="Q106" i="6"/>
  <c r="P106" i="6"/>
  <c r="O106" i="6"/>
  <c r="N106" i="6"/>
  <c r="M106" i="6"/>
  <c r="L106" i="6"/>
  <c r="K106" i="6"/>
  <c r="R105" i="6"/>
  <c r="Q105" i="6"/>
  <c r="P105" i="6"/>
  <c r="O105" i="6"/>
  <c r="N105" i="6"/>
  <c r="M105" i="6"/>
  <c r="L105" i="6"/>
  <c r="K105" i="6"/>
  <c r="R104" i="6"/>
  <c r="Q104" i="6"/>
  <c r="P104" i="6"/>
  <c r="O104" i="6"/>
  <c r="N104" i="6"/>
  <c r="M104" i="6"/>
  <c r="L104" i="6"/>
  <c r="K104" i="6"/>
  <c r="R103" i="6"/>
  <c r="Q103" i="6"/>
  <c r="P103" i="6"/>
  <c r="O103" i="6"/>
  <c r="N103" i="6"/>
  <c r="M103" i="6"/>
  <c r="L103" i="6"/>
  <c r="K103" i="6"/>
  <c r="R102" i="6"/>
  <c r="Q102" i="6"/>
  <c r="P102" i="6"/>
  <c r="O102" i="6"/>
  <c r="N102" i="6"/>
  <c r="M102" i="6"/>
  <c r="L102" i="6"/>
  <c r="K102" i="6"/>
  <c r="R101" i="6"/>
  <c r="Q101" i="6"/>
  <c r="P101" i="6"/>
  <c r="O101" i="6"/>
  <c r="N101" i="6"/>
  <c r="M101" i="6"/>
  <c r="L101" i="6"/>
  <c r="K101" i="6"/>
  <c r="R100" i="6"/>
  <c r="Q100" i="6"/>
  <c r="P100" i="6"/>
  <c r="O100" i="6"/>
  <c r="N100" i="6"/>
  <c r="M100" i="6"/>
  <c r="L100" i="6"/>
  <c r="K100" i="6"/>
  <c r="R99" i="6"/>
  <c r="Q99" i="6"/>
  <c r="P99" i="6"/>
  <c r="O99" i="6"/>
  <c r="N99" i="6"/>
  <c r="M99" i="6"/>
  <c r="L99" i="6"/>
  <c r="K99" i="6"/>
  <c r="R98" i="6"/>
  <c r="Q98" i="6"/>
  <c r="P98" i="6"/>
  <c r="O98" i="6"/>
  <c r="N98" i="6"/>
  <c r="M98" i="6"/>
  <c r="L98" i="6"/>
  <c r="K98" i="6"/>
  <c r="R97" i="6"/>
  <c r="Q97" i="6"/>
  <c r="P97" i="6"/>
  <c r="O97" i="6"/>
  <c r="N97" i="6"/>
  <c r="M97" i="6"/>
  <c r="L97" i="6"/>
  <c r="K97" i="6"/>
  <c r="R96" i="6"/>
  <c r="Q96" i="6"/>
  <c r="P96" i="6"/>
  <c r="O96" i="6"/>
  <c r="N96" i="6"/>
  <c r="M96" i="6"/>
  <c r="L96" i="6"/>
  <c r="K96" i="6"/>
  <c r="R95" i="6"/>
  <c r="Q95" i="6"/>
  <c r="P95" i="6"/>
  <c r="O95" i="6"/>
  <c r="N95" i="6"/>
  <c r="M95" i="6"/>
  <c r="L95" i="6"/>
  <c r="K95" i="6"/>
  <c r="R94" i="6"/>
  <c r="Q94" i="6"/>
  <c r="P94" i="6"/>
  <c r="O94" i="6"/>
  <c r="N94" i="6"/>
  <c r="M94" i="6"/>
  <c r="L94" i="6"/>
  <c r="K94" i="6"/>
  <c r="R93" i="6"/>
  <c r="Q93" i="6"/>
  <c r="P93" i="6"/>
  <c r="O93" i="6"/>
  <c r="N93" i="6"/>
  <c r="M93" i="6"/>
  <c r="L93" i="6"/>
  <c r="K93" i="6"/>
  <c r="R92" i="6"/>
  <c r="Q92" i="6"/>
  <c r="P92" i="6"/>
  <c r="O92" i="6"/>
  <c r="N92" i="6"/>
  <c r="M92" i="6"/>
  <c r="L92" i="6"/>
  <c r="K92" i="6"/>
  <c r="R91" i="6"/>
  <c r="Q91" i="6"/>
  <c r="P91" i="6"/>
  <c r="O91" i="6"/>
  <c r="N91" i="6"/>
  <c r="M91" i="6"/>
  <c r="L91" i="6"/>
  <c r="K91" i="6"/>
  <c r="R90" i="6"/>
  <c r="Q90" i="6"/>
  <c r="P90" i="6"/>
  <c r="O90" i="6"/>
  <c r="N90" i="6"/>
  <c r="M90" i="6"/>
  <c r="L90" i="6"/>
  <c r="K90" i="6"/>
  <c r="R89" i="6"/>
  <c r="Q89" i="6"/>
  <c r="P89" i="6"/>
  <c r="O89" i="6"/>
  <c r="N89" i="6"/>
  <c r="M89" i="6"/>
  <c r="L89" i="6"/>
  <c r="K89" i="6"/>
  <c r="R88" i="6"/>
  <c r="Q88" i="6"/>
  <c r="P88" i="6"/>
  <c r="O88" i="6"/>
  <c r="N88" i="6"/>
  <c r="M88" i="6"/>
  <c r="L88" i="6"/>
  <c r="K88" i="6"/>
  <c r="R87" i="6"/>
  <c r="Q87" i="6"/>
  <c r="P87" i="6"/>
  <c r="O87" i="6"/>
  <c r="N87" i="6"/>
  <c r="M87" i="6"/>
  <c r="L87" i="6"/>
  <c r="K87" i="6"/>
  <c r="R86" i="6"/>
  <c r="Q86" i="6"/>
  <c r="P86" i="6"/>
  <c r="O86" i="6"/>
  <c r="N86" i="6"/>
  <c r="M86" i="6"/>
  <c r="L86" i="6"/>
  <c r="K86" i="6"/>
  <c r="R85" i="6"/>
  <c r="Q85" i="6"/>
  <c r="P85" i="6"/>
  <c r="O85" i="6"/>
  <c r="N85" i="6"/>
  <c r="M85" i="6"/>
  <c r="L85" i="6"/>
  <c r="K85" i="6"/>
  <c r="R84" i="6"/>
  <c r="Q84" i="6"/>
  <c r="P84" i="6"/>
  <c r="O84" i="6"/>
  <c r="N84" i="6"/>
  <c r="M84" i="6"/>
  <c r="L84" i="6"/>
  <c r="K84" i="6"/>
  <c r="R83" i="6"/>
  <c r="Q83" i="6"/>
  <c r="P83" i="6"/>
  <c r="O83" i="6"/>
  <c r="N83" i="6"/>
  <c r="M83" i="6"/>
  <c r="L83" i="6"/>
  <c r="K83" i="6"/>
  <c r="R82" i="6"/>
  <c r="Q82" i="6"/>
  <c r="P82" i="6"/>
  <c r="O82" i="6"/>
  <c r="N82" i="6"/>
  <c r="M82" i="6"/>
  <c r="L82" i="6"/>
  <c r="K82" i="6"/>
  <c r="R81" i="6"/>
  <c r="Q81" i="6"/>
  <c r="P81" i="6"/>
  <c r="O81" i="6"/>
  <c r="N81" i="6"/>
  <c r="M81" i="6"/>
  <c r="L81" i="6"/>
  <c r="K81" i="6"/>
  <c r="R80" i="6"/>
  <c r="Q80" i="6"/>
  <c r="P80" i="6"/>
  <c r="O80" i="6"/>
  <c r="N80" i="6"/>
  <c r="M80" i="6"/>
  <c r="L80" i="6"/>
  <c r="K80" i="6"/>
  <c r="R79" i="6"/>
  <c r="Q79" i="6"/>
  <c r="P79" i="6"/>
  <c r="O79" i="6"/>
  <c r="N79" i="6"/>
  <c r="M79" i="6"/>
  <c r="L79" i="6"/>
  <c r="K79" i="6"/>
  <c r="R78" i="6"/>
  <c r="Q78" i="6"/>
  <c r="P78" i="6"/>
  <c r="O78" i="6"/>
  <c r="N78" i="6"/>
  <c r="M78" i="6"/>
  <c r="L78" i="6"/>
  <c r="K78" i="6"/>
  <c r="R77" i="6"/>
  <c r="Q77" i="6"/>
  <c r="P77" i="6"/>
  <c r="O77" i="6"/>
  <c r="N77" i="6"/>
  <c r="M77" i="6"/>
  <c r="L77" i="6"/>
  <c r="K77" i="6"/>
  <c r="R76" i="6"/>
  <c r="Q76" i="6"/>
  <c r="P76" i="6"/>
  <c r="O76" i="6"/>
  <c r="N76" i="6"/>
  <c r="M76" i="6"/>
  <c r="L76" i="6"/>
  <c r="K76" i="6"/>
  <c r="R75" i="6"/>
  <c r="Q75" i="6"/>
  <c r="P75" i="6"/>
  <c r="O75" i="6"/>
  <c r="N75" i="6"/>
  <c r="M75" i="6"/>
  <c r="L75" i="6"/>
  <c r="K75" i="6"/>
  <c r="R74" i="6"/>
  <c r="Q74" i="6"/>
  <c r="P74" i="6"/>
  <c r="O74" i="6"/>
  <c r="N74" i="6"/>
  <c r="M74" i="6"/>
  <c r="L74" i="6"/>
  <c r="K74" i="6"/>
  <c r="R73" i="6"/>
  <c r="Q73" i="6"/>
  <c r="P73" i="6"/>
  <c r="O73" i="6"/>
  <c r="N73" i="6"/>
  <c r="M73" i="6"/>
  <c r="L73" i="6"/>
  <c r="K73" i="6"/>
  <c r="R72" i="6"/>
  <c r="Q72" i="6"/>
  <c r="P72" i="6"/>
  <c r="O72" i="6"/>
  <c r="N72" i="6"/>
  <c r="M72" i="6"/>
  <c r="L72" i="6"/>
  <c r="K72" i="6"/>
  <c r="R71" i="6"/>
  <c r="Q71" i="6"/>
  <c r="P71" i="6"/>
  <c r="O71" i="6"/>
  <c r="N71" i="6"/>
  <c r="M71" i="6"/>
  <c r="L71" i="6"/>
  <c r="K71" i="6"/>
  <c r="R70" i="6"/>
  <c r="Q70" i="6"/>
  <c r="P70" i="6"/>
  <c r="O70" i="6"/>
  <c r="N70" i="6"/>
  <c r="M70" i="6"/>
  <c r="L70" i="6"/>
  <c r="K70" i="6"/>
  <c r="R69" i="6"/>
  <c r="Q69" i="6"/>
  <c r="P69" i="6"/>
  <c r="O69" i="6"/>
  <c r="N69" i="6"/>
  <c r="M69" i="6"/>
  <c r="L69" i="6"/>
  <c r="K69" i="6"/>
  <c r="R67" i="6"/>
  <c r="Q67" i="6"/>
  <c r="P67" i="6"/>
  <c r="O67" i="6"/>
  <c r="N67" i="6"/>
  <c r="M67" i="6"/>
  <c r="L67" i="6"/>
  <c r="K67" i="6"/>
  <c r="R68" i="6"/>
  <c r="Q68" i="6"/>
  <c r="P68" i="6"/>
  <c r="O68" i="6"/>
  <c r="N68" i="6"/>
  <c r="M68" i="6"/>
  <c r="L68" i="6"/>
  <c r="K68" i="6"/>
  <c r="R762" i="6"/>
  <c r="Q762" i="6"/>
  <c r="P762" i="6"/>
  <c r="O762" i="6"/>
  <c r="N762" i="6"/>
  <c r="M762" i="6"/>
  <c r="L762" i="6"/>
  <c r="K762" i="6"/>
  <c r="R761" i="6"/>
  <c r="Q761" i="6"/>
  <c r="P761" i="6"/>
  <c r="O761" i="6"/>
  <c r="N761" i="6"/>
  <c r="M761" i="6"/>
  <c r="L761" i="6"/>
  <c r="K761" i="6"/>
  <c r="R763" i="6"/>
  <c r="Q763" i="6"/>
  <c r="P763" i="6"/>
  <c r="O763" i="6"/>
  <c r="N763" i="6"/>
  <c r="M763" i="6"/>
  <c r="L763" i="6"/>
  <c r="K763" i="6"/>
  <c r="R760" i="6"/>
  <c r="Q760" i="6"/>
  <c r="P760" i="6"/>
  <c r="O760" i="6"/>
  <c r="N760" i="6"/>
  <c r="M760" i="6"/>
  <c r="L760" i="6"/>
  <c r="K760" i="6"/>
  <c r="R759" i="6"/>
  <c r="Q759" i="6"/>
  <c r="P759" i="6"/>
  <c r="O759" i="6"/>
  <c r="N759" i="6"/>
  <c r="M759" i="6"/>
  <c r="L759" i="6"/>
  <c r="K759" i="6"/>
  <c r="R758" i="6"/>
  <c r="Q758" i="6"/>
  <c r="P758" i="6"/>
  <c r="O758" i="6"/>
  <c r="N758" i="6"/>
  <c r="M758" i="6"/>
  <c r="L758" i="6"/>
  <c r="K758" i="6"/>
  <c r="R757" i="6"/>
  <c r="Q757" i="6"/>
  <c r="P757" i="6"/>
  <c r="O757" i="6"/>
  <c r="N757" i="6"/>
  <c r="M757" i="6"/>
  <c r="L757" i="6"/>
  <c r="K757" i="6"/>
  <c r="R756" i="6"/>
  <c r="Q756" i="6"/>
  <c r="P756" i="6"/>
  <c r="O756" i="6"/>
  <c r="N756" i="6"/>
  <c r="M756" i="6"/>
  <c r="L756" i="6"/>
  <c r="K756" i="6"/>
  <c r="R755" i="6"/>
  <c r="Q755" i="6"/>
  <c r="P755" i="6"/>
  <c r="O755" i="6"/>
  <c r="N755" i="6"/>
  <c r="M755" i="6"/>
  <c r="L755" i="6"/>
  <c r="K755" i="6"/>
  <c r="R754" i="6"/>
  <c r="Q754" i="6"/>
  <c r="P754" i="6"/>
  <c r="O754" i="6"/>
  <c r="N754" i="6"/>
  <c r="M754" i="6"/>
  <c r="L754" i="6"/>
  <c r="K754" i="6"/>
  <c r="R753" i="6"/>
  <c r="Q753" i="6"/>
  <c r="P753" i="6"/>
  <c r="O753" i="6"/>
  <c r="N753" i="6"/>
  <c r="M753" i="6"/>
  <c r="L753" i="6"/>
  <c r="K753" i="6"/>
  <c r="R752" i="6"/>
  <c r="Q752" i="6"/>
  <c r="P752" i="6"/>
  <c r="O752" i="6"/>
  <c r="N752" i="6"/>
  <c r="M752" i="6"/>
  <c r="L752" i="6"/>
  <c r="K752" i="6"/>
  <c r="R751" i="6"/>
  <c r="Q751" i="6"/>
  <c r="P751" i="6"/>
  <c r="O751" i="6"/>
  <c r="N751" i="6"/>
  <c r="M751" i="6"/>
  <c r="L751" i="6"/>
  <c r="K751" i="6"/>
  <c r="R750" i="6"/>
  <c r="Q750" i="6"/>
  <c r="P750" i="6"/>
  <c r="O750" i="6"/>
  <c r="N750" i="6"/>
  <c r="M750" i="6"/>
  <c r="L750" i="6"/>
  <c r="K750" i="6"/>
  <c r="R749" i="6"/>
  <c r="Q749" i="6"/>
  <c r="P749" i="6"/>
  <c r="O749" i="6"/>
  <c r="N749" i="6"/>
  <c r="M749" i="6"/>
  <c r="L749" i="6"/>
  <c r="K749" i="6"/>
  <c r="R748" i="6"/>
  <c r="Q748" i="6"/>
  <c r="P748" i="6"/>
  <c r="O748" i="6"/>
  <c r="N748" i="6"/>
  <c r="M748" i="6"/>
  <c r="L748" i="6"/>
  <c r="K748" i="6"/>
  <c r="R747" i="6"/>
  <c r="Q747" i="6"/>
  <c r="P747" i="6"/>
  <c r="O747" i="6"/>
  <c r="N747" i="6"/>
  <c r="M747" i="6"/>
  <c r="L747" i="6"/>
  <c r="K747" i="6"/>
  <c r="R746" i="6"/>
  <c r="Q746" i="6"/>
  <c r="P746" i="6"/>
  <c r="O746" i="6"/>
  <c r="N746" i="6"/>
  <c r="M746" i="6"/>
  <c r="L746" i="6"/>
  <c r="K746" i="6"/>
  <c r="R745" i="6"/>
  <c r="Q745" i="6"/>
  <c r="P745" i="6"/>
  <c r="O745" i="6"/>
  <c r="N745" i="6"/>
  <c r="M745" i="6"/>
  <c r="L745" i="6"/>
  <c r="K745" i="6"/>
  <c r="R744" i="6"/>
  <c r="Q744" i="6"/>
  <c r="P744" i="6"/>
  <c r="O744" i="6"/>
  <c r="N744" i="6"/>
  <c r="M744" i="6"/>
  <c r="L744" i="6"/>
  <c r="K744" i="6"/>
  <c r="R743" i="6"/>
  <c r="Q743" i="6"/>
  <c r="P743" i="6"/>
  <c r="O743" i="6"/>
  <c r="N743" i="6"/>
  <c r="M743" i="6"/>
  <c r="L743" i="6"/>
  <c r="K743" i="6"/>
  <c r="R742" i="6"/>
  <c r="Q742" i="6"/>
  <c r="P742" i="6"/>
  <c r="O742" i="6"/>
  <c r="N742" i="6"/>
  <c r="M742" i="6"/>
  <c r="L742" i="6"/>
  <c r="K742" i="6"/>
  <c r="R741" i="6"/>
  <c r="Q741" i="6"/>
  <c r="P741" i="6"/>
  <c r="O741" i="6"/>
  <c r="N741" i="6"/>
  <c r="M741" i="6"/>
  <c r="L741" i="6"/>
  <c r="K741" i="6"/>
  <c r="R740" i="6"/>
  <c r="Q740" i="6"/>
  <c r="P740" i="6"/>
  <c r="O740" i="6"/>
  <c r="N740" i="6"/>
  <c r="M740" i="6"/>
  <c r="L740" i="6"/>
  <c r="K740" i="6"/>
  <c r="R739" i="6"/>
  <c r="Q739" i="6"/>
  <c r="P739" i="6"/>
  <c r="O739" i="6"/>
  <c r="N739" i="6"/>
  <c r="M739" i="6"/>
  <c r="L739" i="6"/>
  <c r="K739" i="6"/>
  <c r="R738" i="6"/>
  <c r="Q738" i="6"/>
  <c r="P738" i="6"/>
  <c r="O738" i="6"/>
  <c r="N738" i="6"/>
  <c r="M738" i="6"/>
  <c r="L738" i="6"/>
  <c r="K738" i="6"/>
  <c r="R737" i="6"/>
  <c r="Q737" i="6"/>
  <c r="P737" i="6"/>
  <c r="O737" i="6"/>
  <c r="N737" i="6"/>
  <c r="M737" i="6"/>
  <c r="L737" i="6"/>
  <c r="K737" i="6"/>
  <c r="R736" i="6"/>
  <c r="Q736" i="6"/>
  <c r="P736" i="6"/>
  <c r="O736" i="6"/>
  <c r="N736" i="6"/>
  <c r="M736" i="6"/>
  <c r="L736" i="6"/>
  <c r="K736" i="6"/>
  <c r="R735" i="6"/>
  <c r="Q735" i="6"/>
  <c r="P735" i="6"/>
  <c r="O735" i="6"/>
  <c r="N735" i="6"/>
  <c r="M735" i="6"/>
  <c r="L735" i="6"/>
  <c r="K735" i="6"/>
  <c r="R734" i="6"/>
  <c r="Q734" i="6"/>
  <c r="P734" i="6"/>
  <c r="O734" i="6"/>
  <c r="N734" i="6"/>
  <c r="M734" i="6"/>
  <c r="L734" i="6"/>
  <c r="K734" i="6"/>
  <c r="R733" i="6"/>
  <c r="Q733" i="6"/>
  <c r="P733" i="6"/>
  <c r="O733" i="6"/>
  <c r="N733" i="6"/>
  <c r="M733" i="6"/>
  <c r="L733" i="6"/>
  <c r="K733" i="6"/>
  <c r="R732" i="6"/>
  <c r="Q732" i="6"/>
  <c r="P732" i="6"/>
  <c r="O732" i="6"/>
  <c r="N732" i="6"/>
  <c r="M732" i="6"/>
  <c r="L732" i="6"/>
  <c r="K732" i="6"/>
  <c r="R731" i="6"/>
  <c r="Q731" i="6"/>
  <c r="P731" i="6"/>
  <c r="O731" i="6"/>
  <c r="N731" i="6"/>
  <c r="M731" i="6"/>
  <c r="L731" i="6"/>
  <c r="K731" i="6"/>
  <c r="R730" i="6"/>
  <c r="Q730" i="6"/>
  <c r="P730" i="6"/>
  <c r="O730" i="6"/>
  <c r="N730" i="6"/>
  <c r="M730" i="6"/>
  <c r="L730" i="6"/>
  <c r="K730" i="6"/>
  <c r="R729" i="6"/>
  <c r="Q729" i="6"/>
  <c r="P729" i="6"/>
  <c r="O729" i="6"/>
  <c r="N729" i="6"/>
  <c r="M729" i="6"/>
  <c r="L729" i="6"/>
  <c r="K729" i="6"/>
  <c r="R728" i="6"/>
  <c r="Q728" i="6"/>
  <c r="P728" i="6"/>
  <c r="O728" i="6"/>
  <c r="N728" i="6"/>
  <c r="M728" i="6"/>
  <c r="L728" i="6"/>
  <c r="K728" i="6"/>
  <c r="R727" i="6"/>
  <c r="Q727" i="6"/>
  <c r="P727" i="6"/>
  <c r="O727" i="6"/>
  <c r="N727" i="6"/>
  <c r="M727" i="6"/>
  <c r="L727" i="6"/>
  <c r="K727" i="6"/>
  <c r="R726" i="6"/>
  <c r="Q726" i="6"/>
  <c r="P726" i="6"/>
  <c r="O726" i="6"/>
  <c r="N726" i="6"/>
  <c r="M726" i="6"/>
  <c r="L726" i="6"/>
  <c r="K726" i="6"/>
  <c r="R725" i="6"/>
  <c r="Q725" i="6"/>
  <c r="P725" i="6"/>
  <c r="O725" i="6"/>
  <c r="N725" i="6"/>
  <c r="M725" i="6"/>
  <c r="L725" i="6"/>
  <c r="K725" i="6"/>
  <c r="R724" i="6"/>
  <c r="Q724" i="6"/>
  <c r="P724" i="6"/>
  <c r="O724" i="6"/>
  <c r="N724" i="6"/>
  <c r="M724" i="6"/>
  <c r="L724" i="6"/>
  <c r="K724" i="6"/>
  <c r="R723" i="6"/>
  <c r="Q723" i="6"/>
  <c r="P723" i="6"/>
  <c r="O723" i="6"/>
  <c r="N723" i="6"/>
  <c r="M723" i="6"/>
  <c r="L723" i="6"/>
  <c r="K723" i="6"/>
  <c r="R722" i="6"/>
  <c r="Q722" i="6"/>
  <c r="P722" i="6"/>
  <c r="O722" i="6"/>
  <c r="N722" i="6"/>
  <c r="M722" i="6"/>
  <c r="L722" i="6"/>
  <c r="K722" i="6"/>
  <c r="R721" i="6"/>
  <c r="Q721" i="6"/>
  <c r="P721" i="6"/>
  <c r="O721" i="6"/>
  <c r="N721" i="6"/>
  <c r="M721" i="6"/>
  <c r="L721" i="6"/>
  <c r="K721" i="6"/>
  <c r="R720" i="6"/>
  <c r="Q720" i="6"/>
  <c r="P720" i="6"/>
  <c r="O720" i="6"/>
  <c r="N720" i="6"/>
  <c r="M720" i="6"/>
  <c r="L720" i="6"/>
  <c r="K720" i="6"/>
  <c r="R719" i="6"/>
  <c r="Q719" i="6"/>
  <c r="P719" i="6"/>
  <c r="O719" i="6"/>
  <c r="N719" i="6"/>
  <c r="M719" i="6"/>
  <c r="L719" i="6"/>
  <c r="K719" i="6"/>
  <c r="R718" i="6"/>
  <c r="Q718" i="6"/>
  <c r="P718" i="6"/>
  <c r="O718" i="6"/>
  <c r="N718" i="6"/>
  <c r="M718" i="6"/>
  <c r="L718" i="6"/>
  <c r="K718" i="6"/>
  <c r="R717" i="6"/>
  <c r="Q717" i="6"/>
  <c r="P717" i="6"/>
  <c r="O717" i="6"/>
  <c r="N717" i="6"/>
  <c r="M717" i="6"/>
  <c r="L717" i="6"/>
  <c r="K717" i="6"/>
  <c r="R716" i="6"/>
  <c r="Q716" i="6"/>
  <c r="P716" i="6"/>
  <c r="O716" i="6"/>
  <c r="N716" i="6"/>
  <c r="M716" i="6"/>
  <c r="L716" i="6"/>
  <c r="K716" i="6"/>
  <c r="R715" i="6"/>
  <c r="Q715" i="6"/>
  <c r="P715" i="6"/>
  <c r="O715" i="6"/>
  <c r="N715" i="6"/>
  <c r="M715" i="6"/>
  <c r="L715" i="6"/>
  <c r="K715" i="6"/>
  <c r="R714" i="6"/>
  <c r="Q714" i="6"/>
  <c r="P714" i="6"/>
  <c r="O714" i="6"/>
  <c r="N714" i="6"/>
  <c r="M714" i="6"/>
  <c r="L714" i="6"/>
  <c r="K714" i="6"/>
  <c r="R713" i="6"/>
  <c r="Q713" i="6"/>
  <c r="P713" i="6"/>
  <c r="O713" i="6"/>
  <c r="N713" i="6"/>
  <c r="M713" i="6"/>
  <c r="L713" i="6"/>
  <c r="K713" i="6"/>
  <c r="R712" i="6"/>
  <c r="Q712" i="6"/>
  <c r="P712" i="6"/>
  <c r="O712" i="6"/>
  <c r="N712" i="6"/>
  <c r="M712" i="6"/>
  <c r="L712" i="6"/>
  <c r="K712" i="6"/>
  <c r="R711" i="6"/>
  <c r="Q711" i="6"/>
  <c r="P711" i="6"/>
  <c r="O711" i="6"/>
  <c r="N711" i="6"/>
  <c r="M711" i="6"/>
  <c r="L711" i="6"/>
  <c r="K711" i="6"/>
  <c r="R710" i="6"/>
  <c r="Q710" i="6"/>
  <c r="P710" i="6"/>
  <c r="O710" i="6"/>
  <c r="N710" i="6"/>
  <c r="M710" i="6"/>
  <c r="L710" i="6"/>
  <c r="K710" i="6"/>
  <c r="R709" i="6"/>
  <c r="Q709" i="6"/>
  <c r="P709" i="6"/>
  <c r="O709" i="6"/>
  <c r="N709" i="6"/>
  <c r="M709" i="6"/>
  <c r="L709" i="6"/>
  <c r="K709" i="6"/>
  <c r="R708" i="6"/>
  <c r="Q708" i="6"/>
  <c r="P708" i="6"/>
  <c r="O708" i="6"/>
  <c r="N708" i="6"/>
  <c r="M708" i="6"/>
  <c r="L708" i="6"/>
  <c r="K708" i="6"/>
  <c r="R707" i="6"/>
  <c r="Q707" i="6"/>
  <c r="P707" i="6"/>
  <c r="O707" i="6"/>
  <c r="N707" i="6"/>
  <c r="M707" i="6"/>
  <c r="L707" i="6"/>
  <c r="K707" i="6"/>
  <c r="R706" i="6"/>
  <c r="Q706" i="6"/>
  <c r="P706" i="6"/>
  <c r="O706" i="6"/>
  <c r="N706" i="6"/>
  <c r="M706" i="6"/>
  <c r="L706" i="6"/>
  <c r="K706" i="6"/>
  <c r="R705" i="6"/>
  <c r="Q705" i="6"/>
  <c r="P705" i="6"/>
  <c r="O705" i="6"/>
  <c r="N705" i="6"/>
  <c r="M705" i="6"/>
  <c r="L705" i="6"/>
  <c r="K705" i="6"/>
  <c r="R704" i="6"/>
  <c r="Q704" i="6"/>
  <c r="P704" i="6"/>
  <c r="O704" i="6"/>
  <c r="N704" i="6"/>
  <c r="M704" i="6"/>
  <c r="L704" i="6"/>
  <c r="K704" i="6"/>
  <c r="R703" i="6"/>
  <c r="Q703" i="6"/>
  <c r="P703" i="6"/>
  <c r="O703" i="6"/>
  <c r="N703" i="6"/>
  <c r="M703" i="6"/>
  <c r="L703" i="6"/>
  <c r="K703" i="6"/>
  <c r="R702" i="6"/>
  <c r="Q702" i="6"/>
  <c r="P702" i="6"/>
  <c r="O702" i="6"/>
  <c r="N702" i="6"/>
  <c r="M702" i="6"/>
  <c r="L702" i="6"/>
  <c r="K702" i="6"/>
  <c r="R701" i="6"/>
  <c r="Q701" i="6"/>
  <c r="P701" i="6"/>
  <c r="O701" i="6"/>
  <c r="N701" i="6"/>
  <c r="M701" i="6"/>
  <c r="L701" i="6"/>
  <c r="K701" i="6"/>
  <c r="R700" i="6"/>
  <c r="Q700" i="6"/>
  <c r="P700" i="6"/>
  <c r="O700" i="6"/>
  <c r="N700" i="6"/>
  <c r="M700" i="6"/>
  <c r="L700" i="6"/>
  <c r="K700" i="6"/>
  <c r="R699" i="6"/>
  <c r="Q699" i="6"/>
  <c r="P699" i="6"/>
  <c r="O699" i="6"/>
  <c r="N699" i="6"/>
  <c r="M699" i="6"/>
  <c r="L699" i="6"/>
  <c r="K699" i="6"/>
  <c r="R698" i="6"/>
  <c r="Q698" i="6"/>
  <c r="P698" i="6"/>
  <c r="O698" i="6"/>
  <c r="N698" i="6"/>
  <c r="M698" i="6"/>
  <c r="L698" i="6"/>
  <c r="K698" i="6"/>
  <c r="R697" i="6"/>
  <c r="Q697" i="6"/>
  <c r="P697" i="6"/>
  <c r="O697" i="6"/>
  <c r="N697" i="6"/>
  <c r="M697" i="6"/>
  <c r="L697" i="6"/>
  <c r="K697" i="6"/>
  <c r="R696" i="6"/>
  <c r="Q696" i="6"/>
  <c r="P696" i="6"/>
  <c r="O696" i="6"/>
  <c r="N696" i="6"/>
  <c r="M696" i="6"/>
  <c r="L696" i="6"/>
  <c r="K696" i="6"/>
  <c r="R695" i="6"/>
  <c r="Q695" i="6"/>
  <c r="P695" i="6"/>
  <c r="O695" i="6"/>
  <c r="N695" i="6"/>
  <c r="M695" i="6"/>
  <c r="L695" i="6"/>
  <c r="K695" i="6"/>
  <c r="R694" i="6"/>
  <c r="Q694" i="6"/>
  <c r="P694" i="6"/>
  <c r="O694" i="6"/>
  <c r="N694" i="6"/>
  <c r="M694" i="6"/>
  <c r="L694" i="6"/>
  <c r="K694" i="6"/>
  <c r="R693" i="6"/>
  <c r="Q693" i="6"/>
  <c r="P693" i="6"/>
  <c r="O693" i="6"/>
  <c r="N693" i="6"/>
  <c r="M693" i="6"/>
  <c r="L693" i="6"/>
  <c r="K693" i="6"/>
  <c r="R692" i="6"/>
  <c r="Q692" i="6"/>
  <c r="P692" i="6"/>
  <c r="O692" i="6"/>
  <c r="N692" i="6"/>
  <c r="M692" i="6"/>
  <c r="L692" i="6"/>
  <c r="K692" i="6"/>
  <c r="R691" i="6"/>
  <c r="Q691" i="6"/>
  <c r="P691" i="6"/>
  <c r="O691" i="6"/>
  <c r="N691" i="6"/>
  <c r="M691" i="6"/>
  <c r="L691" i="6"/>
  <c r="K691" i="6"/>
  <c r="R690" i="6"/>
  <c r="Q690" i="6"/>
  <c r="P690" i="6"/>
  <c r="O690" i="6"/>
  <c r="N690" i="6"/>
  <c r="M690" i="6"/>
  <c r="L690" i="6"/>
  <c r="K690" i="6"/>
  <c r="R689" i="6"/>
  <c r="Q689" i="6"/>
  <c r="P689" i="6"/>
  <c r="O689" i="6"/>
  <c r="N689" i="6"/>
  <c r="M689" i="6"/>
  <c r="L689" i="6"/>
  <c r="K689" i="6"/>
  <c r="R688" i="6"/>
  <c r="Q688" i="6"/>
  <c r="P688" i="6"/>
  <c r="O688" i="6"/>
  <c r="N688" i="6"/>
  <c r="M688" i="6"/>
  <c r="L688" i="6"/>
  <c r="K688" i="6"/>
  <c r="R687" i="6"/>
  <c r="Q687" i="6"/>
  <c r="P687" i="6"/>
  <c r="O687" i="6"/>
  <c r="N687" i="6"/>
  <c r="M687" i="6"/>
  <c r="L687" i="6"/>
  <c r="K687" i="6"/>
  <c r="R686" i="6"/>
  <c r="Q686" i="6"/>
  <c r="P686" i="6"/>
  <c r="O686" i="6"/>
  <c r="N686" i="6"/>
  <c r="M686" i="6"/>
  <c r="L686" i="6"/>
  <c r="K686" i="6"/>
  <c r="R685" i="6"/>
  <c r="Q685" i="6"/>
  <c r="P685" i="6"/>
  <c r="O685" i="6"/>
  <c r="N685" i="6"/>
  <c r="M685" i="6"/>
  <c r="L685" i="6"/>
  <c r="K685" i="6"/>
  <c r="R684" i="6"/>
  <c r="Q684" i="6"/>
  <c r="P684" i="6"/>
  <c r="O684" i="6"/>
  <c r="N684" i="6"/>
  <c r="M684" i="6"/>
  <c r="L684" i="6"/>
  <c r="K684" i="6"/>
  <c r="R683" i="6"/>
  <c r="Q683" i="6"/>
  <c r="P683" i="6"/>
  <c r="O683" i="6"/>
  <c r="N683" i="6"/>
  <c r="M683" i="6"/>
  <c r="L683" i="6"/>
  <c r="K683" i="6"/>
  <c r="R682" i="6"/>
  <c r="Q682" i="6"/>
  <c r="P682" i="6"/>
  <c r="O682" i="6"/>
  <c r="N682" i="6"/>
  <c r="M682" i="6"/>
  <c r="L682" i="6"/>
  <c r="K682" i="6"/>
  <c r="R681" i="6"/>
  <c r="Q681" i="6"/>
  <c r="P681" i="6"/>
  <c r="O681" i="6"/>
  <c r="N681" i="6"/>
  <c r="M681" i="6"/>
  <c r="L681" i="6"/>
  <c r="K681" i="6"/>
  <c r="R680" i="6"/>
  <c r="Q680" i="6"/>
  <c r="P680" i="6"/>
  <c r="O680" i="6"/>
  <c r="N680" i="6"/>
  <c r="M680" i="6"/>
  <c r="L680" i="6"/>
  <c r="K680" i="6"/>
  <c r="R679" i="6"/>
  <c r="Q679" i="6"/>
  <c r="P679" i="6"/>
  <c r="O679" i="6"/>
  <c r="N679" i="6"/>
  <c r="M679" i="6"/>
  <c r="L679" i="6"/>
  <c r="K679" i="6"/>
  <c r="R678" i="6"/>
  <c r="Q678" i="6"/>
  <c r="P678" i="6"/>
  <c r="O678" i="6"/>
  <c r="N678" i="6"/>
  <c r="M678" i="6"/>
  <c r="L678" i="6"/>
  <c r="K678" i="6"/>
  <c r="R677" i="6"/>
  <c r="Q677" i="6"/>
  <c r="P677" i="6"/>
  <c r="O677" i="6"/>
  <c r="N677" i="6"/>
  <c r="M677" i="6"/>
  <c r="L677" i="6"/>
  <c r="K677" i="6"/>
  <c r="R676" i="6"/>
  <c r="Q676" i="6"/>
  <c r="P676" i="6"/>
  <c r="O676" i="6"/>
  <c r="N676" i="6"/>
  <c r="M676" i="6"/>
  <c r="L676" i="6"/>
  <c r="K676" i="6"/>
  <c r="R675" i="6"/>
  <c r="Q675" i="6"/>
  <c r="P675" i="6"/>
  <c r="O675" i="6"/>
  <c r="N675" i="6"/>
  <c r="M675" i="6"/>
  <c r="L675" i="6"/>
  <c r="K675" i="6"/>
  <c r="R674" i="6"/>
  <c r="Q674" i="6"/>
  <c r="P674" i="6"/>
  <c r="O674" i="6"/>
  <c r="N674" i="6"/>
  <c r="M674" i="6"/>
  <c r="L674" i="6"/>
  <c r="K674" i="6"/>
  <c r="R673" i="6"/>
  <c r="Q673" i="6"/>
  <c r="P673" i="6"/>
  <c r="O673" i="6"/>
  <c r="N673" i="6"/>
  <c r="M673" i="6"/>
  <c r="L673" i="6"/>
  <c r="K673" i="6"/>
  <c r="R672" i="6"/>
  <c r="Q672" i="6"/>
  <c r="P672" i="6"/>
  <c r="O672" i="6"/>
  <c r="N672" i="6"/>
  <c r="M672" i="6"/>
  <c r="L672" i="6"/>
  <c r="K672" i="6"/>
  <c r="R671" i="6"/>
  <c r="Q671" i="6"/>
  <c r="P671" i="6"/>
  <c r="O671" i="6"/>
  <c r="N671" i="6"/>
  <c r="M671" i="6"/>
  <c r="L671" i="6"/>
  <c r="K671" i="6"/>
  <c r="R670" i="6"/>
  <c r="Q670" i="6"/>
  <c r="P670" i="6"/>
  <c r="O670" i="6"/>
  <c r="N670" i="6"/>
  <c r="M670" i="6"/>
  <c r="L670" i="6"/>
  <c r="K670" i="6"/>
  <c r="R669" i="6"/>
  <c r="Q669" i="6"/>
  <c r="P669" i="6"/>
  <c r="O669" i="6"/>
  <c r="N669" i="6"/>
  <c r="M669" i="6"/>
  <c r="L669" i="6"/>
  <c r="K669" i="6"/>
  <c r="R668" i="6"/>
  <c r="Q668" i="6"/>
  <c r="P668" i="6"/>
  <c r="O668" i="6"/>
  <c r="N668" i="6"/>
  <c r="M668" i="6"/>
  <c r="L668" i="6"/>
  <c r="K668" i="6"/>
  <c r="R667" i="6"/>
  <c r="Q667" i="6"/>
  <c r="P667" i="6"/>
  <c r="O667" i="6"/>
  <c r="N667" i="6"/>
  <c r="M667" i="6"/>
  <c r="L667" i="6"/>
  <c r="K667" i="6"/>
  <c r="R666" i="6"/>
  <c r="Q666" i="6"/>
  <c r="P666" i="6"/>
  <c r="O666" i="6"/>
  <c r="N666" i="6"/>
  <c r="M666" i="6"/>
  <c r="L666" i="6"/>
  <c r="K666" i="6"/>
  <c r="R665" i="6"/>
  <c r="Q665" i="6"/>
  <c r="P665" i="6"/>
  <c r="O665" i="6"/>
  <c r="N665" i="6"/>
  <c r="M665" i="6"/>
  <c r="L665" i="6"/>
  <c r="K665" i="6"/>
  <c r="R664" i="6"/>
  <c r="Q664" i="6"/>
  <c r="P664" i="6"/>
  <c r="O664" i="6"/>
  <c r="N664" i="6"/>
  <c r="M664" i="6"/>
  <c r="L664" i="6"/>
  <c r="K664" i="6"/>
  <c r="R663" i="6"/>
  <c r="Q663" i="6"/>
  <c r="P663" i="6"/>
  <c r="O663" i="6"/>
  <c r="N663" i="6"/>
  <c r="M663" i="6"/>
  <c r="L663" i="6"/>
  <c r="K663" i="6"/>
  <c r="R662" i="6"/>
  <c r="Q662" i="6"/>
  <c r="P662" i="6"/>
  <c r="O662" i="6"/>
  <c r="N662" i="6"/>
  <c r="M662" i="6"/>
  <c r="L662" i="6"/>
  <c r="K662" i="6"/>
  <c r="R661" i="6"/>
  <c r="Q661" i="6"/>
  <c r="P661" i="6"/>
  <c r="O661" i="6"/>
  <c r="N661" i="6"/>
  <c r="M661" i="6"/>
  <c r="L661" i="6"/>
  <c r="K661" i="6"/>
  <c r="R660" i="6"/>
  <c r="Q660" i="6"/>
  <c r="P660" i="6"/>
  <c r="O660" i="6"/>
  <c r="N660" i="6"/>
  <c r="M660" i="6"/>
  <c r="L660" i="6"/>
  <c r="K660" i="6"/>
  <c r="R659" i="6"/>
  <c r="Q659" i="6"/>
  <c r="P659" i="6"/>
  <c r="O659" i="6"/>
  <c r="N659" i="6"/>
  <c r="M659" i="6"/>
  <c r="L659" i="6"/>
  <c r="K659" i="6"/>
  <c r="R658" i="6"/>
  <c r="Q658" i="6"/>
  <c r="P658" i="6"/>
  <c r="O658" i="6"/>
  <c r="N658" i="6"/>
  <c r="M658" i="6"/>
  <c r="L658" i="6"/>
  <c r="K658" i="6"/>
  <c r="R657" i="6"/>
  <c r="Q657" i="6"/>
  <c r="P657" i="6"/>
  <c r="O657" i="6"/>
  <c r="N657" i="6"/>
  <c r="M657" i="6"/>
  <c r="L657" i="6"/>
  <c r="K657" i="6"/>
  <c r="R656" i="6"/>
  <c r="Q656" i="6"/>
  <c r="P656" i="6"/>
  <c r="O656" i="6"/>
  <c r="N656" i="6"/>
  <c r="M656" i="6"/>
  <c r="L656" i="6"/>
  <c r="K656" i="6"/>
  <c r="R655" i="6"/>
  <c r="Q655" i="6"/>
  <c r="P655" i="6"/>
  <c r="O655" i="6"/>
  <c r="N655" i="6"/>
  <c r="M655" i="6"/>
  <c r="L655" i="6"/>
  <c r="K655" i="6"/>
  <c r="R654" i="6"/>
  <c r="Q654" i="6"/>
  <c r="P654" i="6"/>
  <c r="O654" i="6"/>
  <c r="N654" i="6"/>
  <c r="M654" i="6"/>
  <c r="L654" i="6"/>
  <c r="K654" i="6"/>
  <c r="R653" i="6"/>
  <c r="Q653" i="6"/>
  <c r="P653" i="6"/>
  <c r="O653" i="6"/>
  <c r="N653" i="6"/>
  <c r="M653" i="6"/>
  <c r="L653" i="6"/>
  <c r="K653" i="6"/>
  <c r="R652" i="6"/>
  <c r="Q652" i="6"/>
  <c r="P652" i="6"/>
  <c r="O652" i="6"/>
  <c r="N652" i="6"/>
  <c r="M652" i="6"/>
  <c r="L652" i="6"/>
  <c r="K652" i="6"/>
  <c r="R651" i="6"/>
  <c r="Q651" i="6"/>
  <c r="P651" i="6"/>
  <c r="O651" i="6"/>
  <c r="N651" i="6"/>
  <c r="M651" i="6"/>
  <c r="L651" i="6"/>
  <c r="K651" i="6"/>
  <c r="R650" i="6"/>
  <c r="Q650" i="6"/>
  <c r="P650" i="6"/>
  <c r="O650" i="6"/>
  <c r="N650" i="6"/>
  <c r="M650" i="6"/>
  <c r="L650" i="6"/>
  <c r="K650" i="6"/>
  <c r="R649" i="6"/>
  <c r="Q649" i="6"/>
  <c r="P649" i="6"/>
  <c r="O649" i="6"/>
  <c r="N649" i="6"/>
  <c r="M649" i="6"/>
  <c r="L649" i="6"/>
  <c r="K649" i="6"/>
  <c r="R648" i="6"/>
  <c r="Q648" i="6"/>
  <c r="P648" i="6"/>
  <c r="O648" i="6"/>
  <c r="N648" i="6"/>
  <c r="M648" i="6"/>
  <c r="L648" i="6"/>
  <c r="K648" i="6"/>
  <c r="R647" i="6"/>
  <c r="Q647" i="6"/>
  <c r="P647" i="6"/>
  <c r="O647" i="6"/>
  <c r="N647" i="6"/>
  <c r="M647" i="6"/>
  <c r="L647" i="6"/>
  <c r="K647" i="6"/>
  <c r="R646" i="6"/>
  <c r="Q646" i="6"/>
  <c r="P646" i="6"/>
  <c r="O646" i="6"/>
  <c r="N646" i="6"/>
  <c r="M646" i="6"/>
  <c r="L646" i="6"/>
  <c r="K646" i="6"/>
  <c r="R645" i="6"/>
  <c r="Q645" i="6"/>
  <c r="P645" i="6"/>
  <c r="O645" i="6"/>
  <c r="N645" i="6"/>
  <c r="M645" i="6"/>
  <c r="L645" i="6"/>
  <c r="K645" i="6"/>
  <c r="R644" i="6"/>
  <c r="Q644" i="6"/>
  <c r="P644" i="6"/>
  <c r="O644" i="6"/>
  <c r="N644" i="6"/>
  <c r="M644" i="6"/>
  <c r="L644" i="6"/>
  <c r="K644" i="6"/>
  <c r="R643" i="6"/>
  <c r="Q643" i="6"/>
  <c r="P643" i="6"/>
  <c r="O643" i="6"/>
  <c r="N643" i="6"/>
  <c r="M643" i="6"/>
  <c r="L643" i="6"/>
  <c r="K643" i="6"/>
  <c r="R642" i="6"/>
  <c r="Q642" i="6"/>
  <c r="P642" i="6"/>
  <c r="O642" i="6"/>
  <c r="N642" i="6"/>
  <c r="M642" i="6"/>
  <c r="L642" i="6"/>
  <c r="K642" i="6"/>
  <c r="R641" i="6"/>
  <c r="Q641" i="6"/>
  <c r="P641" i="6"/>
  <c r="O641" i="6"/>
  <c r="N641" i="6"/>
  <c r="M641" i="6"/>
  <c r="L641" i="6"/>
  <c r="K641" i="6"/>
  <c r="R640" i="6"/>
  <c r="Q640" i="6"/>
  <c r="P640" i="6"/>
  <c r="O640" i="6"/>
  <c r="N640" i="6"/>
  <c r="M640" i="6"/>
  <c r="L640" i="6"/>
  <c r="K640" i="6"/>
  <c r="R639" i="6"/>
  <c r="Q639" i="6"/>
  <c r="P639" i="6"/>
  <c r="O639" i="6"/>
  <c r="N639" i="6"/>
  <c r="M639" i="6"/>
  <c r="L639" i="6"/>
  <c r="K639" i="6"/>
  <c r="R638" i="6"/>
  <c r="Q638" i="6"/>
  <c r="P638" i="6"/>
  <c r="O638" i="6"/>
  <c r="N638" i="6"/>
  <c r="M638" i="6"/>
  <c r="L638" i="6"/>
  <c r="K638" i="6"/>
  <c r="R637" i="6"/>
  <c r="Q637" i="6"/>
  <c r="P637" i="6"/>
  <c r="O637" i="6"/>
  <c r="N637" i="6"/>
  <c r="M637" i="6"/>
  <c r="L637" i="6"/>
  <c r="K637" i="6"/>
  <c r="R636" i="6"/>
  <c r="Q636" i="6"/>
  <c r="P636" i="6"/>
  <c r="O636" i="6"/>
  <c r="N636" i="6"/>
  <c r="M636" i="6"/>
  <c r="L636" i="6"/>
  <c r="K636" i="6"/>
  <c r="R635" i="6"/>
  <c r="Q635" i="6"/>
  <c r="P635" i="6"/>
  <c r="O635" i="6"/>
  <c r="N635" i="6"/>
  <c r="M635" i="6"/>
  <c r="L635" i="6"/>
  <c r="K635" i="6"/>
  <c r="R634" i="6"/>
  <c r="Q634" i="6"/>
  <c r="P634" i="6"/>
  <c r="O634" i="6"/>
  <c r="N634" i="6"/>
  <c r="M634" i="6"/>
  <c r="L634" i="6"/>
  <c r="K634" i="6"/>
  <c r="R633" i="6"/>
  <c r="Q633" i="6"/>
  <c r="P633" i="6"/>
  <c r="O633" i="6"/>
  <c r="N633" i="6"/>
  <c r="M633" i="6"/>
  <c r="L633" i="6"/>
  <c r="K633" i="6"/>
  <c r="R632" i="6"/>
  <c r="Q632" i="6"/>
  <c r="P632" i="6"/>
  <c r="O632" i="6"/>
  <c r="N632" i="6"/>
  <c r="M632" i="6"/>
  <c r="L632" i="6"/>
  <c r="K632" i="6"/>
  <c r="R631" i="6"/>
  <c r="Q631" i="6"/>
  <c r="P631" i="6"/>
  <c r="O631" i="6"/>
  <c r="N631" i="6"/>
  <c r="M631" i="6"/>
  <c r="L631" i="6"/>
  <c r="K631" i="6"/>
  <c r="R630" i="6"/>
  <c r="Q630" i="6"/>
  <c r="P630" i="6"/>
  <c r="O630" i="6"/>
  <c r="N630" i="6"/>
  <c r="M630" i="6"/>
  <c r="L630" i="6"/>
  <c r="K630" i="6"/>
  <c r="R629" i="6"/>
  <c r="Q629" i="6"/>
  <c r="P629" i="6"/>
  <c r="O629" i="6"/>
  <c r="N629" i="6"/>
  <c r="M629" i="6"/>
  <c r="L629" i="6"/>
  <c r="K629" i="6"/>
  <c r="R628" i="6"/>
  <c r="Q628" i="6"/>
  <c r="P628" i="6"/>
  <c r="O628" i="6"/>
  <c r="N628" i="6"/>
  <c r="M628" i="6"/>
  <c r="L628" i="6"/>
  <c r="K628" i="6"/>
  <c r="R627" i="6"/>
  <c r="Q627" i="6"/>
  <c r="P627" i="6"/>
  <c r="O627" i="6"/>
  <c r="N627" i="6"/>
  <c r="M627" i="6"/>
  <c r="L627" i="6"/>
  <c r="K627" i="6"/>
  <c r="R626" i="6"/>
  <c r="Q626" i="6"/>
  <c r="P626" i="6"/>
  <c r="O626" i="6"/>
  <c r="N626" i="6"/>
  <c r="M626" i="6"/>
  <c r="L626" i="6"/>
  <c r="K626" i="6"/>
  <c r="R625" i="6"/>
  <c r="Q625" i="6"/>
  <c r="P625" i="6"/>
  <c r="O625" i="6"/>
  <c r="N625" i="6"/>
  <c r="M625" i="6"/>
  <c r="L625" i="6"/>
  <c r="K625" i="6"/>
  <c r="R624" i="6"/>
  <c r="Q624" i="6"/>
  <c r="P624" i="6"/>
  <c r="O624" i="6"/>
  <c r="N624" i="6"/>
  <c r="M624" i="6"/>
  <c r="L624" i="6"/>
  <c r="K624" i="6"/>
  <c r="R623" i="6"/>
  <c r="Q623" i="6"/>
  <c r="P623" i="6"/>
  <c r="O623" i="6"/>
  <c r="N623" i="6"/>
  <c r="M623" i="6"/>
  <c r="L623" i="6"/>
  <c r="K623" i="6"/>
  <c r="R622" i="6"/>
  <c r="Q622" i="6"/>
  <c r="P622" i="6"/>
  <c r="O622" i="6"/>
  <c r="N622" i="6"/>
  <c r="M622" i="6"/>
  <c r="L622" i="6"/>
  <c r="K622" i="6"/>
  <c r="R621" i="6"/>
  <c r="Q621" i="6"/>
  <c r="P621" i="6"/>
  <c r="O621" i="6"/>
  <c r="N621" i="6"/>
  <c r="M621" i="6"/>
  <c r="L621" i="6"/>
  <c r="K621" i="6"/>
  <c r="R620" i="6"/>
  <c r="Q620" i="6"/>
  <c r="P620" i="6"/>
  <c r="O620" i="6"/>
  <c r="N620" i="6"/>
  <c r="M620" i="6"/>
  <c r="L620" i="6"/>
  <c r="K620" i="6"/>
  <c r="R619" i="6"/>
  <c r="Q619" i="6"/>
  <c r="P619" i="6"/>
  <c r="O619" i="6"/>
  <c r="N619" i="6"/>
  <c r="M619" i="6"/>
  <c r="L619" i="6"/>
  <c r="K619" i="6"/>
  <c r="R618" i="6"/>
  <c r="Q618" i="6"/>
  <c r="P618" i="6"/>
  <c r="O618" i="6"/>
  <c r="N618" i="6"/>
  <c r="M618" i="6"/>
  <c r="L618" i="6"/>
  <c r="K618" i="6"/>
  <c r="R617" i="6"/>
  <c r="Q617" i="6"/>
  <c r="P617" i="6"/>
  <c r="O617" i="6"/>
  <c r="N617" i="6"/>
  <c r="M617" i="6"/>
  <c r="L617" i="6"/>
  <c r="K617" i="6"/>
  <c r="R616" i="6"/>
  <c r="Q616" i="6"/>
  <c r="P616" i="6"/>
  <c r="O616" i="6"/>
  <c r="N616" i="6"/>
  <c r="M616" i="6"/>
  <c r="L616" i="6"/>
  <c r="K616" i="6"/>
  <c r="R615" i="6"/>
  <c r="Q615" i="6"/>
  <c r="P615" i="6"/>
  <c r="O615" i="6"/>
  <c r="N615" i="6"/>
  <c r="M615" i="6"/>
  <c r="L615" i="6"/>
  <c r="K615" i="6"/>
  <c r="R614" i="6"/>
  <c r="Q614" i="6"/>
  <c r="P614" i="6"/>
  <c r="O614" i="6"/>
  <c r="N614" i="6"/>
  <c r="M614" i="6"/>
  <c r="L614" i="6"/>
  <c r="K614" i="6"/>
  <c r="R613" i="6"/>
  <c r="Q613" i="6"/>
  <c r="P613" i="6"/>
  <c r="O613" i="6"/>
  <c r="N613" i="6"/>
  <c r="M613" i="6"/>
  <c r="L613" i="6"/>
  <c r="K613" i="6"/>
  <c r="R612" i="6"/>
  <c r="Q612" i="6"/>
  <c r="P612" i="6"/>
  <c r="O612" i="6"/>
  <c r="N612" i="6"/>
  <c r="M612" i="6"/>
  <c r="L612" i="6"/>
  <c r="K612" i="6"/>
  <c r="R611" i="6"/>
  <c r="Q611" i="6"/>
  <c r="P611" i="6"/>
  <c r="O611" i="6"/>
  <c r="N611" i="6"/>
  <c r="M611" i="6"/>
  <c r="L611" i="6"/>
  <c r="K611" i="6"/>
  <c r="R610" i="6"/>
  <c r="Q610" i="6"/>
  <c r="P610" i="6"/>
  <c r="O610" i="6"/>
  <c r="N610" i="6"/>
  <c r="M610" i="6"/>
  <c r="L610" i="6"/>
  <c r="K610" i="6"/>
  <c r="R609" i="6"/>
  <c r="Q609" i="6"/>
  <c r="P609" i="6"/>
  <c r="O609" i="6"/>
  <c r="N609" i="6"/>
  <c r="M609" i="6"/>
  <c r="L609" i="6"/>
  <c r="K609" i="6"/>
  <c r="R608" i="6"/>
  <c r="Q608" i="6"/>
  <c r="P608" i="6"/>
  <c r="O608" i="6"/>
  <c r="N608" i="6"/>
  <c r="M608" i="6"/>
  <c r="L608" i="6"/>
  <c r="K608" i="6"/>
  <c r="R607" i="6"/>
  <c r="Q607" i="6"/>
  <c r="P607" i="6"/>
  <c r="O607" i="6"/>
  <c r="N607" i="6"/>
  <c r="M607" i="6"/>
  <c r="L607" i="6"/>
  <c r="K607" i="6"/>
  <c r="R606" i="6"/>
  <c r="Q606" i="6"/>
  <c r="P606" i="6"/>
  <c r="O606" i="6"/>
  <c r="N606" i="6"/>
  <c r="M606" i="6"/>
  <c r="L606" i="6"/>
  <c r="K606" i="6"/>
  <c r="R605" i="6"/>
  <c r="Q605" i="6"/>
  <c r="P605" i="6"/>
  <c r="O605" i="6"/>
  <c r="N605" i="6"/>
  <c r="M605" i="6"/>
  <c r="L605" i="6"/>
  <c r="K605" i="6"/>
  <c r="R604" i="6"/>
  <c r="Q604" i="6"/>
  <c r="P604" i="6"/>
  <c r="O604" i="6"/>
  <c r="N604" i="6"/>
  <c r="M604" i="6"/>
  <c r="L604" i="6"/>
  <c r="K604" i="6"/>
  <c r="R603" i="6"/>
  <c r="Q603" i="6"/>
  <c r="P603" i="6"/>
  <c r="O603" i="6"/>
  <c r="N603" i="6"/>
  <c r="M603" i="6"/>
  <c r="L603" i="6"/>
  <c r="K603" i="6"/>
  <c r="R602" i="6"/>
  <c r="Q602" i="6"/>
  <c r="P602" i="6"/>
  <c r="O602" i="6"/>
  <c r="N602" i="6"/>
  <c r="M602" i="6"/>
  <c r="L602" i="6"/>
  <c r="K602" i="6"/>
  <c r="R601" i="6"/>
  <c r="Q601" i="6"/>
  <c r="P601" i="6"/>
  <c r="O601" i="6"/>
  <c r="N601" i="6"/>
  <c r="M601" i="6"/>
  <c r="L601" i="6"/>
  <c r="K601" i="6"/>
  <c r="R600" i="6"/>
  <c r="Q600" i="6"/>
  <c r="P600" i="6"/>
  <c r="O600" i="6"/>
  <c r="N600" i="6"/>
  <c r="M600" i="6"/>
  <c r="L600" i="6"/>
  <c r="K600" i="6"/>
  <c r="R599" i="6"/>
  <c r="Q599" i="6"/>
  <c r="P599" i="6"/>
  <c r="O599" i="6"/>
  <c r="N599" i="6"/>
  <c r="M599" i="6"/>
  <c r="L599" i="6"/>
  <c r="K599" i="6"/>
  <c r="R598" i="6"/>
  <c r="Q598" i="6"/>
  <c r="P598" i="6"/>
  <c r="O598" i="6"/>
  <c r="N598" i="6"/>
  <c r="M598" i="6"/>
  <c r="L598" i="6"/>
  <c r="K598" i="6"/>
  <c r="R597" i="6"/>
  <c r="Q597" i="6"/>
  <c r="P597" i="6"/>
  <c r="O597" i="6"/>
  <c r="N597" i="6"/>
  <c r="M597" i="6"/>
  <c r="L597" i="6"/>
  <c r="K597" i="6"/>
  <c r="R596" i="6"/>
  <c r="Q596" i="6"/>
  <c r="P596" i="6"/>
  <c r="O596" i="6"/>
  <c r="N596" i="6"/>
  <c r="M596" i="6"/>
  <c r="L596" i="6"/>
  <c r="K596" i="6"/>
  <c r="R595" i="6"/>
  <c r="Q595" i="6"/>
  <c r="P595" i="6"/>
  <c r="O595" i="6"/>
  <c r="N595" i="6"/>
  <c r="M595" i="6"/>
  <c r="L595" i="6"/>
  <c r="K595" i="6"/>
  <c r="R594" i="6"/>
  <c r="Q594" i="6"/>
  <c r="P594" i="6"/>
  <c r="O594" i="6"/>
  <c r="N594" i="6"/>
  <c r="M594" i="6"/>
  <c r="L594" i="6"/>
  <c r="K594" i="6"/>
  <c r="R593" i="6"/>
  <c r="Q593" i="6"/>
  <c r="P593" i="6"/>
  <c r="O593" i="6"/>
  <c r="N593" i="6"/>
  <c r="M593" i="6"/>
  <c r="L593" i="6"/>
  <c r="K593" i="6"/>
  <c r="R592" i="6"/>
  <c r="Q592" i="6"/>
  <c r="P592" i="6"/>
  <c r="O592" i="6"/>
  <c r="N592" i="6"/>
  <c r="M592" i="6"/>
  <c r="L592" i="6"/>
  <c r="K592" i="6"/>
  <c r="R591" i="6"/>
  <c r="Q591" i="6"/>
  <c r="P591" i="6"/>
  <c r="O591" i="6"/>
  <c r="N591" i="6"/>
  <c r="M591" i="6"/>
  <c r="L591" i="6"/>
  <c r="K591" i="6"/>
  <c r="R590" i="6"/>
  <c r="Q590" i="6"/>
  <c r="P590" i="6"/>
  <c r="O590" i="6"/>
  <c r="N590" i="6"/>
  <c r="M590" i="6"/>
  <c r="L590" i="6"/>
  <c r="K590" i="6"/>
  <c r="R589" i="6"/>
  <c r="Q589" i="6"/>
  <c r="P589" i="6"/>
  <c r="O589" i="6"/>
  <c r="N589" i="6"/>
  <c r="M589" i="6"/>
  <c r="L589" i="6"/>
  <c r="K589" i="6"/>
  <c r="R588" i="6"/>
  <c r="Q588" i="6"/>
  <c r="P588" i="6"/>
  <c r="O588" i="6"/>
  <c r="N588" i="6"/>
  <c r="M588" i="6"/>
  <c r="L588" i="6"/>
  <c r="K588" i="6"/>
  <c r="R587" i="6"/>
  <c r="Q587" i="6"/>
  <c r="P587" i="6"/>
  <c r="O587" i="6"/>
  <c r="N587" i="6"/>
  <c r="M587" i="6"/>
  <c r="L587" i="6"/>
  <c r="K587" i="6"/>
  <c r="R586" i="6"/>
  <c r="Q586" i="6"/>
  <c r="P586" i="6"/>
  <c r="O586" i="6"/>
  <c r="N586" i="6"/>
  <c r="M586" i="6"/>
  <c r="L586" i="6"/>
  <c r="K586" i="6"/>
  <c r="R585" i="6"/>
  <c r="Q585" i="6"/>
  <c r="P585" i="6"/>
  <c r="O585" i="6"/>
  <c r="N585" i="6"/>
  <c r="M585" i="6"/>
  <c r="L585" i="6"/>
  <c r="K585" i="6"/>
  <c r="R584" i="6"/>
  <c r="Q584" i="6"/>
  <c r="P584" i="6"/>
  <c r="O584" i="6"/>
  <c r="N584" i="6"/>
  <c r="M584" i="6"/>
  <c r="L584" i="6"/>
  <c r="K584" i="6"/>
  <c r="R583" i="6"/>
  <c r="Q583" i="6"/>
  <c r="P583" i="6"/>
  <c r="O583" i="6"/>
  <c r="N583" i="6"/>
  <c r="M583" i="6"/>
  <c r="L583" i="6"/>
  <c r="K583" i="6"/>
  <c r="R582" i="6"/>
  <c r="Q582" i="6"/>
  <c r="P582" i="6"/>
  <c r="O582" i="6"/>
  <c r="N582" i="6"/>
  <c r="M582" i="6"/>
  <c r="L582" i="6"/>
  <c r="K582" i="6"/>
  <c r="R581" i="6"/>
  <c r="Q581" i="6"/>
  <c r="P581" i="6"/>
  <c r="O581" i="6"/>
  <c r="N581" i="6"/>
  <c r="M581" i="6"/>
  <c r="L581" i="6"/>
  <c r="K581" i="6"/>
  <c r="R580" i="6"/>
  <c r="Q580" i="6"/>
  <c r="P580" i="6"/>
  <c r="O580" i="6"/>
  <c r="N580" i="6"/>
  <c r="M580" i="6"/>
  <c r="L580" i="6"/>
  <c r="K580" i="6"/>
  <c r="R579" i="6"/>
  <c r="Q579" i="6"/>
  <c r="P579" i="6"/>
  <c r="O579" i="6"/>
  <c r="N579" i="6"/>
  <c r="M579" i="6"/>
  <c r="L579" i="6"/>
  <c r="K579" i="6"/>
  <c r="R578" i="6"/>
  <c r="Q578" i="6"/>
  <c r="P578" i="6"/>
  <c r="O578" i="6"/>
  <c r="N578" i="6"/>
  <c r="M578" i="6"/>
  <c r="L578" i="6"/>
  <c r="K578" i="6"/>
  <c r="R577" i="6"/>
  <c r="Q577" i="6"/>
  <c r="P577" i="6"/>
  <c r="O577" i="6"/>
  <c r="N577" i="6"/>
  <c r="M577" i="6"/>
  <c r="L577" i="6"/>
  <c r="K577" i="6"/>
  <c r="R576" i="6"/>
  <c r="Q576" i="6"/>
  <c r="P576" i="6"/>
  <c r="O576" i="6"/>
  <c r="N576" i="6"/>
  <c r="M576" i="6"/>
  <c r="L576" i="6"/>
  <c r="K576" i="6"/>
  <c r="R575" i="6"/>
  <c r="Q575" i="6"/>
  <c r="P575" i="6"/>
  <c r="O575" i="6"/>
  <c r="N575" i="6"/>
  <c r="M575" i="6"/>
  <c r="L575" i="6"/>
  <c r="K575" i="6"/>
  <c r="R574" i="6"/>
  <c r="Q574" i="6"/>
  <c r="P574" i="6"/>
  <c r="O574" i="6"/>
  <c r="N574" i="6"/>
  <c r="M574" i="6"/>
  <c r="L574" i="6"/>
  <c r="K574" i="6"/>
  <c r="R573" i="6"/>
  <c r="Q573" i="6"/>
  <c r="P573" i="6"/>
  <c r="O573" i="6"/>
  <c r="N573" i="6"/>
  <c r="M573" i="6"/>
  <c r="L573" i="6"/>
  <c r="K573" i="6"/>
  <c r="R572" i="6"/>
  <c r="Q572" i="6"/>
  <c r="P572" i="6"/>
  <c r="O572" i="6"/>
  <c r="N572" i="6"/>
  <c r="M572" i="6"/>
  <c r="L572" i="6"/>
  <c r="K572" i="6"/>
  <c r="R571" i="6"/>
  <c r="Q571" i="6"/>
  <c r="P571" i="6"/>
  <c r="O571" i="6"/>
  <c r="N571" i="6"/>
  <c r="M571" i="6"/>
  <c r="L571" i="6"/>
  <c r="K571" i="6"/>
  <c r="R570" i="6"/>
  <c r="Q570" i="6"/>
  <c r="P570" i="6"/>
  <c r="O570" i="6"/>
  <c r="N570" i="6"/>
  <c r="M570" i="6"/>
  <c r="L570" i="6"/>
  <c r="K570" i="6"/>
  <c r="R569" i="6"/>
  <c r="Q569" i="6"/>
  <c r="P569" i="6"/>
  <c r="O569" i="6"/>
  <c r="N569" i="6"/>
  <c r="M569" i="6"/>
  <c r="L569" i="6"/>
  <c r="K569" i="6"/>
  <c r="R568" i="6"/>
  <c r="Q568" i="6"/>
  <c r="P568" i="6"/>
  <c r="O568" i="6"/>
  <c r="N568" i="6"/>
  <c r="M568" i="6"/>
  <c r="L568" i="6"/>
  <c r="K568" i="6"/>
  <c r="R567" i="6"/>
  <c r="Q567" i="6"/>
  <c r="P567" i="6"/>
  <c r="O567" i="6"/>
  <c r="N567" i="6"/>
  <c r="M567" i="6"/>
  <c r="L567" i="6"/>
  <c r="K567" i="6"/>
  <c r="R566" i="6"/>
  <c r="Q566" i="6"/>
  <c r="P566" i="6"/>
  <c r="O566" i="6"/>
  <c r="N566" i="6"/>
  <c r="M566" i="6"/>
  <c r="L566" i="6"/>
  <c r="K566" i="6"/>
  <c r="R565" i="6"/>
  <c r="Q565" i="6"/>
  <c r="P565" i="6"/>
  <c r="O565" i="6"/>
  <c r="N565" i="6"/>
  <c r="M565" i="6"/>
  <c r="L565" i="6"/>
  <c r="K565" i="6"/>
  <c r="R564" i="6"/>
  <c r="Q564" i="6"/>
  <c r="P564" i="6"/>
  <c r="O564" i="6"/>
  <c r="N564" i="6"/>
  <c r="M564" i="6"/>
  <c r="L564" i="6"/>
  <c r="K564" i="6"/>
  <c r="R563" i="6"/>
  <c r="Q563" i="6"/>
  <c r="P563" i="6"/>
  <c r="O563" i="6"/>
  <c r="N563" i="6"/>
  <c r="M563" i="6"/>
  <c r="L563" i="6"/>
  <c r="K563" i="6"/>
  <c r="R562" i="6"/>
  <c r="Q562" i="6"/>
  <c r="P562" i="6"/>
  <c r="O562" i="6"/>
  <c r="N562" i="6"/>
  <c r="M562" i="6"/>
  <c r="L562" i="6"/>
  <c r="K562" i="6"/>
  <c r="R561" i="6"/>
  <c r="Q561" i="6"/>
  <c r="P561" i="6"/>
  <c r="O561" i="6"/>
  <c r="N561" i="6"/>
  <c r="M561" i="6"/>
  <c r="L561" i="6"/>
  <c r="K561" i="6"/>
  <c r="R560" i="6"/>
  <c r="Q560" i="6"/>
  <c r="P560" i="6"/>
  <c r="O560" i="6"/>
  <c r="N560" i="6"/>
  <c r="M560" i="6"/>
  <c r="L560" i="6"/>
  <c r="K560" i="6"/>
  <c r="R559" i="6"/>
  <c r="Q559" i="6"/>
  <c r="P559" i="6"/>
  <c r="O559" i="6"/>
  <c r="N559" i="6"/>
  <c r="M559" i="6"/>
  <c r="L559" i="6"/>
  <c r="K559" i="6"/>
  <c r="R558" i="6"/>
  <c r="Q558" i="6"/>
  <c r="P558" i="6"/>
  <c r="O558" i="6"/>
  <c r="N558" i="6"/>
  <c r="M558" i="6"/>
  <c r="L558" i="6"/>
  <c r="K558" i="6"/>
  <c r="R557" i="6"/>
  <c r="Q557" i="6"/>
  <c r="P557" i="6"/>
  <c r="O557" i="6"/>
  <c r="N557" i="6"/>
  <c r="M557" i="6"/>
  <c r="L557" i="6"/>
  <c r="K557" i="6"/>
  <c r="R556" i="6"/>
  <c r="Q556" i="6"/>
  <c r="P556" i="6"/>
  <c r="O556" i="6"/>
  <c r="N556" i="6"/>
  <c r="M556" i="6"/>
  <c r="L556" i="6"/>
  <c r="K556" i="6"/>
  <c r="R555" i="6"/>
  <c r="Q555" i="6"/>
  <c r="P555" i="6"/>
  <c r="O555" i="6"/>
  <c r="N555" i="6"/>
  <c r="M555" i="6"/>
  <c r="L555" i="6"/>
  <c r="K555" i="6"/>
  <c r="R554" i="6"/>
  <c r="Q554" i="6"/>
  <c r="P554" i="6"/>
  <c r="O554" i="6"/>
  <c r="N554" i="6"/>
  <c r="M554" i="6"/>
  <c r="L554" i="6"/>
  <c r="K554" i="6"/>
  <c r="R553" i="6"/>
  <c r="Q553" i="6"/>
  <c r="P553" i="6"/>
  <c r="O553" i="6"/>
  <c r="N553" i="6"/>
  <c r="M553" i="6"/>
  <c r="L553" i="6"/>
  <c r="K553" i="6"/>
  <c r="R552" i="6"/>
  <c r="Q552" i="6"/>
  <c r="P552" i="6"/>
  <c r="O552" i="6"/>
  <c r="N552" i="6"/>
  <c r="M552" i="6"/>
  <c r="L552" i="6"/>
  <c r="K552" i="6"/>
  <c r="R551" i="6"/>
  <c r="Q551" i="6"/>
  <c r="P551" i="6"/>
  <c r="O551" i="6"/>
  <c r="N551" i="6"/>
  <c r="M551" i="6"/>
  <c r="L551" i="6"/>
  <c r="K551" i="6"/>
  <c r="R550" i="6"/>
  <c r="Q550" i="6"/>
  <c r="P550" i="6"/>
  <c r="O550" i="6"/>
  <c r="N550" i="6"/>
  <c r="M550" i="6"/>
  <c r="L550" i="6"/>
  <c r="K550" i="6"/>
  <c r="R549" i="6"/>
  <c r="Q549" i="6"/>
  <c r="P549" i="6"/>
  <c r="O549" i="6"/>
  <c r="N549" i="6"/>
  <c r="M549" i="6"/>
  <c r="L549" i="6"/>
  <c r="K549" i="6"/>
  <c r="R548" i="6"/>
  <c r="Q548" i="6"/>
  <c r="P548" i="6"/>
  <c r="O548" i="6"/>
  <c r="N548" i="6"/>
  <c r="M548" i="6"/>
  <c r="L548" i="6"/>
  <c r="K548" i="6"/>
  <c r="R547" i="6"/>
  <c r="Q547" i="6"/>
  <c r="P547" i="6"/>
  <c r="O547" i="6"/>
  <c r="N547" i="6"/>
  <c r="M547" i="6"/>
  <c r="L547" i="6"/>
  <c r="K547" i="6"/>
  <c r="R546" i="6"/>
  <c r="Q546" i="6"/>
  <c r="P546" i="6"/>
  <c r="O546" i="6"/>
  <c r="N546" i="6"/>
  <c r="M546" i="6"/>
  <c r="L546" i="6"/>
  <c r="K546" i="6"/>
  <c r="R545" i="6"/>
  <c r="Q545" i="6"/>
  <c r="P545" i="6"/>
  <c r="O545" i="6"/>
  <c r="N545" i="6"/>
  <c r="M545" i="6"/>
  <c r="L545" i="6"/>
  <c r="K545" i="6"/>
  <c r="R544" i="6"/>
  <c r="Q544" i="6"/>
  <c r="P544" i="6"/>
  <c r="O544" i="6"/>
  <c r="N544" i="6"/>
  <c r="M544" i="6"/>
  <c r="L544" i="6"/>
  <c r="K544" i="6"/>
  <c r="R543" i="6"/>
  <c r="Q543" i="6"/>
  <c r="P543" i="6"/>
  <c r="O543" i="6"/>
  <c r="N543" i="6"/>
  <c r="M543" i="6"/>
  <c r="L543" i="6"/>
  <c r="K543" i="6"/>
  <c r="R542" i="6"/>
  <c r="Q542" i="6"/>
  <c r="P542" i="6"/>
  <c r="O542" i="6"/>
  <c r="N542" i="6"/>
  <c r="M542" i="6"/>
  <c r="L542" i="6"/>
  <c r="K542" i="6"/>
  <c r="R541" i="6"/>
  <c r="Q541" i="6"/>
  <c r="P541" i="6"/>
  <c r="O541" i="6"/>
  <c r="N541" i="6"/>
  <c r="M541" i="6"/>
  <c r="L541" i="6"/>
  <c r="K541" i="6"/>
  <c r="R540" i="6"/>
  <c r="Q540" i="6"/>
  <c r="P540" i="6"/>
  <c r="O540" i="6"/>
  <c r="N540" i="6"/>
  <c r="M540" i="6"/>
  <c r="L540" i="6"/>
  <c r="K540" i="6"/>
  <c r="R539" i="6"/>
  <c r="Q539" i="6"/>
  <c r="P539" i="6"/>
  <c r="O539" i="6"/>
  <c r="N539" i="6"/>
  <c r="M539" i="6"/>
  <c r="L539" i="6"/>
  <c r="K539" i="6"/>
  <c r="R538" i="6"/>
  <c r="Q538" i="6"/>
  <c r="P538" i="6"/>
  <c r="O538" i="6"/>
  <c r="N538" i="6"/>
  <c r="M538" i="6"/>
  <c r="L538" i="6"/>
  <c r="K538" i="6"/>
  <c r="R537" i="6"/>
  <c r="Q537" i="6"/>
  <c r="P537" i="6"/>
  <c r="O537" i="6"/>
  <c r="N537" i="6"/>
  <c r="M537" i="6"/>
  <c r="L537" i="6"/>
  <c r="K537" i="6"/>
  <c r="R536" i="6"/>
  <c r="Q536" i="6"/>
  <c r="P536" i="6"/>
  <c r="O536" i="6"/>
  <c r="N536" i="6"/>
  <c r="M536" i="6"/>
  <c r="L536" i="6"/>
  <c r="K536" i="6"/>
  <c r="R535" i="6"/>
  <c r="Q535" i="6"/>
  <c r="P535" i="6"/>
  <c r="O535" i="6"/>
  <c r="N535" i="6"/>
  <c r="M535" i="6"/>
  <c r="L535" i="6"/>
  <c r="K535" i="6"/>
  <c r="R534" i="6"/>
  <c r="Q534" i="6"/>
  <c r="P534" i="6"/>
  <c r="O534" i="6"/>
  <c r="N534" i="6"/>
  <c r="M534" i="6"/>
  <c r="L534" i="6"/>
  <c r="K534" i="6"/>
  <c r="R533" i="6"/>
  <c r="Q533" i="6"/>
  <c r="P533" i="6"/>
  <c r="O533" i="6"/>
  <c r="N533" i="6"/>
  <c r="M533" i="6"/>
  <c r="L533" i="6"/>
  <c r="K533" i="6"/>
  <c r="R532" i="6"/>
  <c r="Q532" i="6"/>
  <c r="P532" i="6"/>
  <c r="O532" i="6"/>
  <c r="N532" i="6"/>
  <c r="M532" i="6"/>
  <c r="L532" i="6"/>
  <c r="K532" i="6"/>
  <c r="R531" i="6"/>
  <c r="Q531" i="6"/>
  <c r="P531" i="6"/>
  <c r="O531" i="6"/>
  <c r="N531" i="6"/>
  <c r="M531" i="6"/>
  <c r="L531" i="6"/>
  <c r="K531" i="6"/>
  <c r="R530" i="6"/>
  <c r="Q530" i="6"/>
  <c r="P530" i="6"/>
  <c r="O530" i="6"/>
  <c r="N530" i="6"/>
  <c r="M530" i="6"/>
  <c r="L530" i="6"/>
  <c r="K530" i="6"/>
  <c r="R529" i="6"/>
  <c r="Q529" i="6"/>
  <c r="P529" i="6"/>
  <c r="O529" i="6"/>
  <c r="N529" i="6"/>
  <c r="M529" i="6"/>
  <c r="L529" i="6"/>
  <c r="K529" i="6"/>
  <c r="R528" i="6"/>
  <c r="Q528" i="6"/>
  <c r="P528" i="6"/>
  <c r="O528" i="6"/>
  <c r="N528" i="6"/>
  <c r="M528" i="6"/>
  <c r="L528" i="6"/>
  <c r="K528" i="6"/>
  <c r="R527" i="6"/>
  <c r="Q527" i="6"/>
  <c r="P527" i="6"/>
  <c r="O527" i="6"/>
  <c r="N527" i="6"/>
  <c r="M527" i="6"/>
  <c r="L527" i="6"/>
  <c r="K527" i="6"/>
  <c r="R526" i="6"/>
  <c r="Q526" i="6"/>
  <c r="P526" i="6"/>
  <c r="O526" i="6"/>
  <c r="N526" i="6"/>
  <c r="M526" i="6"/>
  <c r="L526" i="6"/>
  <c r="K526" i="6"/>
  <c r="R525" i="6"/>
  <c r="Q525" i="6"/>
  <c r="P525" i="6"/>
  <c r="O525" i="6"/>
  <c r="N525" i="6"/>
  <c r="M525" i="6"/>
  <c r="L525" i="6"/>
  <c r="K525" i="6"/>
  <c r="R524" i="6"/>
  <c r="Q524" i="6"/>
  <c r="P524" i="6"/>
  <c r="O524" i="6"/>
  <c r="N524" i="6"/>
  <c r="M524" i="6"/>
  <c r="L524" i="6"/>
  <c r="K524" i="6"/>
  <c r="R523" i="6"/>
  <c r="Q523" i="6"/>
  <c r="P523" i="6"/>
  <c r="O523" i="6"/>
  <c r="N523" i="6"/>
  <c r="M523" i="6"/>
  <c r="L523" i="6"/>
  <c r="K523" i="6"/>
  <c r="R522" i="6"/>
  <c r="Q522" i="6"/>
  <c r="P522" i="6"/>
  <c r="O522" i="6"/>
  <c r="N522" i="6"/>
  <c r="M522" i="6"/>
  <c r="L522" i="6"/>
  <c r="K522" i="6"/>
  <c r="R521" i="6"/>
  <c r="Q521" i="6"/>
  <c r="P521" i="6"/>
  <c r="O521" i="6"/>
  <c r="N521" i="6"/>
  <c r="M521" i="6"/>
  <c r="L521" i="6"/>
  <c r="K521" i="6"/>
  <c r="R520" i="6"/>
  <c r="Q520" i="6"/>
  <c r="P520" i="6"/>
  <c r="O520" i="6"/>
  <c r="N520" i="6"/>
  <c r="M520" i="6"/>
  <c r="L520" i="6"/>
  <c r="K520" i="6"/>
  <c r="R519" i="6"/>
  <c r="Q519" i="6"/>
  <c r="P519" i="6"/>
  <c r="O519" i="6"/>
  <c r="N519" i="6"/>
  <c r="M519" i="6"/>
  <c r="L519" i="6"/>
  <c r="K519" i="6"/>
  <c r="R518" i="6"/>
  <c r="Q518" i="6"/>
  <c r="P518" i="6"/>
  <c r="O518" i="6"/>
  <c r="N518" i="6"/>
  <c r="M518" i="6"/>
  <c r="L518" i="6"/>
  <c r="K518" i="6"/>
  <c r="R517" i="6"/>
  <c r="Q517" i="6"/>
  <c r="P517" i="6"/>
  <c r="O517" i="6"/>
  <c r="N517" i="6"/>
  <c r="M517" i="6"/>
  <c r="L517" i="6"/>
  <c r="K517" i="6"/>
  <c r="R516" i="6"/>
  <c r="Q516" i="6"/>
  <c r="P516" i="6"/>
  <c r="O516" i="6"/>
  <c r="N516" i="6"/>
  <c r="M516" i="6"/>
  <c r="L516" i="6"/>
  <c r="K516" i="6"/>
  <c r="R515" i="6"/>
  <c r="Q515" i="6"/>
  <c r="P515" i="6"/>
  <c r="O515" i="6"/>
  <c r="N515" i="6"/>
  <c r="M515" i="6"/>
  <c r="L515" i="6"/>
  <c r="K515" i="6"/>
  <c r="R514" i="6"/>
  <c r="Q514" i="6"/>
  <c r="P514" i="6"/>
  <c r="O514" i="6"/>
  <c r="N514" i="6"/>
  <c r="M514" i="6"/>
  <c r="L514" i="6"/>
  <c r="K514" i="6"/>
  <c r="R513" i="6"/>
  <c r="Q513" i="6"/>
  <c r="P513" i="6"/>
  <c r="O513" i="6"/>
  <c r="N513" i="6"/>
  <c r="M513" i="6"/>
  <c r="L513" i="6"/>
  <c r="K513" i="6"/>
  <c r="R512" i="6"/>
  <c r="Q512" i="6"/>
  <c r="P512" i="6"/>
  <c r="O512" i="6"/>
  <c r="N512" i="6"/>
  <c r="M512" i="6"/>
  <c r="L512" i="6"/>
  <c r="K512" i="6"/>
  <c r="R511" i="6"/>
  <c r="Q511" i="6"/>
  <c r="P511" i="6"/>
  <c r="O511" i="6"/>
  <c r="N511" i="6"/>
  <c r="M511" i="6"/>
  <c r="L511" i="6"/>
  <c r="K511" i="6"/>
  <c r="R510" i="6"/>
  <c r="Q510" i="6"/>
  <c r="P510" i="6"/>
  <c r="O510" i="6"/>
  <c r="N510" i="6"/>
  <c r="M510" i="6"/>
  <c r="L510" i="6"/>
  <c r="K510" i="6"/>
  <c r="R509" i="6"/>
  <c r="Q509" i="6"/>
  <c r="P509" i="6"/>
  <c r="O509" i="6"/>
  <c r="N509" i="6"/>
  <c r="M509" i="6"/>
  <c r="L509" i="6"/>
  <c r="K509" i="6"/>
  <c r="R508" i="6"/>
  <c r="Q508" i="6"/>
  <c r="P508" i="6"/>
  <c r="O508" i="6"/>
  <c r="N508" i="6"/>
  <c r="M508" i="6"/>
  <c r="L508" i="6"/>
  <c r="K508" i="6"/>
  <c r="R507" i="6"/>
  <c r="Q507" i="6"/>
  <c r="P507" i="6"/>
  <c r="O507" i="6"/>
  <c r="N507" i="6"/>
  <c r="M507" i="6"/>
  <c r="L507" i="6"/>
  <c r="K507" i="6"/>
  <c r="R506" i="6"/>
  <c r="Q506" i="6"/>
  <c r="P506" i="6"/>
  <c r="O506" i="6"/>
  <c r="N506" i="6"/>
  <c r="M506" i="6"/>
  <c r="L506" i="6"/>
  <c r="K506" i="6"/>
  <c r="R505" i="6"/>
  <c r="Q505" i="6"/>
  <c r="P505" i="6"/>
  <c r="O505" i="6"/>
  <c r="N505" i="6"/>
  <c r="M505" i="6"/>
  <c r="L505" i="6"/>
  <c r="K505" i="6"/>
  <c r="R504" i="6"/>
  <c r="Q504" i="6"/>
  <c r="P504" i="6"/>
  <c r="O504" i="6"/>
  <c r="N504" i="6"/>
  <c r="M504" i="6"/>
  <c r="L504" i="6"/>
  <c r="K504" i="6"/>
  <c r="R503" i="6"/>
  <c r="Q503" i="6"/>
  <c r="P503" i="6"/>
  <c r="O503" i="6"/>
  <c r="N503" i="6"/>
  <c r="M503" i="6"/>
  <c r="L503" i="6"/>
  <c r="K503" i="6"/>
  <c r="R502" i="6"/>
  <c r="Q502" i="6"/>
  <c r="P502" i="6"/>
  <c r="O502" i="6"/>
  <c r="N502" i="6"/>
  <c r="M502" i="6"/>
  <c r="L502" i="6"/>
  <c r="K502" i="6"/>
  <c r="R501" i="6"/>
  <c r="Q501" i="6"/>
  <c r="P501" i="6"/>
  <c r="O501" i="6"/>
  <c r="N501" i="6"/>
  <c r="M501" i="6"/>
  <c r="L501" i="6"/>
  <c r="K501" i="6"/>
  <c r="R500" i="6"/>
  <c r="Q500" i="6"/>
  <c r="P500" i="6"/>
  <c r="O500" i="6"/>
  <c r="N500" i="6"/>
  <c r="M500" i="6"/>
  <c r="L500" i="6"/>
  <c r="K500" i="6"/>
  <c r="R499" i="6"/>
  <c r="Q499" i="6"/>
  <c r="P499" i="6"/>
  <c r="O499" i="6"/>
  <c r="N499" i="6"/>
  <c r="M499" i="6"/>
  <c r="L499" i="6"/>
  <c r="K499" i="6"/>
  <c r="R498" i="6"/>
  <c r="Q498" i="6"/>
  <c r="P498" i="6"/>
  <c r="O498" i="6"/>
  <c r="N498" i="6"/>
  <c r="M498" i="6"/>
  <c r="L498" i="6"/>
  <c r="K498" i="6"/>
  <c r="R497" i="6"/>
  <c r="Q497" i="6"/>
  <c r="P497" i="6"/>
  <c r="O497" i="6"/>
  <c r="N497" i="6"/>
  <c r="M497" i="6"/>
  <c r="L497" i="6"/>
  <c r="K497" i="6"/>
  <c r="R496" i="6"/>
  <c r="Q496" i="6"/>
  <c r="P496" i="6"/>
  <c r="O496" i="6"/>
  <c r="N496" i="6"/>
  <c r="M496" i="6"/>
  <c r="L496" i="6"/>
  <c r="K496" i="6"/>
  <c r="R495" i="6"/>
  <c r="Q495" i="6"/>
  <c r="P495" i="6"/>
  <c r="O495" i="6"/>
  <c r="N495" i="6"/>
  <c r="M495" i="6"/>
  <c r="L495" i="6"/>
  <c r="K495" i="6"/>
  <c r="R494" i="6"/>
  <c r="Q494" i="6"/>
  <c r="P494" i="6"/>
  <c r="O494" i="6"/>
  <c r="N494" i="6"/>
  <c r="M494" i="6"/>
  <c r="L494" i="6"/>
  <c r="K494" i="6"/>
  <c r="R493" i="6"/>
  <c r="Q493" i="6"/>
  <c r="P493" i="6"/>
  <c r="O493" i="6"/>
  <c r="N493" i="6"/>
  <c r="M493" i="6"/>
  <c r="L493" i="6"/>
  <c r="K493" i="6"/>
  <c r="R492" i="6"/>
  <c r="Q492" i="6"/>
  <c r="P492" i="6"/>
  <c r="O492" i="6"/>
  <c r="N492" i="6"/>
  <c r="M492" i="6"/>
  <c r="L492" i="6"/>
  <c r="K492" i="6"/>
  <c r="R491" i="6"/>
  <c r="Q491" i="6"/>
  <c r="P491" i="6"/>
  <c r="O491" i="6"/>
  <c r="N491" i="6"/>
  <c r="M491" i="6"/>
  <c r="L491" i="6"/>
  <c r="K491" i="6"/>
  <c r="R490" i="6"/>
  <c r="Q490" i="6"/>
  <c r="P490" i="6"/>
  <c r="O490" i="6"/>
  <c r="N490" i="6"/>
  <c r="M490" i="6"/>
  <c r="L490" i="6"/>
  <c r="K490" i="6"/>
  <c r="R489" i="6"/>
  <c r="Q489" i="6"/>
  <c r="P489" i="6"/>
  <c r="O489" i="6"/>
  <c r="N489" i="6"/>
  <c r="M489" i="6"/>
  <c r="L489" i="6"/>
  <c r="K489" i="6"/>
  <c r="R488" i="6"/>
  <c r="Q488" i="6"/>
  <c r="P488" i="6"/>
  <c r="O488" i="6"/>
  <c r="N488" i="6"/>
  <c r="M488" i="6"/>
  <c r="L488" i="6"/>
  <c r="K488" i="6"/>
  <c r="R487" i="6"/>
  <c r="Q487" i="6"/>
  <c r="P487" i="6"/>
  <c r="O487" i="6"/>
  <c r="N487" i="6"/>
  <c r="M487" i="6"/>
  <c r="L487" i="6"/>
  <c r="K487" i="6"/>
  <c r="R486" i="6"/>
  <c r="Q486" i="6"/>
  <c r="P486" i="6"/>
  <c r="O486" i="6"/>
  <c r="N486" i="6"/>
  <c r="M486" i="6"/>
  <c r="L486" i="6"/>
  <c r="K486" i="6"/>
  <c r="R485" i="6"/>
  <c r="Q485" i="6"/>
  <c r="P485" i="6"/>
  <c r="O485" i="6"/>
  <c r="N485" i="6"/>
  <c r="M485" i="6"/>
  <c r="L485" i="6"/>
  <c r="K485" i="6"/>
  <c r="R484" i="6"/>
  <c r="Q484" i="6"/>
  <c r="P484" i="6"/>
  <c r="O484" i="6"/>
  <c r="N484" i="6"/>
  <c r="M484" i="6"/>
  <c r="L484" i="6"/>
  <c r="K484" i="6"/>
  <c r="R483" i="6"/>
  <c r="Q483" i="6"/>
  <c r="P483" i="6"/>
  <c r="O483" i="6"/>
  <c r="N483" i="6"/>
  <c r="M483" i="6"/>
  <c r="L483" i="6"/>
  <c r="K483" i="6"/>
  <c r="R482" i="6"/>
  <c r="Q482" i="6"/>
  <c r="P482" i="6"/>
  <c r="O482" i="6"/>
  <c r="N482" i="6"/>
  <c r="M482" i="6"/>
  <c r="L482" i="6"/>
  <c r="K482" i="6"/>
  <c r="R481" i="6"/>
  <c r="Q481" i="6"/>
  <c r="P481" i="6"/>
  <c r="O481" i="6"/>
  <c r="N481" i="6"/>
  <c r="M481" i="6"/>
  <c r="L481" i="6"/>
  <c r="K481" i="6"/>
  <c r="R480" i="6"/>
  <c r="Q480" i="6"/>
  <c r="P480" i="6"/>
  <c r="O480" i="6"/>
  <c r="N480" i="6"/>
  <c r="M480" i="6"/>
  <c r="L480" i="6"/>
  <c r="K480" i="6"/>
  <c r="R479" i="6"/>
  <c r="Q479" i="6"/>
  <c r="P479" i="6"/>
  <c r="O479" i="6"/>
  <c r="N479" i="6"/>
  <c r="M479" i="6"/>
  <c r="L479" i="6"/>
  <c r="K479" i="6"/>
  <c r="R478" i="6"/>
  <c r="Q478" i="6"/>
  <c r="P478" i="6"/>
  <c r="O478" i="6"/>
  <c r="N478" i="6"/>
  <c r="M478" i="6"/>
  <c r="L478" i="6"/>
  <c r="K478" i="6"/>
  <c r="R477" i="6"/>
  <c r="Q477" i="6"/>
  <c r="P477" i="6"/>
  <c r="O477" i="6"/>
  <c r="N477" i="6"/>
  <c r="M477" i="6"/>
  <c r="L477" i="6"/>
  <c r="K477" i="6"/>
  <c r="R476" i="6"/>
  <c r="Q476" i="6"/>
  <c r="P476" i="6"/>
  <c r="O476" i="6"/>
  <c r="N476" i="6"/>
  <c r="M476" i="6"/>
  <c r="L476" i="6"/>
  <c r="K476" i="6"/>
  <c r="R475" i="6"/>
  <c r="Q475" i="6"/>
  <c r="P475" i="6"/>
  <c r="O475" i="6"/>
  <c r="N475" i="6"/>
  <c r="M475" i="6"/>
  <c r="L475" i="6"/>
  <c r="K475" i="6"/>
  <c r="R474" i="6"/>
  <c r="Q474" i="6"/>
  <c r="P474" i="6"/>
  <c r="O474" i="6"/>
  <c r="N474" i="6"/>
  <c r="M474" i="6"/>
  <c r="L474" i="6"/>
  <c r="K474" i="6"/>
  <c r="R473" i="6"/>
  <c r="Q473" i="6"/>
  <c r="P473" i="6"/>
  <c r="O473" i="6"/>
  <c r="N473" i="6"/>
  <c r="M473" i="6"/>
  <c r="L473" i="6"/>
  <c r="K473" i="6"/>
  <c r="R472" i="6"/>
  <c r="Q472" i="6"/>
  <c r="P472" i="6"/>
  <c r="O472" i="6"/>
  <c r="N472" i="6"/>
  <c r="M472" i="6"/>
  <c r="L472" i="6"/>
  <c r="K472" i="6"/>
  <c r="R471" i="6"/>
  <c r="Q471" i="6"/>
  <c r="P471" i="6"/>
  <c r="O471" i="6"/>
  <c r="N471" i="6"/>
  <c r="M471" i="6"/>
  <c r="L471" i="6"/>
  <c r="K471" i="6"/>
  <c r="R470" i="6"/>
  <c r="Q470" i="6"/>
  <c r="P470" i="6"/>
  <c r="O470" i="6"/>
  <c r="N470" i="6"/>
  <c r="M470" i="6"/>
  <c r="L470" i="6"/>
  <c r="K470" i="6"/>
  <c r="R469" i="6"/>
  <c r="Q469" i="6"/>
  <c r="P469" i="6"/>
  <c r="O469" i="6"/>
  <c r="N469" i="6"/>
  <c r="M469" i="6"/>
  <c r="L469" i="6"/>
  <c r="K469" i="6"/>
  <c r="R468" i="6"/>
  <c r="Q468" i="6"/>
  <c r="P468" i="6"/>
  <c r="O468" i="6"/>
  <c r="N468" i="6"/>
  <c r="M468" i="6"/>
  <c r="L468" i="6"/>
  <c r="K468" i="6"/>
  <c r="R467" i="6"/>
  <c r="Q467" i="6"/>
  <c r="P467" i="6"/>
  <c r="O467" i="6"/>
  <c r="N467" i="6"/>
  <c r="M467" i="6"/>
  <c r="L467" i="6"/>
  <c r="K467" i="6"/>
  <c r="R466" i="6"/>
  <c r="Q466" i="6"/>
  <c r="P466" i="6"/>
  <c r="O466" i="6"/>
  <c r="N466" i="6"/>
  <c r="M466" i="6"/>
  <c r="L466" i="6"/>
  <c r="K466" i="6"/>
  <c r="R465" i="6"/>
  <c r="Q465" i="6"/>
  <c r="P465" i="6"/>
  <c r="O465" i="6"/>
  <c r="N465" i="6"/>
  <c r="M465" i="6"/>
  <c r="L465" i="6"/>
  <c r="K465" i="6"/>
  <c r="R464" i="6"/>
  <c r="Q464" i="6"/>
  <c r="P464" i="6"/>
  <c r="O464" i="6"/>
  <c r="N464" i="6"/>
  <c r="M464" i="6"/>
  <c r="L464" i="6"/>
  <c r="K464" i="6"/>
  <c r="R463" i="6"/>
  <c r="Q463" i="6"/>
  <c r="P463" i="6"/>
  <c r="O463" i="6"/>
  <c r="N463" i="6"/>
  <c r="M463" i="6"/>
  <c r="L463" i="6"/>
  <c r="K463" i="6"/>
  <c r="R462" i="6"/>
  <c r="Q462" i="6"/>
  <c r="P462" i="6"/>
  <c r="O462" i="6"/>
  <c r="N462" i="6"/>
  <c r="M462" i="6"/>
  <c r="L462" i="6"/>
  <c r="K462" i="6"/>
  <c r="R461" i="6"/>
  <c r="Q461" i="6"/>
  <c r="P461" i="6"/>
  <c r="O461" i="6"/>
  <c r="N461" i="6"/>
  <c r="M461" i="6"/>
  <c r="L461" i="6"/>
  <c r="K461" i="6"/>
  <c r="R460" i="6"/>
  <c r="Q460" i="6"/>
  <c r="P460" i="6"/>
  <c r="O460" i="6"/>
  <c r="N460" i="6"/>
  <c r="M460" i="6"/>
  <c r="L460" i="6"/>
  <c r="K460" i="6"/>
  <c r="R459" i="6"/>
  <c r="Q459" i="6"/>
  <c r="P459" i="6"/>
  <c r="O459" i="6"/>
  <c r="N459" i="6"/>
  <c r="M459" i="6"/>
  <c r="L459" i="6"/>
  <c r="K459" i="6"/>
  <c r="R458" i="6"/>
  <c r="Q458" i="6"/>
  <c r="P458" i="6"/>
  <c r="O458" i="6"/>
  <c r="N458" i="6"/>
  <c r="M458" i="6"/>
  <c r="L458" i="6"/>
  <c r="K458" i="6"/>
  <c r="R457" i="6"/>
  <c r="Q457" i="6"/>
  <c r="P457" i="6"/>
  <c r="O457" i="6"/>
  <c r="N457" i="6"/>
  <c r="M457" i="6"/>
  <c r="L457" i="6"/>
  <c r="K457" i="6"/>
  <c r="R456" i="6"/>
  <c r="Q456" i="6"/>
  <c r="P456" i="6"/>
  <c r="O456" i="6"/>
  <c r="N456" i="6"/>
  <c r="M456" i="6"/>
  <c r="L456" i="6"/>
  <c r="K456" i="6"/>
  <c r="R455" i="6"/>
  <c r="Q455" i="6"/>
  <c r="P455" i="6"/>
  <c r="O455" i="6"/>
  <c r="N455" i="6"/>
  <c r="M455" i="6"/>
  <c r="L455" i="6"/>
  <c r="K455" i="6"/>
  <c r="R454" i="6"/>
  <c r="Q454" i="6"/>
  <c r="P454" i="6"/>
  <c r="O454" i="6"/>
  <c r="N454" i="6"/>
  <c r="M454" i="6"/>
  <c r="L454" i="6"/>
  <c r="K454" i="6"/>
  <c r="R453" i="6"/>
  <c r="Q453" i="6"/>
  <c r="P453" i="6"/>
  <c r="O453" i="6"/>
  <c r="N453" i="6"/>
  <c r="M453" i="6"/>
  <c r="L453" i="6"/>
  <c r="K453" i="6"/>
  <c r="R452" i="6"/>
  <c r="Q452" i="6"/>
  <c r="P452" i="6"/>
  <c r="O452" i="6"/>
  <c r="N452" i="6"/>
  <c r="M452" i="6"/>
  <c r="L452" i="6"/>
  <c r="K452" i="6"/>
  <c r="R451" i="6"/>
  <c r="Q451" i="6"/>
  <c r="P451" i="6"/>
  <c r="O451" i="6"/>
  <c r="N451" i="6"/>
  <c r="M451" i="6"/>
  <c r="L451" i="6"/>
  <c r="K451" i="6"/>
  <c r="R450" i="6"/>
  <c r="Q450" i="6"/>
  <c r="P450" i="6"/>
  <c r="O450" i="6"/>
  <c r="N450" i="6"/>
  <c r="M450" i="6"/>
  <c r="L450" i="6"/>
  <c r="K450" i="6"/>
  <c r="R449" i="6"/>
  <c r="Q449" i="6"/>
  <c r="P449" i="6"/>
  <c r="O449" i="6"/>
  <c r="N449" i="6"/>
  <c r="M449" i="6"/>
  <c r="L449" i="6"/>
  <c r="K449" i="6"/>
  <c r="R448" i="6"/>
  <c r="Q448" i="6"/>
  <c r="P448" i="6"/>
  <c r="O448" i="6"/>
  <c r="N448" i="6"/>
  <c r="M448" i="6"/>
  <c r="L448" i="6"/>
  <c r="K448" i="6"/>
  <c r="R447" i="6"/>
  <c r="Q447" i="6"/>
  <c r="P447" i="6"/>
  <c r="O447" i="6"/>
  <c r="N447" i="6"/>
  <c r="M447" i="6"/>
  <c r="L447" i="6"/>
  <c r="K447" i="6"/>
  <c r="R446" i="6"/>
  <c r="Q446" i="6"/>
  <c r="P446" i="6"/>
  <c r="O446" i="6"/>
  <c r="N446" i="6"/>
  <c r="M446" i="6"/>
  <c r="L446" i="6"/>
  <c r="K446" i="6"/>
  <c r="R445" i="6"/>
  <c r="Q445" i="6"/>
  <c r="P445" i="6"/>
  <c r="O445" i="6"/>
  <c r="N445" i="6"/>
  <c r="M445" i="6"/>
  <c r="L445" i="6"/>
  <c r="K445" i="6"/>
  <c r="R444" i="6"/>
  <c r="Q444" i="6"/>
  <c r="P444" i="6"/>
  <c r="O444" i="6"/>
  <c r="N444" i="6"/>
  <c r="M444" i="6"/>
  <c r="L444" i="6"/>
  <c r="K444" i="6"/>
  <c r="R443" i="6"/>
  <c r="Q443" i="6"/>
  <c r="P443" i="6"/>
  <c r="O443" i="6"/>
  <c r="N443" i="6"/>
  <c r="M443" i="6"/>
  <c r="L443" i="6"/>
  <c r="K443" i="6"/>
  <c r="R442" i="6"/>
  <c r="Q442" i="6"/>
  <c r="P442" i="6"/>
  <c r="O442" i="6"/>
  <c r="N442" i="6"/>
  <c r="M442" i="6"/>
  <c r="L442" i="6"/>
  <c r="K442" i="6"/>
  <c r="R441" i="6"/>
  <c r="Q441" i="6"/>
  <c r="P441" i="6"/>
  <c r="O441" i="6"/>
  <c r="N441" i="6"/>
  <c r="M441" i="6"/>
  <c r="L441" i="6"/>
  <c r="K441" i="6"/>
  <c r="R440" i="6"/>
  <c r="Q440" i="6"/>
  <c r="P440" i="6"/>
  <c r="O440" i="6"/>
  <c r="N440" i="6"/>
  <c r="M440" i="6"/>
  <c r="L440" i="6"/>
  <c r="K440" i="6"/>
  <c r="R439" i="6"/>
  <c r="Q439" i="6"/>
  <c r="P439" i="6"/>
  <c r="O439" i="6"/>
  <c r="N439" i="6"/>
  <c r="M439" i="6"/>
  <c r="L439" i="6"/>
  <c r="K439" i="6"/>
  <c r="R438" i="6"/>
  <c r="Q438" i="6"/>
  <c r="P438" i="6"/>
  <c r="O438" i="6"/>
  <c r="N438" i="6"/>
  <c r="M438" i="6"/>
  <c r="L438" i="6"/>
  <c r="K438" i="6"/>
  <c r="R437" i="6"/>
  <c r="Q437" i="6"/>
  <c r="P437" i="6"/>
  <c r="O437" i="6"/>
  <c r="N437" i="6"/>
  <c r="M437" i="6"/>
  <c r="L437" i="6"/>
  <c r="K437" i="6"/>
  <c r="R436" i="6"/>
  <c r="Q436" i="6"/>
  <c r="P436" i="6"/>
  <c r="O436" i="6"/>
  <c r="N436" i="6"/>
  <c r="M436" i="6"/>
  <c r="L436" i="6"/>
  <c r="K436" i="6"/>
  <c r="R435" i="6"/>
  <c r="Q435" i="6"/>
  <c r="P435" i="6"/>
  <c r="O435" i="6"/>
  <c r="N435" i="6"/>
  <c r="M435" i="6"/>
  <c r="L435" i="6"/>
  <c r="K435" i="6"/>
  <c r="R434" i="6"/>
  <c r="Q434" i="6"/>
  <c r="P434" i="6"/>
  <c r="O434" i="6"/>
  <c r="N434" i="6"/>
  <c r="M434" i="6"/>
  <c r="L434" i="6"/>
  <c r="K434" i="6"/>
  <c r="R433" i="6"/>
  <c r="Q433" i="6"/>
  <c r="P433" i="6"/>
  <c r="O433" i="6"/>
  <c r="N433" i="6"/>
  <c r="M433" i="6"/>
  <c r="L433" i="6"/>
  <c r="K433" i="6"/>
  <c r="R432" i="6"/>
  <c r="Q432" i="6"/>
  <c r="P432" i="6"/>
  <c r="O432" i="6"/>
  <c r="N432" i="6"/>
  <c r="M432" i="6"/>
  <c r="L432" i="6"/>
  <c r="K432" i="6"/>
  <c r="R431" i="6"/>
  <c r="Q431" i="6"/>
  <c r="P431" i="6"/>
  <c r="O431" i="6"/>
  <c r="N431" i="6"/>
  <c r="M431" i="6"/>
  <c r="L431" i="6"/>
  <c r="K431" i="6"/>
  <c r="R430" i="6"/>
  <c r="Q430" i="6"/>
  <c r="P430" i="6"/>
  <c r="O430" i="6"/>
  <c r="N430" i="6"/>
  <c r="M430" i="6"/>
  <c r="L430" i="6"/>
  <c r="K430" i="6"/>
  <c r="R429" i="6"/>
  <c r="Q429" i="6"/>
  <c r="P429" i="6"/>
  <c r="O429" i="6"/>
  <c r="N429" i="6"/>
  <c r="M429" i="6"/>
  <c r="L429" i="6"/>
  <c r="K429" i="6"/>
  <c r="R428" i="6"/>
  <c r="Q428" i="6"/>
  <c r="P428" i="6"/>
  <c r="O428" i="6"/>
  <c r="N428" i="6"/>
  <c r="M428" i="6"/>
  <c r="L428" i="6"/>
  <c r="K428" i="6"/>
  <c r="R427" i="6"/>
  <c r="Q427" i="6"/>
  <c r="P427" i="6"/>
  <c r="O427" i="6"/>
  <c r="N427" i="6"/>
  <c r="M427" i="6"/>
  <c r="L427" i="6"/>
  <c r="K427" i="6"/>
  <c r="R426" i="6"/>
  <c r="Q426" i="6"/>
  <c r="P426" i="6"/>
  <c r="O426" i="6"/>
  <c r="N426" i="6"/>
  <c r="M426" i="6"/>
  <c r="L426" i="6"/>
  <c r="K426" i="6"/>
  <c r="R425" i="6"/>
  <c r="Q425" i="6"/>
  <c r="P425" i="6"/>
  <c r="O425" i="6"/>
  <c r="N425" i="6"/>
  <c r="M425" i="6"/>
  <c r="L425" i="6"/>
  <c r="K425" i="6"/>
  <c r="R424" i="6"/>
  <c r="Q424" i="6"/>
  <c r="P424" i="6"/>
  <c r="O424" i="6"/>
  <c r="N424" i="6"/>
  <c r="M424" i="6"/>
  <c r="L424" i="6"/>
  <c r="K424" i="6"/>
  <c r="R423" i="6"/>
  <c r="Q423" i="6"/>
  <c r="P423" i="6"/>
  <c r="O423" i="6"/>
  <c r="N423" i="6"/>
  <c r="M423" i="6"/>
  <c r="L423" i="6"/>
  <c r="K423" i="6"/>
  <c r="R422" i="6"/>
  <c r="Q422" i="6"/>
  <c r="P422" i="6"/>
  <c r="O422" i="6"/>
  <c r="N422" i="6"/>
  <c r="M422" i="6"/>
  <c r="L422" i="6"/>
  <c r="K422" i="6"/>
  <c r="R421" i="6"/>
  <c r="Q421" i="6"/>
  <c r="P421" i="6"/>
  <c r="O421" i="6"/>
  <c r="N421" i="6"/>
  <c r="M421" i="6"/>
  <c r="L421" i="6"/>
  <c r="K421" i="6"/>
  <c r="R420" i="6"/>
  <c r="Q420" i="6"/>
  <c r="P420" i="6"/>
  <c r="O420" i="6"/>
  <c r="N420" i="6"/>
  <c r="M420" i="6"/>
  <c r="L420" i="6"/>
  <c r="K420" i="6"/>
  <c r="R419" i="6"/>
  <c r="Q419" i="6"/>
  <c r="P419" i="6"/>
  <c r="O419" i="6"/>
  <c r="N419" i="6"/>
  <c r="M419" i="6"/>
  <c r="L419" i="6"/>
  <c r="K419" i="6"/>
  <c r="R418" i="6"/>
  <c r="Q418" i="6"/>
  <c r="P418" i="6"/>
  <c r="O418" i="6"/>
  <c r="N418" i="6"/>
  <c r="M418" i="6"/>
  <c r="L418" i="6"/>
  <c r="K418" i="6"/>
  <c r="R417" i="6"/>
  <c r="Q417" i="6"/>
  <c r="P417" i="6"/>
  <c r="O417" i="6"/>
  <c r="N417" i="6"/>
  <c r="M417" i="6"/>
  <c r="L417" i="6"/>
  <c r="K417" i="6"/>
  <c r="R416" i="6"/>
  <c r="Q416" i="6"/>
  <c r="P416" i="6"/>
  <c r="O416" i="6"/>
  <c r="N416" i="6"/>
  <c r="M416" i="6"/>
  <c r="L416" i="6"/>
  <c r="K416" i="6"/>
  <c r="R415" i="6"/>
  <c r="Q415" i="6"/>
  <c r="P415" i="6"/>
  <c r="O415" i="6"/>
  <c r="N415" i="6"/>
  <c r="M415" i="6"/>
  <c r="L415" i="6"/>
  <c r="K415" i="6"/>
  <c r="R414" i="6"/>
  <c r="Q414" i="6"/>
  <c r="P414" i="6"/>
  <c r="O414" i="6"/>
  <c r="N414" i="6"/>
  <c r="M414" i="6"/>
  <c r="L414" i="6"/>
  <c r="K414" i="6"/>
  <c r="R413" i="6"/>
  <c r="Q413" i="6"/>
  <c r="P413" i="6"/>
  <c r="O413" i="6"/>
  <c r="N413" i="6"/>
  <c r="M413" i="6"/>
  <c r="L413" i="6"/>
  <c r="K413" i="6"/>
  <c r="R412" i="6"/>
  <c r="Q412" i="6"/>
  <c r="P412" i="6"/>
  <c r="O412" i="6"/>
  <c r="N412" i="6"/>
  <c r="M412" i="6"/>
  <c r="L412" i="6"/>
  <c r="K412" i="6"/>
  <c r="R411" i="6"/>
  <c r="Q411" i="6"/>
  <c r="P411" i="6"/>
  <c r="O411" i="6"/>
  <c r="N411" i="6"/>
  <c r="M411" i="6"/>
  <c r="L411" i="6"/>
  <c r="K411" i="6"/>
  <c r="R410" i="6"/>
  <c r="Q410" i="6"/>
  <c r="P410" i="6"/>
  <c r="O410" i="6"/>
  <c r="N410" i="6"/>
  <c r="M410" i="6"/>
  <c r="L410" i="6"/>
  <c r="K410" i="6"/>
  <c r="R409" i="6"/>
  <c r="Q409" i="6"/>
  <c r="P409" i="6"/>
  <c r="O409" i="6"/>
  <c r="N409" i="6"/>
  <c r="M409" i="6"/>
  <c r="L409" i="6"/>
  <c r="K409" i="6"/>
  <c r="R408" i="6"/>
  <c r="Q408" i="6"/>
  <c r="P408" i="6"/>
  <c r="O408" i="6"/>
  <c r="N408" i="6"/>
  <c r="M408" i="6"/>
  <c r="L408" i="6"/>
  <c r="K408" i="6"/>
  <c r="R407" i="6"/>
  <c r="Q407" i="6"/>
  <c r="P407" i="6"/>
  <c r="O407" i="6"/>
  <c r="N407" i="6"/>
  <c r="M407" i="6"/>
  <c r="L407" i="6"/>
  <c r="K407" i="6"/>
  <c r="R406" i="6"/>
  <c r="Q406" i="6"/>
  <c r="P406" i="6"/>
  <c r="O406" i="6"/>
  <c r="N406" i="6"/>
  <c r="M406" i="6"/>
  <c r="L406" i="6"/>
  <c r="K406" i="6"/>
  <c r="R405" i="6"/>
  <c r="Q405" i="6"/>
  <c r="P405" i="6"/>
  <c r="O405" i="6"/>
  <c r="N405" i="6"/>
  <c r="M405" i="6"/>
  <c r="L405" i="6"/>
  <c r="K405" i="6"/>
  <c r="R404" i="6"/>
  <c r="Q404" i="6"/>
  <c r="P404" i="6"/>
  <c r="O404" i="6"/>
  <c r="N404" i="6"/>
  <c r="M404" i="6"/>
  <c r="L404" i="6"/>
  <c r="K404" i="6"/>
  <c r="R403" i="6"/>
  <c r="Q403" i="6"/>
  <c r="P403" i="6"/>
  <c r="O403" i="6"/>
  <c r="N403" i="6"/>
  <c r="M403" i="6"/>
  <c r="L403" i="6"/>
  <c r="K403" i="6"/>
  <c r="R402" i="6"/>
  <c r="Q402" i="6"/>
  <c r="P402" i="6"/>
  <c r="O402" i="6"/>
  <c r="N402" i="6"/>
  <c r="M402" i="6"/>
  <c r="L402" i="6"/>
  <c r="K402" i="6"/>
  <c r="R401" i="6"/>
  <c r="Q401" i="6"/>
  <c r="P401" i="6"/>
  <c r="O401" i="6"/>
  <c r="N401" i="6"/>
  <c r="M401" i="6"/>
  <c r="L401" i="6"/>
  <c r="K401" i="6"/>
  <c r="R400" i="6"/>
  <c r="Q400" i="6"/>
  <c r="P400" i="6"/>
  <c r="O400" i="6"/>
  <c r="N400" i="6"/>
  <c r="M400" i="6"/>
  <c r="L400" i="6"/>
  <c r="K400" i="6"/>
  <c r="R399" i="6"/>
  <c r="Q399" i="6"/>
  <c r="P399" i="6"/>
  <c r="O399" i="6"/>
  <c r="N399" i="6"/>
  <c r="M399" i="6"/>
  <c r="L399" i="6"/>
  <c r="K399" i="6"/>
  <c r="R398" i="6"/>
  <c r="Q398" i="6"/>
  <c r="P398" i="6"/>
  <c r="O398" i="6"/>
  <c r="N398" i="6"/>
  <c r="M398" i="6"/>
  <c r="L398" i="6"/>
  <c r="K398" i="6"/>
  <c r="R397" i="6"/>
  <c r="Q397" i="6"/>
  <c r="P397" i="6"/>
  <c r="O397" i="6"/>
  <c r="N397" i="6"/>
  <c r="M397" i="6"/>
  <c r="L397" i="6"/>
  <c r="K397" i="6"/>
  <c r="R396" i="6"/>
  <c r="Q396" i="6"/>
  <c r="P396" i="6"/>
  <c r="O396" i="6"/>
  <c r="N396" i="6"/>
  <c r="M396" i="6"/>
  <c r="L396" i="6"/>
  <c r="K396" i="6"/>
  <c r="R395" i="6"/>
  <c r="Q395" i="6"/>
  <c r="P395" i="6"/>
  <c r="O395" i="6"/>
  <c r="N395" i="6"/>
  <c r="M395" i="6"/>
  <c r="L395" i="6"/>
  <c r="K395" i="6"/>
  <c r="R394" i="6"/>
  <c r="Q394" i="6"/>
  <c r="P394" i="6"/>
  <c r="O394" i="6"/>
  <c r="N394" i="6"/>
  <c r="M394" i="6"/>
  <c r="L394" i="6"/>
  <c r="K394" i="6"/>
  <c r="R393" i="6"/>
  <c r="Q393" i="6"/>
  <c r="P393" i="6"/>
  <c r="O393" i="6"/>
  <c r="N393" i="6"/>
  <c r="M393" i="6"/>
  <c r="L393" i="6"/>
  <c r="K393" i="6"/>
  <c r="R392" i="6"/>
  <c r="Q392" i="6"/>
  <c r="P392" i="6"/>
  <c r="O392" i="6"/>
  <c r="N392" i="6"/>
  <c r="M392" i="6"/>
  <c r="L392" i="6"/>
  <c r="K392" i="6"/>
  <c r="R391" i="6"/>
  <c r="Q391" i="6"/>
  <c r="P391" i="6"/>
  <c r="O391" i="6"/>
  <c r="N391" i="6"/>
  <c r="M391" i="6"/>
  <c r="L391" i="6"/>
  <c r="K391" i="6"/>
  <c r="R390" i="6"/>
  <c r="Q390" i="6"/>
  <c r="P390" i="6"/>
  <c r="O390" i="6"/>
  <c r="N390" i="6"/>
  <c r="M390" i="6"/>
  <c r="L390" i="6"/>
  <c r="K390" i="6"/>
  <c r="R389" i="6"/>
  <c r="Q389" i="6"/>
  <c r="P389" i="6"/>
  <c r="O389" i="6"/>
  <c r="N389" i="6"/>
  <c r="M389" i="6"/>
  <c r="L389" i="6"/>
  <c r="K389" i="6"/>
  <c r="R388" i="6"/>
  <c r="Q388" i="6"/>
  <c r="P388" i="6"/>
  <c r="O388" i="6"/>
  <c r="N388" i="6"/>
  <c r="M388" i="6"/>
  <c r="L388" i="6"/>
  <c r="K388" i="6"/>
  <c r="R387" i="6"/>
  <c r="Q387" i="6"/>
  <c r="P387" i="6"/>
  <c r="O387" i="6"/>
  <c r="N387" i="6"/>
  <c r="M387" i="6"/>
  <c r="L387" i="6"/>
  <c r="K387" i="6"/>
  <c r="R386" i="6"/>
  <c r="Q386" i="6"/>
  <c r="P386" i="6"/>
  <c r="O386" i="6"/>
  <c r="N386" i="6"/>
  <c r="M386" i="6"/>
  <c r="L386" i="6"/>
  <c r="K386" i="6"/>
  <c r="R385" i="6"/>
  <c r="Q385" i="6"/>
  <c r="P385" i="6"/>
  <c r="O385" i="6"/>
  <c r="N385" i="6"/>
  <c r="M385" i="6"/>
  <c r="L385" i="6"/>
  <c r="K385" i="6"/>
  <c r="R384" i="6"/>
  <c r="Q384" i="6"/>
  <c r="P384" i="6"/>
  <c r="O384" i="6"/>
  <c r="N384" i="6"/>
  <c r="M384" i="6"/>
  <c r="L384" i="6"/>
  <c r="K384" i="6"/>
  <c r="R383" i="6"/>
  <c r="Q383" i="6"/>
  <c r="P383" i="6"/>
  <c r="O383" i="6"/>
  <c r="N383" i="6"/>
  <c r="M383" i="6"/>
  <c r="L383" i="6"/>
  <c r="K383" i="6"/>
  <c r="R382" i="6"/>
  <c r="Q382" i="6"/>
  <c r="P382" i="6"/>
  <c r="O382" i="6"/>
  <c r="N382" i="6"/>
  <c r="M382" i="6"/>
  <c r="L382" i="6"/>
  <c r="K382" i="6"/>
  <c r="R381" i="6"/>
  <c r="Q381" i="6"/>
  <c r="P381" i="6"/>
  <c r="O381" i="6"/>
  <c r="N381" i="6"/>
  <c r="M381" i="6"/>
  <c r="L381" i="6"/>
  <c r="K381" i="6"/>
  <c r="R380" i="6"/>
  <c r="Q380" i="6"/>
  <c r="P380" i="6"/>
  <c r="O380" i="6"/>
  <c r="N380" i="6"/>
  <c r="M380" i="6"/>
  <c r="L380" i="6"/>
  <c r="K380" i="6"/>
  <c r="R379" i="6"/>
  <c r="Q379" i="6"/>
  <c r="P379" i="6"/>
  <c r="O379" i="6"/>
  <c r="N379" i="6"/>
  <c r="M379" i="6"/>
  <c r="L379" i="6"/>
  <c r="K379" i="6"/>
  <c r="R378" i="6"/>
  <c r="Q378" i="6"/>
  <c r="P378" i="6"/>
  <c r="O378" i="6"/>
  <c r="N378" i="6"/>
  <c r="M378" i="6"/>
  <c r="L378" i="6"/>
  <c r="K378" i="6"/>
  <c r="R377" i="6"/>
  <c r="Q377" i="6"/>
  <c r="P377" i="6"/>
  <c r="O377" i="6"/>
  <c r="N377" i="6"/>
  <c r="M377" i="6"/>
  <c r="L377" i="6"/>
  <c r="K377" i="6"/>
  <c r="R376" i="6"/>
  <c r="Q376" i="6"/>
  <c r="P376" i="6"/>
  <c r="O376" i="6"/>
  <c r="N376" i="6"/>
  <c r="M376" i="6"/>
  <c r="L376" i="6"/>
  <c r="K376" i="6"/>
  <c r="R375" i="6"/>
  <c r="Q375" i="6"/>
  <c r="P375" i="6"/>
  <c r="O375" i="6"/>
  <c r="N375" i="6"/>
  <c r="M375" i="6"/>
  <c r="L375" i="6"/>
  <c r="K375" i="6"/>
  <c r="R374" i="6"/>
  <c r="Q374" i="6"/>
  <c r="P374" i="6"/>
  <c r="O374" i="6"/>
  <c r="N374" i="6"/>
  <c r="M374" i="6"/>
  <c r="L374" i="6"/>
  <c r="K374" i="6"/>
  <c r="R373" i="6"/>
  <c r="Q373" i="6"/>
  <c r="P373" i="6"/>
  <c r="O373" i="6"/>
  <c r="N373" i="6"/>
  <c r="M373" i="6"/>
  <c r="L373" i="6"/>
  <c r="K373" i="6"/>
  <c r="R372" i="6"/>
  <c r="Q372" i="6"/>
  <c r="P372" i="6"/>
  <c r="O372" i="6"/>
  <c r="N372" i="6"/>
  <c r="M372" i="6"/>
  <c r="L372" i="6"/>
  <c r="K372" i="6"/>
  <c r="R371" i="6"/>
  <c r="Q371" i="6"/>
  <c r="P371" i="6"/>
  <c r="O371" i="6"/>
  <c r="N371" i="6"/>
  <c r="M371" i="6"/>
  <c r="L371" i="6"/>
  <c r="K371" i="6"/>
  <c r="R370" i="6"/>
  <c r="Q370" i="6"/>
  <c r="P370" i="6"/>
  <c r="O370" i="6"/>
  <c r="N370" i="6"/>
  <c r="M370" i="6"/>
  <c r="L370" i="6"/>
  <c r="K370" i="6"/>
  <c r="R369" i="6"/>
  <c r="Q369" i="6"/>
  <c r="P369" i="6"/>
  <c r="O369" i="6"/>
  <c r="N369" i="6"/>
  <c r="M369" i="6"/>
  <c r="L369" i="6"/>
  <c r="K369" i="6"/>
  <c r="R368" i="6"/>
  <c r="Q368" i="6"/>
  <c r="P368" i="6"/>
  <c r="O368" i="6"/>
  <c r="N368" i="6"/>
  <c r="M368" i="6"/>
  <c r="L368" i="6"/>
  <c r="K368" i="6"/>
  <c r="R367" i="6"/>
  <c r="Q367" i="6"/>
  <c r="P367" i="6"/>
  <c r="O367" i="6"/>
  <c r="N367" i="6"/>
  <c r="M367" i="6"/>
  <c r="L367" i="6"/>
  <c r="K367" i="6"/>
  <c r="R366" i="6"/>
  <c r="Q366" i="6"/>
  <c r="P366" i="6"/>
  <c r="O366" i="6"/>
  <c r="N366" i="6"/>
  <c r="M366" i="6"/>
  <c r="L366" i="6"/>
  <c r="K366" i="6"/>
  <c r="R365" i="6"/>
  <c r="Q365" i="6"/>
  <c r="P365" i="6"/>
  <c r="O365" i="6"/>
  <c r="N365" i="6"/>
  <c r="M365" i="6"/>
  <c r="L365" i="6"/>
  <c r="K365" i="6"/>
  <c r="R364" i="6"/>
  <c r="Q364" i="6"/>
  <c r="P364" i="6"/>
  <c r="O364" i="6"/>
  <c r="N364" i="6"/>
  <c r="M364" i="6"/>
  <c r="L364" i="6"/>
  <c r="K364" i="6"/>
  <c r="R363" i="6"/>
  <c r="Q363" i="6"/>
  <c r="P363" i="6"/>
  <c r="O363" i="6"/>
  <c r="N363" i="6"/>
  <c r="M363" i="6"/>
  <c r="L363" i="6"/>
  <c r="K363" i="6"/>
  <c r="R362" i="6"/>
  <c r="Q362" i="6"/>
  <c r="P362" i="6"/>
  <c r="O362" i="6"/>
  <c r="N362" i="6"/>
  <c r="M362" i="6"/>
  <c r="L362" i="6"/>
  <c r="K362" i="6"/>
  <c r="R361" i="6"/>
  <c r="Q361" i="6"/>
  <c r="P361" i="6"/>
  <c r="O361" i="6"/>
  <c r="N361" i="6"/>
  <c r="M361" i="6"/>
  <c r="L361" i="6"/>
  <c r="K361" i="6"/>
  <c r="R360" i="6"/>
  <c r="Q360" i="6"/>
  <c r="P360" i="6"/>
  <c r="O360" i="6"/>
  <c r="N360" i="6"/>
  <c r="M360" i="6"/>
  <c r="L360" i="6"/>
  <c r="K360" i="6"/>
  <c r="R359" i="6"/>
  <c r="Q359" i="6"/>
  <c r="P359" i="6"/>
  <c r="O359" i="6"/>
  <c r="N359" i="6"/>
  <c r="M359" i="6"/>
  <c r="L359" i="6"/>
  <c r="K359" i="6"/>
  <c r="R358" i="6"/>
  <c r="Q358" i="6"/>
  <c r="P358" i="6"/>
  <c r="O358" i="6"/>
  <c r="N358" i="6"/>
  <c r="M358" i="6"/>
  <c r="L358" i="6"/>
  <c r="K358" i="6"/>
  <c r="R357" i="6"/>
  <c r="Q357" i="6"/>
  <c r="P357" i="6"/>
  <c r="O357" i="6"/>
  <c r="N357" i="6"/>
  <c r="M357" i="6"/>
  <c r="L357" i="6"/>
  <c r="K357" i="6"/>
  <c r="R356" i="6"/>
  <c r="Q356" i="6"/>
  <c r="P356" i="6"/>
  <c r="O356" i="6"/>
  <c r="N356" i="6"/>
  <c r="M356" i="6"/>
  <c r="L356" i="6"/>
  <c r="K356" i="6"/>
  <c r="R355" i="6"/>
  <c r="Q355" i="6"/>
  <c r="P355" i="6"/>
  <c r="O355" i="6"/>
  <c r="N355" i="6"/>
  <c r="M355" i="6"/>
  <c r="L355" i="6"/>
  <c r="K355" i="6"/>
  <c r="R354" i="6"/>
  <c r="Q354" i="6"/>
  <c r="P354" i="6"/>
  <c r="O354" i="6"/>
  <c r="N354" i="6"/>
  <c r="M354" i="6"/>
  <c r="L354" i="6"/>
  <c r="K354" i="6"/>
  <c r="R353" i="6"/>
  <c r="Q353" i="6"/>
  <c r="P353" i="6"/>
  <c r="O353" i="6"/>
  <c r="N353" i="6"/>
  <c r="M353" i="6"/>
  <c r="L353" i="6"/>
  <c r="K353" i="6"/>
  <c r="R352" i="6"/>
  <c r="Q352" i="6"/>
  <c r="P352" i="6"/>
  <c r="O352" i="6"/>
  <c r="N352" i="6"/>
  <c r="M352" i="6"/>
  <c r="L352" i="6"/>
  <c r="K352" i="6"/>
  <c r="R351" i="6"/>
  <c r="Q351" i="6"/>
  <c r="P351" i="6"/>
  <c r="O351" i="6"/>
  <c r="N351" i="6"/>
  <c r="M351" i="6"/>
  <c r="L351" i="6"/>
  <c r="K351" i="6"/>
  <c r="R350" i="6"/>
  <c r="Q350" i="6"/>
  <c r="P350" i="6"/>
  <c r="O350" i="6"/>
  <c r="N350" i="6"/>
  <c r="M350" i="6"/>
  <c r="L350" i="6"/>
  <c r="K350" i="6"/>
  <c r="R349" i="6"/>
  <c r="Q349" i="6"/>
  <c r="P349" i="6"/>
  <c r="O349" i="6"/>
  <c r="N349" i="6"/>
  <c r="M349" i="6"/>
  <c r="L349" i="6"/>
  <c r="K349" i="6"/>
  <c r="R348" i="6"/>
  <c r="Q348" i="6"/>
  <c r="P348" i="6"/>
  <c r="O348" i="6"/>
  <c r="N348" i="6"/>
  <c r="M348" i="6"/>
  <c r="L348" i="6"/>
  <c r="K348" i="6"/>
  <c r="R347" i="6"/>
  <c r="Q347" i="6"/>
  <c r="P347" i="6"/>
  <c r="O347" i="6"/>
  <c r="N347" i="6"/>
  <c r="M347" i="6"/>
  <c r="L347" i="6"/>
  <c r="K347" i="6"/>
  <c r="R346" i="6"/>
  <c r="Q346" i="6"/>
  <c r="P346" i="6"/>
  <c r="O346" i="6"/>
  <c r="N346" i="6"/>
  <c r="M346" i="6"/>
  <c r="L346" i="6"/>
  <c r="K346" i="6"/>
  <c r="R345" i="6"/>
  <c r="Q345" i="6"/>
  <c r="P345" i="6"/>
  <c r="O345" i="6"/>
  <c r="N345" i="6"/>
  <c r="M345" i="6"/>
  <c r="L345" i="6"/>
  <c r="K345" i="6"/>
  <c r="R344" i="6"/>
  <c r="Q344" i="6"/>
  <c r="P344" i="6"/>
  <c r="O344" i="6"/>
  <c r="N344" i="6"/>
  <c r="M344" i="6"/>
  <c r="L344" i="6"/>
  <c r="K344" i="6"/>
  <c r="R343" i="6"/>
  <c r="Q343" i="6"/>
  <c r="P343" i="6"/>
  <c r="O343" i="6"/>
  <c r="N343" i="6"/>
  <c r="M343" i="6"/>
  <c r="L343" i="6"/>
  <c r="K343" i="6"/>
  <c r="R342" i="6"/>
  <c r="Q342" i="6"/>
  <c r="P342" i="6"/>
  <c r="O342" i="6"/>
  <c r="N342" i="6"/>
  <c r="M342" i="6"/>
  <c r="L342" i="6"/>
  <c r="K342" i="6"/>
  <c r="R341" i="6"/>
  <c r="Q341" i="6"/>
  <c r="P341" i="6"/>
  <c r="O341" i="6"/>
  <c r="N341" i="6"/>
  <c r="M341" i="6"/>
  <c r="L341" i="6"/>
  <c r="K341" i="6"/>
  <c r="R340" i="6"/>
  <c r="Q340" i="6"/>
  <c r="P340" i="6"/>
  <c r="O340" i="6"/>
  <c r="N340" i="6"/>
  <c r="M340" i="6"/>
  <c r="L340" i="6"/>
  <c r="K340" i="6"/>
  <c r="R339" i="6"/>
  <c r="Q339" i="6"/>
  <c r="P339" i="6"/>
  <c r="O339" i="6"/>
  <c r="N339" i="6"/>
  <c r="M339" i="6"/>
  <c r="L339" i="6"/>
  <c r="K339" i="6"/>
  <c r="R338" i="6"/>
  <c r="Q338" i="6"/>
  <c r="P338" i="6"/>
  <c r="O338" i="6"/>
  <c r="N338" i="6"/>
  <c r="M338" i="6"/>
  <c r="L338" i="6"/>
  <c r="K338" i="6"/>
  <c r="R337" i="6"/>
  <c r="Q337" i="6"/>
  <c r="P337" i="6"/>
  <c r="O337" i="6"/>
  <c r="N337" i="6"/>
  <c r="M337" i="6"/>
  <c r="L337" i="6"/>
  <c r="K337" i="6"/>
  <c r="R336" i="6"/>
  <c r="Q336" i="6"/>
  <c r="P336" i="6"/>
  <c r="O336" i="6"/>
  <c r="N336" i="6"/>
  <c r="M336" i="6"/>
  <c r="L336" i="6"/>
  <c r="K336" i="6"/>
  <c r="R335" i="6"/>
  <c r="Q335" i="6"/>
  <c r="P335" i="6"/>
  <c r="O335" i="6"/>
  <c r="N335" i="6"/>
  <c r="M335" i="6"/>
  <c r="L335" i="6"/>
  <c r="K335" i="6"/>
  <c r="R334" i="6"/>
  <c r="Q334" i="6"/>
  <c r="P334" i="6"/>
  <c r="O334" i="6"/>
  <c r="N334" i="6"/>
  <c r="M334" i="6"/>
  <c r="L334" i="6"/>
  <c r="K334" i="6"/>
  <c r="R333" i="6"/>
  <c r="Q333" i="6"/>
  <c r="P333" i="6"/>
  <c r="O333" i="6"/>
  <c r="N333" i="6"/>
  <c r="M333" i="6"/>
  <c r="L333" i="6"/>
  <c r="K333" i="6"/>
  <c r="R332" i="6"/>
  <c r="Q332" i="6"/>
  <c r="P332" i="6"/>
  <c r="O332" i="6"/>
  <c r="N332" i="6"/>
  <c r="M332" i="6"/>
  <c r="L332" i="6"/>
  <c r="K332" i="6"/>
  <c r="R331" i="6"/>
  <c r="Q331" i="6"/>
  <c r="P331" i="6"/>
  <c r="O331" i="6"/>
  <c r="N331" i="6"/>
  <c r="M331" i="6"/>
  <c r="L331" i="6"/>
  <c r="K331" i="6"/>
  <c r="R330" i="6"/>
  <c r="Q330" i="6"/>
  <c r="P330" i="6"/>
  <c r="O330" i="6"/>
  <c r="N330" i="6"/>
  <c r="M330" i="6"/>
  <c r="L330" i="6"/>
  <c r="K330" i="6"/>
  <c r="R329" i="6"/>
  <c r="Q329" i="6"/>
  <c r="P329" i="6"/>
  <c r="O329" i="6"/>
  <c r="N329" i="6"/>
  <c r="M329" i="6"/>
  <c r="L329" i="6"/>
  <c r="K329" i="6"/>
  <c r="R328" i="6"/>
  <c r="Q328" i="6"/>
  <c r="P328" i="6"/>
  <c r="O328" i="6"/>
  <c r="N328" i="6"/>
  <c r="M328" i="6"/>
  <c r="L328" i="6"/>
  <c r="K328" i="6"/>
  <c r="R327" i="6"/>
  <c r="Q327" i="6"/>
  <c r="P327" i="6"/>
  <c r="O327" i="6"/>
  <c r="N327" i="6"/>
  <c r="M327" i="6"/>
  <c r="L327" i="6"/>
  <c r="K327" i="6"/>
  <c r="R326" i="6"/>
  <c r="Q326" i="6"/>
  <c r="P326" i="6"/>
  <c r="O326" i="6"/>
  <c r="N326" i="6"/>
  <c r="M326" i="6"/>
  <c r="L326" i="6"/>
  <c r="K326" i="6"/>
  <c r="R325" i="6"/>
  <c r="Q325" i="6"/>
  <c r="P325" i="6"/>
  <c r="O325" i="6"/>
  <c r="N325" i="6"/>
  <c r="M325" i="6"/>
  <c r="L325" i="6"/>
  <c r="K325" i="6"/>
  <c r="R324" i="6"/>
  <c r="Q324" i="6"/>
  <c r="P324" i="6"/>
  <c r="O324" i="6"/>
  <c r="N324" i="6"/>
  <c r="M324" i="6"/>
  <c r="L324" i="6"/>
  <c r="K324" i="6"/>
  <c r="R323" i="6"/>
  <c r="Q323" i="6"/>
  <c r="P323" i="6"/>
  <c r="O323" i="6"/>
  <c r="N323" i="6"/>
  <c r="M323" i="6"/>
  <c r="L323" i="6"/>
  <c r="K323" i="6"/>
  <c r="R322" i="6"/>
  <c r="Q322" i="6"/>
  <c r="P322" i="6"/>
  <c r="O322" i="6"/>
  <c r="N322" i="6"/>
  <c r="M322" i="6"/>
  <c r="L322" i="6"/>
  <c r="K322" i="6"/>
  <c r="R321" i="6"/>
  <c r="Q321" i="6"/>
  <c r="P321" i="6"/>
  <c r="O321" i="6"/>
  <c r="N321" i="6"/>
  <c r="M321" i="6"/>
  <c r="L321" i="6"/>
  <c r="K321" i="6"/>
  <c r="R320" i="6"/>
  <c r="Q320" i="6"/>
  <c r="P320" i="6"/>
  <c r="O320" i="6"/>
  <c r="N320" i="6"/>
  <c r="M320" i="6"/>
  <c r="L320" i="6"/>
  <c r="K320" i="6"/>
  <c r="R319" i="6"/>
  <c r="Q319" i="6"/>
  <c r="P319" i="6"/>
  <c r="O319" i="6"/>
  <c r="N319" i="6"/>
  <c r="M319" i="6"/>
  <c r="L319" i="6"/>
  <c r="K319" i="6"/>
  <c r="R318" i="6"/>
  <c r="Q318" i="6"/>
  <c r="P318" i="6"/>
  <c r="O318" i="6"/>
  <c r="N318" i="6"/>
  <c r="M318" i="6"/>
  <c r="L318" i="6"/>
  <c r="K318" i="6"/>
  <c r="R317" i="6"/>
  <c r="Q317" i="6"/>
  <c r="P317" i="6"/>
  <c r="O317" i="6"/>
  <c r="N317" i="6"/>
  <c r="M317" i="6"/>
  <c r="L317" i="6"/>
  <c r="K317" i="6"/>
  <c r="R316" i="6"/>
  <c r="Q316" i="6"/>
  <c r="P316" i="6"/>
  <c r="O316" i="6"/>
  <c r="N316" i="6"/>
  <c r="M316" i="6"/>
  <c r="L316" i="6"/>
  <c r="K316" i="6"/>
  <c r="R315" i="6"/>
  <c r="Q315" i="6"/>
  <c r="P315" i="6"/>
  <c r="O315" i="6"/>
  <c r="N315" i="6"/>
  <c r="M315" i="6"/>
  <c r="L315" i="6"/>
  <c r="K315" i="6"/>
  <c r="R314" i="6"/>
  <c r="Q314" i="6"/>
  <c r="P314" i="6"/>
  <c r="O314" i="6"/>
  <c r="N314" i="6"/>
  <c r="M314" i="6"/>
  <c r="L314" i="6"/>
  <c r="K314" i="6"/>
  <c r="R313" i="6"/>
  <c r="Q313" i="6"/>
  <c r="P313" i="6"/>
  <c r="O313" i="6"/>
  <c r="N313" i="6"/>
  <c r="M313" i="6"/>
  <c r="L313" i="6"/>
  <c r="K313" i="6"/>
  <c r="R312" i="6"/>
  <c r="Q312" i="6"/>
  <c r="P312" i="6"/>
  <c r="O312" i="6"/>
  <c r="N312" i="6"/>
  <c r="M312" i="6"/>
  <c r="L312" i="6"/>
  <c r="K312" i="6"/>
  <c r="R311" i="6"/>
  <c r="Q311" i="6"/>
  <c r="P311" i="6"/>
  <c r="O311" i="6"/>
  <c r="N311" i="6"/>
  <c r="M311" i="6"/>
  <c r="L311" i="6"/>
  <c r="K311" i="6"/>
  <c r="R310" i="6"/>
  <c r="Q310" i="6"/>
  <c r="P310" i="6"/>
  <c r="O310" i="6"/>
  <c r="N310" i="6"/>
  <c r="M310" i="6"/>
  <c r="L310" i="6"/>
  <c r="K310" i="6"/>
  <c r="R309" i="6"/>
  <c r="Q309" i="6"/>
  <c r="P309" i="6"/>
  <c r="O309" i="6"/>
  <c r="N309" i="6"/>
  <c r="M309" i="6"/>
  <c r="L309" i="6"/>
  <c r="K309" i="6"/>
  <c r="R308" i="6"/>
  <c r="Q308" i="6"/>
  <c r="P308" i="6"/>
  <c r="O308" i="6"/>
  <c r="N308" i="6"/>
  <c r="M308" i="6"/>
  <c r="L308" i="6"/>
  <c r="K308" i="6"/>
  <c r="R307" i="6"/>
  <c r="Q307" i="6"/>
  <c r="P307" i="6"/>
  <c r="O307" i="6"/>
  <c r="N307" i="6"/>
  <c r="M307" i="6"/>
  <c r="L307" i="6"/>
  <c r="K307" i="6"/>
  <c r="R306" i="6"/>
  <c r="Q306" i="6"/>
  <c r="P306" i="6"/>
  <c r="O306" i="6"/>
  <c r="N306" i="6"/>
  <c r="M306" i="6"/>
  <c r="L306" i="6"/>
  <c r="K306" i="6"/>
  <c r="R305" i="6"/>
  <c r="Q305" i="6"/>
  <c r="P305" i="6"/>
  <c r="O305" i="6"/>
  <c r="N305" i="6"/>
  <c r="M305" i="6"/>
  <c r="L305" i="6"/>
  <c r="K305" i="6"/>
  <c r="R304" i="6"/>
  <c r="Q304" i="6"/>
  <c r="P304" i="6"/>
  <c r="O304" i="6"/>
  <c r="N304" i="6"/>
  <c r="M304" i="6"/>
  <c r="L304" i="6"/>
  <c r="K304" i="6"/>
  <c r="R303" i="6"/>
  <c r="Q303" i="6"/>
  <c r="P303" i="6"/>
  <c r="O303" i="6"/>
  <c r="N303" i="6"/>
  <c r="M303" i="6"/>
  <c r="L303" i="6"/>
  <c r="K303" i="6"/>
  <c r="R302" i="6"/>
  <c r="Q302" i="6"/>
  <c r="P302" i="6"/>
  <c r="O302" i="6"/>
  <c r="N302" i="6"/>
  <c r="M302" i="6"/>
  <c r="L302" i="6"/>
  <c r="K302" i="6"/>
  <c r="R301" i="6"/>
  <c r="Q301" i="6"/>
  <c r="P301" i="6"/>
  <c r="O301" i="6"/>
  <c r="N301" i="6"/>
  <c r="M301" i="6"/>
  <c r="L301" i="6"/>
  <c r="K301" i="6"/>
  <c r="R300" i="6"/>
  <c r="Q300" i="6"/>
  <c r="P300" i="6"/>
  <c r="O300" i="6"/>
  <c r="N300" i="6"/>
  <c r="M300" i="6"/>
  <c r="L300" i="6"/>
  <c r="K300" i="6"/>
  <c r="R299" i="6"/>
  <c r="Q299" i="6"/>
  <c r="P299" i="6"/>
  <c r="O299" i="6"/>
  <c r="N299" i="6"/>
  <c r="M299" i="6"/>
  <c r="L299" i="6"/>
  <c r="K299" i="6"/>
  <c r="R298" i="6"/>
  <c r="Q298" i="6"/>
  <c r="P298" i="6"/>
  <c r="O298" i="6"/>
  <c r="N298" i="6"/>
  <c r="M298" i="6"/>
  <c r="L298" i="6"/>
  <c r="K298" i="6"/>
  <c r="R297" i="6"/>
  <c r="Q297" i="6"/>
  <c r="P297" i="6"/>
  <c r="O297" i="6"/>
  <c r="N297" i="6"/>
  <c r="M297" i="6"/>
  <c r="L297" i="6"/>
  <c r="K297" i="6"/>
  <c r="R296" i="6"/>
  <c r="Q296" i="6"/>
  <c r="P296" i="6"/>
  <c r="O296" i="6"/>
  <c r="N296" i="6"/>
  <c r="M296" i="6"/>
  <c r="L296" i="6"/>
  <c r="K296" i="6"/>
  <c r="R295" i="6"/>
  <c r="Q295" i="6"/>
  <c r="P295" i="6"/>
  <c r="O295" i="6"/>
  <c r="N295" i="6"/>
  <c r="M295" i="6"/>
  <c r="L295" i="6"/>
  <c r="K295" i="6"/>
  <c r="R294" i="6"/>
  <c r="Q294" i="6"/>
  <c r="P294" i="6"/>
  <c r="O294" i="6"/>
  <c r="N294" i="6"/>
  <c r="M294" i="6"/>
  <c r="L294" i="6"/>
  <c r="K294" i="6"/>
  <c r="R293" i="6"/>
  <c r="Q293" i="6"/>
  <c r="P293" i="6"/>
  <c r="O293" i="6"/>
  <c r="N293" i="6"/>
  <c r="M293" i="6"/>
  <c r="L293" i="6"/>
  <c r="K293" i="6"/>
  <c r="R292" i="6"/>
  <c r="Q292" i="6"/>
  <c r="P292" i="6"/>
  <c r="O292" i="6"/>
  <c r="N292" i="6"/>
  <c r="M292" i="6"/>
  <c r="L292" i="6"/>
  <c r="K292" i="6"/>
  <c r="R291" i="6"/>
  <c r="Q291" i="6"/>
  <c r="P291" i="6"/>
  <c r="O291" i="6"/>
  <c r="N291" i="6"/>
  <c r="M291" i="6"/>
  <c r="L291" i="6"/>
  <c r="K291" i="6"/>
  <c r="R290" i="6"/>
  <c r="Q290" i="6"/>
  <c r="P290" i="6"/>
  <c r="O290" i="6"/>
  <c r="N290" i="6"/>
  <c r="M290" i="6"/>
  <c r="L290" i="6"/>
  <c r="K290" i="6"/>
  <c r="R289" i="6"/>
  <c r="Q289" i="6"/>
  <c r="P289" i="6"/>
  <c r="O289" i="6"/>
  <c r="N289" i="6"/>
  <c r="M289" i="6"/>
  <c r="L289" i="6"/>
  <c r="K289" i="6"/>
  <c r="R288" i="6"/>
  <c r="Q288" i="6"/>
  <c r="P288" i="6"/>
  <c r="O288" i="6"/>
  <c r="N288" i="6"/>
  <c r="M288" i="6"/>
  <c r="L288" i="6"/>
  <c r="K288" i="6"/>
  <c r="R287" i="6"/>
  <c r="Q287" i="6"/>
  <c r="P287" i="6"/>
  <c r="O287" i="6"/>
  <c r="N287" i="6"/>
  <c r="M287" i="6"/>
  <c r="L287" i="6"/>
  <c r="K287" i="6"/>
  <c r="R286" i="6"/>
  <c r="Q286" i="6"/>
  <c r="P286" i="6"/>
  <c r="O286" i="6"/>
  <c r="N286" i="6"/>
  <c r="M286" i="6"/>
  <c r="L286" i="6"/>
  <c r="K286" i="6"/>
  <c r="R285" i="6"/>
  <c r="Q285" i="6"/>
  <c r="P285" i="6"/>
  <c r="O285" i="6"/>
  <c r="N285" i="6"/>
  <c r="M285" i="6"/>
  <c r="L285" i="6"/>
  <c r="K285" i="6"/>
  <c r="R284" i="6"/>
  <c r="Q284" i="6"/>
  <c r="P284" i="6"/>
  <c r="O284" i="6"/>
  <c r="N284" i="6"/>
  <c r="M284" i="6"/>
  <c r="L284" i="6"/>
  <c r="K284" i="6"/>
  <c r="R283" i="6"/>
  <c r="Q283" i="6"/>
  <c r="P283" i="6"/>
  <c r="O283" i="6"/>
  <c r="N283" i="6"/>
  <c r="M283" i="6"/>
  <c r="L283" i="6"/>
  <c r="K283" i="6"/>
  <c r="R282" i="6"/>
  <c r="Q282" i="6"/>
  <c r="P282" i="6"/>
  <c r="O282" i="6"/>
  <c r="N282" i="6"/>
  <c r="M282" i="6"/>
  <c r="L282" i="6"/>
  <c r="K282" i="6"/>
  <c r="R281" i="6"/>
  <c r="Q281" i="6"/>
  <c r="P281" i="6"/>
  <c r="O281" i="6"/>
  <c r="N281" i="6"/>
  <c r="M281" i="6"/>
  <c r="L281" i="6"/>
  <c r="K281" i="6"/>
  <c r="R280" i="6"/>
  <c r="Q280" i="6"/>
  <c r="P280" i="6"/>
  <c r="O280" i="6"/>
  <c r="N280" i="6"/>
  <c r="M280" i="6"/>
  <c r="L280" i="6"/>
  <c r="K280" i="6"/>
  <c r="R279" i="6"/>
  <c r="Q279" i="6"/>
  <c r="P279" i="6"/>
  <c r="O279" i="6"/>
  <c r="N279" i="6"/>
  <c r="M279" i="6"/>
  <c r="L279" i="6"/>
  <c r="K279" i="6"/>
  <c r="R278" i="6"/>
  <c r="Q278" i="6"/>
  <c r="P278" i="6"/>
  <c r="O278" i="6"/>
  <c r="N278" i="6"/>
  <c r="M278" i="6"/>
  <c r="L278" i="6"/>
  <c r="K278" i="6"/>
  <c r="R277" i="6"/>
  <c r="Q277" i="6"/>
  <c r="P277" i="6"/>
  <c r="O277" i="6"/>
  <c r="N277" i="6"/>
  <c r="M277" i="6"/>
  <c r="L277" i="6"/>
  <c r="K277" i="6"/>
  <c r="R276" i="6"/>
  <c r="Q276" i="6"/>
  <c r="P276" i="6"/>
  <c r="O276" i="6"/>
  <c r="N276" i="6"/>
  <c r="M276" i="6"/>
  <c r="L276" i="6"/>
  <c r="K276" i="6"/>
  <c r="R275" i="6"/>
  <c r="Q275" i="6"/>
  <c r="P275" i="6"/>
  <c r="O275" i="6"/>
  <c r="N275" i="6"/>
  <c r="M275" i="6"/>
  <c r="L275" i="6"/>
  <c r="K275" i="6"/>
  <c r="R274" i="6"/>
  <c r="Q274" i="6"/>
  <c r="P274" i="6"/>
  <c r="O274" i="6"/>
  <c r="N274" i="6"/>
  <c r="M274" i="6"/>
  <c r="L274" i="6"/>
  <c r="K274" i="6"/>
  <c r="R273" i="6"/>
  <c r="Q273" i="6"/>
  <c r="P273" i="6"/>
  <c r="O273" i="6"/>
  <c r="N273" i="6"/>
  <c r="M273" i="6"/>
  <c r="L273" i="6"/>
  <c r="K273" i="6"/>
  <c r="R272" i="6"/>
  <c r="Q272" i="6"/>
  <c r="P272" i="6"/>
  <c r="O272" i="6"/>
  <c r="N272" i="6"/>
  <c r="M272" i="6"/>
  <c r="L272" i="6"/>
  <c r="K272" i="6"/>
  <c r="R271" i="6"/>
  <c r="Q271" i="6"/>
  <c r="P271" i="6"/>
  <c r="O271" i="6"/>
  <c r="N271" i="6"/>
  <c r="M271" i="6"/>
  <c r="L271" i="6"/>
  <c r="K271" i="6"/>
  <c r="R270" i="6"/>
  <c r="Q270" i="6"/>
  <c r="P270" i="6"/>
  <c r="O270" i="6"/>
  <c r="N270" i="6"/>
  <c r="M270" i="6"/>
  <c r="L270" i="6"/>
  <c r="K270" i="6"/>
  <c r="R269" i="6"/>
  <c r="Q269" i="6"/>
  <c r="P269" i="6"/>
  <c r="O269" i="6"/>
  <c r="N269" i="6"/>
  <c r="M269" i="6"/>
  <c r="L269" i="6"/>
  <c r="K269" i="6"/>
  <c r="R268" i="6"/>
  <c r="Q268" i="6"/>
  <c r="P268" i="6"/>
  <c r="O268" i="6"/>
  <c r="N268" i="6"/>
  <c r="M268" i="6"/>
  <c r="L268" i="6"/>
  <c r="K268" i="6"/>
  <c r="R267" i="6"/>
  <c r="Q267" i="6"/>
  <c r="P267" i="6"/>
  <c r="O267" i="6"/>
  <c r="N267" i="6"/>
  <c r="M267" i="6"/>
  <c r="L267" i="6"/>
  <c r="K267" i="6"/>
  <c r="R266" i="6"/>
  <c r="Q266" i="6"/>
  <c r="P266" i="6"/>
  <c r="O266" i="6"/>
  <c r="N266" i="6"/>
  <c r="M266" i="6"/>
  <c r="L266" i="6"/>
  <c r="K266" i="6"/>
  <c r="R265" i="6"/>
  <c r="Q265" i="6"/>
  <c r="P265" i="6"/>
  <c r="O265" i="6"/>
  <c r="N265" i="6"/>
  <c r="M265" i="6"/>
  <c r="L265" i="6"/>
  <c r="K265" i="6"/>
  <c r="R264" i="6"/>
  <c r="Q264" i="6"/>
  <c r="P264" i="6"/>
  <c r="O264" i="6"/>
  <c r="N264" i="6"/>
  <c r="M264" i="6"/>
  <c r="L264" i="6"/>
  <c r="K264" i="6"/>
  <c r="R263" i="6"/>
  <c r="Q263" i="6"/>
  <c r="P263" i="6"/>
  <c r="O263" i="6"/>
  <c r="N263" i="6"/>
  <c r="M263" i="6"/>
  <c r="L263" i="6"/>
  <c r="K263" i="6"/>
  <c r="R262" i="6"/>
  <c r="Q262" i="6"/>
  <c r="P262" i="6"/>
  <c r="O262" i="6"/>
  <c r="N262" i="6"/>
  <c r="M262" i="6"/>
  <c r="L262" i="6"/>
  <c r="K262" i="6"/>
  <c r="R261" i="6"/>
  <c r="Q261" i="6"/>
  <c r="P261" i="6"/>
  <c r="O261" i="6"/>
  <c r="N261" i="6"/>
  <c r="M261" i="6"/>
  <c r="L261" i="6"/>
  <c r="K261" i="6"/>
  <c r="R260" i="6"/>
  <c r="Q260" i="6"/>
  <c r="P260" i="6"/>
  <c r="O260" i="6"/>
  <c r="N260" i="6"/>
  <c r="M260" i="6"/>
  <c r="L260" i="6"/>
  <c r="K260" i="6"/>
  <c r="R259" i="6"/>
  <c r="Q259" i="6"/>
  <c r="P259" i="6"/>
  <c r="O259" i="6"/>
  <c r="N259" i="6"/>
  <c r="M259" i="6"/>
  <c r="L259" i="6"/>
  <c r="K259" i="6"/>
  <c r="R258" i="6"/>
  <c r="Q258" i="6"/>
  <c r="P258" i="6"/>
  <c r="O258" i="6"/>
  <c r="N258" i="6"/>
  <c r="M258" i="6"/>
  <c r="L258" i="6"/>
  <c r="K258" i="6"/>
  <c r="R257" i="6"/>
  <c r="Q257" i="6"/>
  <c r="P257" i="6"/>
  <c r="O257" i="6"/>
  <c r="N257" i="6"/>
  <c r="M257" i="6"/>
  <c r="L257" i="6"/>
  <c r="K257" i="6"/>
  <c r="R256" i="6"/>
  <c r="Q256" i="6"/>
  <c r="P256" i="6"/>
  <c r="O256" i="6"/>
  <c r="N256" i="6"/>
  <c r="M256" i="6"/>
  <c r="L256" i="6"/>
  <c r="K256" i="6"/>
  <c r="R255" i="6"/>
  <c r="Q255" i="6"/>
  <c r="P255" i="6"/>
  <c r="O255" i="6"/>
  <c r="N255" i="6"/>
  <c r="M255" i="6"/>
  <c r="L255" i="6"/>
  <c r="K255" i="6"/>
  <c r="R254" i="6"/>
  <c r="Q254" i="6"/>
  <c r="P254" i="6"/>
  <c r="O254" i="6"/>
  <c r="N254" i="6"/>
  <c r="M254" i="6"/>
  <c r="L254" i="6"/>
  <c r="K254" i="6"/>
  <c r="R253" i="6"/>
  <c r="Q253" i="6"/>
  <c r="P253" i="6"/>
  <c r="O253" i="6"/>
  <c r="N253" i="6"/>
  <c r="M253" i="6"/>
  <c r="L253" i="6"/>
  <c r="K253" i="6"/>
  <c r="R252" i="6"/>
  <c r="Q252" i="6"/>
  <c r="P252" i="6"/>
  <c r="O252" i="6"/>
  <c r="N252" i="6"/>
  <c r="M252" i="6"/>
  <c r="L252" i="6"/>
  <c r="K252" i="6"/>
  <c r="R251" i="6"/>
  <c r="Q251" i="6"/>
  <c r="P251" i="6"/>
  <c r="O251" i="6"/>
  <c r="N251" i="6"/>
  <c r="M251" i="6"/>
  <c r="L251" i="6"/>
  <c r="K251" i="6"/>
  <c r="R250" i="6"/>
  <c r="Q250" i="6"/>
  <c r="P250" i="6"/>
  <c r="O250" i="6"/>
  <c r="N250" i="6"/>
  <c r="M250" i="6"/>
  <c r="L250" i="6"/>
  <c r="K250" i="6"/>
  <c r="R249" i="6"/>
  <c r="Q249" i="6"/>
  <c r="P249" i="6"/>
  <c r="O249" i="6"/>
  <c r="N249" i="6"/>
  <c r="M249" i="6"/>
  <c r="L249" i="6"/>
  <c r="K249" i="6"/>
  <c r="R248" i="6"/>
  <c r="Q248" i="6"/>
  <c r="P248" i="6"/>
  <c r="O248" i="6"/>
  <c r="N248" i="6"/>
  <c r="M248" i="6"/>
  <c r="L248" i="6"/>
  <c r="K248" i="6"/>
  <c r="R247" i="6"/>
  <c r="Q247" i="6"/>
  <c r="P247" i="6"/>
  <c r="O247" i="6"/>
  <c r="N247" i="6"/>
  <c r="M247" i="6"/>
  <c r="L247" i="6"/>
  <c r="K247" i="6"/>
  <c r="R246" i="6"/>
  <c r="Q246" i="6"/>
  <c r="P246" i="6"/>
  <c r="O246" i="6"/>
  <c r="N246" i="6"/>
  <c r="M246" i="6"/>
  <c r="L246" i="6"/>
  <c r="K246" i="6"/>
  <c r="R245" i="6"/>
  <c r="Q245" i="6"/>
  <c r="P245" i="6"/>
  <c r="O245" i="6"/>
  <c r="N245" i="6"/>
  <c r="M245" i="6"/>
  <c r="L245" i="6"/>
  <c r="K245" i="6"/>
  <c r="R244" i="6"/>
  <c r="Q244" i="6"/>
  <c r="P244" i="6"/>
  <c r="O244" i="6"/>
  <c r="N244" i="6"/>
  <c r="M244" i="6"/>
  <c r="L244" i="6"/>
  <c r="K244" i="6"/>
  <c r="R243" i="6"/>
  <c r="Q243" i="6"/>
  <c r="P243" i="6"/>
  <c r="O243" i="6"/>
  <c r="N243" i="6"/>
  <c r="M243" i="6"/>
  <c r="L243" i="6"/>
  <c r="K243" i="6"/>
  <c r="R242" i="6"/>
  <c r="Q242" i="6"/>
  <c r="P242" i="6"/>
  <c r="O242" i="6"/>
  <c r="N242" i="6"/>
  <c r="M242" i="6"/>
  <c r="L242" i="6"/>
  <c r="K242" i="6"/>
  <c r="R241" i="6"/>
  <c r="Q241" i="6"/>
  <c r="P241" i="6"/>
  <c r="O241" i="6"/>
  <c r="N241" i="6"/>
  <c r="M241" i="6"/>
  <c r="L241" i="6"/>
  <c r="K241" i="6"/>
  <c r="R240" i="6"/>
  <c r="Q240" i="6"/>
  <c r="P240" i="6"/>
  <c r="O240" i="6"/>
  <c r="N240" i="6"/>
  <c r="M240" i="6"/>
  <c r="L240" i="6"/>
  <c r="K240" i="6"/>
  <c r="R239" i="6"/>
  <c r="Q239" i="6"/>
  <c r="P239" i="6"/>
  <c r="O239" i="6"/>
  <c r="N239" i="6"/>
  <c r="M239" i="6"/>
  <c r="L239" i="6"/>
  <c r="K239" i="6"/>
  <c r="R238" i="6"/>
  <c r="Q238" i="6"/>
  <c r="P238" i="6"/>
  <c r="O238" i="6"/>
  <c r="N238" i="6"/>
  <c r="M238" i="6"/>
  <c r="L238" i="6"/>
  <c r="K238" i="6"/>
  <c r="R237" i="6"/>
  <c r="Q237" i="6"/>
  <c r="P237" i="6"/>
  <c r="O237" i="6"/>
  <c r="N237" i="6"/>
  <c r="M237" i="6"/>
  <c r="L237" i="6"/>
  <c r="K237" i="6"/>
  <c r="R236" i="6"/>
  <c r="Q236" i="6"/>
  <c r="P236" i="6"/>
  <c r="O236" i="6"/>
  <c r="N236" i="6"/>
  <c r="M236" i="6"/>
  <c r="L236" i="6"/>
  <c r="K236" i="6"/>
  <c r="R235" i="6"/>
  <c r="Q235" i="6"/>
  <c r="P235" i="6"/>
  <c r="O235" i="6"/>
  <c r="N235" i="6"/>
  <c r="M235" i="6"/>
  <c r="L235" i="6"/>
  <c r="K235" i="6"/>
  <c r="R234" i="6"/>
  <c r="Q234" i="6"/>
  <c r="P234" i="6"/>
  <c r="O234" i="6"/>
  <c r="N234" i="6"/>
  <c r="M234" i="6"/>
  <c r="L234" i="6"/>
  <c r="K234" i="6"/>
  <c r="R233" i="6"/>
  <c r="Q233" i="6"/>
  <c r="P233" i="6"/>
  <c r="O233" i="6"/>
  <c r="N233" i="6"/>
  <c r="M233" i="6"/>
  <c r="L233" i="6"/>
  <c r="K233" i="6"/>
  <c r="R232" i="6"/>
  <c r="Q232" i="6"/>
  <c r="P232" i="6"/>
  <c r="O232" i="6"/>
  <c r="N232" i="6"/>
  <c r="M232" i="6"/>
  <c r="L232" i="6"/>
  <c r="K232" i="6"/>
  <c r="R231" i="6"/>
  <c r="Q231" i="6"/>
  <c r="P231" i="6"/>
  <c r="O231" i="6"/>
  <c r="N231" i="6"/>
  <c r="M231" i="6"/>
  <c r="L231" i="6"/>
  <c r="K231" i="6"/>
  <c r="R230" i="6"/>
  <c r="Q230" i="6"/>
  <c r="P230" i="6"/>
  <c r="O230" i="6"/>
  <c r="N230" i="6"/>
  <c r="M230" i="6"/>
  <c r="L230" i="6"/>
  <c r="K230" i="6"/>
  <c r="R229" i="6"/>
  <c r="Q229" i="6"/>
  <c r="P229" i="6"/>
  <c r="O229" i="6"/>
  <c r="N229" i="6"/>
  <c r="M229" i="6"/>
  <c r="L229" i="6"/>
  <c r="K229" i="6"/>
  <c r="R228" i="6"/>
  <c r="Q228" i="6"/>
  <c r="P228" i="6"/>
  <c r="O228" i="6"/>
  <c r="N228" i="6"/>
  <c r="M228" i="6"/>
  <c r="L228" i="6"/>
  <c r="K228" i="6"/>
  <c r="R227" i="6"/>
  <c r="Q227" i="6"/>
  <c r="P227" i="6"/>
  <c r="O227" i="6"/>
  <c r="N227" i="6"/>
  <c r="M227" i="6"/>
  <c r="L227" i="6"/>
  <c r="K227" i="6"/>
  <c r="R226" i="6"/>
  <c r="Q226" i="6"/>
  <c r="P226" i="6"/>
  <c r="O226" i="6"/>
  <c r="N226" i="6"/>
  <c r="M226" i="6"/>
  <c r="L226" i="6"/>
  <c r="K226" i="6"/>
  <c r="R225" i="6"/>
  <c r="Q225" i="6"/>
  <c r="P225" i="6"/>
  <c r="O225" i="6"/>
  <c r="N225" i="6"/>
  <c r="M225" i="6"/>
  <c r="L225" i="6"/>
  <c r="K225" i="6"/>
  <c r="R224" i="6"/>
  <c r="Q224" i="6"/>
  <c r="P224" i="6"/>
  <c r="O224" i="6"/>
  <c r="N224" i="6"/>
  <c r="M224" i="6"/>
  <c r="L224" i="6"/>
  <c r="K224" i="6"/>
  <c r="R223" i="6"/>
  <c r="Q223" i="6"/>
  <c r="P223" i="6"/>
  <c r="O223" i="6"/>
  <c r="N223" i="6"/>
  <c r="M223" i="6"/>
  <c r="L223" i="6"/>
  <c r="K223" i="6"/>
  <c r="R222" i="6"/>
  <c r="Q222" i="6"/>
  <c r="P222" i="6"/>
  <c r="O222" i="6"/>
  <c r="N222" i="6"/>
  <c r="M222" i="6"/>
  <c r="L222" i="6"/>
  <c r="K222" i="6"/>
  <c r="R221" i="6"/>
  <c r="Q221" i="6"/>
  <c r="P221" i="6"/>
  <c r="O221" i="6"/>
  <c r="N221" i="6"/>
  <c r="M221" i="6"/>
  <c r="L221" i="6"/>
  <c r="K221" i="6"/>
  <c r="R220" i="6"/>
  <c r="Q220" i="6"/>
  <c r="P220" i="6"/>
  <c r="O220" i="6"/>
  <c r="N220" i="6"/>
  <c r="M220" i="6"/>
  <c r="L220" i="6"/>
  <c r="K220" i="6"/>
  <c r="R219" i="6"/>
  <c r="Q219" i="6"/>
  <c r="P219" i="6"/>
  <c r="O219" i="6"/>
  <c r="N219" i="6"/>
  <c r="M219" i="6"/>
  <c r="L219" i="6"/>
  <c r="K219" i="6"/>
  <c r="R218" i="6"/>
  <c r="Q218" i="6"/>
  <c r="P218" i="6"/>
  <c r="O218" i="6"/>
  <c r="N218" i="6"/>
  <c r="M218" i="6"/>
  <c r="L218" i="6"/>
  <c r="K218" i="6"/>
  <c r="R217" i="6"/>
  <c r="Q217" i="6"/>
  <c r="P217" i="6"/>
  <c r="O217" i="6"/>
  <c r="N217" i="6"/>
  <c r="M217" i="6"/>
  <c r="L217" i="6"/>
  <c r="K217" i="6"/>
  <c r="R216" i="6"/>
  <c r="Q216" i="6"/>
  <c r="P216" i="6"/>
  <c r="O216" i="6"/>
  <c r="N216" i="6"/>
  <c r="M216" i="6"/>
  <c r="L216" i="6"/>
  <c r="K216" i="6"/>
  <c r="R215" i="6"/>
  <c r="Q215" i="6"/>
  <c r="P215" i="6"/>
  <c r="O215" i="6"/>
  <c r="N215" i="6"/>
  <c r="M215" i="6"/>
  <c r="L215" i="6"/>
  <c r="K215" i="6"/>
  <c r="R214" i="6"/>
  <c r="Q214" i="6"/>
  <c r="P214" i="6"/>
  <c r="O214" i="6"/>
  <c r="N214" i="6"/>
  <c r="M214" i="6"/>
  <c r="L214" i="6"/>
  <c r="K214" i="6"/>
  <c r="R213" i="6"/>
  <c r="Q213" i="6"/>
  <c r="P213" i="6"/>
  <c r="O213" i="6"/>
  <c r="N213" i="6"/>
  <c r="M213" i="6"/>
  <c r="L213" i="6"/>
  <c r="K213" i="6"/>
  <c r="R212" i="6"/>
  <c r="Q212" i="6"/>
  <c r="P212" i="6"/>
  <c r="O212" i="6"/>
  <c r="N212" i="6"/>
  <c r="M212" i="6"/>
  <c r="L212" i="6"/>
  <c r="K212" i="6"/>
  <c r="R211" i="6"/>
  <c r="Q211" i="6"/>
  <c r="P211" i="6"/>
  <c r="O211" i="6"/>
  <c r="N211" i="6"/>
  <c r="M211" i="6"/>
  <c r="L211" i="6"/>
  <c r="K211" i="6"/>
  <c r="R210" i="6"/>
  <c r="Q210" i="6"/>
  <c r="P210" i="6"/>
  <c r="O210" i="6"/>
  <c r="N210" i="6"/>
  <c r="M210" i="6"/>
  <c r="L210" i="6"/>
  <c r="K210" i="6"/>
  <c r="R209" i="6"/>
  <c r="Q209" i="6"/>
  <c r="P209" i="6"/>
  <c r="O209" i="6"/>
  <c r="N209" i="6"/>
  <c r="M209" i="6"/>
  <c r="L209" i="6"/>
  <c r="K209" i="6"/>
  <c r="R208" i="6"/>
  <c r="Q208" i="6"/>
  <c r="P208" i="6"/>
  <c r="O208" i="6"/>
  <c r="N208" i="6"/>
  <c r="M208" i="6"/>
  <c r="L208" i="6"/>
  <c r="K208" i="6"/>
  <c r="R207" i="6"/>
  <c r="Q207" i="6"/>
  <c r="P207" i="6"/>
  <c r="O207" i="6"/>
  <c r="N207" i="6"/>
  <c r="M207" i="6"/>
  <c r="L207" i="6"/>
  <c r="K207" i="6"/>
  <c r="R206" i="6"/>
  <c r="Q206" i="6"/>
  <c r="P206" i="6"/>
  <c r="O206" i="6"/>
  <c r="N206" i="6"/>
  <c r="M206" i="6"/>
  <c r="L206" i="6"/>
  <c r="K206" i="6"/>
  <c r="R205" i="6"/>
  <c r="Q205" i="6"/>
  <c r="P205" i="6"/>
  <c r="O205" i="6"/>
  <c r="N205" i="6"/>
  <c r="M205" i="6"/>
  <c r="L205" i="6"/>
  <c r="K205" i="6"/>
  <c r="R204" i="6"/>
  <c r="Q204" i="6"/>
  <c r="P204" i="6"/>
  <c r="O204" i="6"/>
  <c r="N204" i="6"/>
  <c r="M204" i="6"/>
  <c r="L204" i="6"/>
  <c r="K204" i="6"/>
  <c r="R203" i="6"/>
  <c r="Q203" i="6"/>
  <c r="P203" i="6"/>
  <c r="O203" i="6"/>
  <c r="N203" i="6"/>
  <c r="M203" i="6"/>
  <c r="L203" i="6"/>
  <c r="K203" i="6"/>
  <c r="R202" i="6"/>
  <c r="Q202" i="6"/>
  <c r="P202" i="6"/>
  <c r="O202" i="6"/>
  <c r="N202" i="6"/>
  <c r="M202" i="6"/>
  <c r="L202" i="6"/>
  <c r="K202" i="6"/>
  <c r="R201" i="6"/>
  <c r="Q201" i="6"/>
  <c r="P201" i="6"/>
  <c r="O201" i="6"/>
  <c r="N201" i="6"/>
  <c r="M201" i="6"/>
  <c r="L201" i="6"/>
  <c r="K201" i="6"/>
  <c r="R200" i="6"/>
  <c r="Q200" i="6"/>
  <c r="P200" i="6"/>
  <c r="O200" i="6"/>
  <c r="N200" i="6"/>
  <c r="M200" i="6"/>
  <c r="L200" i="6"/>
  <c r="K200" i="6"/>
  <c r="R199" i="6"/>
  <c r="Q199" i="6"/>
  <c r="P199" i="6"/>
  <c r="O199" i="6"/>
  <c r="N199" i="6"/>
  <c r="M199" i="6"/>
  <c r="L199" i="6"/>
  <c r="K199" i="6"/>
  <c r="R198" i="6"/>
  <c r="Q198" i="6"/>
  <c r="P198" i="6"/>
  <c r="O198" i="6"/>
  <c r="N198" i="6"/>
  <c r="M198" i="6"/>
  <c r="L198" i="6"/>
  <c r="K198" i="6"/>
  <c r="R197" i="6"/>
  <c r="Q197" i="6"/>
  <c r="P197" i="6"/>
  <c r="O197" i="6"/>
  <c r="N197" i="6"/>
  <c r="M197" i="6"/>
  <c r="L197" i="6"/>
  <c r="K197" i="6"/>
  <c r="R196" i="6"/>
  <c r="Q196" i="6"/>
  <c r="P196" i="6"/>
  <c r="O196" i="6"/>
  <c r="N196" i="6"/>
  <c r="M196" i="6"/>
  <c r="L196" i="6"/>
  <c r="K196" i="6"/>
  <c r="R195" i="6"/>
  <c r="Q195" i="6"/>
  <c r="P195" i="6"/>
  <c r="O195" i="6"/>
  <c r="N195" i="6"/>
  <c r="M195" i="6"/>
  <c r="L195" i="6"/>
  <c r="K195" i="6"/>
  <c r="R194" i="6"/>
  <c r="Q194" i="6"/>
  <c r="P194" i="6"/>
  <c r="O194" i="6"/>
  <c r="N194" i="6"/>
  <c r="M194" i="6"/>
  <c r="L194" i="6"/>
  <c r="K194" i="6"/>
  <c r="R193" i="6"/>
  <c r="Q193" i="6"/>
  <c r="P193" i="6"/>
  <c r="O193" i="6"/>
  <c r="N193" i="6"/>
  <c r="M193" i="6"/>
  <c r="L193" i="6"/>
  <c r="K193" i="6"/>
  <c r="R192" i="6"/>
  <c r="Q192" i="6"/>
  <c r="P192" i="6"/>
  <c r="O192" i="6"/>
  <c r="N192" i="6"/>
  <c r="M192" i="6"/>
  <c r="L192" i="6"/>
  <c r="K192" i="6"/>
  <c r="R191" i="6"/>
  <c r="Q191" i="6"/>
  <c r="P191" i="6"/>
  <c r="O191" i="6"/>
  <c r="N191" i="6"/>
  <c r="M191" i="6"/>
  <c r="L191" i="6"/>
  <c r="K191" i="6"/>
  <c r="R190" i="6"/>
  <c r="Q190" i="6"/>
  <c r="P190" i="6"/>
  <c r="O190" i="6"/>
  <c r="N190" i="6"/>
  <c r="M190" i="6"/>
  <c r="L190" i="6"/>
  <c r="K190" i="6"/>
  <c r="R189" i="6"/>
  <c r="Q189" i="6"/>
  <c r="P189" i="6"/>
  <c r="O189" i="6"/>
  <c r="N189" i="6"/>
  <c r="M189" i="6"/>
  <c r="L189" i="6"/>
  <c r="K189" i="6"/>
  <c r="R188" i="6"/>
  <c r="Q188" i="6"/>
  <c r="P188" i="6"/>
  <c r="O188" i="6"/>
  <c r="N188" i="6"/>
  <c r="M188" i="6"/>
  <c r="L188" i="6"/>
  <c r="K188" i="6"/>
  <c r="R187" i="6"/>
  <c r="Q187" i="6"/>
  <c r="P187" i="6"/>
  <c r="O187" i="6"/>
  <c r="N187" i="6"/>
  <c r="M187" i="6"/>
  <c r="L187" i="6"/>
  <c r="K187" i="6"/>
  <c r="R186" i="6"/>
  <c r="Q186" i="6"/>
  <c r="P186" i="6"/>
  <c r="O186" i="6"/>
  <c r="N186" i="6"/>
  <c r="M186" i="6"/>
  <c r="L186" i="6"/>
  <c r="K186" i="6"/>
  <c r="R185" i="6"/>
  <c r="Q185" i="6"/>
  <c r="P185" i="6"/>
  <c r="O185" i="6"/>
  <c r="N185" i="6"/>
  <c r="M185" i="6"/>
  <c r="L185" i="6"/>
  <c r="K185" i="6"/>
  <c r="R184" i="6"/>
  <c r="Q184" i="6"/>
  <c r="P184" i="6"/>
  <c r="O184" i="6"/>
  <c r="N184" i="6"/>
  <c r="M184" i="6"/>
  <c r="L184" i="6"/>
  <c r="K184" i="6"/>
  <c r="R183" i="6"/>
  <c r="Q183" i="6"/>
  <c r="P183" i="6"/>
  <c r="O183" i="6"/>
  <c r="N183" i="6"/>
  <c r="M183" i="6"/>
  <c r="L183" i="6"/>
  <c r="K183" i="6"/>
  <c r="R182" i="6"/>
  <c r="Q182" i="6"/>
  <c r="P182" i="6"/>
  <c r="O182" i="6"/>
  <c r="N182" i="6"/>
  <c r="M182" i="6"/>
  <c r="L182" i="6"/>
  <c r="K182" i="6"/>
  <c r="R181" i="6"/>
  <c r="Q181" i="6"/>
  <c r="P181" i="6"/>
  <c r="O181" i="6"/>
  <c r="N181" i="6"/>
  <c r="M181" i="6"/>
  <c r="L181" i="6"/>
  <c r="K181" i="6"/>
  <c r="R180" i="6"/>
  <c r="Q180" i="6"/>
  <c r="P180" i="6"/>
  <c r="O180" i="6"/>
  <c r="N180" i="6"/>
  <c r="M180" i="6"/>
  <c r="L180" i="6"/>
  <c r="K180" i="6"/>
  <c r="R179" i="6"/>
  <c r="Q179" i="6"/>
  <c r="P179" i="6"/>
  <c r="O179" i="6"/>
  <c r="N179" i="6"/>
  <c r="M179" i="6"/>
  <c r="L179" i="6"/>
  <c r="K179" i="6"/>
  <c r="R178" i="6"/>
  <c r="Q178" i="6"/>
  <c r="P178" i="6"/>
  <c r="O178" i="6"/>
  <c r="N178" i="6"/>
  <c r="M178" i="6"/>
  <c r="L178" i="6"/>
  <c r="K178" i="6"/>
  <c r="R177" i="6"/>
  <c r="Q177" i="6"/>
  <c r="P177" i="6"/>
  <c r="O177" i="6"/>
  <c r="N177" i="6"/>
  <c r="M177" i="6"/>
  <c r="L177" i="6"/>
  <c r="K177" i="6"/>
  <c r="R176" i="6"/>
  <c r="Q176" i="6"/>
  <c r="P176" i="6"/>
  <c r="O176" i="6"/>
  <c r="N176" i="6"/>
  <c r="M176" i="6"/>
  <c r="L176" i="6"/>
  <c r="K176" i="6"/>
  <c r="R175" i="6"/>
  <c r="Q175" i="6"/>
  <c r="P175" i="6"/>
  <c r="O175" i="6"/>
  <c r="N175" i="6"/>
  <c r="M175" i="6"/>
  <c r="L175" i="6"/>
  <c r="K175" i="6"/>
  <c r="R174" i="6"/>
  <c r="Q174" i="6"/>
  <c r="P174" i="6"/>
  <c r="O174" i="6"/>
  <c r="N174" i="6"/>
  <c r="M174" i="6"/>
  <c r="L174" i="6"/>
  <c r="K174" i="6"/>
  <c r="R173" i="6"/>
  <c r="Q173" i="6"/>
  <c r="P173" i="6"/>
  <c r="O173" i="6"/>
  <c r="N173" i="6"/>
  <c r="M173" i="6"/>
  <c r="L173" i="6"/>
  <c r="K173" i="6"/>
  <c r="R172" i="6"/>
  <c r="Q172" i="6"/>
  <c r="P172" i="6"/>
  <c r="O172" i="6"/>
  <c r="N172" i="6"/>
  <c r="M172" i="6"/>
  <c r="L172" i="6"/>
  <c r="K172" i="6"/>
  <c r="R171" i="6"/>
  <c r="Q171" i="6"/>
  <c r="P171" i="6"/>
  <c r="O171" i="6"/>
  <c r="N171" i="6"/>
  <c r="M171" i="6"/>
  <c r="L171" i="6"/>
  <c r="K171" i="6"/>
  <c r="R170" i="6"/>
  <c r="Q170" i="6"/>
  <c r="P170" i="6"/>
  <c r="O170" i="6"/>
  <c r="N170" i="6"/>
  <c r="M170" i="6"/>
  <c r="L170" i="6"/>
  <c r="K170" i="6"/>
  <c r="R169" i="6"/>
  <c r="Q169" i="6"/>
  <c r="P169" i="6"/>
  <c r="O169" i="6"/>
  <c r="N169" i="6"/>
  <c r="M169" i="6"/>
  <c r="L169" i="6"/>
  <c r="K169" i="6"/>
  <c r="R168" i="6"/>
  <c r="Q168" i="6"/>
  <c r="P168" i="6"/>
  <c r="O168" i="6"/>
  <c r="N168" i="6"/>
  <c r="M168" i="6"/>
  <c r="L168" i="6"/>
  <c r="K168" i="6"/>
  <c r="R167" i="6"/>
  <c r="Q167" i="6"/>
  <c r="P167" i="6"/>
  <c r="O167" i="6"/>
  <c r="N167" i="6"/>
  <c r="M167" i="6"/>
  <c r="L167" i="6"/>
  <c r="K167" i="6"/>
  <c r="R166" i="6"/>
  <c r="Q166" i="6"/>
  <c r="P166" i="6"/>
  <c r="O166" i="6"/>
  <c r="N166" i="6"/>
  <c r="M166" i="6"/>
  <c r="L166" i="6"/>
  <c r="K166" i="6"/>
  <c r="R165" i="6"/>
  <c r="Q165" i="6"/>
  <c r="P165" i="6"/>
  <c r="O165" i="6"/>
  <c r="N165" i="6"/>
  <c r="M165" i="6"/>
  <c r="L165" i="6"/>
  <c r="K165" i="6"/>
  <c r="R164" i="6"/>
  <c r="Q164" i="6"/>
  <c r="P164" i="6"/>
  <c r="O164" i="6"/>
  <c r="N164" i="6"/>
  <c r="M164" i="6"/>
  <c r="L164" i="6"/>
  <c r="K164" i="6"/>
  <c r="R163" i="6"/>
  <c r="Q163" i="6"/>
  <c r="P163" i="6"/>
  <c r="O163" i="6"/>
  <c r="N163" i="6"/>
  <c r="M163" i="6"/>
  <c r="L163" i="6"/>
  <c r="K163" i="6"/>
  <c r="R162" i="6"/>
  <c r="Q162" i="6"/>
  <c r="P162" i="6"/>
  <c r="O162" i="6"/>
  <c r="N162" i="6"/>
  <c r="M162" i="6"/>
  <c r="L162" i="6"/>
  <c r="K162" i="6"/>
  <c r="R161" i="6"/>
  <c r="Q161" i="6"/>
  <c r="P161" i="6"/>
  <c r="O161" i="6"/>
  <c r="N161" i="6"/>
  <c r="M161" i="6"/>
  <c r="L161" i="6"/>
  <c r="K161" i="6"/>
  <c r="R160" i="6"/>
  <c r="Q160" i="6"/>
  <c r="P160" i="6"/>
  <c r="O160" i="6"/>
  <c r="N160" i="6"/>
  <c r="M160" i="6"/>
  <c r="L160" i="6"/>
  <c r="K160" i="6"/>
  <c r="R159" i="6"/>
  <c r="Q159" i="6"/>
  <c r="P159" i="6"/>
  <c r="O159" i="6"/>
  <c r="N159" i="6"/>
  <c r="M159" i="6"/>
  <c r="L159" i="6"/>
  <c r="K159" i="6"/>
  <c r="R158" i="6"/>
  <c r="Q158" i="6"/>
  <c r="P158" i="6"/>
  <c r="O158" i="6"/>
  <c r="N158" i="6"/>
  <c r="M158" i="6"/>
  <c r="L158" i="6"/>
  <c r="K158" i="6"/>
  <c r="R157" i="6"/>
  <c r="Q157" i="6"/>
  <c r="P157" i="6"/>
  <c r="O157" i="6"/>
  <c r="N157" i="6"/>
  <c r="M157" i="6"/>
  <c r="L157" i="6"/>
  <c r="K157" i="6"/>
  <c r="R155" i="6"/>
  <c r="Q155" i="6"/>
  <c r="P155" i="6"/>
  <c r="O155" i="6"/>
  <c r="N155" i="6"/>
  <c r="M155" i="6"/>
  <c r="L155" i="6"/>
  <c r="K155" i="6"/>
  <c r="R154" i="6"/>
  <c r="Q154" i="6"/>
  <c r="P154" i="6"/>
  <c r="O154" i="6"/>
  <c r="N154" i="6"/>
  <c r="M154" i="6"/>
  <c r="L154" i="6"/>
  <c r="K154" i="6"/>
  <c r="R153" i="6"/>
  <c r="Q153" i="6"/>
  <c r="P153" i="6"/>
  <c r="O153" i="6"/>
  <c r="N153" i="6"/>
  <c r="M153" i="6"/>
  <c r="L153" i="6"/>
  <c r="K153" i="6"/>
  <c r="R152" i="6"/>
  <c r="Q152" i="6"/>
  <c r="P152" i="6"/>
  <c r="O152" i="6"/>
  <c r="N152" i="6"/>
  <c r="M152" i="6"/>
  <c r="L152" i="6"/>
  <c r="K152" i="6"/>
  <c r="R151" i="6"/>
  <c r="Q151" i="6"/>
  <c r="P151" i="6"/>
  <c r="O151" i="6"/>
  <c r="N151" i="6"/>
  <c r="M151" i="6"/>
  <c r="L151" i="6"/>
  <c r="K151" i="6"/>
  <c r="R150" i="6"/>
  <c r="Q150" i="6"/>
  <c r="P150" i="6"/>
  <c r="O150" i="6"/>
  <c r="N150" i="6"/>
  <c r="M150" i="6"/>
  <c r="L150" i="6"/>
  <c r="K150" i="6"/>
  <c r="R149" i="6"/>
  <c r="Q149" i="6"/>
  <c r="P149" i="6"/>
  <c r="O149" i="6"/>
  <c r="N149" i="6"/>
  <c r="M149" i="6"/>
  <c r="L149" i="6"/>
  <c r="K149" i="6"/>
  <c r="R148" i="6"/>
  <c r="Q148" i="6"/>
  <c r="P148" i="6"/>
  <c r="O148" i="6"/>
  <c r="N148" i="6"/>
  <c r="M148" i="6"/>
  <c r="L148" i="6"/>
  <c r="K148" i="6"/>
  <c r="R147" i="6"/>
  <c r="Q147" i="6"/>
  <c r="P147" i="6"/>
  <c r="O147" i="6"/>
  <c r="N147" i="6"/>
  <c r="M147" i="6"/>
  <c r="L147" i="6"/>
  <c r="K147" i="6"/>
  <c r="R146" i="6"/>
  <c r="Q146" i="6"/>
  <c r="P146" i="6"/>
  <c r="O146" i="6"/>
  <c r="N146" i="6"/>
  <c r="M146" i="6"/>
  <c r="L146" i="6"/>
  <c r="K146" i="6"/>
  <c r="R145" i="6"/>
  <c r="Q145" i="6"/>
  <c r="P145" i="6"/>
  <c r="O145" i="6"/>
  <c r="N145" i="6"/>
  <c r="M145" i="6"/>
  <c r="L145" i="6"/>
  <c r="K145" i="6"/>
  <c r="C131" i="6"/>
  <c r="L6" i="6"/>
  <c r="M6" i="6"/>
  <c r="L29" i="16" l="1"/>
  <c r="L28" i="16"/>
  <c r="N6" i="6"/>
  <c r="C557" i="6"/>
  <c r="C763" i="6"/>
  <c r="C762" i="6"/>
  <c r="C761" i="6"/>
  <c r="C760" i="6"/>
  <c r="C759" i="6"/>
  <c r="C758" i="6"/>
  <c r="C757" i="6"/>
  <c r="C756" i="6"/>
  <c r="C755" i="6"/>
  <c r="C754" i="6"/>
  <c r="C753" i="6"/>
  <c r="C752" i="6"/>
  <c r="C751" i="6"/>
  <c r="C750" i="6"/>
  <c r="C749" i="6"/>
  <c r="C748" i="6"/>
  <c r="C747" i="6"/>
  <c r="C746" i="6"/>
  <c r="C745" i="6"/>
  <c r="C744" i="6"/>
  <c r="C743" i="6"/>
  <c r="C742" i="6"/>
  <c r="C741" i="6"/>
  <c r="C740" i="6"/>
  <c r="C739" i="6"/>
  <c r="C738" i="6"/>
  <c r="C737" i="6"/>
  <c r="C736" i="6"/>
  <c r="C735" i="6"/>
  <c r="C734" i="6"/>
  <c r="C733" i="6"/>
  <c r="C732" i="6"/>
  <c r="C731" i="6"/>
  <c r="C730" i="6"/>
  <c r="C729" i="6"/>
  <c r="C728" i="6"/>
  <c r="C727" i="6"/>
  <c r="C726" i="6"/>
  <c r="C725" i="6"/>
  <c r="C724" i="6"/>
  <c r="C723" i="6"/>
  <c r="C722" i="6"/>
  <c r="C721" i="6"/>
  <c r="C720" i="6"/>
  <c r="C719" i="6"/>
  <c r="C718" i="6"/>
  <c r="C717" i="6"/>
  <c r="C716" i="6"/>
  <c r="C715" i="6"/>
  <c r="C714" i="6"/>
  <c r="C713" i="6"/>
  <c r="C712" i="6"/>
  <c r="C711" i="6"/>
  <c r="C710" i="6"/>
  <c r="C709" i="6"/>
  <c r="C708" i="6"/>
  <c r="C707" i="6"/>
  <c r="C706" i="6"/>
  <c r="C705" i="6"/>
  <c r="C704" i="6"/>
  <c r="C703" i="6"/>
  <c r="C702" i="6"/>
  <c r="C701" i="6"/>
  <c r="C700" i="6"/>
  <c r="C699" i="6"/>
  <c r="C698" i="6"/>
  <c r="C697" i="6"/>
  <c r="C696" i="6"/>
  <c r="C695" i="6"/>
  <c r="C694" i="6"/>
  <c r="C693" i="6"/>
  <c r="C692" i="6"/>
  <c r="C691" i="6"/>
  <c r="C690" i="6"/>
  <c r="C689" i="6"/>
  <c r="C688" i="6"/>
  <c r="C687" i="6"/>
  <c r="C686" i="6"/>
  <c r="C685" i="6"/>
  <c r="C684" i="6"/>
  <c r="C683" i="6"/>
  <c r="C682" i="6"/>
  <c r="C681" i="6"/>
  <c r="C680" i="6"/>
  <c r="C679" i="6"/>
  <c r="C678" i="6"/>
  <c r="C677" i="6"/>
  <c r="C676" i="6"/>
  <c r="C675" i="6"/>
  <c r="C674" i="6"/>
  <c r="C673" i="6"/>
  <c r="C672" i="6"/>
  <c r="C671" i="6"/>
  <c r="C670" i="6"/>
  <c r="C669" i="6"/>
  <c r="C668" i="6"/>
  <c r="C667" i="6"/>
  <c r="C666" i="6"/>
  <c r="C665" i="6"/>
  <c r="C664" i="6"/>
  <c r="C663" i="6"/>
  <c r="C662" i="6"/>
  <c r="C661" i="6"/>
  <c r="C660" i="6"/>
  <c r="C659" i="6"/>
  <c r="C658" i="6"/>
  <c r="C657" i="6"/>
  <c r="C656" i="6"/>
  <c r="C655" i="6"/>
  <c r="C654" i="6"/>
  <c r="C653" i="6"/>
  <c r="C652" i="6"/>
  <c r="C651" i="6"/>
  <c r="C650" i="6"/>
  <c r="C649" i="6"/>
  <c r="C648" i="6"/>
  <c r="C647" i="6"/>
  <c r="C646" i="6"/>
  <c r="C645" i="6"/>
  <c r="C644" i="6"/>
  <c r="C643" i="6"/>
  <c r="C642" i="6"/>
  <c r="C641" i="6"/>
  <c r="C640" i="6"/>
  <c r="C639" i="6"/>
  <c r="C638" i="6"/>
  <c r="C637" i="6"/>
  <c r="C636" i="6"/>
  <c r="C635" i="6"/>
  <c r="C634" i="6"/>
  <c r="C633" i="6"/>
  <c r="C632" i="6"/>
  <c r="C631" i="6"/>
  <c r="C630" i="6"/>
  <c r="C629" i="6"/>
  <c r="C628" i="6"/>
  <c r="C627" i="6"/>
  <c r="C626" i="6"/>
  <c r="C625" i="6"/>
  <c r="C624" i="6"/>
  <c r="C623" i="6"/>
  <c r="C622" i="6"/>
  <c r="C621" i="6"/>
  <c r="C620" i="6"/>
  <c r="C619" i="6"/>
  <c r="C618" i="6"/>
  <c r="C617" i="6"/>
  <c r="C616" i="6"/>
  <c r="C615" i="6"/>
  <c r="C614" i="6"/>
  <c r="C613" i="6"/>
  <c r="C612" i="6"/>
  <c r="C611" i="6"/>
  <c r="C610" i="6"/>
  <c r="C609" i="6"/>
  <c r="C608" i="6"/>
  <c r="C607" i="6"/>
  <c r="C606" i="6"/>
  <c r="C605" i="6"/>
  <c r="C604" i="6"/>
  <c r="C603" i="6"/>
  <c r="C602" i="6"/>
  <c r="C601" i="6"/>
  <c r="C600" i="6"/>
  <c r="C599" i="6"/>
  <c r="C598" i="6"/>
  <c r="C597" i="6"/>
  <c r="C596" i="6"/>
  <c r="C595" i="6"/>
  <c r="C594" i="6"/>
  <c r="C593" i="6"/>
  <c r="C592" i="6"/>
  <c r="C591" i="6"/>
  <c r="C590" i="6"/>
  <c r="C589" i="6"/>
  <c r="C588" i="6"/>
  <c r="C587" i="6"/>
  <c r="C586" i="6"/>
  <c r="C585" i="6"/>
  <c r="C584" i="6"/>
  <c r="C583" i="6"/>
  <c r="C582" i="6"/>
  <c r="C581" i="6"/>
  <c r="C580" i="6"/>
  <c r="C579" i="6"/>
  <c r="C578" i="6"/>
  <c r="AG18" i="5" l="1"/>
  <c r="AG24" i="5"/>
  <c r="AF24" i="5"/>
  <c r="AE24" i="5"/>
  <c r="AD24" i="5"/>
  <c r="AA24" i="5"/>
  <c r="Z24" i="5"/>
  <c r="W24" i="5"/>
  <c r="V24" i="5"/>
  <c r="U24" i="5"/>
  <c r="T24" i="5"/>
  <c r="P24" i="5"/>
  <c r="AG23" i="5"/>
  <c r="AF23" i="5"/>
  <c r="AE23" i="5"/>
  <c r="AD23" i="5"/>
  <c r="AA23" i="5"/>
  <c r="Z23" i="5"/>
  <c r="W23" i="5"/>
  <c r="V23" i="5"/>
  <c r="U23" i="5"/>
  <c r="T23" i="5"/>
  <c r="P23" i="5"/>
  <c r="AG22" i="5"/>
  <c r="AF22" i="5"/>
  <c r="AE22" i="5"/>
  <c r="AD22" i="5"/>
  <c r="AA22" i="5"/>
  <c r="Z22" i="5"/>
  <c r="W22" i="5"/>
  <c r="V22" i="5"/>
  <c r="U22" i="5"/>
  <c r="T22" i="5"/>
  <c r="P22" i="5"/>
  <c r="AG21" i="5"/>
  <c r="AF21" i="5"/>
  <c r="AE21" i="5"/>
  <c r="AD21" i="5"/>
  <c r="AA21" i="5"/>
  <c r="Z21" i="5"/>
  <c r="W21" i="5"/>
  <c r="V21" i="5"/>
  <c r="U21" i="5"/>
  <c r="T21" i="5"/>
  <c r="P21" i="5"/>
  <c r="AG20" i="5"/>
  <c r="AF20" i="5"/>
  <c r="AE20" i="5"/>
  <c r="AD20" i="5"/>
  <c r="AA20" i="5"/>
  <c r="Z20" i="5"/>
  <c r="W20" i="5"/>
  <c r="V20" i="5"/>
  <c r="U20" i="5"/>
  <c r="T20" i="5"/>
  <c r="P20" i="5"/>
  <c r="AG19" i="5"/>
  <c r="AF19" i="5"/>
  <c r="AE19" i="5"/>
  <c r="AD19" i="5"/>
  <c r="AA19" i="5"/>
  <c r="Z19" i="5"/>
  <c r="W19" i="5"/>
  <c r="V19" i="5"/>
  <c r="U19" i="5"/>
  <c r="T19" i="5"/>
  <c r="P19" i="5"/>
  <c r="AF18" i="5"/>
  <c r="AE18" i="5"/>
  <c r="AD18" i="5"/>
  <c r="AA18" i="5"/>
  <c r="Z18" i="5"/>
  <c r="W18" i="5"/>
  <c r="V18" i="5"/>
  <c r="U18" i="5"/>
  <c r="T18" i="5"/>
  <c r="P18" i="5"/>
  <c r="AG14" i="5"/>
  <c r="AF14" i="5"/>
  <c r="AE14" i="5"/>
  <c r="AD14" i="5"/>
  <c r="AA14" i="5"/>
  <c r="Z14" i="5"/>
  <c r="W14" i="5"/>
  <c r="V14" i="5"/>
  <c r="U14" i="5"/>
  <c r="T14" i="5"/>
  <c r="P14" i="5"/>
  <c r="AG13" i="5"/>
  <c r="AF13" i="5"/>
  <c r="AE13" i="5"/>
  <c r="AD13" i="5"/>
  <c r="AA13" i="5"/>
  <c r="Z13" i="5"/>
  <c r="W13" i="5"/>
  <c r="V13" i="5"/>
  <c r="U13" i="5"/>
  <c r="T13" i="5"/>
  <c r="P13" i="5"/>
  <c r="C70" i="6"/>
  <c r="C558" i="6"/>
  <c r="C568" i="6"/>
  <c r="C569" i="6"/>
  <c r="C570" i="6"/>
  <c r="C571" i="6"/>
  <c r="C572" i="6"/>
  <c r="C574" i="6"/>
  <c r="C575" i="6"/>
  <c r="C576" i="6"/>
  <c r="C577" i="6"/>
  <c r="C550" i="6"/>
  <c r="C551" i="6"/>
  <c r="C552" i="6"/>
  <c r="C553" i="6"/>
  <c r="C554" i="6"/>
  <c r="C555" i="6"/>
  <c r="C556" i="6"/>
  <c r="C68" i="6"/>
  <c r="C71" i="6"/>
  <c r="C72" i="6"/>
  <c r="C73" i="6"/>
  <c r="C75"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1" i="6"/>
  <c r="C203" i="6"/>
  <c r="C204" i="6"/>
  <c r="C205" i="6"/>
  <c r="C206" i="6"/>
  <c r="C207" i="6"/>
  <c r="C208" i="6"/>
  <c r="C209" i="6"/>
  <c r="C210" i="6"/>
  <c r="C211" i="6"/>
  <c r="C212" i="6"/>
  <c r="C213" i="6"/>
  <c r="C214" i="6"/>
  <c r="C215" i="6"/>
  <c r="C216" i="6"/>
  <c r="C217" i="6"/>
  <c r="C218" i="6"/>
  <c r="C219" i="6"/>
  <c r="C220" i="6"/>
  <c r="C221" i="6"/>
  <c r="C222" i="6"/>
  <c r="C223" i="6"/>
  <c r="C224" i="6"/>
  <c r="C225" i="6"/>
  <c r="C227" i="6"/>
  <c r="C228" i="6"/>
  <c r="C229" i="6"/>
  <c r="C230" i="6"/>
  <c r="C231" i="6"/>
  <c r="C232" i="6"/>
  <c r="C233" i="6"/>
  <c r="C234" i="6"/>
  <c r="C235" i="6"/>
  <c r="C236" i="6"/>
  <c r="C237" i="6"/>
  <c r="C238" i="6"/>
  <c r="C239" i="6"/>
  <c r="C240" i="6"/>
  <c r="C241" i="6"/>
  <c r="C242" i="6"/>
  <c r="C243" i="6"/>
  <c r="C244" i="6"/>
  <c r="C245" i="6"/>
  <c r="C246" i="6"/>
  <c r="C247" i="6"/>
  <c r="C248" i="6"/>
  <c r="C249" i="6"/>
  <c r="C250" i="6"/>
  <c r="C251" i="6"/>
  <c r="C252" i="6"/>
  <c r="C253" i="6"/>
  <c r="C254" i="6"/>
  <c r="C255" i="6"/>
  <c r="C256" i="6"/>
  <c r="C257" i="6"/>
  <c r="C258" i="6"/>
  <c r="C259" i="6"/>
  <c r="C260" i="6"/>
  <c r="C261" i="6"/>
  <c r="C262" i="6"/>
  <c r="C263" i="6"/>
  <c r="C264" i="6"/>
  <c r="C265" i="6"/>
  <c r="C266" i="6"/>
  <c r="C267" i="6"/>
  <c r="C268" i="6"/>
  <c r="C269" i="6"/>
  <c r="C270" i="6"/>
  <c r="C271" i="6"/>
  <c r="C272" i="6"/>
  <c r="C273" i="6"/>
  <c r="C275" i="6"/>
  <c r="C276" i="6"/>
  <c r="C277" i="6"/>
  <c r="C278" i="6"/>
  <c r="C279" i="6"/>
  <c r="C280" i="6"/>
  <c r="C281" i="6"/>
  <c r="C282" i="6"/>
  <c r="C283" i="6"/>
  <c r="C284" i="6"/>
  <c r="C285" i="6"/>
  <c r="C286" i="6"/>
  <c r="C287" i="6"/>
  <c r="C288" i="6"/>
  <c r="C289" i="6"/>
  <c r="C290" i="6"/>
  <c r="C291" i="6"/>
  <c r="C292" i="6"/>
  <c r="C293" i="6"/>
  <c r="C294" i="6"/>
  <c r="C295" i="6"/>
  <c r="C296" i="6"/>
  <c r="C297" i="6"/>
  <c r="C298" i="6"/>
  <c r="C299" i="6"/>
  <c r="C300" i="6"/>
  <c r="C301" i="6"/>
  <c r="C302" i="6"/>
  <c r="C303" i="6"/>
  <c r="C304" i="6"/>
  <c r="C305" i="6"/>
  <c r="C306" i="6"/>
  <c r="C307" i="6"/>
  <c r="C308" i="6"/>
  <c r="C309" i="6"/>
  <c r="C310" i="6"/>
  <c r="C311" i="6"/>
  <c r="C312" i="6"/>
  <c r="C313" i="6"/>
  <c r="C314" i="6"/>
  <c r="C315" i="6"/>
  <c r="C316" i="6"/>
  <c r="C317" i="6"/>
  <c r="C318" i="6"/>
  <c r="C319" i="6"/>
  <c r="C320" i="6"/>
  <c r="C321" i="6"/>
  <c r="C322" i="6"/>
  <c r="C323" i="6"/>
  <c r="C324" i="6"/>
  <c r="C325" i="6"/>
  <c r="C326" i="6"/>
  <c r="C327" i="6"/>
  <c r="C328" i="6"/>
  <c r="C329" i="6"/>
  <c r="C330" i="6"/>
  <c r="C331" i="6"/>
  <c r="C332" i="6"/>
  <c r="C333" i="6"/>
  <c r="C334" i="6"/>
  <c r="C335" i="6"/>
  <c r="C336" i="6"/>
  <c r="C337" i="6"/>
  <c r="C338" i="6"/>
  <c r="C339" i="6"/>
  <c r="C340" i="6"/>
  <c r="C341" i="6"/>
  <c r="C342" i="6"/>
  <c r="C344" i="6"/>
  <c r="C345" i="6"/>
  <c r="C347" i="6"/>
  <c r="C348" i="6"/>
  <c r="C349" i="6"/>
  <c r="C350" i="6"/>
  <c r="C352" i="6"/>
  <c r="C353" i="6"/>
  <c r="C354" i="6"/>
  <c r="C355" i="6"/>
  <c r="C356" i="6"/>
  <c r="C357" i="6"/>
  <c r="C358" i="6"/>
  <c r="C359" i="6"/>
  <c r="C360" i="6"/>
  <c r="C361" i="6"/>
  <c r="C362" i="6"/>
  <c r="C363" i="6"/>
  <c r="C364" i="6"/>
  <c r="C365" i="6"/>
  <c r="C366" i="6"/>
  <c r="C367" i="6"/>
  <c r="C368" i="6"/>
  <c r="C369" i="6"/>
  <c r="C370" i="6"/>
  <c r="C371" i="6"/>
  <c r="C372" i="6"/>
  <c r="C373" i="6"/>
  <c r="C374" i="6"/>
  <c r="C375" i="6"/>
  <c r="C376" i="6"/>
  <c r="C377" i="6"/>
  <c r="C378" i="6"/>
  <c r="C379" i="6"/>
  <c r="C380" i="6"/>
  <c r="C381" i="6"/>
  <c r="C382" i="6"/>
  <c r="C383" i="6"/>
  <c r="C384" i="6"/>
  <c r="C385" i="6"/>
  <c r="C386" i="6"/>
  <c r="C387" i="6"/>
  <c r="C388" i="6"/>
  <c r="C389" i="6"/>
  <c r="C408" i="6"/>
  <c r="C409" i="6"/>
  <c r="C410" i="6"/>
  <c r="C411" i="6"/>
  <c r="C412" i="6"/>
  <c r="C413" i="6"/>
  <c r="C414" i="6"/>
  <c r="C415" i="6"/>
  <c r="C416" i="6"/>
  <c r="C417" i="6"/>
  <c r="C418" i="6"/>
  <c r="C419" i="6"/>
  <c r="C420" i="6"/>
  <c r="C421" i="6"/>
  <c r="C423" i="6"/>
  <c r="C424" i="6"/>
  <c r="C425" i="6"/>
  <c r="C426" i="6"/>
  <c r="C427" i="6"/>
  <c r="C428" i="6"/>
  <c r="C429" i="6"/>
  <c r="C430" i="6"/>
  <c r="C431" i="6"/>
  <c r="C432" i="6"/>
  <c r="C433" i="6"/>
  <c r="C434" i="6"/>
  <c r="C435" i="6"/>
  <c r="C436" i="6"/>
  <c r="C437" i="6"/>
  <c r="C438" i="6"/>
  <c r="C439" i="6"/>
  <c r="C440" i="6"/>
  <c r="C441" i="6"/>
  <c r="C442" i="6"/>
  <c r="C443" i="6"/>
  <c r="C444" i="6"/>
  <c r="C445" i="6"/>
  <c r="C446" i="6"/>
  <c r="C447" i="6"/>
  <c r="C448" i="6"/>
  <c r="C449" i="6"/>
  <c r="C450" i="6"/>
  <c r="C451" i="6"/>
  <c r="C452" i="6"/>
  <c r="C453" i="6"/>
  <c r="C454" i="6"/>
  <c r="C455" i="6"/>
  <c r="C456" i="6"/>
  <c r="C457" i="6"/>
  <c r="C458" i="6"/>
  <c r="C459" i="6"/>
  <c r="C460" i="6"/>
  <c r="C461" i="6"/>
  <c r="C462" i="6"/>
  <c r="C463" i="6"/>
  <c r="C464" i="6"/>
  <c r="C465" i="6"/>
  <c r="C466" i="6"/>
  <c r="C467" i="6"/>
  <c r="C468" i="6"/>
  <c r="C469" i="6"/>
  <c r="C470" i="6"/>
  <c r="C471" i="6"/>
  <c r="C472" i="6"/>
  <c r="C473" i="6"/>
  <c r="C474" i="6"/>
  <c r="C475" i="6"/>
  <c r="C476" i="6"/>
  <c r="C477" i="6"/>
  <c r="C478" i="6"/>
  <c r="C479" i="6"/>
  <c r="C480" i="6"/>
  <c r="C481" i="6"/>
  <c r="C482" i="6"/>
  <c r="C483" i="6"/>
  <c r="C484" i="6"/>
  <c r="C485" i="6"/>
  <c r="C486" i="6"/>
  <c r="C487" i="6"/>
  <c r="C488" i="6"/>
  <c r="C489" i="6"/>
  <c r="C490" i="6"/>
  <c r="C491" i="6"/>
  <c r="C492" i="6"/>
  <c r="C493" i="6"/>
  <c r="C494" i="6"/>
  <c r="C495" i="6"/>
  <c r="C496" i="6"/>
  <c r="C497" i="6"/>
  <c r="C498" i="6"/>
  <c r="C499" i="6"/>
  <c r="C500" i="6"/>
  <c r="C501" i="6"/>
  <c r="C502" i="6"/>
  <c r="C503" i="6"/>
  <c r="C504" i="6"/>
  <c r="C505" i="6"/>
  <c r="C506" i="6"/>
  <c r="C507" i="6"/>
  <c r="C508" i="6"/>
  <c r="C509" i="6"/>
  <c r="C510" i="6"/>
  <c r="C511" i="6"/>
  <c r="C512" i="6"/>
  <c r="C513" i="6"/>
  <c r="C514" i="6"/>
  <c r="C515" i="6"/>
  <c r="C516" i="6"/>
  <c r="C517" i="6"/>
  <c r="C518" i="6"/>
  <c r="C519" i="6"/>
  <c r="C520" i="6"/>
  <c r="C521" i="6"/>
  <c r="C522" i="6"/>
  <c r="C523" i="6"/>
  <c r="C524" i="6"/>
  <c r="C525" i="6"/>
  <c r="C526" i="6"/>
  <c r="C527" i="6"/>
  <c r="C528" i="6"/>
  <c r="C529" i="6"/>
  <c r="C530" i="6"/>
  <c r="C531" i="6"/>
  <c r="C532" i="6"/>
  <c r="C533" i="6"/>
  <c r="C534" i="6"/>
  <c r="C535" i="6"/>
  <c r="C536" i="6"/>
  <c r="C537" i="6"/>
  <c r="C538" i="6"/>
  <c r="C539" i="6"/>
  <c r="C540" i="6"/>
  <c r="C541" i="6"/>
  <c r="C542" i="6"/>
  <c r="C543" i="6"/>
  <c r="C544" i="6"/>
  <c r="C545" i="6"/>
  <c r="C546" i="6"/>
  <c r="C547" i="6"/>
  <c r="C548" i="6"/>
  <c r="C549" i="6"/>
  <c r="C69" i="6" l="1"/>
  <c r="C202" i="6"/>
  <c r="C200" i="6"/>
  <c r="C74" i="6"/>
  <c r="C67" i="6"/>
  <c r="C226" i="6"/>
  <c r="C274" i="6"/>
  <c r="C343" i="6"/>
  <c r="C346" i="6"/>
  <c r="C351" i="6"/>
  <c r="J3" i="33"/>
  <c r="H5" i="33"/>
  <c r="L3" i="32"/>
  <c r="H5" i="32"/>
  <c r="L51" i="16"/>
  <c r="L50" i="16"/>
  <c r="C573" i="6" l="1"/>
  <c r="C567" i="6"/>
  <c r="C566" i="6"/>
  <c r="C565" i="6"/>
  <c r="C564" i="6"/>
  <c r="C563" i="6"/>
  <c r="C562" i="6"/>
  <c r="C561" i="6"/>
  <c r="C560" i="6"/>
  <c r="C559" i="6"/>
  <c r="C422" i="6"/>
  <c r="C407" i="6"/>
  <c r="C406" i="6"/>
  <c r="C405" i="6"/>
  <c r="C404" i="6"/>
  <c r="C403" i="6"/>
  <c r="C402" i="6"/>
  <c r="C401" i="6"/>
  <c r="C400" i="6"/>
  <c r="C399" i="6"/>
  <c r="C398" i="6"/>
  <c r="C397" i="6"/>
  <c r="C396" i="6"/>
  <c r="C395" i="6"/>
  <c r="C394" i="6"/>
  <c r="C393" i="6"/>
  <c r="C392" i="6"/>
  <c r="C391" i="6"/>
  <c r="C390" i="6"/>
  <c r="C151" i="6"/>
  <c r="C150" i="6"/>
  <c r="C149" i="6"/>
  <c r="C148" i="6"/>
  <c r="C147" i="6"/>
  <c r="C146" i="6"/>
  <c r="C145" i="6"/>
  <c r="C144" i="6"/>
  <c r="C143" i="6"/>
  <c r="C142" i="6"/>
  <c r="C141" i="6"/>
  <c r="C140" i="6"/>
  <c r="C139" i="6"/>
  <c r="C138" i="6"/>
  <c r="C137" i="6"/>
  <c r="C136" i="6"/>
  <c r="C135" i="6"/>
  <c r="C134" i="6"/>
  <c r="C133" i="6"/>
  <c r="C132"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L49" i="16" l="1"/>
  <c r="M51" i="16"/>
  <c r="M50" i="16"/>
  <c r="M49" i="16"/>
  <c r="A51" i="16" l="1"/>
  <c r="A50" i="16"/>
  <c r="R13" i="6" l="1"/>
  <c r="Q13" i="6"/>
  <c r="P13" i="6"/>
  <c r="O13" i="6"/>
  <c r="N13" i="6"/>
  <c r="M13" i="6"/>
  <c r="L13" i="6"/>
  <c r="K13" i="6"/>
  <c r="N12" i="6"/>
  <c r="R12" i="6"/>
  <c r="Q12" i="6"/>
  <c r="P12" i="6"/>
  <c r="O12" i="6"/>
  <c r="M12" i="6"/>
  <c r="L12" i="6"/>
  <c r="K12" i="6"/>
  <c r="AG49" i="5"/>
  <c r="AF49" i="5"/>
  <c r="AE49" i="5"/>
  <c r="AD49" i="5"/>
  <c r="AA49" i="5"/>
  <c r="Z49" i="5"/>
  <c r="W49" i="5"/>
  <c r="V49" i="5"/>
  <c r="U49" i="5"/>
  <c r="T49" i="5"/>
  <c r="P49" i="5"/>
  <c r="AG46" i="5"/>
  <c r="AF46" i="5"/>
  <c r="AE46" i="5"/>
  <c r="AD46" i="5"/>
  <c r="AA46" i="5"/>
  <c r="Z46" i="5"/>
  <c r="W46" i="5"/>
  <c r="V46" i="5"/>
  <c r="U46" i="5"/>
  <c r="T46" i="5"/>
  <c r="P46" i="5"/>
  <c r="AG45" i="5"/>
  <c r="AF45" i="5"/>
  <c r="AE45" i="5"/>
  <c r="AD45" i="5"/>
  <c r="AA45" i="5"/>
  <c r="Z45" i="5"/>
  <c r="W45" i="5"/>
  <c r="V45" i="5"/>
  <c r="U45" i="5"/>
  <c r="T45" i="5"/>
  <c r="P45" i="5"/>
  <c r="AR42" i="5"/>
  <c r="AQ42" i="5"/>
  <c r="AP42" i="5"/>
  <c r="AO42" i="5"/>
  <c r="AN42" i="5"/>
  <c r="AM42" i="5"/>
  <c r="AL42" i="5"/>
  <c r="AK42" i="5"/>
  <c r="AC42" i="5"/>
  <c r="AB42" i="5"/>
  <c r="Y42" i="5"/>
  <c r="X42" i="5"/>
  <c r="S42" i="5"/>
  <c r="R42" i="5"/>
  <c r="AG42" i="5"/>
  <c r="AF42" i="5"/>
  <c r="AE42" i="5"/>
  <c r="AD42" i="5"/>
  <c r="AA42" i="5"/>
  <c r="Z42" i="5"/>
  <c r="W42" i="5"/>
  <c r="V42" i="5"/>
  <c r="U42" i="5"/>
  <c r="T42" i="5"/>
  <c r="P42" i="5"/>
  <c r="AR41" i="5"/>
  <c r="AQ41" i="5"/>
  <c r="AP41" i="5"/>
  <c r="AO41" i="5"/>
  <c r="AN41" i="5"/>
  <c r="AM41" i="5"/>
  <c r="AL41" i="5"/>
  <c r="AK41" i="5"/>
  <c r="AC41" i="5"/>
  <c r="AB41" i="5"/>
  <c r="Y41" i="5"/>
  <c r="X41" i="5"/>
  <c r="S41" i="5"/>
  <c r="R41" i="5"/>
  <c r="AG41" i="5"/>
  <c r="AF41" i="5"/>
  <c r="AE41" i="5"/>
  <c r="AD41" i="5"/>
  <c r="AA41" i="5"/>
  <c r="Z41" i="5"/>
  <c r="W41" i="5"/>
  <c r="V41" i="5"/>
  <c r="U41" i="5"/>
  <c r="T41" i="5"/>
  <c r="P41" i="5"/>
  <c r="AR36" i="5"/>
  <c r="AQ36" i="5"/>
  <c r="AP36" i="5"/>
  <c r="AO36" i="5"/>
  <c r="AN36" i="5"/>
  <c r="AM36" i="5"/>
  <c r="AL36" i="5"/>
  <c r="AK36" i="5"/>
  <c r="AC36" i="5"/>
  <c r="AB36" i="5"/>
  <c r="Y36" i="5"/>
  <c r="X36" i="5"/>
  <c r="S36" i="5"/>
  <c r="R36" i="5"/>
  <c r="AG36" i="5"/>
  <c r="AF36" i="5"/>
  <c r="AE36" i="5"/>
  <c r="AD36" i="5"/>
  <c r="AA36" i="5"/>
  <c r="Z36" i="5"/>
  <c r="W36" i="5"/>
  <c r="V36" i="5"/>
  <c r="U36" i="5"/>
  <c r="T36" i="5"/>
  <c r="P36" i="5"/>
  <c r="AR35" i="5"/>
  <c r="AQ35" i="5"/>
  <c r="AP35" i="5"/>
  <c r="AO35" i="5"/>
  <c r="AN35" i="5"/>
  <c r="AM35" i="5"/>
  <c r="AL35" i="5"/>
  <c r="AK35" i="5"/>
  <c r="AC35" i="5"/>
  <c r="AB35" i="5"/>
  <c r="Y35" i="5"/>
  <c r="X35" i="5"/>
  <c r="S35" i="5"/>
  <c r="R35" i="5"/>
  <c r="AG35" i="5"/>
  <c r="AF35" i="5"/>
  <c r="AE35" i="5"/>
  <c r="AD35" i="5"/>
  <c r="AA35" i="5"/>
  <c r="Z35" i="5"/>
  <c r="W35" i="5"/>
  <c r="V35" i="5"/>
  <c r="U35" i="5"/>
  <c r="T35" i="5"/>
  <c r="P35" i="5"/>
  <c r="AR34" i="5"/>
  <c r="AQ34" i="5"/>
  <c r="AP34" i="5"/>
  <c r="AO34" i="5"/>
  <c r="AN34" i="5"/>
  <c r="AM34" i="5"/>
  <c r="AL34" i="5"/>
  <c r="AK34" i="5"/>
  <c r="AC34" i="5"/>
  <c r="AB34" i="5"/>
  <c r="Y34" i="5"/>
  <c r="X34" i="5"/>
  <c r="S34" i="5"/>
  <c r="R34" i="5"/>
  <c r="AG34" i="5"/>
  <c r="AF34" i="5"/>
  <c r="AE34" i="5"/>
  <c r="AD34" i="5"/>
  <c r="AA34" i="5"/>
  <c r="Z34" i="5"/>
  <c r="W34" i="5"/>
  <c r="V34" i="5"/>
  <c r="U34" i="5"/>
  <c r="T34" i="5"/>
  <c r="P34" i="5"/>
  <c r="AG30" i="5"/>
  <c r="AF30" i="5"/>
  <c r="AE30" i="5"/>
  <c r="AD30" i="5"/>
  <c r="AA30" i="5"/>
  <c r="Z30" i="5"/>
  <c r="W30" i="5"/>
  <c r="V30" i="5"/>
  <c r="U30" i="5"/>
  <c r="T30" i="5"/>
  <c r="P30" i="5"/>
  <c r="AG29" i="5"/>
  <c r="AF29" i="5"/>
  <c r="AE29" i="5"/>
  <c r="AD29" i="5"/>
  <c r="AA29" i="5"/>
  <c r="Z29" i="5"/>
  <c r="W29" i="5"/>
  <c r="V29" i="5"/>
  <c r="U29" i="5"/>
  <c r="T29" i="5"/>
  <c r="P29" i="5"/>
  <c r="AG28" i="5"/>
  <c r="AF28" i="5"/>
  <c r="AE28" i="5"/>
  <c r="AD28" i="5"/>
  <c r="AA28" i="5"/>
  <c r="Z28" i="5"/>
  <c r="W28" i="5"/>
  <c r="V28" i="5"/>
  <c r="U28" i="5"/>
  <c r="T28" i="5"/>
  <c r="P28" i="5"/>
  <c r="AG27" i="5"/>
  <c r="AF27" i="5"/>
  <c r="AE27" i="5"/>
  <c r="AD27" i="5"/>
  <c r="AA27" i="5"/>
  <c r="Z27" i="5"/>
  <c r="W27" i="5"/>
  <c r="V27" i="5"/>
  <c r="U27" i="5"/>
  <c r="T27" i="5"/>
  <c r="P27" i="5"/>
  <c r="M6" i="16" l="1"/>
  <c r="N6" i="16" l="1"/>
  <c r="O6" i="16"/>
  <c r="L12" i="16"/>
  <c r="L10" i="8"/>
  <c r="O10" i="8" s="1"/>
  <c r="M10" i="8"/>
  <c r="N10" i="8"/>
  <c r="R10" i="8"/>
  <c r="U10" i="8" s="1"/>
  <c r="S10" i="8"/>
  <c r="T10" i="8"/>
  <c r="W10" i="8"/>
  <c r="L11" i="8"/>
  <c r="O11" i="8" s="1"/>
  <c r="M11" i="8"/>
  <c r="N11" i="8"/>
  <c r="P11" i="8"/>
  <c r="R11" i="8"/>
  <c r="U11" i="8" s="1"/>
  <c r="S11" i="8"/>
  <c r="T11" i="8"/>
  <c r="V11" i="8"/>
  <c r="X11" i="8"/>
  <c r="L12" i="8"/>
  <c r="O12" i="8" s="1"/>
  <c r="M12" i="8"/>
  <c r="N12" i="8"/>
  <c r="P12" i="8"/>
  <c r="R12" i="8"/>
  <c r="U12" i="8" s="1"/>
  <c r="S12" i="8"/>
  <c r="T12" i="8"/>
  <c r="V12" i="8"/>
  <c r="L13" i="8"/>
  <c r="X13" i="8" s="1"/>
  <c r="M13" i="8"/>
  <c r="N13" i="8"/>
  <c r="P13" i="8"/>
  <c r="R13" i="8"/>
  <c r="U13" i="8" s="1"/>
  <c r="S13" i="8"/>
  <c r="T13" i="8"/>
  <c r="V13" i="8"/>
  <c r="L14" i="8"/>
  <c r="O14" i="8" s="1"/>
  <c r="M14" i="8"/>
  <c r="N14" i="8"/>
  <c r="P14" i="8"/>
  <c r="R14" i="8"/>
  <c r="U14" i="8" s="1"/>
  <c r="S14" i="8"/>
  <c r="T14" i="8"/>
  <c r="V14" i="8"/>
  <c r="L15" i="8"/>
  <c r="X15" i="8" s="1"/>
  <c r="M15" i="8"/>
  <c r="N15" i="8"/>
  <c r="P15" i="8"/>
  <c r="R15" i="8"/>
  <c r="U15" i="8" s="1"/>
  <c r="S15" i="8"/>
  <c r="T15" i="8"/>
  <c r="V15" i="8"/>
  <c r="L16" i="8"/>
  <c r="O16" i="8" s="1"/>
  <c r="M16" i="8"/>
  <c r="N16" i="8"/>
  <c r="P16" i="8"/>
  <c r="R16" i="8"/>
  <c r="U16" i="8" s="1"/>
  <c r="S16" i="8"/>
  <c r="T16" i="8"/>
  <c r="V16" i="8"/>
  <c r="L17" i="8"/>
  <c r="O17" i="8" s="1"/>
  <c r="M17" i="8"/>
  <c r="N17" i="8"/>
  <c r="P17" i="8"/>
  <c r="R17" i="8"/>
  <c r="U17" i="8" s="1"/>
  <c r="S17" i="8"/>
  <c r="T17" i="8"/>
  <c r="V17" i="8"/>
  <c r="L18" i="8"/>
  <c r="O18" i="8" s="1"/>
  <c r="M18" i="8"/>
  <c r="N18" i="8"/>
  <c r="P18" i="8"/>
  <c r="R18" i="8"/>
  <c r="Y18" i="8" s="1"/>
  <c r="S18" i="8"/>
  <c r="T18" i="8"/>
  <c r="V18" i="8"/>
  <c r="L19" i="8"/>
  <c r="X19" i="8" s="1"/>
  <c r="M19" i="8"/>
  <c r="N19" i="8"/>
  <c r="P19" i="8"/>
  <c r="R19" i="8"/>
  <c r="U19" i="8" s="1"/>
  <c r="S19" i="8"/>
  <c r="T19" i="8"/>
  <c r="V19" i="8"/>
  <c r="V27" i="8"/>
  <c r="W27" i="8"/>
  <c r="V28" i="8"/>
  <c r="W28" i="8"/>
  <c r="V29" i="8"/>
  <c r="W29" i="8"/>
  <c r="V30" i="8"/>
  <c r="W30" i="8"/>
  <c r="V31" i="8"/>
  <c r="W31" i="8"/>
  <c r="V32" i="8"/>
  <c r="W32" i="8"/>
  <c r="V33" i="8"/>
  <c r="W33" i="8"/>
  <c r="V34" i="8"/>
  <c r="W34" i="8"/>
  <c r="V35" i="8"/>
  <c r="W35" i="8"/>
  <c r="V36" i="8"/>
  <c r="W36" i="8"/>
  <c r="V42" i="8"/>
  <c r="W42" i="8"/>
  <c r="V43" i="8"/>
  <c r="W43" i="8"/>
  <c r="V44" i="8"/>
  <c r="W44" i="8"/>
  <c r="V45" i="8"/>
  <c r="W45" i="8"/>
  <c r="V46" i="8"/>
  <c r="W46" i="8"/>
  <c r="V47" i="8"/>
  <c r="W47" i="8"/>
  <c r="V48" i="8"/>
  <c r="W48" i="8"/>
  <c r="V49" i="8"/>
  <c r="W49" i="8"/>
  <c r="V50" i="8"/>
  <c r="W50" i="8"/>
  <c r="V51" i="8"/>
  <c r="W51" i="8"/>
  <c r="M4" i="33"/>
  <c r="N4" i="33"/>
  <c r="O4" i="33"/>
  <c r="L9" i="32"/>
  <c r="M9" i="32"/>
  <c r="L13" i="32"/>
  <c r="M13" i="32"/>
  <c r="N13" i="32"/>
  <c r="Y13" i="8" l="1"/>
  <c r="O13" i="8"/>
  <c r="X17" i="8"/>
  <c r="Y12" i="8"/>
  <c r="O15" i="8"/>
  <c r="V10" i="8"/>
  <c r="P10" i="8" s="1"/>
  <c r="U18" i="8"/>
  <c r="Y17" i="8"/>
  <c r="Y15" i="8"/>
  <c r="Y14" i="8"/>
  <c r="O19" i="8"/>
  <c r="Y10" i="8"/>
  <c r="Y19" i="8"/>
  <c r="Y16" i="8"/>
  <c r="Y11" i="8"/>
  <c r="X18" i="8"/>
  <c r="X16" i="8"/>
  <c r="X14" i="8"/>
  <c r="X12" i="8"/>
  <c r="X10" i="8"/>
</calcChain>
</file>

<file path=xl/comments1.xml><?xml version="1.0" encoding="utf-8"?>
<comments xmlns="http://schemas.openxmlformats.org/spreadsheetml/2006/main">
  <authors>
    <author>Xavier Arriada-Mendicoa</author>
  </authors>
  <commentList>
    <comment ref="A12" authorId="0" shapeId="0">
      <text>
        <r>
          <rPr>
            <b/>
            <sz val="9"/>
            <color indexed="81"/>
            <rFont val="Tahoma"/>
            <family val="2"/>
          </rPr>
          <t>Requires: Symbol (TWS' underlying), SecType: CASH, Exchange: IDEALPRO and Currency</t>
        </r>
        <r>
          <rPr>
            <sz val="9"/>
            <color indexed="81"/>
            <rFont val="Tahoma"/>
            <family val="2"/>
          </rPr>
          <t xml:space="preserve">
</t>
        </r>
      </text>
    </comment>
    <comment ref="A17" authorId="0" shapeId="0">
      <text>
        <r>
          <rPr>
            <b/>
            <sz val="9"/>
            <color indexed="81"/>
            <rFont val="Tahoma"/>
            <family val="2"/>
          </rPr>
          <t>Requires: Symbol, SecType: STK, Exchange and currency</t>
        </r>
      </text>
    </comment>
    <comment ref="A26" authorId="0" shapeId="0">
      <text>
        <r>
          <rPr>
            <b/>
            <sz val="9"/>
            <color indexed="81"/>
            <rFont val="Tahoma"/>
            <family val="2"/>
          </rPr>
          <t>Requires: Future's local symbol (see TWS' contract's description's Symbol attribute), FUT, Exchange and Currency</t>
        </r>
        <r>
          <rPr>
            <sz val="9"/>
            <color indexed="81"/>
            <rFont val="Tahoma"/>
            <family val="2"/>
          </rPr>
          <t xml:space="preserve">
</t>
        </r>
      </text>
    </comment>
    <comment ref="A27" authorId="0" shapeId="0">
      <text>
        <r>
          <rPr>
            <b/>
            <sz val="9"/>
            <color indexed="81"/>
            <rFont val="Tahoma"/>
            <family val="2"/>
          </rPr>
          <t>E-mini S&amp;P Future expiring in September 2015</t>
        </r>
        <r>
          <rPr>
            <sz val="9"/>
            <color indexed="81"/>
            <rFont val="Tahoma"/>
            <family val="2"/>
          </rPr>
          <t xml:space="preserve">
</t>
        </r>
      </text>
    </comment>
    <comment ref="A28" authorId="0" shapeId="0">
      <text>
        <r>
          <rPr>
            <b/>
            <sz val="9"/>
            <color indexed="81"/>
            <rFont val="Tahoma"/>
            <family val="2"/>
          </rPr>
          <t>FTSE 100 Index Future for June 2015</t>
        </r>
        <r>
          <rPr>
            <sz val="9"/>
            <color indexed="81"/>
            <rFont val="Tahoma"/>
            <family val="2"/>
          </rPr>
          <t xml:space="preserve">
</t>
        </r>
      </text>
    </comment>
    <comment ref="A29" authorId="0" shapeId="0">
      <text>
        <r>
          <rPr>
            <b/>
            <sz val="9"/>
            <color indexed="81"/>
            <rFont val="Tahoma"/>
            <family val="2"/>
          </rPr>
          <t>Swiss Market Index' Future expiring March 2015</t>
        </r>
      </text>
    </comment>
    <comment ref="A30" authorId="0" shapeId="0">
      <text>
        <r>
          <rPr>
            <b/>
            <sz val="9"/>
            <color indexed="81"/>
            <rFont val="Tahoma"/>
            <family val="2"/>
          </rPr>
          <t>CAC40, expiring June 17th 2016</t>
        </r>
      </text>
    </comment>
    <comment ref="A33" authorId="0" shapeId="0">
      <text>
        <r>
          <rPr>
            <b/>
            <sz val="9"/>
            <color indexed="81"/>
            <rFont val="Tahoma"/>
            <family val="2"/>
          </rPr>
          <t>Requires: Underlying's symbol, SecType: OPT, Expiration date (yyyymmdd), Strike, P/C (for PUT or CALL), Exchange and currency.</t>
        </r>
        <r>
          <rPr>
            <sz val="9"/>
            <color indexed="81"/>
            <rFont val="Tahoma"/>
            <family val="2"/>
          </rPr>
          <t xml:space="preserve">
Example below shows how to request a Google option expiring on January 15th 2016</t>
        </r>
      </text>
    </comment>
    <comment ref="A40" authorId="0" shapeId="0">
      <text>
        <r>
          <rPr>
            <b/>
            <sz val="9"/>
            <color indexed="81"/>
            <rFont val="Calibri"/>
            <family val="2"/>
          </rPr>
          <t>Requires Symbol (see TWS' contract's details' "Product"), SecType: FOP, Expiration date (yyyymmdd), Strike, Side (P/C), Multiplier, Trading class (optional, in case of ambiguity), exchange and currency.</t>
        </r>
        <r>
          <rPr>
            <sz val="9"/>
            <color indexed="81"/>
            <rFont val="Calibri"/>
            <family val="2"/>
          </rPr>
          <t xml:space="preserve">
Example below shows the EUR.USD FOP expiring on June 5th 2015</t>
        </r>
      </text>
    </comment>
    <comment ref="A44" authorId="0" shapeId="0">
      <text>
        <r>
          <rPr>
            <b/>
            <sz val="9"/>
            <color indexed="81"/>
            <rFont val="Tahoma"/>
            <family val="2"/>
          </rPr>
          <t>Requires: Symbol, SecType: IND, Currency and Exchange</t>
        </r>
      </text>
    </comment>
    <comment ref="A48" authorId="0" shapeId="0">
      <text>
        <r>
          <rPr>
            <b/>
            <sz val="9"/>
            <color indexed="81"/>
            <rFont val="Tahoma"/>
            <family val="2"/>
          </rPr>
          <t>Requires: Symbol (use the underlyings' currency), SecType: BAG, Exchange: SMART, Currency and legs' string made up with: number of legs each leg having ConId, ratio, side, exchange, open/close.</t>
        </r>
        <r>
          <rPr>
            <sz val="9"/>
            <color indexed="81"/>
            <rFont val="Tahoma"/>
            <family val="2"/>
          </rPr>
          <t xml:space="preserve">
</t>
        </r>
      </text>
    </comment>
    <comment ref="A49" authorId="0" shapeId="0">
      <text>
        <r>
          <rPr>
            <sz val="9"/>
            <color indexed="81"/>
            <rFont val="Tahoma"/>
            <family val="2"/>
          </rPr>
          <t xml:space="preserve">This combo specifies: BUY 1 stock of BKW (109385219) and SELL 1  of MCD (9408)
</t>
        </r>
      </text>
    </comment>
  </commentList>
</comments>
</file>

<file path=xl/comments2.xml><?xml version="1.0" encoding="utf-8"?>
<comments xmlns="http://schemas.openxmlformats.org/spreadsheetml/2006/main">
  <authors>
    <author>Michael Cohen</author>
  </authors>
  <commentList>
    <comment ref="A12" authorId="0" shapeId="0">
      <text>
        <r>
          <rPr>
            <sz val="10"/>
            <color indexed="81"/>
            <rFont val="Arial"/>
            <family val="2"/>
          </rPr>
          <t>Bracket orders require you to enter all the orders first, then set the first order as the parent order. First, set the Transmit value to 0 on the Extended Order Attributes page, then place the first order in the bracket. You will see an order ID, even though the order hasn't been transmitted. Copy the Order Id from the first order to the Parent Order Id Value cell on the Extended Order Attributes page, then place the second order. Finally, set Transmit = 1 on the Extended Order Attributes page, then place the third order. All orders in the bracket will be submitted and associated with the Parent Order (the first order in the bracket). Use the Aux Price cell for the stop price. Don't forget to delete the Parent Order ID value from the Extended Order Attributes page or it will be applied to all subsequent orders placed from the spreadsheet.</t>
        </r>
      </text>
    </comment>
    <comment ref="A18" authorId="0" shapeId="0">
      <text>
        <r>
          <rPr>
            <sz val="10"/>
            <color indexed="81"/>
            <rFont val="Arial"/>
            <family val="2"/>
          </rPr>
          <t xml:space="preserve">For VOL orders, enter the contract information in the Contract Description cells, then enter the order information in the Order Description cells. Enter values for the Volatility, Volatility Type (1=daily, 2=annual), Reference Price Type (1=average, 2 = BidOrAsk), Continuous Update (0=false, 1= true), Stock Range Lower, and Stock Range Upper, and if applicable, Hedge Delta Order Type and Hedge Delta Aux Price, on the Extended Order Attributes page, then highlight the order row here and click the Apply Extended Template button to apply the VOL order attribute values to the order. Finally, place the order. </t>
        </r>
      </text>
    </comment>
    <comment ref="A23" authorId="0" shapeId="0">
      <text>
        <r>
          <rPr>
            <sz val="10"/>
            <color indexed="81"/>
            <rFont val="Arial"/>
            <family val="2"/>
          </rPr>
          <t>For Trailing Stop Limit orders, enter the contract information in the Contract Description cells, then enter the order information in the Order Description cells, using TRAILLIMIT as the Order Type, and entering the limit price in the Lmt Price cell and the trailing amount in the Aux Price cell. Then enter the following for the Trail Stop Price attribute on the Extended Order Attributes page: Trail Stop Price = Limit Price - Trailing Amount - Limit Offset Amount. Next, highlight the order row here, then click the Apply Extended Template button to apply the Trail Stop Price attribute value to the order. Finally, place the order. Note: For Trailing Stop Limit BUY orders, the Trail Stop Price extended order attribute = Limit Price + Trailing Amount + Limit Offset Amount.</t>
        </r>
      </text>
    </comment>
    <comment ref="A28" authorId="0" shapeId="0">
      <text>
        <r>
          <rPr>
            <sz val="10"/>
            <color indexed="81"/>
            <rFont val="Arial"/>
            <family val="2"/>
          </rPr>
          <t>For Scale orders, enter the contract information in the Contract Description cells, then enter the order information in the Order Description cells, specifying LMT or REL as the Order Type. Next, enter a value for the Scale Component Size and Scale Price Increment attributes on the Extended Order Attributes page. Next, highlight the order row here, then click the Apply Extended Template button to apply the scale order attribute values to the order. Finally, place the order.</t>
        </r>
      </text>
    </comment>
    <comment ref="A33" authorId="0" shapeId="0">
      <text>
        <r>
          <rPr>
            <sz val="10"/>
            <color indexed="81"/>
            <rFont val="Arial"/>
            <family val="2"/>
          </rPr>
          <t>For Relative orders, enter the contract information in the Contract Description cells, then enter the order information in the Order Description cells, specifying REL as the Order Type and the price cap in the Lmt Price cell. Next, enter a percentage in decimal form as the value for the Percent Offset attributes on the Extended Order Attributes page. Next, highlight the order row here, then click the Apply Extended Template button to apply the Percent Offset attribute value to the order. Finally, place the order.</t>
        </r>
      </text>
    </comment>
  </commentList>
</comments>
</file>

<file path=xl/comments3.xml><?xml version="1.0" encoding="utf-8"?>
<comments xmlns="http://schemas.openxmlformats.org/spreadsheetml/2006/main">
  <authors>
    <author>Michael Cohen</author>
  </authors>
  <commentList>
    <comment ref="A12" authorId="0" shapeId="0">
      <text>
        <r>
          <rPr>
            <sz val="10"/>
            <color indexed="81"/>
            <rFont val="Arial"/>
            <family val="2"/>
          </rPr>
          <t>To set up an order and allocate all shares in the order to a single account, first make sure you have created an account group in TWS. On this page of the spreadsheet, enter the contract information in the Contract Description cells, then enter the order information in the Order Description cells. Next, enter the account code in the Value cell for the Account (Institutional only) attribute on the Extended Order Attributes page. Next, highlight the order row here, then click the Apply Extended Template button to apply the Account order attribute value to the order. Finally, place the order. Don't forget to delete the Account value from the Extended Order Attributes page when you have finished ordering.</t>
        </r>
      </text>
    </comment>
    <comment ref="A22" authorId="0" shapeId="0">
      <text>
        <r>
          <rPr>
            <sz val="10"/>
            <color indexed="81"/>
            <rFont val="Arial"/>
            <family val="2"/>
          </rPr>
          <t>To set up an order and allocate shares in the order to an FA Account Group, first make sure you have set up the Account Group with a default allocation method in TWS. On this page of the spreadsheet, enter the contract information in the Contract Description cells, then enter the order information in the Order Description cells. Next, enter the Account Group name and method in the Value cells for the FA Group and FA Method attributes on the Extended Order Attributes page. Next, highlight the order row here, then click the Apply Extended Template button to apply the order attribute values to the order. Finally, place the order. Don't forget to delete the values from the Extended Order Attributes page when you have finished ordering using the Account Group.</t>
        </r>
      </text>
    </comment>
    <comment ref="A30" authorId="0" shapeId="0">
      <text>
        <r>
          <rPr>
            <sz val="10"/>
            <color indexed="81"/>
            <rFont val="Arial"/>
            <family val="2"/>
          </rPr>
          <t>To set up an order and allocate shares in the order to an FA Account Group using the PctChange allocation method, first make sure you have set up the Account Group with the PctChange method in TWS. On this page of the spreadsheet, enter the contract information in the Contract Description cells, then enter the order information in the Order Description cells. Next, enter the Account Group name and method in the Value cells for the FA Group, FA Method, and FA Percentage  attributes on the Extended Order Attributes page. Next, highlight the order row here, then click the Apply Extended Template button to apply the order attribute values to the order. Finally, place the order. Don't forget to delete the values from the Extended Order Attributes page when you have finished ordering using the Account Group.</t>
        </r>
      </text>
    </comment>
    <comment ref="A38" authorId="0" shapeId="0">
      <text>
        <r>
          <rPr>
            <sz val="10"/>
            <color indexed="81"/>
            <rFont val="Arial"/>
            <family val="2"/>
          </rPr>
          <t>To set up an order using an Allocation Profile, first make sure you have created the Allocation Profile in TWS. On this page of thet spreadsheet, enter the contract information in the Contract Description cells, then enter the order information in the Order Description cells. Next, enter the Allocation Profile name in the Value cell for the FA Profile attribute on the Extended Order Attributes page. Next, highlight the order row here, then click the Apply Extended Template button to apply the Account order attribute value to the order. Finally, place the order. Don't forget to delete the FA Profile value from the Extended Order Attributes page when you have finished ordering using the Allocation Profile.</t>
        </r>
      </text>
    </comment>
  </commentList>
</comments>
</file>

<file path=xl/comments4.xml><?xml version="1.0" encoding="utf-8"?>
<comments xmlns="http://schemas.openxmlformats.org/spreadsheetml/2006/main">
  <authors>
    <author>Xavier Arriada-Mendicoa</author>
  </authors>
  <commentList>
    <comment ref="A11" authorId="0" shapeId="0">
      <text>
        <r>
          <rPr>
            <b/>
            <sz val="9"/>
            <color indexed="81"/>
            <rFont val="Tahoma"/>
            <family val="2"/>
          </rPr>
          <t>Note: FX TRADES historical data is not provided!</t>
        </r>
        <r>
          <rPr>
            <sz val="9"/>
            <color indexed="81"/>
            <rFont val="Tahoma"/>
            <family val="2"/>
          </rPr>
          <t xml:space="preserve">
</t>
        </r>
      </text>
    </comment>
    <comment ref="O12" authorId="0" shapeId="0">
      <text>
        <r>
          <rPr>
            <b/>
            <sz val="9"/>
            <color indexed="81"/>
            <rFont val="Tahoma"/>
            <family val="2"/>
          </rPr>
          <t>1 second</t>
        </r>
      </text>
    </comment>
    <comment ref="O13" authorId="0" shapeId="0">
      <text>
        <r>
          <rPr>
            <b/>
            <sz val="9"/>
            <color indexed="81"/>
            <rFont val="Tahoma"/>
            <family val="2"/>
          </rPr>
          <t>5 seconds</t>
        </r>
      </text>
    </comment>
    <comment ref="Q13" authorId="0" shapeId="0">
      <text>
        <r>
          <rPr>
            <b/>
            <sz val="9"/>
            <color indexed="81"/>
            <rFont val="Tahoma"/>
            <family val="2"/>
          </rPr>
          <t>1 - Only return data withing the regular trading hours</t>
        </r>
        <r>
          <rPr>
            <sz val="9"/>
            <color indexed="81"/>
            <rFont val="Tahoma"/>
            <family val="2"/>
          </rPr>
          <t xml:space="preserve">
</t>
        </r>
      </text>
    </comment>
    <comment ref="A16" authorId="0" shapeId="0">
      <text>
        <r>
          <rPr>
            <b/>
            <sz val="9"/>
            <color indexed="81"/>
            <rFont val="Tahoma"/>
            <family val="2"/>
          </rPr>
          <t>Requires: Symbol, SecType: STK, Exchange and currency</t>
        </r>
      </text>
    </comment>
    <comment ref="O17" authorId="0" shapeId="0">
      <text>
        <r>
          <rPr>
            <b/>
            <sz val="9"/>
            <color indexed="81"/>
            <rFont val="Tahoma"/>
            <family val="2"/>
          </rPr>
          <t>15 Seconds</t>
        </r>
        <r>
          <rPr>
            <sz val="9"/>
            <color indexed="81"/>
            <rFont val="Tahoma"/>
            <family val="2"/>
          </rPr>
          <t xml:space="preserve">
</t>
        </r>
      </text>
    </comment>
    <comment ref="Q17" authorId="0" shapeId="0">
      <text>
        <r>
          <rPr>
            <b/>
            <sz val="9"/>
            <color indexed="81"/>
            <rFont val="Tahoma"/>
            <family val="2"/>
          </rPr>
          <t>0 - return also data generated outside trading hours</t>
        </r>
        <r>
          <rPr>
            <sz val="9"/>
            <color indexed="81"/>
            <rFont val="Tahoma"/>
            <family val="2"/>
          </rPr>
          <t xml:space="preserve">
</t>
        </r>
      </text>
    </comment>
    <comment ref="R17" authorId="0" shapeId="0">
      <text>
        <r>
          <rPr>
            <b/>
            <sz val="9"/>
            <color indexed="81"/>
            <rFont val="Tahoma"/>
            <family val="2"/>
          </rPr>
          <t>1 - bars' date is given as yyyymmdd hh:mm:ss</t>
        </r>
      </text>
    </comment>
    <comment ref="O18" authorId="0" shapeId="0">
      <text>
        <r>
          <rPr>
            <b/>
            <sz val="9"/>
            <color indexed="81"/>
            <rFont val="Tahoma"/>
            <family val="2"/>
          </rPr>
          <t>30 Seconds</t>
        </r>
        <r>
          <rPr>
            <sz val="9"/>
            <color indexed="81"/>
            <rFont val="Tahoma"/>
            <family val="2"/>
          </rPr>
          <t xml:space="preserve">
</t>
        </r>
      </text>
    </comment>
    <comment ref="R18" authorId="0" shapeId="0">
      <text>
        <r>
          <rPr>
            <b/>
            <sz val="9"/>
            <color indexed="81"/>
            <rFont val="Tahoma"/>
            <family val="2"/>
          </rPr>
          <t>Bars' date is given as milliseconds</t>
        </r>
      </text>
    </comment>
    <comment ref="O19" authorId="0" shapeId="0">
      <text>
        <r>
          <rPr>
            <b/>
            <sz val="9"/>
            <color indexed="81"/>
            <rFont val="Tahoma"/>
            <family val="2"/>
          </rPr>
          <t>1 Minute</t>
        </r>
        <r>
          <rPr>
            <sz val="9"/>
            <color indexed="81"/>
            <rFont val="Tahoma"/>
            <family val="2"/>
          </rPr>
          <t xml:space="preserve">
</t>
        </r>
      </text>
    </comment>
    <comment ref="O20" authorId="0" shapeId="0">
      <text>
        <r>
          <rPr>
            <b/>
            <sz val="9"/>
            <color indexed="81"/>
            <rFont val="Tahoma"/>
            <family val="2"/>
          </rPr>
          <t>2 minutes</t>
        </r>
      </text>
    </comment>
    <comment ref="O21" authorId="0" shapeId="0">
      <text>
        <r>
          <rPr>
            <b/>
            <sz val="9"/>
            <color indexed="81"/>
            <rFont val="Tahoma"/>
            <family val="2"/>
          </rPr>
          <t>5 minutes</t>
        </r>
      </text>
    </comment>
    <comment ref="O22" authorId="0" shapeId="0">
      <text>
        <r>
          <rPr>
            <b/>
            <sz val="9"/>
            <color indexed="81"/>
            <rFont val="Tahoma"/>
            <family val="2"/>
          </rPr>
          <t>15 Minutes</t>
        </r>
      </text>
    </comment>
    <comment ref="O23" authorId="0" shapeId="0">
      <text>
        <r>
          <rPr>
            <b/>
            <sz val="9"/>
            <color indexed="81"/>
            <rFont val="Tahoma"/>
            <family val="2"/>
          </rPr>
          <t>30 Minutes</t>
        </r>
        <r>
          <rPr>
            <sz val="9"/>
            <color indexed="81"/>
            <rFont val="Tahoma"/>
            <family val="2"/>
          </rPr>
          <t xml:space="preserve">
</t>
        </r>
      </text>
    </comment>
    <comment ref="A25" authorId="0" shapeId="0">
      <text>
        <r>
          <rPr>
            <b/>
            <sz val="9"/>
            <color indexed="81"/>
            <rFont val="Tahoma"/>
            <family val="2"/>
          </rPr>
          <t>Requires: Future's local symbol (see TWS' contract's description's Symbol attribute), FUT, Exchange and Currency</t>
        </r>
        <r>
          <rPr>
            <sz val="9"/>
            <color indexed="81"/>
            <rFont val="Tahoma"/>
            <family val="2"/>
          </rPr>
          <t xml:space="preserve">
</t>
        </r>
      </text>
    </comment>
    <comment ref="A26" authorId="0" shapeId="0">
      <text>
        <r>
          <rPr>
            <b/>
            <sz val="9"/>
            <color indexed="81"/>
            <rFont val="Tahoma"/>
            <family val="2"/>
          </rPr>
          <t>E-mini S&amp;P Future expiring in September 2015</t>
        </r>
        <r>
          <rPr>
            <sz val="9"/>
            <color indexed="81"/>
            <rFont val="Tahoma"/>
            <family val="2"/>
          </rPr>
          <t xml:space="preserve">
</t>
        </r>
      </text>
    </comment>
    <comment ref="O26" authorId="0" shapeId="0">
      <text>
        <r>
          <rPr>
            <b/>
            <sz val="9"/>
            <color indexed="81"/>
            <rFont val="Tahoma"/>
            <family val="2"/>
          </rPr>
          <t>1 hour</t>
        </r>
      </text>
    </comment>
    <comment ref="A27" authorId="0" shapeId="0">
      <text>
        <r>
          <rPr>
            <b/>
            <sz val="9"/>
            <color indexed="81"/>
            <rFont val="Tahoma"/>
            <family val="2"/>
          </rPr>
          <t>FTSE 100 Index Future for June 2015</t>
        </r>
        <r>
          <rPr>
            <sz val="9"/>
            <color indexed="81"/>
            <rFont val="Tahoma"/>
            <family val="2"/>
          </rPr>
          <t xml:space="preserve">
</t>
        </r>
      </text>
    </comment>
    <comment ref="O27" authorId="0" shapeId="0">
      <text>
        <r>
          <rPr>
            <b/>
            <sz val="9"/>
            <color indexed="81"/>
            <rFont val="Tahoma"/>
            <family val="2"/>
          </rPr>
          <t>1 day</t>
        </r>
        <r>
          <rPr>
            <sz val="9"/>
            <color indexed="81"/>
            <rFont val="Tahoma"/>
            <family val="2"/>
          </rPr>
          <t xml:space="preserve">
</t>
        </r>
      </text>
    </comment>
    <comment ref="A28" authorId="0" shapeId="0">
      <text>
        <r>
          <rPr>
            <b/>
            <sz val="9"/>
            <color indexed="81"/>
            <rFont val="Tahoma"/>
            <family val="2"/>
          </rPr>
          <t>Swiss Market Index' Future expiring March 2015</t>
        </r>
      </text>
    </comment>
    <comment ref="O28" authorId="0" shapeId="0">
      <text>
        <r>
          <rPr>
            <b/>
            <sz val="9"/>
            <color indexed="81"/>
            <rFont val="Tahoma"/>
            <family val="2"/>
          </rPr>
          <t>3 minutes</t>
        </r>
      </text>
    </comment>
    <comment ref="A29" authorId="0" shapeId="0">
      <text>
        <r>
          <rPr>
            <b/>
            <sz val="9"/>
            <color indexed="81"/>
            <rFont val="Tahoma"/>
            <family val="2"/>
          </rPr>
          <t>CAC40, expiring June 17th 2016</t>
        </r>
      </text>
    </comment>
    <comment ref="T30" authorId="0" shapeId="0">
      <text>
        <r>
          <rPr>
            <b/>
            <sz val="9"/>
            <color indexed="81"/>
            <rFont val="Tahoma"/>
            <family val="2"/>
          </rPr>
          <t>Futures are the only instruments you can get data for after they expire!</t>
        </r>
      </text>
    </comment>
    <comment ref="A32" authorId="0" shapeId="0">
      <text>
        <r>
          <rPr>
            <b/>
            <sz val="9"/>
            <color indexed="81"/>
            <rFont val="Tahoma"/>
            <family val="2"/>
          </rPr>
          <t>Requires: Underlying's symbol, SecType: OPT, Expiration date (yyyymmdd), Strike, P/C (for PUT or CALL), Exchange and currency.</t>
        </r>
        <r>
          <rPr>
            <sz val="9"/>
            <color indexed="81"/>
            <rFont val="Tahoma"/>
            <family val="2"/>
          </rPr>
          <t xml:space="preserve">
Example below shows how to request a Google option expiring on January 15th 2016</t>
        </r>
      </text>
    </comment>
    <comment ref="A39" authorId="0" shapeId="0">
      <text>
        <r>
          <rPr>
            <b/>
            <sz val="9"/>
            <color indexed="81"/>
            <rFont val="Calibri"/>
            <family val="2"/>
          </rPr>
          <t>Requires Symbol (see TWS' contract's details' "Product"), SecType: FOP, Expiration date (yyyymmdd), Strike, Side (P/C), Multiplier, Trading class (optional, in case of ambiguity), exchange and currency.</t>
        </r>
        <r>
          <rPr>
            <sz val="9"/>
            <color indexed="81"/>
            <rFont val="Calibri"/>
            <family val="2"/>
          </rPr>
          <t xml:space="preserve">
Example below shows the EUR.USD FOP expiring on June 5th 2015</t>
        </r>
      </text>
    </comment>
    <comment ref="A43" authorId="0" shapeId="0">
      <text>
        <r>
          <rPr>
            <b/>
            <sz val="9"/>
            <color indexed="81"/>
            <rFont val="Tahoma"/>
            <family val="2"/>
          </rPr>
          <t>Requires: Symbol, SecType: IND, Currency and Exchange</t>
        </r>
      </text>
    </comment>
    <comment ref="Q49" authorId="0" shapeId="0">
      <text>
        <r>
          <rPr>
            <b/>
            <sz val="9"/>
            <color indexed="81"/>
            <rFont val="Tahoma"/>
            <family val="2"/>
          </rPr>
          <t>0 - return also data generated outside trading hours</t>
        </r>
        <r>
          <rPr>
            <sz val="9"/>
            <color indexed="81"/>
            <rFont val="Tahoma"/>
            <family val="2"/>
          </rPr>
          <t xml:space="preserve">
</t>
        </r>
      </text>
    </comment>
    <comment ref="R49" authorId="0" shapeId="0">
      <text>
        <r>
          <rPr>
            <b/>
            <sz val="9"/>
            <color indexed="81"/>
            <rFont val="Tahoma"/>
            <family val="2"/>
          </rPr>
          <t>1 - bars' date is given as yyyymmdd hh:mm:ss</t>
        </r>
      </text>
    </comment>
    <comment ref="Q50" authorId="0" shapeId="0">
      <text>
        <r>
          <rPr>
            <b/>
            <sz val="9"/>
            <color indexed="81"/>
            <rFont val="Tahoma"/>
            <family val="2"/>
          </rPr>
          <t>0 - return also data generated outside trading hours</t>
        </r>
        <r>
          <rPr>
            <sz val="9"/>
            <color indexed="81"/>
            <rFont val="Tahoma"/>
            <family val="2"/>
          </rPr>
          <t xml:space="preserve">
</t>
        </r>
      </text>
    </comment>
    <comment ref="R50" authorId="0" shapeId="0">
      <text>
        <r>
          <rPr>
            <b/>
            <sz val="9"/>
            <color indexed="81"/>
            <rFont val="Tahoma"/>
            <family val="2"/>
          </rPr>
          <t>1 - bars' date is given as yyyymmdd hh:mm:ss</t>
        </r>
      </text>
    </comment>
    <comment ref="Q51" authorId="0" shapeId="0">
      <text>
        <r>
          <rPr>
            <b/>
            <sz val="9"/>
            <color indexed="81"/>
            <rFont val="Tahoma"/>
            <family val="2"/>
          </rPr>
          <t>0 - return also data generated outside trading hours</t>
        </r>
        <r>
          <rPr>
            <sz val="9"/>
            <color indexed="81"/>
            <rFont val="Tahoma"/>
            <family val="2"/>
          </rPr>
          <t xml:space="preserve">
</t>
        </r>
      </text>
    </comment>
    <comment ref="R51" authorId="0" shapeId="0">
      <text>
        <r>
          <rPr>
            <b/>
            <sz val="9"/>
            <color indexed="81"/>
            <rFont val="Tahoma"/>
            <family val="2"/>
          </rPr>
          <t>1 - bars' date is given as yyyymmdd hh:mm:ss</t>
        </r>
      </text>
    </comment>
  </commentList>
</comments>
</file>

<file path=xl/sharedStrings.xml><?xml version="1.0" encoding="utf-8"?>
<sst xmlns="http://schemas.openxmlformats.org/spreadsheetml/2006/main" count="5501" uniqueCount="1274">
  <si>
    <t>FUT.GLOBEX,FUT.ECBOT</t>
  </si>
  <si>
    <t>STK.NASDAQ,STK.NYSE,STK.AMEX</t>
  </si>
  <si>
    <t>MOST ACTIVE LIST</t>
  </si>
  <si>
    <t>MOST ACTIVE US</t>
  </si>
  <si>
    <t>STK.EU.LSE</t>
  </si>
  <si>
    <t>IND.US</t>
  </si>
  <si>
    <t>TOP_IND_GAIN</t>
  </si>
  <si>
    <t>TOP_FUT_GAIN</t>
  </si>
  <si>
    <t>FUT.US</t>
  </si>
  <si>
    <t>Execution Details</t>
  </si>
  <si>
    <t>Symbol</t>
  </si>
  <si>
    <t>Strike</t>
  </si>
  <si>
    <t>STK</t>
  </si>
  <si>
    <t>Exchange</t>
  </si>
  <si>
    <t>Action</t>
  </si>
  <si>
    <t>Quantity</t>
  </si>
  <si>
    <t>Order Type</t>
  </si>
  <si>
    <t>Lmt Price</t>
  </si>
  <si>
    <t>Aux Price</t>
  </si>
  <si>
    <t>Status</t>
  </si>
  <si>
    <t>Filled</t>
  </si>
  <si>
    <t>Remaining</t>
  </si>
  <si>
    <t>Type</t>
  </si>
  <si>
    <t>Ctrl</t>
  </si>
  <si>
    <t>P/C</t>
  </si>
  <si>
    <t>Id</t>
  </si>
  <si>
    <t>IBM</t>
  </si>
  <si>
    <t>P</t>
  </si>
  <si>
    <t>Contract Description</t>
  </si>
  <si>
    <t>Order Description</t>
  </si>
  <si>
    <t>Order Status</t>
  </si>
  <si>
    <t>OPT</t>
  </si>
  <si>
    <t>FUT</t>
  </si>
  <si>
    <t>Stocks</t>
  </si>
  <si>
    <t>Options</t>
  </si>
  <si>
    <t>Price</t>
  </si>
  <si>
    <t>C</t>
  </si>
  <si>
    <t>Indexes</t>
  </si>
  <si>
    <t>SPX</t>
  </si>
  <si>
    <t>IND</t>
  </si>
  <si>
    <t>CBOE</t>
  </si>
  <si>
    <t>Currency</t>
  </si>
  <si>
    <t>EUR</t>
  </si>
  <si>
    <t>CASH</t>
  </si>
  <si>
    <t>USD</t>
  </si>
  <si>
    <t>NDX</t>
  </si>
  <si>
    <t>NASDAQ</t>
  </si>
  <si>
    <t>HKD</t>
  </si>
  <si>
    <t>Toolbar</t>
  </si>
  <si>
    <t>IB Trader Workstation - Orders</t>
  </si>
  <si>
    <t>IB Trader Workstation - Tickers</t>
  </si>
  <si>
    <t>Market Data</t>
  </si>
  <si>
    <t>Which Trader Workstation?</t>
  </si>
  <si>
    <t>Bid Size</t>
  </si>
  <si>
    <t>Bid Price</t>
  </si>
  <si>
    <t>Ask Price</t>
  </si>
  <si>
    <t>Last Price</t>
  </si>
  <si>
    <t>Last Size</t>
  </si>
  <si>
    <t>Ask Size</t>
  </si>
  <si>
    <t>User Name</t>
  </si>
  <si>
    <t>IB Trader Workstation - Account Values</t>
  </si>
  <si>
    <t>Time:</t>
  </si>
  <si>
    <t>IB Trader Workstation - Account Portfolio</t>
  </si>
  <si>
    <t>Key</t>
  </si>
  <si>
    <t>Value</t>
  </si>
  <si>
    <t>SecType</t>
  </si>
  <si>
    <t>Right</t>
  </si>
  <si>
    <t>Position</t>
  </si>
  <si>
    <t>SMART</t>
  </si>
  <si>
    <t>MSFT</t>
  </si>
  <si>
    <t>YHOO</t>
  </si>
  <si>
    <t>Extended Order Attributes</t>
  </si>
  <si>
    <t>Attributes</t>
  </si>
  <si>
    <t>OCA Group</t>
  </si>
  <si>
    <t>Account</t>
  </si>
  <si>
    <t>Order Ref</t>
  </si>
  <si>
    <t>Transmit (0=false, 1=true)</t>
  </si>
  <si>
    <t>Note</t>
  </si>
  <si>
    <t>Time in Force(DAY, GTC, ect.)</t>
  </si>
  <si>
    <t>Market Price</t>
  </si>
  <si>
    <t>Low</t>
  </si>
  <si>
    <t>High</t>
  </si>
  <si>
    <t>Volume</t>
  </si>
  <si>
    <t>Close</t>
  </si>
  <si>
    <t>Parent Order Id</t>
  </si>
  <si>
    <t>Parent Id</t>
  </si>
  <si>
    <t>Market Name</t>
  </si>
  <si>
    <t>Trading Class</t>
  </si>
  <si>
    <t>Multiplier</t>
  </si>
  <si>
    <t>GE</t>
  </si>
  <si>
    <t>ConId</t>
  </si>
  <si>
    <t>Min Tick</t>
  </si>
  <si>
    <t>Exchanges</t>
  </si>
  <si>
    <t>Order Types</t>
  </si>
  <si>
    <t>IB Trader Workstation - Contract Details</t>
  </si>
  <si>
    <t>Contract Summary Description</t>
  </si>
  <si>
    <t>Contract Details</t>
  </si>
  <si>
    <t>Block Order (0=false, 1=true)</t>
  </si>
  <si>
    <t>Display Size</t>
  </si>
  <si>
    <t>Trigger Method</t>
  </si>
  <si>
    <t>Sweep To Fill (0=false, 1=true)</t>
  </si>
  <si>
    <t>Order Id</t>
  </si>
  <si>
    <t>Execution Id</t>
  </si>
  <si>
    <t>Time</t>
  </si>
  <si>
    <t>Side</t>
  </si>
  <si>
    <t>IB Trader Workstation - Market Depth</t>
  </si>
  <si>
    <t>Market Depth</t>
  </si>
  <si>
    <t>MM</t>
  </si>
  <si>
    <t>Bid</t>
  </si>
  <si>
    <t>Ask</t>
  </si>
  <si>
    <t>Hidden (0=false, 1= true)</t>
  </si>
  <si>
    <t>Refresh Rate</t>
  </si>
  <si>
    <t>Avg Fill Price</t>
  </si>
  <si>
    <t>Last Fill Price</t>
  </si>
  <si>
    <t>PermId</t>
  </si>
  <si>
    <t>Comb Legs</t>
  </si>
  <si>
    <t>O</t>
  </si>
  <si>
    <t>FOP</t>
  </si>
  <si>
    <t>Future Options</t>
  </si>
  <si>
    <t>Realized PNL</t>
  </si>
  <si>
    <t>UnrealizedPNL</t>
  </si>
  <si>
    <t>Avg Cost</t>
  </si>
  <si>
    <t xml:space="preserve">Acct Code: </t>
  </si>
  <si>
    <t>FA Managed Accounts</t>
  </si>
  <si>
    <t>Accounts</t>
  </si>
  <si>
    <t>Acct Code</t>
  </si>
  <si>
    <t>Execution Filter Criteria</t>
  </si>
  <si>
    <t>Date</t>
  </si>
  <si>
    <t>LocalSymbol</t>
  </si>
  <si>
    <t>Market Value</t>
  </si>
  <si>
    <t>Client Id</t>
  </si>
  <si>
    <t>yyyy\mm\dd</t>
  </si>
  <si>
    <t>hh.mm.ss</t>
  </si>
  <si>
    <t>Good After Time</t>
  </si>
  <si>
    <t>Good Till Date</t>
  </si>
  <si>
    <t>FA Group</t>
  </si>
  <si>
    <t>FA Method</t>
  </si>
  <si>
    <t>FA Percentage</t>
  </si>
  <si>
    <t>FA Profile</t>
  </si>
  <si>
    <t>Leave this empty</t>
  </si>
  <si>
    <t>Short Sale Slot (institutional only)</t>
  </si>
  <si>
    <t>Primary Exchange</t>
  </si>
  <si>
    <t>IB Trader Workstation - Conditional Orders</t>
  </si>
  <si>
    <t>Condition Statements</t>
  </si>
  <si>
    <t>ParentId</t>
  </si>
  <si>
    <t>Statement</t>
  </si>
  <si>
    <t>ADD/MOD</t>
  </si>
  <si>
    <t>BUY</t>
  </si>
  <si>
    <t>MKT</t>
  </si>
  <si>
    <t>SELL</t>
  </si>
  <si>
    <t>First Monitor Row</t>
  </si>
  <si>
    <t>Last Monitor Row</t>
  </si>
  <si>
    <t>ISE</t>
  </si>
  <si>
    <t>Short Sale Location (institutional only)</t>
  </si>
  <si>
    <t>1 if you hold the shares, 2 if they will be delivered from elsewhere.  Only for Action="SSHORT"</t>
  </si>
  <si>
    <t>OCA Type</t>
  </si>
  <si>
    <t xml:space="preserve">Rule 80A </t>
  </si>
  <si>
    <t>Settling Firm</t>
  </si>
  <si>
    <t>Percent Offset</t>
  </si>
  <si>
    <t xml:space="preserve">NBBO Price Cap </t>
  </si>
  <si>
    <t xml:space="preserve">Auction Strategy </t>
  </si>
  <si>
    <t>Starting Price</t>
  </si>
  <si>
    <t>Stock Ref Price</t>
  </si>
  <si>
    <t>Delta</t>
  </si>
  <si>
    <t>Stock Range Lower</t>
  </si>
  <si>
    <t>Stock Range Upper</t>
  </si>
  <si>
    <t xml:space="preserve">Minimum Qty </t>
  </si>
  <si>
    <t>All Or None (0=false, 1=true)</t>
  </si>
  <si>
    <t>1=Cancel on Fill with Block, 2=Reduce on Fill with Block, 3=Reduce on Fill without Block</t>
  </si>
  <si>
    <t>Relative orders only</t>
  </si>
  <si>
    <t>BOX Exchange: 1 = match, 2 = improvement, 3 = transparent</t>
  </si>
  <si>
    <t>BOX Exchange:</t>
  </si>
  <si>
    <t>Individual = 'I', Agency = 'A', AgentOtherMember = 'W', IndividualPTIA = 'J', AgencyPTIA = 'U', AgentOtherMemberPTIA = 'M', IndividualPT = 'K', AgencyPT = 'Y', AgentOtherMemberPT = 'N'</t>
  </si>
  <si>
    <t>If shares will be delivered from elsewhere, specify where (can be comma-delimitted list, no spaces)</t>
  </si>
  <si>
    <t>CUSIP / ISIN</t>
  </si>
  <si>
    <t>Coupon</t>
  </si>
  <si>
    <t>Maturity</t>
  </si>
  <si>
    <t>Issue Date</t>
  </si>
  <si>
    <t>Ratings</t>
  </si>
  <si>
    <t>Bond Type</t>
  </si>
  <si>
    <t>Coupon Type</t>
  </si>
  <si>
    <t>Convertible</t>
  </si>
  <si>
    <t>Callable</t>
  </si>
  <si>
    <t>Putable</t>
  </si>
  <si>
    <t>Desc Append</t>
  </si>
  <si>
    <t>Bond Contract Details</t>
  </si>
  <si>
    <t>BOND</t>
  </si>
  <si>
    <t>45920QBX1</t>
  </si>
  <si>
    <t>514666AE6</t>
  </si>
  <si>
    <t>BONDDESK</t>
  </si>
  <si>
    <t>QM</t>
  </si>
  <si>
    <t>NYMEX</t>
  </si>
  <si>
    <t>Z</t>
  </si>
  <si>
    <t>LIFFE</t>
  </si>
  <si>
    <t>GBP</t>
  </si>
  <si>
    <t>ZB</t>
  </si>
  <si>
    <t>ECBOT</t>
  </si>
  <si>
    <t>GOOG</t>
  </si>
  <si>
    <t>Bid Imp Vol</t>
  </si>
  <si>
    <t>Ask Imp Vol</t>
  </si>
  <si>
    <t>Last Imp Vol</t>
  </si>
  <si>
    <t>Last Delta</t>
  </si>
  <si>
    <t>Bid Delta</t>
  </si>
  <si>
    <t>Ask Delta</t>
  </si>
  <si>
    <t>Relative to Stock or VOL orders</t>
  </si>
  <si>
    <t>Volatility</t>
  </si>
  <si>
    <t>VOL orders</t>
  </si>
  <si>
    <t>Continuous Update (0=false, 1= true)</t>
  </si>
  <si>
    <t>Volatility Type (1=daily, 2=annual)</t>
  </si>
  <si>
    <t>Reference Price Type (1=average, 2 = BidOrAsk)</t>
  </si>
  <si>
    <t>PHLX</t>
  </si>
  <si>
    <t>VOL orders: Note that this should be sent as a percentage (ie 17.12 instead of .1712 as the market data is displayed).</t>
  </si>
  <si>
    <t>Hedge Delta Order Type</t>
  </si>
  <si>
    <t>Hedge Delta Aux Price</t>
  </si>
  <si>
    <t>VOL orders: specify only if delta hedge order type needs it</t>
  </si>
  <si>
    <t>VOL orders: NONE if no delta hedging is desired.  Typical possibilities include MKT, LMT, REL.  Send 1 for MKT or 0 for NONE to TWS prior to Version 859.</t>
  </si>
  <si>
    <t>IB Trader Workstation - Historical Data</t>
  </si>
  <si>
    <t>Query Specification</t>
  </si>
  <si>
    <t>Duration</t>
  </si>
  <si>
    <t>Bar Size</t>
  </si>
  <si>
    <t>What to Show</t>
  </si>
  <si>
    <t>Date Format Style</t>
  </si>
  <si>
    <t>Page Name</t>
  </si>
  <si>
    <t>RTH Only</t>
  </si>
  <si>
    <t>End Date/Time</t>
  </si>
  <si>
    <t>IB Trader Workstation - Market Scanner</t>
  </si>
  <si>
    <t>Scan Code</t>
  </si>
  <si>
    <t>Instrument</t>
  </si>
  <si>
    <t>Location Code</t>
  </si>
  <si>
    <t>Average Option</t>
  </si>
  <si>
    <t xml:space="preserve"> Volume Above</t>
  </si>
  <si>
    <t>Market Cap</t>
  </si>
  <si>
    <t xml:space="preserve"> Above</t>
  </si>
  <si>
    <t>Below</t>
  </si>
  <si>
    <t>Moody Rating</t>
  </si>
  <si>
    <t>Above</t>
  </si>
  <si>
    <t>S &amp; P Rating</t>
  </si>
  <si>
    <t>Maturity Date</t>
  </si>
  <si>
    <t>Coupon Rate</t>
  </si>
  <si>
    <t>Exclude</t>
  </si>
  <si>
    <t>Scanner</t>
  </si>
  <si>
    <t>Setting Pairs</t>
  </si>
  <si>
    <t>Stock Type</t>
  </si>
  <si>
    <t>Filter</t>
  </si>
  <si>
    <t>Which Trader Workstation</t>
  </si>
  <si>
    <t>ALL</t>
  </si>
  <si>
    <t>Number</t>
  </si>
  <si>
    <t>of Rows</t>
  </si>
  <si>
    <t>Average Volume</t>
  </si>
  <si>
    <t>TOP-PERC-GAIN</t>
  </si>
  <si>
    <t>Stock</t>
  </si>
  <si>
    <t>ETF</t>
  </si>
  <si>
    <t>TOP GAIN</t>
  </si>
  <si>
    <t>MOST-ACTIVE</t>
  </si>
  <si>
    <t>STOCK.EU</t>
  </si>
  <si>
    <t>TOP-PERC-LOSE</t>
  </si>
  <si>
    <t>STK.NASDAQ.NMS</t>
  </si>
  <si>
    <t>HOT-BY-VOLUME</t>
  </si>
  <si>
    <t>HIGH-OPT-IMP-VOLAT</t>
  </si>
  <si>
    <t>HOT VOLUME</t>
  </si>
  <si>
    <t>BIG LOSE</t>
  </si>
  <si>
    <t>HIGH IMP VOL</t>
  </si>
  <si>
    <t>Activate Page</t>
  </si>
  <si>
    <t>PV Dividend</t>
  </si>
  <si>
    <t>Option Model</t>
  </si>
  <si>
    <t>(Enter SUPERSOES exchange for Level II Quotes)</t>
  </si>
  <si>
    <t>LOW_OPT_VOLUME_PUT_CALL_RATIO</t>
  </si>
  <si>
    <t>LOW_OPT_IMP_VOLAT_OVER_HIST</t>
  </si>
  <si>
    <t>HIGH_OPT_IMP_VOLAT</t>
  </si>
  <si>
    <t>TOP_OPT_IMP_VOLAT_GAIN</t>
  </si>
  <si>
    <t>TOP_OPT_IMP_VOLAT_LOSE</t>
  </si>
  <si>
    <t>HIGH_OPT_VOLUME_PUT_CALL_RATIO</t>
  </si>
  <si>
    <t>OPT_VOLUME_MOST_ACTIVE</t>
  </si>
  <si>
    <t>HOT_BY_OPT_VOLUME</t>
  </si>
  <si>
    <t>Trail Stop Price</t>
  </si>
  <si>
    <t>TRAILLIMIT</t>
  </si>
  <si>
    <t>Time in Force</t>
  </si>
  <si>
    <t>Open/Close(O/C)</t>
  </si>
  <si>
    <t>Origin (0/1)</t>
  </si>
  <si>
    <t>Transmit (0/1)</t>
  </si>
  <si>
    <t>Block Order (0/1)</t>
  </si>
  <si>
    <t>Sweep To Fill (0/1)</t>
  </si>
  <si>
    <t>Hidden (0/1)</t>
  </si>
  <si>
    <t>Discretionary Amt</t>
  </si>
  <si>
    <t>Inst Short Sale Slot</t>
  </si>
  <si>
    <t>Inst Short Sale Loc</t>
  </si>
  <si>
    <t>All Or None (0/1)</t>
  </si>
  <si>
    <t>Electronic Trade Only (0/1)</t>
  </si>
  <si>
    <t>Firm Quote Only (0/1)</t>
  </si>
  <si>
    <t>Financial Advisors</t>
  </si>
  <si>
    <t>Institutional</t>
  </si>
  <si>
    <t>BOX Exchange</t>
  </si>
  <si>
    <t>Volatility Trading</t>
  </si>
  <si>
    <t>SMART Routing</t>
  </si>
  <si>
    <t>REL ords</t>
  </si>
  <si>
    <t>Account (Institutional only)</t>
  </si>
  <si>
    <t>Open/Close(O=Open, C=Close) (Institutional only)</t>
  </si>
  <si>
    <t>Origin (0=Customer, 1=Firm) (Institutional only)</t>
  </si>
  <si>
    <t>Discretionary Amount (SMART Routing)</t>
  </si>
  <si>
    <t>FA Group (Financial Advisors only)</t>
  </si>
  <si>
    <t>FA Method (Financial Advisors only)</t>
  </si>
  <si>
    <t>FA Percentage (Financial Advisors only)</t>
  </si>
  <si>
    <t>FA Profile (Financial Advisors only)</t>
  </si>
  <si>
    <t>Settling Firm (Institutional only)</t>
  </si>
  <si>
    <t>NBBO Price Cap (SMART Routing)</t>
  </si>
  <si>
    <t>Pegged to Stock / VOL</t>
  </si>
  <si>
    <t>Hint: To subscribe to market data, select a symbol and press Ctrl+SHIFT+R or click on the "Request Market Data" button</t>
  </si>
  <si>
    <r>
      <t>Hint:</t>
    </r>
    <r>
      <rPr>
        <sz val="10"/>
        <rFont val="Arial"/>
        <family val="2"/>
      </rPr>
      <t xml:space="preserve"> To extract historical data into a new worksheet, select a symbol, specify your query, and then either press Ctrl+SHIFT+H or click the Request Historical Data button</t>
    </r>
  </si>
  <si>
    <r>
      <t>Hint:</t>
    </r>
    <r>
      <rPr>
        <sz val="10"/>
        <rFont val="Arial"/>
        <family val="2"/>
      </rPr>
      <t xml:space="preserve"> To start a market scanner subscription in a new worksheet, first select a row, and then either press Ctrl+SHIFT+S or click the Start Scanner Subscription button.</t>
    </r>
  </si>
  <si>
    <t>Hint: To request bond contract details, select a CUSIP / ISIN and press Ctrl+SHIFT+B or click the Request Bond Contract Details button.</t>
  </si>
  <si>
    <t>0=Default, 1=Double_Bid_Ask, 2=Last, 3=Double_Last, 4=Bid_Ask, 7=Last_or_Bid_Ask, 8=Mid-point</t>
  </si>
  <si>
    <t>"One Cancels All" Group name</t>
  </si>
  <si>
    <t>BOX/VOL</t>
  </si>
  <si>
    <t>FORMAT: 20060505 08:00:00 {time zone}</t>
  </si>
  <si>
    <t>Subscription Control</t>
  </si>
  <si>
    <t>Processing Rate</t>
  </si>
  <si>
    <t>A</t>
  </si>
  <si>
    <t>IB Trader Workstation - Open Order Subscription</t>
  </si>
  <si>
    <t>IB Trader Workstation - Executions Subscription</t>
  </si>
  <si>
    <t>IB Trader Workstation - Executions Filtering</t>
  </si>
  <si>
    <t>OCA Orders</t>
  </si>
  <si>
    <t>Continuous Update</t>
  </si>
  <si>
    <t>Firm Quote Only</t>
  </si>
  <si>
    <t>All Or None</t>
  </si>
  <si>
    <t>Sweep To Fill</t>
  </si>
  <si>
    <t>Block Order</t>
  </si>
  <si>
    <t>Hidden</t>
  </si>
  <si>
    <t>Last Update Time:</t>
  </si>
  <si>
    <t>GLOBEX</t>
  </si>
  <si>
    <t>Log Level</t>
  </si>
  <si>
    <t>IB Trader Workstation - Portfolio</t>
  </si>
  <si>
    <t>Acct</t>
  </si>
  <si>
    <t>Execution Description</t>
  </si>
  <si>
    <t>Liquidation</t>
  </si>
  <si>
    <t>PermID</t>
  </si>
  <si>
    <t>038522AG3</t>
  </si>
  <si>
    <t>Notes</t>
  </si>
  <si>
    <t>Next Option Date</t>
  </si>
  <si>
    <t>Next Option Type</t>
  </si>
  <si>
    <t>Next Option Partial</t>
  </si>
  <si>
    <t>IB Trader Workstation - Executions Reporting</t>
  </si>
  <si>
    <t>Report Specification</t>
  </si>
  <si>
    <t>Order ID</t>
  </si>
  <si>
    <t>VOL Order</t>
  </si>
  <si>
    <t>Exec Report Types:</t>
  </si>
  <si>
    <t>Strategy</t>
  </si>
  <si>
    <t>Expired</t>
  </si>
  <si>
    <t>TotalCashBalance</t>
  </si>
  <si>
    <t>TotalCashValue</t>
  </si>
  <si>
    <t>TotalCashValue-S</t>
  </si>
  <si>
    <t>UnrealizedPnL</t>
  </si>
  <si>
    <t>CAD</t>
  </si>
  <si>
    <t>JPY</t>
  </si>
  <si>
    <t>Energy Futures</t>
  </si>
  <si>
    <t>QG</t>
  </si>
  <si>
    <t>Index Futures</t>
  </si>
  <si>
    <t>Interest Rate Futures</t>
  </si>
  <si>
    <t>CBOT</t>
  </si>
  <si>
    <t>HIGH_OPT_IMP_VOLAT_OVER_HIST</t>
  </si>
  <si>
    <t>HIGH_OPT_OPEN_INTEREST_PUT_CALL_RATIO</t>
  </si>
  <si>
    <t>LOW_OPT_OPEN_INTEREST_PUT_CALL_RATIO</t>
  </si>
  <si>
    <t>HIGH_OPT_OPEN_INT_PUT_CALL_RATIO</t>
  </si>
  <si>
    <t>LOW_OPT_OPEN_INT_PUT_CALL_RATIO</t>
  </si>
  <si>
    <t>Basis Points</t>
  </si>
  <si>
    <t>Quote Form</t>
  </si>
  <si>
    <t>Hold Days</t>
  </si>
  <si>
    <t>Dividend Impact</t>
  </si>
  <si>
    <t>Implied Future</t>
  </si>
  <si>
    <t>Future Expiration</t>
  </si>
  <si>
    <t>Dividends To Expiry</t>
  </si>
  <si>
    <t>EFP -- Bid</t>
  </si>
  <si>
    <t>EFP -- Exchange Future for Physical</t>
  </si>
  <si>
    <t>EFP -- Ask</t>
  </si>
  <si>
    <t>EFP -- Last</t>
  </si>
  <si>
    <t>Combo Description</t>
  </si>
  <si>
    <t>EFP -- Exchange For Physical</t>
  </si>
  <si>
    <t>Basis Points Type</t>
  </si>
  <si>
    <t>SCALE</t>
  </si>
  <si>
    <t>Scale Component Size</t>
  </si>
  <si>
    <t>Scale Price Increment</t>
  </si>
  <si>
    <t>Number of compsonents</t>
  </si>
  <si>
    <t>Component size</t>
  </si>
  <si>
    <t>Price Increment</t>
  </si>
  <si>
    <t>SCALE orders</t>
  </si>
  <si>
    <t>Outside RTH (0=false, 1=true)</t>
  </si>
  <si>
    <t>Outside RTH (0/1)</t>
  </si>
  <si>
    <t>Outside Rth</t>
  </si>
  <si>
    <t>Ignore Rth (Deprecated)</t>
  </si>
  <si>
    <t>RTH Only (Deprecated)</t>
  </si>
  <si>
    <t>MOT</t>
  </si>
  <si>
    <t>ES</t>
  </si>
  <si>
    <t>NOTE: This page has been replaced by the newer Account and Portfolio pages.</t>
  </si>
  <si>
    <t>NOTE: This page has been replaced by the newer Executions page.</t>
  </si>
  <si>
    <t>LMT</t>
  </si>
  <si>
    <t>STP</t>
  </si>
  <si>
    <r>
      <rPr>
        <b/>
        <sz val="10"/>
        <rFont val="Arial"/>
        <family val="2"/>
      </rPr>
      <t>Hint:</t>
    </r>
    <r>
      <rPr>
        <sz val="10"/>
        <rFont val="Arial"/>
        <family val="2"/>
      </rPr>
      <t xml:space="preserve"> To place or modify one or more orders, select a cell or range that overlaps the orders and press Ctrl+SHIFT+P or click on the "Place / Modify Order" button.</t>
    </r>
  </si>
  <si>
    <r>
      <rPr>
        <b/>
        <sz val="10"/>
        <rFont val="Arial"/>
        <family val="2"/>
      </rPr>
      <t>Note:</t>
    </r>
    <r>
      <rPr>
        <sz val="10"/>
        <rFont val="Arial"/>
        <family val="2"/>
      </rPr>
      <t xml:space="preserve"> Each order can have its own extended order attributes.  If no "Time in Force" is specified on this page, the default values will be used from the Extended Order Attribute Template.</t>
    </r>
  </si>
  <si>
    <r>
      <rPr>
        <b/>
        <sz val="10"/>
        <rFont val="Arial"/>
        <family val="2"/>
      </rPr>
      <t>Note:</t>
    </r>
    <r>
      <rPr>
        <sz val="10"/>
        <rFont val="Arial"/>
        <family val="2"/>
      </rPr>
      <t xml:space="preserve"> To request contract details, select a ticker row and press Ctrl+SHIFT+C or click the Request Contract Details button.</t>
    </r>
  </si>
  <si>
    <t>Bracket Order - BUY LIMIT Order Example</t>
  </si>
  <si>
    <t>Trailing Stop Limit Order - SELL Order Example</t>
  </si>
  <si>
    <t>VOL</t>
  </si>
  <si>
    <r>
      <rPr>
        <b/>
        <sz val="10"/>
        <rFont val="Arial"/>
        <family val="2"/>
      </rPr>
      <t>Note:</t>
    </r>
    <r>
      <rPr>
        <sz val="10"/>
        <rFont val="Arial"/>
        <family val="2"/>
      </rPr>
      <t xml:space="preserve"> Order types described on this page require the use of the Extended Order Attributes page. Click the Apply Extended Template button to quickly apply extended attribute values to an order.</t>
    </r>
  </si>
  <si>
    <t>Scale Order - BUY LIMIT Order Example</t>
  </si>
  <si>
    <t xml:space="preserve">VOL Orders </t>
  </si>
  <si>
    <t>Allocating All Shares to a Single Account</t>
  </si>
  <si>
    <t>Order using Account Group and Method</t>
  </si>
  <si>
    <t>Order using Account Group and PercentChange Method</t>
  </si>
  <si>
    <t>Order using Allocation Profile</t>
  </si>
  <si>
    <r>
      <rPr>
        <b/>
        <sz val="10"/>
        <rFont val="Arial"/>
        <family val="2"/>
      </rPr>
      <t>Note:</t>
    </r>
    <r>
      <rPr>
        <sz val="10"/>
        <rFont val="Arial"/>
        <family val="2"/>
      </rPr>
      <t xml:space="preserve"> FA order require the use of the Extended Order Attributes page. Click the Apply Extended Template button to quickly apply extended attribute values to an order.</t>
    </r>
  </si>
  <si>
    <t>Move your mouse over the red corner for help.</t>
  </si>
  <si>
    <t>HOT_BY_PRICE</t>
  </si>
  <si>
    <t>TOP_TRADE_COUNT</t>
  </si>
  <si>
    <t>TOP_TRADE_RATE</t>
  </si>
  <si>
    <t>TOP_PRICE_RANGE</t>
  </si>
  <si>
    <t>HOT_BY_PRICE_RANGE</t>
  </si>
  <si>
    <t>TOP_VOLUME_RATE</t>
  </si>
  <si>
    <t>LOW_OPT_IMP_VOLAT</t>
  </si>
  <si>
    <t>NOT_OPEN</t>
  </si>
  <si>
    <t>HALTED</t>
  </si>
  <si>
    <t>TOP_OPEN_PERC_GAIN</t>
  </si>
  <si>
    <t>TOP_OPEN_PERC_LOSE</t>
  </si>
  <si>
    <t>HIGH_OPEN_GAP</t>
  </si>
  <si>
    <t>LOW_OPEN_GAP</t>
  </si>
  <si>
    <t>Sets the default to be opening a new position or closing a position.</t>
  </si>
  <si>
    <t>FINANCIAL ADVISORS ONLY - The name of the allocation profile to use for an order.</t>
  </si>
  <si>
    <t>FINANCIAL ADVISORS ONLY - The percentage used by the PctChange allocation method for an order. Appies only to FA groups that use this method.</t>
  </si>
  <si>
    <t>FINANCIAL ADVISORS ONLY - The name of the account group to use for an order.</t>
  </si>
  <si>
    <t>FINANCIAL ADVISORS ONLY - The code of a single account to which all shares of an order are allocated.</t>
  </si>
  <si>
    <t>Identifies an order as hidden.</t>
  </si>
  <si>
    <t>Identifies an order as a Sweep to Fill order.</t>
  </si>
  <si>
    <t>Publicly disclosed order size.</t>
  </si>
  <si>
    <t>When set to 1 (true), all placed orders are transmitted immediately. When set to 0 (false), orders are not transmitted.</t>
  </si>
  <si>
    <t>The length of time over which an order will continue working before it is canceled</t>
  </si>
  <si>
    <t>The origin of your order in relation to the market.</t>
  </si>
  <si>
    <t>Identifies a high-volume limit order as a block order.</t>
  </si>
  <si>
    <t>The ID of the parent or primary order. Use for bracket orders and auto trailing stop orders.</t>
  </si>
  <si>
    <t>Use with a limit order to give the order a greater price range over which to execute.</t>
  </si>
  <si>
    <t>FINANCIAL ADVISORS ONLY - The name of the default share allocation method for the account group (EqualQuantity, NetLiq, AvailableEquity, or PctChange).</t>
  </si>
  <si>
    <t>Identifies an order as an All or None order.</t>
  </si>
  <si>
    <t>Identifies an order as a Minimum Quantity order.</t>
  </si>
  <si>
    <t>Maximum SMART order distance from the NBBO.</t>
  </si>
  <si>
    <t>Electronic Trade Only</t>
  </si>
  <si>
    <t>(0=false, 1=true) (SMART Routing)</t>
  </si>
  <si>
    <t>Allows an order to be triggered or filled outside of regular trading hours.</t>
  </si>
  <si>
    <t>For Institutional only.</t>
  </si>
  <si>
    <t>Underlying Range (Low)</t>
  </si>
  <si>
    <t>Underlying Range (High)</t>
  </si>
  <si>
    <t>An unique identifier you create to track your order. Can be a number or a name.</t>
  </si>
  <si>
    <t>Note: placing the first order below will trigger a round trip if this is the contents of cells Y11 through AC11: "=(M10=T10), ADD, SELL, 10, MKT"</t>
  </si>
  <si>
    <r>
      <rPr>
        <b/>
        <sz val="10"/>
        <rFont val="Arial"/>
        <family val="2"/>
      </rPr>
      <t>Note:</t>
    </r>
    <r>
      <rPr>
        <sz val="10"/>
        <rFont val="Arial"/>
        <family val="2"/>
      </rPr>
      <t xml:space="preserve"> This page is a template that can be applied to any order or group of orders on the Basic Orders, Conditional Orders, Advanced Orders or Advisor pages.  This allows groups of DDE orders to be quickly placed with each one having unique extended order attributes.</t>
    </r>
  </si>
  <si>
    <t>REL</t>
  </si>
  <si>
    <t>Relative Order - BUY Order Example</t>
  </si>
  <si>
    <t>DRYS</t>
  </si>
  <si>
    <t>For sell orders, Trail Stop Price = Limit Price - Trailing Amount - Limit Offset. For buy orders, Trail Stop Price = Limit Price + Trailing Amount + Limit Offset. For trailing stop limit (TRAILLIMIT) orders only.</t>
  </si>
  <si>
    <t>Hint: Enter your condition as an Excel formula in the Statement cell, then enter the information for the order that must be placed if the condition is met in the Order cells in the Condition Statement section. When the condition is met, the Statement cell displays TRUE.</t>
  </si>
  <si>
    <t>Clearing Account</t>
  </si>
  <si>
    <t>Clearing Account (Institutional only)</t>
  </si>
  <si>
    <t>OptPrice</t>
  </si>
  <si>
    <t>UnderPrice</t>
  </si>
  <si>
    <t>Custom Impl Vol</t>
  </si>
  <si>
    <t>VOD</t>
  </si>
  <si>
    <t>LSE</t>
  </si>
  <si>
    <t>Gamma</t>
  </si>
  <si>
    <t>Vega</t>
  </si>
  <si>
    <t>Theta</t>
  </si>
  <si>
    <t>Und Price</t>
  </si>
  <si>
    <t>Opt Price</t>
  </si>
  <si>
    <t>Calc Impl Vol / Calc Opt Price</t>
  </si>
  <si>
    <t>Hint: To Calculate Implied Volatility, select a symbol or group of symbols, specify "Opt Price" and "Under Price" and click "Calc Impl Volatility" button.  To Calculate Option Price, select a symbol or group of symbols, specify "Volatility" and "Under Price" and click "Calc Opt Price &amp; Greks" button.</t>
  </si>
  <si>
    <t>Custom Opt Price</t>
  </si>
  <si>
    <t>YUK</t>
  </si>
  <si>
    <t>XDA</t>
  </si>
  <si>
    <t>XNG</t>
  </si>
  <si>
    <t>PSE</t>
  </si>
  <si>
    <t>DJX</t>
  </si>
  <si>
    <t>SMI</t>
  </si>
  <si>
    <t>SOFFEX</t>
  </si>
  <si>
    <t>CHF</t>
  </si>
  <si>
    <t>WAR</t>
  </si>
  <si>
    <t>IOPT</t>
  </si>
  <si>
    <t>Warrants</t>
  </si>
  <si>
    <t>Issued Options</t>
  </si>
  <si>
    <t>Clearing Intent (Institutional only)</t>
  </si>
  <si>
    <t>Clearing Intent</t>
  </si>
  <si>
    <t>FWB</t>
  </si>
  <si>
    <t>STK.US.MAJOR</t>
  </si>
  <si>
    <t>Last RTH Trade</t>
  </si>
  <si>
    <t>Generic Ticks</t>
  </si>
  <si>
    <t>Ctrl2</t>
  </si>
  <si>
    <t>Opting out of SMART routing</t>
  </si>
  <si>
    <t>Opting  out of SMART routing</t>
  </si>
  <si>
    <t>IDEALPRO</t>
  </si>
  <si>
    <t>AAPL</t>
  </si>
  <si>
    <t>AAPL7</t>
  </si>
  <si>
    <t>SPY</t>
  </si>
  <si>
    <t>DAY</t>
  </si>
  <si>
    <t>DU86536</t>
  </si>
  <si>
    <t>SIE</t>
  </si>
  <si>
    <t>TBillValue</t>
  </si>
  <si>
    <t>TBondValue</t>
  </si>
  <si>
    <t>TotalCashValue-C</t>
  </si>
  <si>
    <t>WarrantValue</t>
  </si>
  <si>
    <t>WhatIfPMEnabled</t>
  </si>
  <si>
    <t>AUD</t>
  </si>
  <si>
    <t>BASE</t>
  </si>
  <si>
    <t>MXN</t>
  </si>
  <si>
    <t>SEK</t>
  </si>
  <si>
    <t>SGD</t>
  </si>
  <si>
    <t>DU74649</t>
  </si>
  <si>
    <t>Futures</t>
  </si>
  <si>
    <t>ESU5</t>
  </si>
  <si>
    <t>XT</t>
  </si>
  <si>
    <t>ISLAND</t>
  </si>
  <si>
    <t>Currencies</t>
  </si>
  <si>
    <t>NYSE</t>
  </si>
  <si>
    <t>ZM5</t>
  </si>
  <si>
    <t>Last Error</t>
  </si>
  <si>
    <t>Code</t>
  </si>
  <si>
    <t>Message</t>
  </si>
  <si>
    <t>FSMI MAR 15</t>
  </si>
  <si>
    <t>IBKR</t>
  </si>
  <si>
    <t>AMEX</t>
  </si>
  <si>
    <t>Futures Options</t>
  </si>
  <si>
    <t>CAC40</t>
  </si>
  <si>
    <t>MONEP</t>
  </si>
  <si>
    <t>FCEM6</t>
  </si>
  <si>
    <t>Combinations</t>
  </si>
  <si>
    <t>BAG</t>
  </si>
  <si>
    <t>CMBLGS_2_109385219_1_BUY_SMART_0_9408_1_SELL_SMART_0_CMBLGS</t>
  </si>
  <si>
    <t>STPLMT</t>
  </si>
  <si>
    <t>20140801 23:59:59</t>
  </si>
  <si>
    <t>MIDPOINT</t>
  </si>
  <si>
    <t>EUR_USD_MIDPOINT</t>
  </si>
  <si>
    <t>BID_ASK</t>
  </si>
  <si>
    <t>TRADES</t>
  </si>
  <si>
    <t>BID</t>
  </si>
  <si>
    <t>ASK</t>
  </si>
  <si>
    <t>300 S</t>
  </si>
  <si>
    <t>CAC40_TRADES</t>
  </si>
  <si>
    <t>1 D</t>
  </si>
  <si>
    <t>1 W</t>
  </si>
  <si>
    <t>2 D</t>
  </si>
  <si>
    <t>IBM_OPT_TRADES</t>
  </si>
  <si>
    <t>EUR_GBP_BID_ASK</t>
  </si>
  <si>
    <t>EUR_FUT_ASK</t>
  </si>
  <si>
    <t>MSFT_STK</t>
  </si>
  <si>
    <t>YHOO_STK</t>
  </si>
  <si>
    <t>GE_STK</t>
  </si>
  <si>
    <t>GOOG_STK</t>
  </si>
  <si>
    <t>IBKR_STK</t>
  </si>
  <si>
    <t>IBM_STK</t>
  </si>
  <si>
    <t>VOD_STK</t>
  </si>
  <si>
    <t>ESM4</t>
  </si>
  <si>
    <t>EXPIRED_ES_FUTURE</t>
  </si>
  <si>
    <t>20140501 23:59:59</t>
  </si>
  <si>
    <t>FSMI</t>
  </si>
  <si>
    <t>FCM6</t>
  </si>
  <si>
    <t>Solicited Order</t>
  </si>
  <si>
    <t>Solicited</t>
  </si>
  <si>
    <t>(0=false, 1=true) Order is considered solicited when it is a instigated wholly by the broker through their own research and design</t>
  </si>
  <si>
    <t>Randomize size</t>
  </si>
  <si>
    <t>Randomize price</t>
  </si>
  <si>
    <t xml:space="preserve">(0=false, 1=true) </t>
  </si>
  <si>
    <t>CSCO</t>
  </si>
  <si>
    <t>PPV</t>
  </si>
  <si>
    <t>Last trade date</t>
  </si>
  <si>
    <t>30D</t>
  </si>
  <si>
    <t>20150701 23:59:59</t>
  </si>
  <si>
    <t>U1558233</t>
  </si>
  <si>
    <t>20151005 23:59:59</t>
  </si>
  <si>
    <t>250 D</t>
  </si>
  <si>
    <t>gudny678</t>
  </si>
  <si>
    <t>30 D</t>
  </si>
  <si>
    <t>20150801 23:59:59</t>
  </si>
  <si>
    <t>S&amp;P500</t>
  </si>
  <si>
    <t>CCE</t>
  </si>
  <si>
    <t>Micro_structure</t>
  </si>
  <si>
    <t>Daily</t>
  </si>
  <si>
    <t>50 D</t>
  </si>
  <si>
    <t>Open</t>
  </si>
  <si>
    <t>600 S</t>
  </si>
  <si>
    <t>Check</t>
  </si>
  <si>
    <t>Market</t>
  </si>
  <si>
    <t>CCY</t>
  </si>
  <si>
    <t>Name</t>
  </si>
  <si>
    <t>Conid</t>
  </si>
  <si>
    <t>xx</t>
  </si>
  <si>
    <t>x</t>
  </si>
  <si>
    <t>QQQ</t>
  </si>
  <si>
    <t>GOOGL</t>
  </si>
  <si>
    <t>BABA</t>
  </si>
  <si>
    <t>TLT</t>
  </si>
  <si>
    <t>TSLA</t>
  </si>
  <si>
    <t>AGN</t>
  </si>
  <si>
    <t>VRX</t>
  </si>
  <si>
    <t>IBB</t>
  </si>
  <si>
    <t>BIDU</t>
  </si>
  <si>
    <t>CHTR</t>
  </si>
  <si>
    <t>SHPG</t>
  </si>
  <si>
    <t>LNKD</t>
  </si>
  <si>
    <t>TQQQ</t>
  </si>
  <si>
    <t>TEVA</t>
  </si>
  <si>
    <t>NXPI</t>
  </si>
  <si>
    <t>PANW</t>
  </si>
  <si>
    <t>CB</t>
  </si>
  <si>
    <t>BUD</t>
  </si>
  <si>
    <t>NTES</t>
  </si>
  <si>
    <t>NVS</t>
  </si>
  <si>
    <t>BMRN</t>
  </si>
  <si>
    <t>LULU</t>
  </si>
  <si>
    <t>WDAY</t>
  </si>
  <si>
    <t>NOW</t>
  </si>
  <si>
    <t>CP</t>
  </si>
  <si>
    <t>CHKP</t>
  </si>
  <si>
    <t>INCY</t>
  </si>
  <si>
    <t>DISH</t>
  </si>
  <si>
    <t>VMW</t>
  </si>
  <si>
    <t>ACWI</t>
  </si>
  <si>
    <t>SPGI</t>
  </si>
  <si>
    <t>SBAC</t>
  </si>
  <si>
    <t>PII</t>
  </si>
  <si>
    <t>FLT</t>
  </si>
  <si>
    <t>HLF</t>
  </si>
  <si>
    <t>DPZ</t>
  </si>
  <si>
    <t>ALB</t>
  </si>
  <si>
    <t>FANG</t>
  </si>
  <si>
    <t>JAZZ</t>
  </si>
  <si>
    <t>PNRA</t>
  </si>
  <si>
    <t>SPLK</t>
  </si>
  <si>
    <t>LEA</t>
  </si>
  <si>
    <t>WSM</t>
  </si>
  <si>
    <t>DATA</t>
  </si>
  <si>
    <t>GOLD</t>
  </si>
  <si>
    <t>VCSH</t>
  </si>
  <si>
    <t>VNTV</t>
  </si>
  <si>
    <t>BWLD</t>
  </si>
  <si>
    <t>QRVO</t>
  </si>
  <si>
    <t>SAP</t>
  </si>
  <si>
    <t>NVO</t>
  </si>
  <si>
    <t>TPX</t>
  </si>
  <si>
    <t>FBHS</t>
  </si>
  <si>
    <t>ICPT</t>
  </si>
  <si>
    <t>UTHR</t>
  </si>
  <si>
    <t>WCN</t>
  </si>
  <si>
    <t>BURL</t>
  </si>
  <si>
    <t>ASML</t>
  </si>
  <si>
    <t>BG</t>
  </si>
  <si>
    <t>AGU</t>
  </si>
  <si>
    <t>DEO</t>
  </si>
  <si>
    <t>Q</t>
  </si>
  <si>
    <t>SBNY</t>
  </si>
  <si>
    <t>N</t>
  </si>
  <si>
    <t>WAB</t>
  </si>
  <si>
    <t>PDCE</t>
  </si>
  <si>
    <t>VAL</t>
  </si>
  <si>
    <t>SIVB</t>
  </si>
  <si>
    <t>CLB</t>
  </si>
  <si>
    <t>CRI</t>
  </si>
  <si>
    <t>THS</t>
  </si>
  <si>
    <t>RY</t>
  </si>
  <si>
    <t>MMP</t>
  </si>
  <si>
    <t>PKG</t>
  </si>
  <si>
    <t>CNI</t>
  </si>
  <si>
    <t>VCIT</t>
  </si>
  <si>
    <t>POST</t>
  </si>
  <si>
    <t>WUBA</t>
  </si>
  <si>
    <t>JACK</t>
  </si>
  <si>
    <t>STMP</t>
  </si>
  <si>
    <t>DXCM</t>
  </si>
  <si>
    <t>ALNY</t>
  </si>
  <si>
    <t>COO</t>
  </si>
  <si>
    <t>FRC</t>
  </si>
  <si>
    <t>RMD</t>
  </si>
  <si>
    <t>INGR</t>
  </si>
  <si>
    <t>FNV</t>
  </si>
  <si>
    <t>MTD</t>
  </si>
  <si>
    <t>CE</t>
  </si>
  <si>
    <t>AMSG</t>
  </si>
  <si>
    <t>MAA</t>
  </si>
  <si>
    <t>RE</t>
  </si>
  <si>
    <t>MAN</t>
  </si>
  <si>
    <t>DY</t>
  </si>
  <si>
    <t>IDXX</t>
  </si>
  <si>
    <t>SYT</t>
  </si>
  <si>
    <t>GRA</t>
  </si>
  <si>
    <t>ALV</t>
  </si>
  <si>
    <t>VC</t>
  </si>
  <si>
    <t>AOS</t>
  </si>
  <si>
    <t>ASH</t>
  </si>
  <si>
    <t>BLUE</t>
  </si>
  <si>
    <t>MELI</t>
  </si>
  <si>
    <t>EPC</t>
  </si>
  <si>
    <t>ABMD</t>
  </si>
  <si>
    <t>TREE</t>
  </si>
  <si>
    <t>ANET</t>
  </si>
  <si>
    <t>MOH</t>
  </si>
  <si>
    <t>ATHN</t>
  </si>
  <si>
    <t>CAVM</t>
  </si>
  <si>
    <t>RGLD</t>
  </si>
  <si>
    <t>JLL</t>
  </si>
  <si>
    <t>CASY</t>
  </si>
  <si>
    <t>MSCI</t>
  </si>
  <si>
    <t>WBC</t>
  </si>
  <si>
    <t>TSRO</t>
  </si>
  <si>
    <t>LII</t>
  </si>
  <si>
    <t>REG</t>
  </si>
  <si>
    <t>RJF</t>
  </si>
  <si>
    <t>ARE</t>
  </si>
  <si>
    <t>STE</t>
  </si>
  <si>
    <t>AMCX</t>
  </si>
  <si>
    <t>ULTI</t>
  </si>
  <si>
    <t>KITE</t>
  </si>
  <si>
    <t>ALGN</t>
  </si>
  <si>
    <t>AAXJ</t>
  </si>
  <si>
    <t>ELLI</t>
  </si>
  <si>
    <t>ACHC</t>
  </si>
  <si>
    <t>IAC</t>
  </si>
  <si>
    <t>SIX</t>
  </si>
  <si>
    <t>BAP</t>
  </si>
  <si>
    <t>WCG</t>
  </si>
  <si>
    <t>MD</t>
  </si>
  <si>
    <t>OA</t>
  </si>
  <si>
    <t>TM</t>
  </si>
  <si>
    <t>TYL</t>
  </si>
  <si>
    <t>WBMD</t>
  </si>
  <si>
    <t>SYNA</t>
  </si>
  <si>
    <t>CPT</t>
  </si>
  <si>
    <t>TFX</t>
  </si>
  <si>
    <t>YY</t>
  </si>
  <si>
    <t>FDS</t>
  </si>
  <si>
    <t>CBRL</t>
  </si>
  <si>
    <t>CFR</t>
  </si>
  <si>
    <t>BR</t>
  </si>
  <si>
    <t>EXP</t>
  </si>
  <si>
    <t>MIDD</t>
  </si>
  <si>
    <t>HII</t>
  </si>
  <si>
    <t>ZBRA</t>
  </si>
  <si>
    <t>RS</t>
  </si>
  <si>
    <t>CCK</t>
  </si>
  <si>
    <t>LGND</t>
  </si>
  <si>
    <t>MANH</t>
  </si>
  <si>
    <t>PCRX</t>
  </si>
  <si>
    <t>BNDX</t>
  </si>
  <si>
    <t>MTN</t>
  </si>
  <si>
    <t>ATO</t>
  </si>
  <si>
    <t>FMX</t>
  </si>
  <si>
    <t>PLCE</t>
  </si>
  <si>
    <t>NVR</t>
  </si>
  <si>
    <t>BPL</t>
  </si>
  <si>
    <t>ODFL</t>
  </si>
  <si>
    <t>MIC</t>
  </si>
  <si>
    <t>ANSS</t>
  </si>
  <si>
    <t>RARE</t>
  </si>
  <si>
    <t>GWPH</t>
  </si>
  <si>
    <t>CDK</t>
  </si>
  <si>
    <t>OLED</t>
  </si>
  <si>
    <t>WOOF</t>
  </si>
  <si>
    <t>MKL</t>
  </si>
  <si>
    <t>MSM</t>
  </si>
  <si>
    <t>PFPT</t>
  </si>
  <si>
    <t>KEX</t>
  </si>
  <si>
    <t>DOX</t>
  </si>
  <si>
    <t>KRC</t>
  </si>
  <si>
    <t>DDS</t>
  </si>
  <si>
    <t>JCOM</t>
  </si>
  <si>
    <t>NGG</t>
  </si>
  <si>
    <t>HDB</t>
  </si>
  <si>
    <t>DECK</t>
  </si>
  <si>
    <t>CSL</t>
  </si>
  <si>
    <t>CHL</t>
  </si>
  <si>
    <t>SAFM</t>
  </si>
  <si>
    <t>BMO</t>
  </si>
  <si>
    <t>SINA</t>
  </si>
  <si>
    <t>CACC</t>
  </si>
  <si>
    <t>TUP</t>
  </si>
  <si>
    <t>WCC</t>
  </si>
  <si>
    <t>MKTX</t>
  </si>
  <si>
    <t>CRL</t>
  </si>
  <si>
    <t>RYAAY</t>
  </si>
  <si>
    <t>LAMR</t>
  </si>
  <si>
    <t>SPB</t>
  </si>
  <si>
    <t>EPR</t>
  </si>
  <si>
    <t>GWR</t>
  </si>
  <si>
    <t>NVRO</t>
  </si>
  <si>
    <t>FEIC</t>
  </si>
  <si>
    <t>JKHY</t>
  </si>
  <si>
    <t>SUI</t>
  </si>
  <si>
    <t>ARW</t>
  </si>
  <si>
    <t>CPA</t>
  </si>
  <si>
    <t>IT</t>
  </si>
  <si>
    <t>CSGP</t>
  </si>
  <si>
    <t>NUVA</t>
  </si>
  <si>
    <t>XRS</t>
  </si>
  <si>
    <t>LOW</t>
  </si>
  <si>
    <t>BF B</t>
  </si>
  <si>
    <t>CHK</t>
  </si>
  <si>
    <t>MLM</t>
  </si>
  <si>
    <t>MAT</t>
  </si>
  <si>
    <t>MET</t>
  </si>
  <si>
    <t>ATVI</t>
  </si>
  <si>
    <t>CVS</t>
  </si>
  <si>
    <t>LH</t>
  </si>
  <si>
    <t>MU</t>
  </si>
  <si>
    <t>MCHP</t>
  </si>
  <si>
    <t>MMM</t>
  </si>
  <si>
    <t>MHK</t>
  </si>
  <si>
    <t>KSU</t>
  </si>
  <si>
    <t>MUR</t>
  </si>
  <si>
    <t>ILMN</t>
  </si>
  <si>
    <t>XEL</t>
  </si>
  <si>
    <t>F</t>
  </si>
  <si>
    <t>NOV</t>
  </si>
  <si>
    <t>NTAP</t>
  </si>
  <si>
    <t>NFX</t>
  </si>
  <si>
    <t>NWL</t>
  </si>
  <si>
    <t>DNB</t>
  </si>
  <si>
    <t>NEM</t>
  </si>
  <si>
    <t>NKE</t>
  </si>
  <si>
    <t>NBL</t>
  </si>
  <si>
    <t>AMZN</t>
  </si>
  <si>
    <t>ABT</t>
  </si>
  <si>
    <t>AES</t>
  </si>
  <si>
    <t>ADBE</t>
  </si>
  <si>
    <t>APD</t>
  </si>
  <si>
    <t>DD</t>
  </si>
  <si>
    <t>BXP</t>
  </si>
  <si>
    <t>HON</t>
  </si>
  <si>
    <t>AA</t>
  </si>
  <si>
    <t>AMGN</t>
  </si>
  <si>
    <t>HES</t>
  </si>
  <si>
    <t>AXP</t>
  </si>
  <si>
    <t>AEP</t>
  </si>
  <si>
    <t>AFL</t>
  </si>
  <si>
    <t>AIG</t>
  </si>
  <si>
    <t>ADI</t>
  </si>
  <si>
    <t>APC</t>
  </si>
  <si>
    <t>ALXN</t>
  </si>
  <si>
    <t>VLO</t>
  </si>
  <si>
    <t>APA</t>
  </si>
  <si>
    <t>CMCSA</t>
  </si>
  <si>
    <t>AMAT</t>
  </si>
  <si>
    <t>ADM</t>
  </si>
  <si>
    <t>PNW</t>
  </si>
  <si>
    <t>AEE</t>
  </si>
  <si>
    <t>AIV</t>
  </si>
  <si>
    <t>ADSK</t>
  </si>
  <si>
    <t>ADP</t>
  </si>
  <si>
    <t>AZO</t>
  </si>
  <si>
    <t>AVY</t>
  </si>
  <si>
    <t>BHI</t>
  </si>
  <si>
    <t>BLL</t>
  </si>
  <si>
    <t>BCR</t>
  </si>
  <si>
    <t>BAX</t>
  </si>
  <si>
    <t>BBBY</t>
  </si>
  <si>
    <t>BDX</t>
  </si>
  <si>
    <t>AME</t>
  </si>
  <si>
    <t>VZ</t>
  </si>
  <si>
    <t>BBY</t>
  </si>
  <si>
    <t>SLG</t>
  </si>
  <si>
    <t>YUM</t>
  </si>
  <si>
    <t>FE</t>
  </si>
  <si>
    <t>HRB</t>
  </si>
  <si>
    <t>BA</t>
  </si>
  <si>
    <t>RHI</t>
  </si>
  <si>
    <t>BWA</t>
  </si>
  <si>
    <t>BSX</t>
  </si>
  <si>
    <t>CHRW</t>
  </si>
  <si>
    <t>BMY</t>
  </si>
  <si>
    <t>AMG</t>
  </si>
  <si>
    <t>OKE</t>
  </si>
  <si>
    <t>AVB</t>
  </si>
  <si>
    <t>URI</t>
  </si>
  <si>
    <t>SRE</t>
  </si>
  <si>
    <t>FDX</t>
  </si>
  <si>
    <t>VRSN</t>
  </si>
  <si>
    <t>APH</t>
  </si>
  <si>
    <t>PWR</t>
  </si>
  <si>
    <t>CSX</t>
  </si>
  <si>
    <t>COG</t>
  </si>
  <si>
    <t>CPB</t>
  </si>
  <si>
    <t>STZ</t>
  </si>
  <si>
    <t>CAH</t>
  </si>
  <si>
    <t>CAT</t>
  </si>
  <si>
    <t>CELG</t>
  </si>
  <si>
    <t>CTXS</t>
  </si>
  <si>
    <t>CTL</t>
  </si>
  <si>
    <t>CERN</t>
  </si>
  <si>
    <t>JPM</t>
  </si>
  <si>
    <t>CHD</t>
  </si>
  <si>
    <t>CI</t>
  </si>
  <si>
    <t>CINF</t>
  </si>
  <si>
    <t>CTAS</t>
  </si>
  <si>
    <t>FTR</t>
  </si>
  <si>
    <t>CLX</t>
  </si>
  <si>
    <t>KO</t>
  </si>
  <si>
    <t>CL</t>
  </si>
  <si>
    <t>MAR</t>
  </si>
  <si>
    <t>CMA</t>
  </si>
  <si>
    <t>NRG</t>
  </si>
  <si>
    <t>CA</t>
  </si>
  <si>
    <t>CAG</t>
  </si>
  <si>
    <t>ED</t>
  </si>
  <si>
    <t>CMS</t>
  </si>
  <si>
    <t>GLW</t>
  </si>
  <si>
    <t>SEE</t>
  </si>
  <si>
    <t>CMI</t>
  </si>
  <si>
    <t>LLL</t>
  </si>
  <si>
    <t>DHI</t>
  </si>
  <si>
    <t>DHR</t>
  </si>
  <si>
    <t>MCO</t>
  </si>
  <si>
    <t>CTSH</t>
  </si>
  <si>
    <t>TGT</t>
  </si>
  <si>
    <t>DO</t>
  </si>
  <si>
    <t>DE</t>
  </si>
  <si>
    <t>MS</t>
  </si>
  <si>
    <t>RSG</t>
  </si>
  <si>
    <t>DIS</t>
  </si>
  <si>
    <t>DLTR</t>
  </si>
  <si>
    <t>DOV</t>
  </si>
  <si>
    <t>DOW</t>
  </si>
  <si>
    <t>OMC</t>
  </si>
  <si>
    <t>DTE</t>
  </si>
  <si>
    <t>FLS</t>
  </si>
  <si>
    <t>DRI</t>
  </si>
  <si>
    <t>EBAY</t>
  </si>
  <si>
    <t>EMC</t>
  </si>
  <si>
    <t>BAC</t>
  </si>
  <si>
    <t>EMN</t>
  </si>
  <si>
    <t>ETFC</t>
  </si>
  <si>
    <t>ECL</t>
  </si>
  <si>
    <t>PKI</t>
  </si>
  <si>
    <t>EA</t>
  </si>
  <si>
    <t>CRM</t>
  </si>
  <si>
    <t>EMR</t>
  </si>
  <si>
    <t>ESS</t>
  </si>
  <si>
    <t>ETR</t>
  </si>
  <si>
    <t>EOG</t>
  </si>
  <si>
    <t>EFX</t>
  </si>
  <si>
    <t>EQR</t>
  </si>
  <si>
    <t>EQT</t>
  </si>
  <si>
    <t>EL</t>
  </si>
  <si>
    <t>EXPD</t>
  </si>
  <si>
    <t>XOM</t>
  </si>
  <si>
    <t>FMC</t>
  </si>
  <si>
    <t>NEE</t>
  </si>
  <si>
    <t>AIZ</t>
  </si>
  <si>
    <t>FAST</t>
  </si>
  <si>
    <t>FITB</t>
  </si>
  <si>
    <t>MTB</t>
  </si>
  <si>
    <t>FISV</t>
  </si>
  <si>
    <t>FLIR</t>
  </si>
  <si>
    <t>M</t>
  </si>
  <si>
    <t>BEN</t>
  </si>
  <si>
    <t>FCX</t>
  </si>
  <si>
    <t>GPS</t>
  </si>
  <si>
    <t>XRAY</t>
  </si>
  <si>
    <t>GD</t>
  </si>
  <si>
    <t>GIS</t>
  </si>
  <si>
    <t>GPC</t>
  </si>
  <si>
    <t>GILD</t>
  </si>
  <si>
    <t>GT</t>
  </si>
  <si>
    <t>MCK</t>
  </si>
  <si>
    <t>NVDA</t>
  </si>
  <si>
    <t>GWW</t>
  </si>
  <si>
    <t>HAL</t>
  </si>
  <si>
    <t>GS</t>
  </si>
  <si>
    <t>HOG</t>
  </si>
  <si>
    <t>HAR</t>
  </si>
  <si>
    <t>HRS</t>
  </si>
  <si>
    <t>HAS</t>
  </si>
  <si>
    <t>HSIC</t>
  </si>
  <si>
    <t>HCP</t>
  </si>
  <si>
    <t>HP</t>
  </si>
  <si>
    <t>HSY</t>
  </si>
  <si>
    <t>FFIV</t>
  </si>
  <si>
    <t>RAI</t>
  </si>
  <si>
    <t>JNPR</t>
  </si>
  <si>
    <t>UNM</t>
  </si>
  <si>
    <t>HD</t>
  </si>
  <si>
    <t>HRL</t>
  </si>
  <si>
    <t>CNP</t>
  </si>
  <si>
    <t>HUM</t>
  </si>
  <si>
    <t>JBHT</t>
  </si>
  <si>
    <t>HBAN</t>
  </si>
  <si>
    <t>RHT</t>
  </si>
  <si>
    <t>BIIB</t>
  </si>
  <si>
    <t>ITW</t>
  </si>
  <si>
    <t>INTU</t>
  </si>
  <si>
    <t>INTC</t>
  </si>
  <si>
    <t>IFF</t>
  </si>
  <si>
    <t>IP</t>
  </si>
  <si>
    <t>IPG</t>
  </si>
  <si>
    <t>JEC</t>
  </si>
  <si>
    <t>JNJ</t>
  </si>
  <si>
    <t>HIG</t>
  </si>
  <si>
    <t>JCI</t>
  </si>
  <si>
    <t>KLAC</t>
  </si>
  <si>
    <t>DVN</t>
  </si>
  <si>
    <t>K</t>
  </si>
  <si>
    <t>KEY</t>
  </si>
  <si>
    <t>KIM</t>
  </si>
  <si>
    <t>KMB</t>
  </si>
  <si>
    <t>BLK</t>
  </si>
  <si>
    <t>KSS</t>
  </si>
  <si>
    <t>KR</t>
  </si>
  <si>
    <t>LRCX</t>
  </si>
  <si>
    <t>AKAM</t>
  </si>
  <si>
    <t>LM</t>
  </si>
  <si>
    <t>LEG</t>
  </si>
  <si>
    <t>LEN</t>
  </si>
  <si>
    <t>LUK</t>
  </si>
  <si>
    <t>LLY</t>
  </si>
  <si>
    <t>LNC</t>
  </si>
  <si>
    <t>LLTC</t>
  </si>
  <si>
    <t>UPS</t>
  </si>
  <si>
    <t>L</t>
  </si>
  <si>
    <t>CCL</t>
  </si>
  <si>
    <t>RRC</t>
  </si>
  <si>
    <t>D</t>
  </si>
  <si>
    <t>MAC</t>
  </si>
  <si>
    <t>SCG</t>
  </si>
  <si>
    <t>MKC</t>
  </si>
  <si>
    <t>MCD</t>
  </si>
  <si>
    <t>EW</t>
  </si>
  <si>
    <t>HST</t>
  </si>
  <si>
    <t>MMC</t>
  </si>
  <si>
    <t>MAS</t>
  </si>
  <si>
    <t>JWN</t>
  </si>
  <si>
    <t>NSC</t>
  </si>
  <si>
    <t>NI</t>
  </si>
  <si>
    <t>COH</t>
  </si>
  <si>
    <t>NTRS</t>
  </si>
  <si>
    <t>NOC</t>
  </si>
  <si>
    <t>WFC</t>
  </si>
  <si>
    <t>NUE</t>
  </si>
  <si>
    <t>MON</t>
  </si>
  <si>
    <t>COF</t>
  </si>
  <si>
    <t>OXY</t>
  </si>
  <si>
    <t>ORCL</t>
  </si>
  <si>
    <t>OI</t>
  </si>
  <si>
    <t>PCAR</t>
  </si>
  <si>
    <t>EXC</t>
  </si>
  <si>
    <t>PH</t>
  </si>
  <si>
    <t>PDCO</t>
  </si>
  <si>
    <t>PAYX</t>
  </si>
  <si>
    <t>PPL</t>
  </si>
  <si>
    <t>PEP</t>
  </si>
  <si>
    <t>PFE</t>
  </si>
  <si>
    <t>COP</t>
  </si>
  <si>
    <t>PCG</t>
  </si>
  <si>
    <t>PBI</t>
  </si>
  <si>
    <t>PXD</t>
  </si>
  <si>
    <t>MO</t>
  </si>
  <si>
    <t>PNC</t>
  </si>
  <si>
    <t>AET</t>
  </si>
  <si>
    <t>FLR</t>
  </si>
  <si>
    <t>PPG</t>
  </si>
  <si>
    <t>PX</t>
  </si>
  <si>
    <t>COST</t>
  </si>
  <si>
    <t>TROW</t>
  </si>
  <si>
    <t>DGX</t>
  </si>
  <si>
    <t>PG</t>
  </si>
  <si>
    <t>PGR</t>
  </si>
  <si>
    <t>PEG</t>
  </si>
  <si>
    <t>PHM</t>
  </si>
  <si>
    <t>QCOM</t>
  </si>
  <si>
    <t>REGN</t>
  </si>
  <si>
    <t>AN</t>
  </si>
  <si>
    <t>USB</t>
  </si>
  <si>
    <t>ROST</t>
  </si>
  <si>
    <t>ROP</t>
  </si>
  <si>
    <t>ROK</t>
  </si>
  <si>
    <t>RCL</t>
  </si>
  <si>
    <t>RTN</t>
  </si>
  <si>
    <t>R</t>
  </si>
  <si>
    <t>ADS</t>
  </si>
  <si>
    <t>FTI</t>
  </si>
  <si>
    <t>COL</t>
  </si>
  <si>
    <t>STJ</t>
  </si>
  <si>
    <t>TRV</t>
  </si>
  <si>
    <t>FIS</t>
  </si>
  <si>
    <t>MRK</t>
  </si>
  <si>
    <t>PCLN</t>
  </si>
  <si>
    <t>SLB</t>
  </si>
  <si>
    <t>SCHW</t>
  </si>
  <si>
    <t>ZBH</t>
  </si>
  <si>
    <t>ABC</t>
  </si>
  <si>
    <t>PFG</t>
  </si>
  <si>
    <t>SHW</t>
  </si>
  <si>
    <t>SPG</t>
  </si>
  <si>
    <t>SNA</t>
  </si>
  <si>
    <t>PRU</t>
  </si>
  <si>
    <t>AAP</t>
  </si>
  <si>
    <t>SWN</t>
  </si>
  <si>
    <t>EIX</t>
  </si>
  <si>
    <t>SO</t>
  </si>
  <si>
    <t>BBT</t>
  </si>
  <si>
    <t>LUV</t>
  </si>
  <si>
    <t>T</t>
  </si>
  <si>
    <t>CVX</t>
  </si>
  <si>
    <t>SPLS</t>
  </si>
  <si>
    <t>STT</t>
  </si>
  <si>
    <t>SBUX</t>
  </si>
  <si>
    <t>PSA</t>
  </si>
  <si>
    <t>SYK</t>
  </si>
  <si>
    <t>NFLX</t>
  </si>
  <si>
    <t>SRCL</t>
  </si>
  <si>
    <t>STI</t>
  </si>
  <si>
    <t>SYMC</t>
  </si>
  <si>
    <t>SYY</t>
  </si>
  <si>
    <t>ISRG</t>
  </si>
  <si>
    <t>TSO</t>
  </si>
  <si>
    <t>TXN</t>
  </si>
  <si>
    <t>TXT</t>
  </si>
  <si>
    <t>TMO</t>
  </si>
  <si>
    <t>TIF</t>
  </si>
  <si>
    <t>TMK</t>
  </si>
  <si>
    <t>TSS</t>
  </si>
  <si>
    <t>DVA</t>
  </si>
  <si>
    <t>TSCO</t>
  </si>
  <si>
    <t>TSN</t>
  </si>
  <si>
    <t>MRO</t>
  </si>
  <si>
    <t>UNP</t>
  </si>
  <si>
    <t>UTX</t>
  </si>
  <si>
    <t>UNH</t>
  </si>
  <si>
    <t>UHS</t>
  </si>
  <si>
    <t>VAR</t>
  </si>
  <si>
    <t>VTR</t>
  </si>
  <si>
    <t>VFC</t>
  </si>
  <si>
    <t>VRTX</t>
  </si>
  <si>
    <t>VMC</t>
  </si>
  <si>
    <t>URBN</t>
  </si>
  <si>
    <t>VNO</t>
  </si>
  <si>
    <t>WMT</t>
  </si>
  <si>
    <t>WM</t>
  </si>
  <si>
    <t>WAT</t>
  </si>
  <si>
    <t>SJM</t>
  </si>
  <si>
    <t>WDC</t>
  </si>
  <si>
    <t>WY</t>
  </si>
  <si>
    <t>WHR</t>
  </si>
  <si>
    <t>SWKS</t>
  </si>
  <si>
    <t>WYNN</t>
  </si>
  <si>
    <t>WFM</t>
  </si>
  <si>
    <t>NDAQ</t>
  </si>
  <si>
    <t>CME</t>
  </si>
  <si>
    <t>WMB</t>
  </si>
  <si>
    <t>KMX</t>
  </si>
  <si>
    <t>XRX</t>
  </si>
  <si>
    <t>XLNX</t>
  </si>
  <si>
    <t>XEC</t>
  </si>
  <si>
    <t>TJX</t>
  </si>
  <si>
    <t>ZION</t>
  </si>
  <si>
    <t>RF</t>
  </si>
  <si>
    <t>TAP</t>
  </si>
  <si>
    <t>CF</t>
  </si>
  <si>
    <t>AMP</t>
  </si>
  <si>
    <t>GME</t>
  </si>
  <si>
    <t>UA</t>
  </si>
  <si>
    <t>VIAB</t>
  </si>
  <si>
    <t>CBS</t>
  </si>
  <si>
    <t>CMG</t>
  </si>
  <si>
    <t>MA</t>
  </si>
  <si>
    <t>HOT</t>
  </si>
  <si>
    <t>WYN</t>
  </si>
  <si>
    <t>HBI</t>
  </si>
  <si>
    <t>WU</t>
  </si>
  <si>
    <t>FSLR</t>
  </si>
  <si>
    <t>SE</t>
  </si>
  <si>
    <t>PBCT</t>
  </si>
  <si>
    <t>DAL</t>
  </si>
  <si>
    <t>DFS</t>
  </si>
  <si>
    <t>BK</t>
  </si>
  <si>
    <t>TDC</t>
  </si>
  <si>
    <t>IVZ</t>
  </si>
  <si>
    <t>PM</t>
  </si>
  <si>
    <t>V</t>
  </si>
  <si>
    <t>DPS</t>
  </si>
  <si>
    <t>SNI</t>
  </si>
  <si>
    <t>SIG</t>
  </si>
  <si>
    <t>DISCA</t>
  </si>
  <si>
    <t>MPC</t>
  </si>
  <si>
    <t>RIG</t>
  </si>
  <si>
    <t>MOS</t>
  </si>
  <si>
    <t>KMI</t>
  </si>
  <si>
    <t>XYL</t>
  </si>
  <si>
    <t>SWK</t>
  </si>
  <si>
    <t>LYB</t>
  </si>
  <si>
    <t>PVH</t>
  </si>
  <si>
    <t>AVGO</t>
  </si>
  <si>
    <t>GRMN</t>
  </si>
  <si>
    <t>PLD</t>
  </si>
  <si>
    <t>ACN</t>
  </si>
  <si>
    <t>HCA</t>
  </si>
  <si>
    <t>VRSK</t>
  </si>
  <si>
    <t>UAL</t>
  </si>
  <si>
    <t>RL</t>
  </si>
  <si>
    <t>MJN</t>
  </si>
  <si>
    <t>GGP</t>
  </si>
  <si>
    <t>STX</t>
  </si>
  <si>
    <t>DG</t>
  </si>
  <si>
    <t>MSI</t>
  </si>
  <si>
    <t>AON</t>
  </si>
  <si>
    <t>LVLT</t>
  </si>
  <si>
    <t>XL</t>
  </si>
  <si>
    <t>TEL</t>
  </si>
  <si>
    <t>IR</t>
  </si>
  <si>
    <t>TWX</t>
  </si>
  <si>
    <t>ORLY</t>
  </si>
  <si>
    <t>GM</t>
  </si>
  <si>
    <t>CBG</t>
  </si>
  <si>
    <t>TRIP</t>
  </si>
  <si>
    <t>KORS</t>
  </si>
  <si>
    <t>EXPE</t>
  </si>
  <si>
    <t>DLPH</t>
  </si>
  <si>
    <t>PSX</t>
  </si>
  <si>
    <t>AMT</t>
  </si>
  <si>
    <t>ESRX</t>
  </si>
  <si>
    <t>FB</t>
  </si>
  <si>
    <t>DUK</t>
  </si>
  <si>
    <t>MDLZ</t>
  </si>
  <si>
    <t>ETN</t>
  </si>
  <si>
    <t>ABBV</t>
  </si>
  <si>
    <t>ZTS</t>
  </si>
  <si>
    <t>LB</t>
  </si>
  <si>
    <t>NWS</t>
  </si>
  <si>
    <t>MNK</t>
  </si>
  <si>
    <t>AAL</t>
  </si>
  <si>
    <t>WLTW</t>
  </si>
  <si>
    <t>ALLE</t>
  </si>
  <si>
    <t>ICE</t>
  </si>
  <si>
    <t>PRGO</t>
  </si>
  <si>
    <t>ENDP</t>
  </si>
  <si>
    <t>NAVI</t>
  </si>
  <si>
    <t>PNR</t>
  </si>
  <si>
    <t>SYF</t>
  </si>
  <si>
    <t>TYC</t>
  </si>
  <si>
    <t>ANTM</t>
  </si>
  <si>
    <t>CCI</t>
  </si>
  <si>
    <t>MDT</t>
  </si>
  <si>
    <t>WBA</t>
  </si>
  <si>
    <t>MYL</t>
  </si>
  <si>
    <t>IRM</t>
  </si>
  <si>
    <t>EQIX</t>
  </si>
  <si>
    <t>NLSN</t>
  </si>
  <si>
    <t>CSRA</t>
  </si>
  <si>
    <t>WRK</t>
  </si>
  <si>
    <t>KHC</t>
  </si>
  <si>
    <t>HCN</t>
  </si>
  <si>
    <t>HPE</t>
  </si>
  <si>
    <t>PYPL</t>
  </si>
  <si>
    <t>HPQ</t>
  </si>
  <si>
    <t>WEC</t>
  </si>
  <si>
    <t>MNST</t>
  </si>
  <si>
    <t>TGNA</t>
  </si>
  <si>
    <t>EXR</t>
  </si>
  <si>
    <t>FRT</t>
  </si>
  <si>
    <t>UDR</t>
  </si>
  <si>
    <t>CXO</t>
  </si>
  <si>
    <t>AWK</t>
  </si>
  <si>
    <t>CFG</t>
  </si>
  <si>
    <t>HOLX</t>
  </si>
  <si>
    <t>CNC</t>
  </si>
  <si>
    <t>FL</t>
  </si>
  <si>
    <t>GPN</t>
  </si>
  <si>
    <t>AYI</t>
  </si>
  <si>
    <t>ULTA</t>
  </si>
  <si>
    <t>ALK</t>
  </si>
  <si>
    <t>LKQ</t>
  </si>
  <si>
    <t>DLR</t>
  </si>
  <si>
    <t>TDG</t>
  </si>
  <si>
    <t>AJG</t>
  </si>
  <si>
    <t>FOX</t>
  </si>
  <si>
    <t>Ticker</t>
  </si>
  <si>
    <t>T/F</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</si>
</sst>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0"/>
    <numFmt numFmtId="165" formatCode="[$-F400]h:mm:ss\ AM/PM"/>
  </numFmts>
  <fonts count="30" x14ac:knownFonts="1">
    <font>
      <sz val="10"/>
      <name val="Arial"/>
    </font>
    <font>
      <sz val="11"/>
      <color indexed="8"/>
      <name val="Calibri"/>
      <family val="2"/>
    </font>
    <font>
      <b/>
      <sz val="10"/>
      <color indexed="9"/>
      <name val="Arial"/>
      <family val="2"/>
    </font>
    <font>
      <sz val="10"/>
      <name val="Arial"/>
      <family val="2"/>
    </font>
    <font>
      <sz val="10"/>
      <color indexed="13"/>
      <name val="Arial"/>
      <family val="2"/>
    </font>
    <font>
      <b/>
      <sz val="10"/>
      <name val="Arial"/>
      <family val="2"/>
    </font>
    <font>
      <b/>
      <sz val="10"/>
      <color indexed="37"/>
      <name val="Arial"/>
      <family val="2"/>
    </font>
    <font>
      <u/>
      <sz val="10"/>
      <name val="Arial"/>
      <family val="2"/>
    </font>
    <font>
      <b/>
      <sz val="10"/>
      <color indexed="9"/>
      <name val="Arial"/>
      <family val="2"/>
    </font>
    <font>
      <b/>
      <sz val="10"/>
      <name val="Arial"/>
      <family val="2"/>
    </font>
    <font>
      <sz val="10"/>
      <color indexed="16"/>
      <name val="Arial"/>
      <family val="2"/>
    </font>
    <font>
      <sz val="8"/>
      <name val="Arial"/>
      <family val="2"/>
    </font>
    <font>
      <sz val="10"/>
      <color indexed="12"/>
      <name val="Arial"/>
      <family val="2"/>
    </font>
    <font>
      <sz val="10"/>
      <color indexed="13"/>
      <name val="Arial"/>
      <family val="2"/>
    </font>
    <font>
      <b/>
      <sz val="8"/>
      <color indexed="9"/>
      <name val="Arial"/>
      <family val="2"/>
    </font>
    <font>
      <sz val="8"/>
      <name val="Arial"/>
      <family val="2"/>
    </font>
    <font>
      <b/>
      <sz val="8"/>
      <name val="Arial"/>
      <family val="2"/>
    </font>
    <font>
      <sz val="10"/>
      <color indexed="81"/>
      <name val="Arial"/>
      <family val="2"/>
    </font>
    <font>
      <sz val="10"/>
      <color indexed="16"/>
      <name val="Arial"/>
      <family val="2"/>
    </font>
    <font>
      <sz val="10"/>
      <color indexed="37"/>
      <name val="Arial"/>
      <family val="2"/>
    </font>
    <font>
      <sz val="11"/>
      <color indexed="8"/>
      <name val="Calibri"/>
      <family val="2"/>
    </font>
    <font>
      <sz val="8"/>
      <name val="Arial"/>
      <family val="2"/>
    </font>
    <font>
      <sz val="10"/>
      <color indexed="13"/>
      <name val="Arial"/>
      <family val="2"/>
    </font>
    <font>
      <sz val="9"/>
      <color indexed="81"/>
      <name val="Tahoma"/>
      <family val="2"/>
    </font>
    <font>
      <b/>
      <sz val="9"/>
      <color indexed="81"/>
      <name val="Tahoma"/>
      <family val="2"/>
    </font>
    <font>
      <b/>
      <sz val="9"/>
      <color indexed="81"/>
      <name val="Calibri"/>
      <family val="2"/>
    </font>
    <font>
      <sz val="9"/>
      <color indexed="81"/>
      <name val="Calibri"/>
      <family val="2"/>
    </font>
    <font>
      <sz val="10"/>
      <color rgb="FF000000"/>
      <name val="Arial"/>
      <family val="2"/>
    </font>
    <font>
      <sz val="8"/>
      <color rgb="FF000000"/>
      <name val="Arial"/>
      <family val="2"/>
    </font>
    <font>
      <b/>
      <sz val="10"/>
      <color indexed="13"/>
      <name val="Arial"/>
      <family val="2"/>
    </font>
  </fonts>
  <fills count="11">
    <fill>
      <patternFill patternType="none"/>
    </fill>
    <fill>
      <patternFill patternType="gray125"/>
    </fill>
    <fill>
      <patternFill patternType="solid">
        <fgColor indexed="55"/>
        <bgColor indexed="64"/>
      </patternFill>
    </fill>
    <fill>
      <patternFill patternType="solid">
        <fgColor indexed="43"/>
        <bgColor indexed="64"/>
      </patternFill>
    </fill>
    <fill>
      <patternFill patternType="solid">
        <fgColor indexed="22"/>
        <bgColor indexed="64"/>
      </patternFill>
    </fill>
    <fill>
      <patternFill patternType="solid">
        <fgColor indexed="18"/>
        <bgColor indexed="64"/>
      </patternFill>
    </fill>
    <fill>
      <patternFill patternType="solid">
        <fgColor indexed="9"/>
        <bgColor indexed="64"/>
      </patternFill>
    </fill>
    <fill>
      <patternFill patternType="solid">
        <fgColor indexed="42"/>
        <bgColor indexed="64"/>
      </patternFill>
    </fill>
    <fill>
      <patternFill patternType="solid">
        <fgColor indexed="20"/>
        <bgColor indexed="64"/>
      </patternFill>
    </fill>
    <fill>
      <patternFill patternType="solid">
        <fgColor indexed="32"/>
        <bgColor indexed="64"/>
      </patternFill>
    </fill>
    <fill>
      <patternFill patternType="solid">
        <fgColor theme="4"/>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style="thin">
        <color indexed="62"/>
      </bottom>
      <diagonal/>
    </border>
  </borders>
  <cellStyleXfs count="1">
    <xf numFmtId="0" fontId="0" fillId="0" borderId="0"/>
  </cellStyleXfs>
  <cellXfs count="505">
    <xf numFmtId="0" fontId="0" fillId="0" borderId="0" xfId="0"/>
    <xf numFmtId="0" fontId="3" fillId="2" borderId="1" xfId="0" applyFont="1" applyFill="1" applyBorder="1"/>
    <xf numFmtId="2" fontId="3" fillId="2" borderId="1" xfId="0" applyNumberFormat="1" applyFont="1" applyFill="1" applyBorder="1"/>
    <xf numFmtId="0" fontId="3" fillId="3" borderId="1" xfId="0" applyFont="1" applyFill="1" applyBorder="1"/>
    <xf numFmtId="2" fontId="4" fillId="4" borderId="1" xfId="0" applyNumberFormat="1" applyFont="1" applyFill="1" applyBorder="1"/>
    <xf numFmtId="0" fontId="0" fillId="3" borderId="1" xfId="0" applyFill="1" applyBorder="1"/>
    <xf numFmtId="0" fontId="4" fillId="4" borderId="1" xfId="0" applyFont="1" applyFill="1" applyBorder="1"/>
    <xf numFmtId="0" fontId="0" fillId="0" borderId="0" xfId="0" applyBorder="1"/>
    <xf numFmtId="0" fontId="5" fillId="3" borderId="1" xfId="0" applyFont="1" applyFill="1" applyBorder="1"/>
    <xf numFmtId="0" fontId="3" fillId="2" borderId="1" xfId="0" applyFont="1" applyFill="1" applyBorder="1" applyProtection="1">
      <protection locked="0"/>
    </xf>
    <xf numFmtId="0" fontId="0" fillId="3" borderId="2" xfId="0" applyFill="1" applyBorder="1" applyAlignment="1" applyProtection="1">
      <protection locked="0"/>
    </xf>
    <xf numFmtId="0" fontId="0" fillId="3" borderId="3" xfId="0" applyFill="1" applyBorder="1" applyAlignment="1" applyProtection="1">
      <protection locked="0"/>
    </xf>
    <xf numFmtId="0" fontId="5" fillId="3" borderId="1" xfId="0" applyFont="1" applyFill="1" applyBorder="1" applyProtection="1">
      <protection locked="0"/>
    </xf>
    <xf numFmtId="0" fontId="0" fillId="3" borderId="1" xfId="0" applyFill="1" applyBorder="1" applyProtection="1">
      <protection locked="0"/>
    </xf>
    <xf numFmtId="0" fontId="3" fillId="3" borderId="1" xfId="0" applyFont="1" applyFill="1" applyBorder="1" applyProtection="1">
      <protection locked="0"/>
    </xf>
    <xf numFmtId="2" fontId="4" fillId="4" borderId="1" xfId="0" applyNumberFormat="1" applyFont="1" applyFill="1" applyBorder="1" applyProtection="1"/>
    <xf numFmtId="2" fontId="3" fillId="2" borderId="1" xfId="0" applyNumberFormat="1" applyFont="1" applyFill="1" applyBorder="1" applyAlignment="1">
      <alignment horizontal="center"/>
    </xf>
    <xf numFmtId="0" fontId="0" fillId="2" borderId="3" xfId="0" applyFill="1" applyBorder="1" applyAlignment="1" applyProtection="1">
      <alignment horizontal="center"/>
      <protection locked="0"/>
    </xf>
    <xf numFmtId="0" fontId="0" fillId="2" borderId="4" xfId="0" applyFill="1" applyBorder="1" applyAlignment="1" applyProtection="1">
      <alignment horizontal="center"/>
      <protection locked="0"/>
    </xf>
    <xf numFmtId="0" fontId="0" fillId="0" borderId="0" xfId="0" applyBorder="1" applyAlignment="1" applyProtection="1">
      <alignment horizontal="center"/>
      <protection locked="0"/>
    </xf>
    <xf numFmtId="0" fontId="0" fillId="0" borderId="0" xfId="0" applyNumberFormat="1"/>
    <xf numFmtId="0" fontId="2" fillId="5" borderId="2" xfId="0" applyFont="1" applyFill="1" applyBorder="1" applyAlignment="1">
      <alignment horizontal="center"/>
    </xf>
    <xf numFmtId="0" fontId="6" fillId="2" borderId="5" xfId="0" applyFont="1" applyFill="1" applyBorder="1"/>
    <xf numFmtId="0" fontId="0" fillId="6" borderId="6" xfId="0" applyFill="1" applyBorder="1" applyAlignment="1" applyProtection="1">
      <alignment horizontal="center"/>
      <protection locked="0"/>
    </xf>
    <xf numFmtId="0" fontId="0" fillId="0" borderId="0" xfId="0" applyBorder="1" applyAlignment="1">
      <alignment horizontal="center"/>
    </xf>
    <xf numFmtId="0" fontId="0" fillId="0" borderId="7" xfId="0" applyBorder="1" applyAlignment="1">
      <alignment horizontal="center"/>
    </xf>
    <xf numFmtId="0" fontId="0" fillId="0" borderId="0" xfId="0" applyAlignment="1"/>
    <xf numFmtId="2" fontId="0" fillId="0" borderId="0" xfId="0" applyNumberFormat="1"/>
    <xf numFmtId="2" fontId="3" fillId="2" borderId="8" xfId="0" applyNumberFormat="1" applyFont="1" applyFill="1" applyBorder="1" applyProtection="1">
      <protection locked="0"/>
    </xf>
    <xf numFmtId="164" fontId="4" fillId="4" borderId="1" xfId="0" applyNumberFormat="1" applyFont="1" applyFill="1" applyBorder="1" applyProtection="1"/>
    <xf numFmtId="1" fontId="0" fillId="0" borderId="0" xfId="0" applyNumberFormat="1"/>
    <xf numFmtId="0" fontId="5" fillId="0" borderId="0" xfId="0" applyFont="1"/>
    <xf numFmtId="0" fontId="0" fillId="0" borderId="0" xfId="0" applyProtection="1">
      <protection hidden="1"/>
    </xf>
    <xf numFmtId="0" fontId="0" fillId="0" borderId="0" xfId="0" applyAlignment="1" applyProtection="1">
      <protection hidden="1"/>
    </xf>
    <xf numFmtId="0" fontId="7" fillId="0" borderId="0" xfId="0" applyFont="1"/>
    <xf numFmtId="0" fontId="0" fillId="2" borderId="6" xfId="0" applyFill="1" applyBorder="1" applyAlignment="1" applyProtection="1">
      <alignment horizontal="center"/>
      <protection locked="0"/>
    </xf>
    <xf numFmtId="0" fontId="0" fillId="6" borderId="3" xfId="0" applyFill="1" applyBorder="1"/>
    <xf numFmtId="0" fontId="0" fillId="3" borderId="2" xfId="0" applyFill="1" applyBorder="1"/>
    <xf numFmtId="0" fontId="0" fillId="3" borderId="4" xfId="0" applyFill="1" applyBorder="1"/>
    <xf numFmtId="0" fontId="0" fillId="6" borderId="6" xfId="0" applyFill="1" applyBorder="1" applyAlignment="1">
      <alignment horizontal="center"/>
    </xf>
    <xf numFmtId="0" fontId="0" fillId="7" borderId="1" xfId="0" applyFill="1" applyBorder="1" applyAlignment="1">
      <alignment horizontal="left"/>
    </xf>
    <xf numFmtId="0" fontId="0" fillId="6" borderId="6" xfId="0" applyFill="1" applyBorder="1"/>
    <xf numFmtId="0" fontId="3" fillId="2" borderId="9" xfId="0" applyNumberFormat="1" applyFont="1" applyFill="1" applyBorder="1" applyProtection="1">
      <protection locked="0"/>
    </xf>
    <xf numFmtId="0" fontId="0" fillId="2" borderId="10" xfId="0" applyFill="1" applyBorder="1"/>
    <xf numFmtId="0" fontId="0" fillId="2" borderId="2" xfId="0" applyFill="1" applyBorder="1"/>
    <xf numFmtId="0" fontId="0" fillId="2" borderId="3" xfId="0" applyFill="1" applyBorder="1"/>
    <xf numFmtId="0" fontId="0" fillId="2" borderId="4" xfId="0" applyFill="1" applyBorder="1"/>
    <xf numFmtId="0" fontId="0" fillId="2" borderId="4" xfId="0" applyFill="1" applyBorder="1" applyAlignment="1">
      <alignment shrinkToFit="1"/>
    </xf>
    <xf numFmtId="21" fontId="0" fillId="6" borderId="3" xfId="0" applyNumberFormat="1" applyFill="1" applyBorder="1"/>
    <xf numFmtId="0" fontId="3" fillId="2" borderId="1" xfId="0" applyFont="1" applyFill="1" applyBorder="1" applyAlignment="1" applyProtection="1">
      <alignment horizontal="center"/>
      <protection locked="0"/>
    </xf>
    <xf numFmtId="0" fontId="0" fillId="0" borderId="0" xfId="0" applyBorder="1" applyAlignment="1"/>
    <xf numFmtId="0" fontId="0" fillId="2" borderId="3" xfId="0" applyFill="1" applyBorder="1" applyAlignment="1"/>
    <xf numFmtId="0" fontId="3" fillId="2" borderId="1" xfId="0" applyFont="1" applyFill="1" applyBorder="1" applyAlignment="1">
      <alignment horizontal="center"/>
    </xf>
    <xf numFmtId="0" fontId="0" fillId="4" borderId="1" xfId="0" applyFill="1" applyBorder="1"/>
    <xf numFmtId="0" fontId="5" fillId="2" borderId="2" xfId="0" applyFont="1" applyFill="1" applyBorder="1" applyAlignment="1" applyProtection="1">
      <alignment horizontal="center"/>
      <protection locked="0"/>
    </xf>
    <xf numFmtId="0" fontId="12" fillId="0" borderId="0" xfId="0" applyFont="1" applyAlignment="1">
      <alignment horizontal="left" indent="8"/>
    </xf>
    <xf numFmtId="0" fontId="0" fillId="3" borderId="3" xfId="0" applyFill="1" applyBorder="1" applyProtection="1">
      <protection locked="0"/>
    </xf>
    <xf numFmtId="0" fontId="4" fillId="4" borderId="4" xfId="0" applyNumberFormat="1" applyFont="1" applyFill="1" applyBorder="1" applyProtection="1"/>
    <xf numFmtId="0" fontId="0" fillId="0" borderId="0" xfId="0" applyAlignment="1">
      <alignment horizontal="center"/>
    </xf>
    <xf numFmtId="2" fontId="3" fillId="2" borderId="1" xfId="0" applyNumberFormat="1" applyFont="1" applyFill="1" applyBorder="1" applyAlignment="1" applyProtection="1">
      <alignment horizontal="center"/>
      <protection locked="0"/>
    </xf>
    <xf numFmtId="2" fontId="3" fillId="2" borderId="2" xfId="0" applyNumberFormat="1" applyFont="1" applyFill="1" applyBorder="1" applyAlignment="1" applyProtection="1">
      <alignment horizontal="center"/>
      <protection locked="0"/>
    </xf>
    <xf numFmtId="164" fontId="0" fillId="0" borderId="0" xfId="0" applyNumberFormat="1"/>
    <xf numFmtId="1" fontId="4" fillId="4" borderId="1" xfId="0" applyNumberFormat="1" applyFont="1" applyFill="1" applyBorder="1" applyProtection="1"/>
    <xf numFmtId="0" fontId="0" fillId="3" borderId="1" xfId="0" applyFill="1" applyBorder="1" applyAlignment="1" applyProtection="1">
      <alignment horizontal="center"/>
      <protection locked="0"/>
    </xf>
    <xf numFmtId="0" fontId="0" fillId="3" borderId="1" xfId="0" applyFill="1" applyBorder="1" applyAlignment="1">
      <alignment horizontal="center"/>
    </xf>
    <xf numFmtId="0" fontId="0" fillId="3" borderId="3" xfId="0" applyFill="1" applyBorder="1" applyAlignment="1" applyProtection="1">
      <alignment horizontal="center"/>
      <protection locked="0"/>
    </xf>
    <xf numFmtId="1" fontId="0" fillId="0" borderId="0" xfId="0" applyNumberFormat="1" applyBorder="1" applyAlignment="1" applyProtection="1">
      <alignment horizontal="center"/>
      <protection locked="0"/>
    </xf>
    <xf numFmtId="1" fontId="3" fillId="2" borderId="1" xfId="0" applyNumberFormat="1" applyFont="1" applyFill="1" applyBorder="1" applyAlignment="1" applyProtection="1">
      <alignment horizontal="center"/>
      <protection locked="0"/>
    </xf>
    <xf numFmtId="1" fontId="0" fillId="0" borderId="0" xfId="0" applyNumberFormat="1" applyAlignment="1">
      <alignment horizontal="center"/>
    </xf>
    <xf numFmtId="1" fontId="4" fillId="4" borderId="1" xfId="0" applyNumberFormat="1" applyFont="1" applyFill="1" applyBorder="1" applyAlignment="1" applyProtection="1">
      <alignment horizontal="center"/>
    </xf>
    <xf numFmtId="2" fontId="4" fillId="4" borderId="1" xfId="0" applyNumberFormat="1" applyFont="1" applyFill="1" applyBorder="1" applyAlignment="1" applyProtection="1">
      <alignment horizontal="center"/>
    </xf>
    <xf numFmtId="164" fontId="4" fillId="4" borderId="1" xfId="0" applyNumberFormat="1" applyFont="1" applyFill="1" applyBorder="1" applyAlignment="1" applyProtection="1">
      <alignment horizontal="center"/>
    </xf>
    <xf numFmtId="164" fontId="0" fillId="0" borderId="0" xfId="0" applyNumberFormat="1" applyAlignment="1">
      <alignment horizontal="center"/>
    </xf>
    <xf numFmtId="0" fontId="0" fillId="0" borderId="11" xfId="0" applyBorder="1" applyAlignment="1"/>
    <xf numFmtId="0" fontId="0" fillId="2" borderId="2" xfId="0" applyFill="1" applyBorder="1" applyAlignment="1" applyProtection="1">
      <alignment horizontal="left"/>
      <protection locked="0"/>
    </xf>
    <xf numFmtId="0" fontId="0" fillId="2" borderId="9" xfId="0" applyFill="1" applyBorder="1" applyAlignment="1" applyProtection="1">
      <alignment horizontal="left"/>
      <protection locked="0"/>
    </xf>
    <xf numFmtId="0" fontId="0" fillId="2" borderId="6" xfId="0" applyFill="1" applyBorder="1" applyAlignment="1"/>
    <xf numFmtId="0" fontId="0" fillId="6" borderId="3" xfId="0" applyFill="1" applyBorder="1" applyAlignment="1" applyProtection="1">
      <alignment horizontal="center"/>
      <protection locked="0"/>
    </xf>
    <xf numFmtId="0" fontId="5" fillId="2" borderId="9" xfId="0" applyFont="1" applyFill="1" applyBorder="1" applyAlignment="1">
      <alignment horizontal="center"/>
    </xf>
    <xf numFmtId="0" fontId="5" fillId="2" borderId="6" xfId="0" applyFont="1" applyFill="1" applyBorder="1" applyAlignment="1">
      <alignment horizontal="center"/>
    </xf>
    <xf numFmtId="0" fontId="5" fillId="2" borderId="10" xfId="0" applyFont="1" applyFill="1" applyBorder="1" applyAlignment="1">
      <alignment horizontal="center"/>
    </xf>
    <xf numFmtId="0" fontId="0" fillId="0" borderId="0" xfId="0" applyAlignment="1">
      <alignment wrapText="1"/>
    </xf>
    <xf numFmtId="0" fontId="0" fillId="6" borderId="0" xfId="0" applyFill="1" applyBorder="1" applyAlignment="1" applyProtection="1">
      <alignment horizontal="center"/>
      <protection locked="0"/>
    </xf>
    <xf numFmtId="0" fontId="0" fillId="6" borderId="0" xfId="0" applyFill="1" applyBorder="1" applyAlignment="1" applyProtection="1">
      <alignment horizontal="left"/>
      <protection locked="0"/>
    </xf>
    <xf numFmtId="0" fontId="0" fillId="6" borderId="0" xfId="0" applyFill="1" applyBorder="1" applyAlignment="1"/>
    <xf numFmtId="1" fontId="0" fillId="0" borderId="0" xfId="0" applyNumberFormat="1" applyBorder="1" applyAlignment="1">
      <alignment horizontal="center"/>
    </xf>
    <xf numFmtId="0" fontId="2" fillId="5" borderId="12" xfId="0" applyFont="1" applyFill="1" applyBorder="1" applyAlignment="1" applyProtection="1">
      <alignment horizontal="left"/>
      <protection locked="0"/>
    </xf>
    <xf numFmtId="0" fontId="2" fillId="5" borderId="11" xfId="0" applyFont="1" applyFill="1" applyBorder="1" applyAlignment="1" applyProtection="1">
      <alignment horizontal="left"/>
      <protection locked="0"/>
    </xf>
    <xf numFmtId="0" fontId="2" fillId="5" borderId="13" xfId="0" applyFont="1" applyFill="1" applyBorder="1" applyAlignment="1" applyProtection="1">
      <alignment horizontal="left"/>
      <protection locked="0"/>
    </xf>
    <xf numFmtId="0" fontId="0" fillId="2" borderId="10" xfId="0" applyFill="1" applyBorder="1" applyAlignment="1" applyProtection="1">
      <alignment horizontal="center"/>
      <protection locked="0"/>
    </xf>
    <xf numFmtId="0" fontId="3" fillId="2" borderId="10" xfId="0" applyFont="1" applyFill="1" applyBorder="1" applyAlignment="1" applyProtection="1">
      <alignment horizontal="center"/>
      <protection locked="0"/>
    </xf>
    <xf numFmtId="0" fontId="0" fillId="3" borderId="14" xfId="0" applyFill="1" applyBorder="1" applyProtection="1">
      <protection locked="0"/>
    </xf>
    <xf numFmtId="0" fontId="0" fillId="3" borderId="14" xfId="0" applyFill="1" applyBorder="1" applyAlignment="1" applyProtection="1">
      <alignment horizontal="center"/>
      <protection locked="0"/>
    </xf>
    <xf numFmtId="0" fontId="3" fillId="2" borderId="15" xfId="0" applyFont="1" applyFill="1" applyBorder="1" applyAlignment="1" applyProtection="1">
      <alignment horizontal="center"/>
      <protection locked="0"/>
    </xf>
    <xf numFmtId="0" fontId="3" fillId="2" borderId="15" xfId="0" applyFont="1" applyFill="1" applyBorder="1" applyProtection="1">
      <protection locked="0"/>
    </xf>
    <xf numFmtId="0" fontId="0" fillId="2" borderId="10" xfId="0" applyFill="1" applyBorder="1" applyAlignment="1"/>
    <xf numFmtId="0" fontId="2" fillId="5" borderId="11" xfId="0" applyFont="1" applyFill="1" applyBorder="1" applyAlignment="1"/>
    <xf numFmtId="0" fontId="2" fillId="5" borderId="13" xfId="0" applyFont="1" applyFill="1" applyBorder="1" applyAlignment="1"/>
    <xf numFmtId="0" fontId="0" fillId="6" borderId="10" xfId="0" applyFill="1" applyBorder="1" applyAlignment="1">
      <alignment horizontal="center"/>
    </xf>
    <xf numFmtId="0" fontId="0" fillId="2" borderId="6" xfId="0" applyFill="1" applyBorder="1" applyAlignment="1">
      <alignment horizontal="right"/>
    </xf>
    <xf numFmtId="0" fontId="0" fillId="0" borderId="11" xfId="0" applyBorder="1" applyAlignment="1" applyProtection="1">
      <alignment horizontal="center"/>
      <protection locked="0"/>
    </xf>
    <xf numFmtId="0" fontId="0" fillId="3" borderId="2" xfId="0" applyFill="1" applyBorder="1" applyProtection="1">
      <protection locked="0"/>
    </xf>
    <xf numFmtId="0" fontId="6" fillId="2" borderId="8" xfId="0" applyFont="1" applyFill="1" applyBorder="1"/>
    <xf numFmtId="0" fontId="3" fillId="2" borderId="8" xfId="0" applyFont="1" applyFill="1" applyBorder="1" applyProtection="1">
      <protection locked="0"/>
    </xf>
    <xf numFmtId="0" fontId="3" fillId="2" borderId="12" xfId="0" applyNumberFormat="1" applyFont="1" applyFill="1" applyBorder="1" applyProtection="1">
      <protection locked="0"/>
    </xf>
    <xf numFmtId="2" fontId="3" fillId="2" borderId="12" xfId="0" applyNumberFormat="1" applyFont="1" applyFill="1" applyBorder="1" applyProtection="1">
      <protection locked="0"/>
    </xf>
    <xf numFmtId="0" fontId="4" fillId="4" borderId="10" xfId="0" applyNumberFormat="1" applyFont="1" applyFill="1" applyBorder="1" applyProtection="1"/>
    <xf numFmtId="0" fontId="2" fillId="5" borderId="11" xfId="0" applyFont="1" applyFill="1" applyBorder="1" applyAlignment="1" applyProtection="1">
      <alignment horizontal="center"/>
      <protection locked="0"/>
    </xf>
    <xf numFmtId="0" fontId="3" fillId="2" borderId="7" xfId="0" applyNumberFormat="1" applyFont="1" applyFill="1" applyBorder="1" applyAlignment="1" applyProtection="1">
      <alignment horizontal="center"/>
      <protection locked="0"/>
    </xf>
    <xf numFmtId="0" fontId="3" fillId="2" borderId="5" xfId="0" applyNumberFormat="1" applyFont="1" applyFill="1" applyBorder="1" applyAlignment="1" applyProtection="1">
      <alignment horizontal="center"/>
      <protection locked="0"/>
    </xf>
    <xf numFmtId="0" fontId="3" fillId="2" borderId="8" xfId="0" applyFont="1" applyFill="1" applyBorder="1" applyAlignment="1" applyProtection="1">
      <alignment horizontal="center"/>
      <protection locked="0"/>
    </xf>
    <xf numFmtId="2" fontId="3" fillId="2" borderId="8" xfId="0" applyNumberFormat="1" applyFont="1" applyFill="1" applyBorder="1" applyAlignment="1" applyProtection="1">
      <alignment horizontal="center"/>
      <protection locked="0"/>
    </xf>
    <xf numFmtId="2" fontId="3" fillId="2" borderId="12" xfId="0" applyNumberFormat="1" applyFont="1" applyFill="1" applyBorder="1" applyAlignment="1" applyProtection="1">
      <alignment horizontal="center"/>
      <protection locked="0"/>
    </xf>
    <xf numFmtId="0" fontId="3" fillId="2" borderId="12" xfId="0" applyNumberFormat="1" applyFont="1" applyFill="1" applyBorder="1" applyAlignment="1" applyProtection="1">
      <alignment horizontal="center"/>
      <protection locked="0"/>
    </xf>
    <xf numFmtId="165" fontId="0" fillId="6" borderId="3" xfId="0" applyNumberFormat="1" applyFill="1" applyBorder="1" applyAlignment="1">
      <alignment horizontal="center"/>
    </xf>
    <xf numFmtId="0" fontId="0" fillId="2" borderId="0" xfId="0" applyFill="1" applyBorder="1" applyAlignment="1" applyProtection="1">
      <alignment horizontal="center"/>
      <protection locked="0"/>
    </xf>
    <xf numFmtId="0" fontId="13" fillId="4" borderId="1" xfId="0" applyFont="1" applyFill="1" applyBorder="1"/>
    <xf numFmtId="0" fontId="0" fillId="3" borderId="13" xfId="0" applyFill="1" applyBorder="1"/>
    <xf numFmtId="0" fontId="0" fillId="7" borderId="1" xfId="0" applyFill="1" applyBorder="1"/>
    <xf numFmtId="164" fontId="4" fillId="4" borderId="4" xfId="0" applyNumberFormat="1" applyFont="1" applyFill="1" applyBorder="1" applyAlignment="1" applyProtection="1">
      <alignment horizontal="center"/>
    </xf>
    <xf numFmtId="0" fontId="0" fillId="3" borderId="8" xfId="0" applyFill="1" applyBorder="1"/>
    <xf numFmtId="0" fontId="0" fillId="4" borderId="8" xfId="0" applyFill="1" applyBorder="1"/>
    <xf numFmtId="0" fontId="0" fillId="0" borderId="0" xfId="0" applyFill="1" applyBorder="1" applyProtection="1">
      <protection locked="0"/>
    </xf>
    <xf numFmtId="0" fontId="4" fillId="4" borderId="2" xfId="0" applyFont="1" applyFill="1" applyBorder="1"/>
    <xf numFmtId="2" fontId="4" fillId="4" borderId="2" xfId="0" applyNumberFormat="1" applyFont="1" applyFill="1" applyBorder="1"/>
    <xf numFmtId="0" fontId="0" fillId="4" borderId="2" xfId="0" applyFill="1" applyBorder="1"/>
    <xf numFmtId="0" fontId="0" fillId="4" borderId="12" xfId="0" applyFill="1" applyBorder="1"/>
    <xf numFmtId="0" fontId="0" fillId="2" borderId="0" xfId="0" applyFill="1" applyBorder="1" applyAlignment="1"/>
    <xf numFmtId="0" fontId="0" fillId="2" borderId="15" xfId="0" applyFill="1" applyBorder="1" applyAlignment="1"/>
    <xf numFmtId="0" fontId="0" fillId="0" borderId="0" xfId="0" applyBorder="1" applyAlignment="1">
      <alignment horizontal="left" indent="15"/>
    </xf>
    <xf numFmtId="0" fontId="2" fillId="8" borderId="2" xfId="0" applyFont="1" applyFill="1" applyBorder="1" applyAlignment="1">
      <alignment horizontal="center"/>
    </xf>
    <xf numFmtId="0" fontId="2" fillId="8" borderId="1" xfId="0" applyFont="1" applyFill="1" applyBorder="1" applyAlignment="1">
      <alignment horizontal="center"/>
    </xf>
    <xf numFmtId="0" fontId="0" fillId="5" borderId="6" xfId="0" applyFill="1" applyBorder="1" applyAlignment="1">
      <alignment horizontal="center"/>
    </xf>
    <xf numFmtId="0" fontId="0" fillId="5" borderId="0" xfId="0" applyFill="1" applyAlignment="1">
      <alignment horizontal="left"/>
    </xf>
    <xf numFmtId="0" fontId="3" fillId="0" borderId="0" xfId="0" applyFont="1" applyBorder="1" applyAlignment="1">
      <alignment wrapText="1"/>
    </xf>
    <xf numFmtId="0" fontId="15" fillId="0" borderId="0" xfId="0" applyFont="1"/>
    <xf numFmtId="0" fontId="15" fillId="0" borderId="0" xfId="0" applyFont="1" applyAlignment="1"/>
    <xf numFmtId="0" fontId="15" fillId="0" borderId="0" xfId="0" applyFont="1" applyBorder="1" applyAlignment="1"/>
    <xf numFmtId="0" fontId="15" fillId="2" borderId="3" xfId="0" applyFont="1" applyFill="1" applyBorder="1" applyAlignment="1" applyProtection="1">
      <alignment horizontal="center"/>
      <protection locked="0"/>
    </xf>
    <xf numFmtId="0" fontId="15" fillId="2" borderId="4" xfId="0" applyFont="1" applyFill="1" applyBorder="1" applyAlignment="1" applyProtection="1">
      <alignment horizontal="center"/>
      <protection locked="0"/>
    </xf>
    <xf numFmtId="0" fontId="15" fillId="0" borderId="1" xfId="0" applyFont="1" applyBorder="1"/>
    <xf numFmtId="0" fontId="15" fillId="0" borderId="0" xfId="0" applyFont="1" applyBorder="1"/>
    <xf numFmtId="0" fontId="5" fillId="0" borderId="0" xfId="0" applyFont="1" applyBorder="1" applyAlignment="1" applyProtection="1">
      <alignment horizontal="center"/>
      <protection locked="0"/>
    </xf>
    <xf numFmtId="0" fontId="15" fillId="2" borderId="1" xfId="0" applyFont="1" applyFill="1" applyBorder="1" applyAlignment="1" applyProtection="1">
      <alignment horizontal="center"/>
      <protection locked="0"/>
    </xf>
    <xf numFmtId="0" fontId="0" fillId="2" borderId="2" xfId="0" applyFill="1" applyBorder="1" applyAlignment="1"/>
    <xf numFmtId="0" fontId="0" fillId="6" borderId="4" xfId="0" applyFill="1" applyBorder="1" applyAlignment="1">
      <alignment horizontal="center"/>
    </xf>
    <xf numFmtId="0" fontId="0" fillId="3" borderId="3" xfId="0" applyFill="1" applyBorder="1"/>
    <xf numFmtId="165" fontId="0" fillId="0" borderId="4" xfId="0" applyNumberFormat="1" applyBorder="1"/>
    <xf numFmtId="0" fontId="9" fillId="2" borderId="14" xfId="0" applyFont="1" applyFill="1" applyBorder="1"/>
    <xf numFmtId="0" fontId="9" fillId="2" borderId="14" xfId="0" applyFont="1" applyFill="1" applyBorder="1" applyAlignment="1"/>
    <xf numFmtId="0" fontId="3" fillId="6" borderId="14" xfId="0" applyFont="1" applyFill="1" applyBorder="1"/>
    <xf numFmtId="0" fontId="3" fillId="6" borderId="14" xfId="0" applyFont="1" applyFill="1" applyBorder="1" applyAlignment="1"/>
    <xf numFmtId="0" fontId="0" fillId="9" borderId="11" xfId="0" applyFill="1" applyBorder="1" applyAlignment="1"/>
    <xf numFmtId="0" fontId="2" fillId="9" borderId="12" xfId="0" applyFont="1" applyFill="1" applyBorder="1" applyAlignment="1" applyProtection="1">
      <alignment horizontal="left"/>
      <protection locked="0"/>
    </xf>
    <xf numFmtId="0" fontId="2" fillId="9" borderId="11" xfId="0" applyFont="1" applyFill="1" applyBorder="1" applyAlignment="1" applyProtection="1">
      <alignment horizontal="left"/>
      <protection locked="0"/>
    </xf>
    <xf numFmtId="0" fontId="0" fillId="6" borderId="1" xfId="0" applyFill="1" applyBorder="1" applyAlignment="1">
      <alignment horizontal="center"/>
    </xf>
    <xf numFmtId="165" fontId="0" fillId="0" borderId="1" xfId="0" applyNumberFormat="1" applyBorder="1"/>
    <xf numFmtId="0" fontId="16" fillId="5" borderId="6" xfId="0" applyFont="1" applyFill="1" applyBorder="1" applyAlignment="1">
      <alignment horizontal="center"/>
    </xf>
    <xf numFmtId="0" fontId="16" fillId="5" borderId="0" xfId="0" applyFont="1" applyFill="1" applyAlignment="1">
      <alignment horizontal="left"/>
    </xf>
    <xf numFmtId="0" fontId="14" fillId="8" borderId="1" xfId="0" applyFont="1" applyFill="1" applyBorder="1" applyAlignment="1">
      <alignment horizontal="center"/>
    </xf>
    <xf numFmtId="0" fontId="14" fillId="8" borderId="2" xfId="0" applyFont="1" applyFill="1" applyBorder="1" applyAlignment="1">
      <alignment horizontal="center"/>
    </xf>
    <xf numFmtId="0" fontId="16" fillId="0" borderId="0" xfId="0" applyFont="1" applyBorder="1" applyAlignment="1">
      <alignment horizontal="left" indent="15"/>
    </xf>
    <xf numFmtId="0" fontId="3" fillId="2" borderId="2" xfId="0" applyNumberFormat="1" applyFont="1" applyFill="1" applyBorder="1" applyAlignment="1" applyProtection="1">
      <alignment horizontal="center"/>
      <protection locked="0"/>
    </xf>
    <xf numFmtId="2" fontId="3" fillId="2" borderId="4" xfId="0" applyNumberFormat="1" applyFont="1" applyFill="1" applyBorder="1" applyAlignment="1" applyProtection="1">
      <alignment horizontal="center"/>
      <protection locked="0"/>
    </xf>
    <xf numFmtId="0" fontId="3" fillId="2" borderId="8" xfId="0" applyNumberFormat="1" applyFont="1" applyFill="1" applyBorder="1" applyProtection="1">
      <protection locked="0"/>
    </xf>
    <xf numFmtId="0" fontId="0" fillId="0" borderId="6" xfId="0" applyBorder="1" applyAlignment="1"/>
    <xf numFmtId="0" fontId="0" fillId="2" borderId="1" xfId="0" applyFill="1" applyBorder="1" applyAlignment="1" applyProtection="1">
      <alignment horizontal="left"/>
      <protection locked="0"/>
    </xf>
    <xf numFmtId="0" fontId="2" fillId="5" borderId="0" xfId="0" applyFont="1" applyFill="1" applyBorder="1" applyAlignment="1"/>
    <xf numFmtId="0" fontId="13" fillId="4" borderId="4" xfId="0" applyFont="1" applyFill="1" applyBorder="1"/>
    <xf numFmtId="0" fontId="0" fillId="3" borderId="14" xfId="0" applyFill="1" applyBorder="1"/>
    <xf numFmtId="2" fontId="3" fillId="2" borderId="13" xfId="0" applyNumberFormat="1" applyFont="1" applyFill="1" applyBorder="1" applyAlignment="1" applyProtection="1">
      <alignment horizontal="center"/>
      <protection locked="0"/>
    </xf>
    <xf numFmtId="0" fontId="13" fillId="4" borderId="14" xfId="0" applyFont="1" applyFill="1" applyBorder="1"/>
    <xf numFmtId="0" fontId="3" fillId="2" borderId="8" xfId="0" applyFont="1" applyFill="1" applyBorder="1"/>
    <xf numFmtId="0" fontId="6" fillId="2" borderId="8" xfId="0" applyFont="1" applyFill="1" applyBorder="1" applyAlignment="1"/>
    <xf numFmtId="2" fontId="3" fillId="2" borderId="7" xfId="0" applyNumberFormat="1" applyFont="1" applyFill="1" applyBorder="1" applyProtection="1">
      <protection locked="0"/>
    </xf>
    <xf numFmtId="1" fontId="3" fillId="2" borderId="7" xfId="0" applyNumberFormat="1" applyFont="1" applyFill="1" applyBorder="1" applyProtection="1">
      <protection locked="0"/>
    </xf>
    <xf numFmtId="0" fontId="3" fillId="0" borderId="0" xfId="0" applyFont="1"/>
    <xf numFmtId="0" fontId="3" fillId="0" borderId="0" xfId="0" applyFont="1" applyFill="1" applyBorder="1" applyAlignment="1" applyProtection="1">
      <alignment vertical="top" wrapText="1"/>
      <protection locked="0"/>
    </xf>
    <xf numFmtId="0" fontId="0" fillId="0" borderId="16" xfId="0" applyBorder="1" applyAlignment="1"/>
    <xf numFmtId="0" fontId="3" fillId="6" borderId="6" xfId="0" applyFont="1" applyFill="1" applyBorder="1" applyAlignment="1" applyProtection="1">
      <alignment horizontal="center"/>
      <protection locked="0"/>
    </xf>
    <xf numFmtId="0" fontId="3" fillId="3" borderId="2" xfId="0" applyFont="1" applyFill="1" applyBorder="1" applyProtection="1">
      <protection locked="0"/>
    </xf>
    <xf numFmtId="0" fontId="3" fillId="3" borderId="1" xfId="0" applyFont="1" applyFill="1" applyBorder="1" applyAlignment="1" applyProtection="1">
      <alignment horizontal="center"/>
      <protection locked="0"/>
    </xf>
    <xf numFmtId="0" fontId="0" fillId="0" borderId="0" xfId="0" applyFill="1" applyBorder="1" applyAlignment="1">
      <alignment horizontal="left" wrapText="1"/>
    </xf>
    <xf numFmtId="0" fontId="3" fillId="2" borderId="8" xfId="0" applyFont="1" applyFill="1" applyBorder="1" applyAlignment="1">
      <alignment horizontal="center"/>
    </xf>
    <xf numFmtId="2" fontId="3" fillId="2" borderId="8" xfId="0" applyNumberFormat="1" applyFont="1" applyFill="1" applyBorder="1"/>
    <xf numFmtId="2" fontId="3" fillId="2" borderId="8" xfId="0" applyNumberFormat="1" applyFont="1" applyFill="1" applyBorder="1" applyAlignment="1">
      <alignment horizontal="center"/>
    </xf>
    <xf numFmtId="0" fontId="4" fillId="4" borderId="4" xfId="0" applyNumberFormat="1" applyFont="1" applyFill="1" applyBorder="1" applyAlignment="1" applyProtection="1">
      <alignment wrapText="1"/>
    </xf>
    <xf numFmtId="0" fontId="0" fillId="3" borderId="1" xfId="0" applyFill="1" applyBorder="1" applyAlignment="1" applyProtection="1">
      <alignment horizontal="left"/>
      <protection locked="0"/>
    </xf>
    <xf numFmtId="0" fontId="19" fillId="2" borderId="7" xfId="0" applyFont="1" applyFill="1" applyBorder="1" applyAlignment="1">
      <alignment horizontal="left" indent="1"/>
    </xf>
    <xf numFmtId="0" fontId="19" fillId="2" borderId="0" xfId="0" applyFont="1" applyFill="1" applyBorder="1" applyAlignment="1">
      <alignment horizontal="left"/>
    </xf>
    <xf numFmtId="0" fontId="19" fillId="2" borderId="15" xfId="0" applyFont="1" applyFill="1" applyBorder="1" applyAlignment="1">
      <alignment horizontal="left"/>
    </xf>
    <xf numFmtId="0" fontId="3" fillId="2" borderId="0" xfId="0" applyFont="1" applyFill="1" applyBorder="1" applyAlignment="1"/>
    <xf numFmtId="0" fontId="3" fillId="2" borderId="0" xfId="0" applyFont="1" applyFill="1" applyAlignment="1"/>
    <xf numFmtId="0" fontId="3" fillId="2" borderId="15" xfId="0" applyFont="1" applyFill="1" applyBorder="1" applyAlignment="1"/>
    <xf numFmtId="0" fontId="4" fillId="4" borderId="12" xfId="0" applyFont="1" applyFill="1" applyBorder="1"/>
    <xf numFmtId="0" fontId="4" fillId="4" borderId="4" xfId="0" applyFont="1" applyFill="1" applyBorder="1"/>
    <xf numFmtId="0" fontId="0" fillId="3" borderId="12" xfId="0" applyFill="1" applyBorder="1" applyProtection="1">
      <protection locked="0"/>
    </xf>
    <xf numFmtId="0" fontId="6" fillId="2" borderId="8" xfId="0" applyFont="1" applyFill="1" applyBorder="1" applyAlignment="1">
      <alignment horizontal="center"/>
    </xf>
    <xf numFmtId="0" fontId="3" fillId="6" borderId="4" xfId="0" applyFont="1" applyFill="1" applyBorder="1" applyAlignment="1" applyProtection="1">
      <alignment horizontal="center"/>
      <protection locked="0"/>
    </xf>
    <xf numFmtId="0" fontId="5" fillId="0" borderId="0" xfId="0" applyFont="1" applyFill="1" applyBorder="1" applyAlignment="1" applyProtection="1">
      <alignment vertical="top" wrapText="1"/>
      <protection locked="0"/>
    </xf>
    <xf numFmtId="0" fontId="20" fillId="0" borderId="1" xfId="0" applyFont="1" applyBorder="1" applyAlignment="1" applyProtection="1">
      <alignment horizontal="center"/>
      <protection locked="0"/>
    </xf>
    <xf numFmtId="0" fontId="3" fillId="0" borderId="1" xfId="0" applyFont="1" applyBorder="1" applyAlignment="1" applyProtection="1">
      <alignment horizontal="center"/>
      <protection locked="0"/>
    </xf>
    <xf numFmtId="0" fontId="10" fillId="2" borderId="15" xfId="0" applyFont="1" applyFill="1" applyBorder="1" applyAlignment="1" applyProtection="1">
      <alignment horizontal="left" indent="1"/>
      <protection locked="0"/>
    </xf>
    <xf numFmtId="0" fontId="0" fillId="2" borderId="3" xfId="0" applyFill="1" applyBorder="1" applyAlignment="1" applyProtection="1">
      <alignment horizontal="left"/>
      <protection locked="0"/>
    </xf>
    <xf numFmtId="0" fontId="10" fillId="2" borderId="7" xfId="0" applyFont="1" applyFill="1" applyBorder="1" applyAlignment="1" applyProtection="1">
      <alignment horizontal="left" indent="1"/>
      <protection locked="0"/>
    </xf>
    <xf numFmtId="0" fontId="0" fillId="0" borderId="4" xfId="0" applyBorder="1" applyAlignment="1">
      <alignment horizontal="left"/>
    </xf>
    <xf numFmtId="0" fontId="10" fillId="2" borderId="0" xfId="0" applyFont="1" applyFill="1" applyBorder="1" applyAlignment="1" applyProtection="1">
      <alignment horizontal="left" indent="1"/>
      <protection locked="0"/>
    </xf>
    <xf numFmtId="0" fontId="0" fillId="2" borderId="8" xfId="0" applyFill="1" applyBorder="1" applyAlignment="1" applyProtection="1">
      <alignment horizontal="left" vertical="top" wrapText="1"/>
      <protection locked="0"/>
    </xf>
    <xf numFmtId="0" fontId="0" fillId="2" borderId="14" xfId="0" applyFill="1" applyBorder="1" applyAlignment="1" applyProtection="1">
      <alignment horizontal="left" vertical="top" wrapText="1"/>
      <protection locked="0"/>
    </xf>
    <xf numFmtId="0" fontId="0" fillId="2" borderId="4" xfId="0" applyFill="1" applyBorder="1" applyAlignment="1" applyProtection="1">
      <alignment horizontal="left"/>
      <protection locked="0"/>
    </xf>
    <xf numFmtId="0" fontId="10" fillId="0" borderId="0" xfId="0" applyFont="1" applyBorder="1" applyAlignment="1">
      <alignment horizontal="left" indent="1"/>
    </xf>
    <xf numFmtId="0" fontId="10" fillId="0" borderId="15" xfId="0" applyFont="1" applyBorder="1" applyAlignment="1">
      <alignment horizontal="left" indent="1"/>
    </xf>
    <xf numFmtId="0" fontId="0" fillId="0" borderId="3" xfId="0" applyBorder="1" applyAlignment="1">
      <alignment horizontal="left"/>
    </xf>
    <xf numFmtId="0" fontId="19" fillId="2" borderId="0" xfId="0" applyFont="1" applyFill="1" applyBorder="1" applyAlignment="1">
      <alignment horizontal="left" indent="1"/>
    </xf>
    <xf numFmtId="0" fontId="19" fillId="2" borderId="15" xfId="0" applyFont="1" applyFill="1" applyBorder="1" applyAlignment="1">
      <alignment horizontal="left" indent="1"/>
    </xf>
    <xf numFmtId="0" fontId="3" fillId="2" borderId="8" xfId="0" applyFont="1" applyFill="1" applyBorder="1" applyAlignment="1" applyProtection="1">
      <protection locked="0"/>
    </xf>
    <xf numFmtId="49" fontId="3" fillId="3" borderId="1" xfId="0" applyNumberFormat="1" applyFont="1" applyFill="1" applyBorder="1"/>
    <xf numFmtId="49" fontId="5" fillId="3" borderId="1" xfId="0" applyNumberFormat="1" applyFont="1" applyFill="1" applyBorder="1"/>
    <xf numFmtId="0" fontId="20" fillId="0" borderId="2" xfId="0" applyFont="1" applyBorder="1" applyAlignment="1" applyProtection="1">
      <alignment horizontal="center"/>
      <protection locked="0"/>
    </xf>
    <xf numFmtId="0" fontId="1" fillId="0" borderId="1"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3" fillId="2" borderId="8" xfId="0" applyNumberFormat="1" applyFont="1" applyFill="1" applyBorder="1" applyAlignment="1" applyProtection="1">
      <alignment horizontal="center"/>
      <protection locked="0"/>
    </xf>
    <xf numFmtId="0" fontId="5" fillId="2" borderId="7" xfId="0" applyNumberFormat="1" applyFont="1" applyFill="1" applyBorder="1" applyAlignment="1" applyProtection="1">
      <alignment horizontal="center"/>
      <protection locked="0"/>
    </xf>
    <xf numFmtId="49" fontId="0" fillId="3" borderId="2" xfId="0" applyNumberFormat="1" applyFill="1" applyBorder="1" applyProtection="1">
      <protection locked="0"/>
    </xf>
    <xf numFmtId="49" fontId="3" fillId="3" borderId="2" xfId="0" applyNumberFormat="1" applyFont="1" applyFill="1" applyBorder="1" applyProtection="1">
      <protection locked="0"/>
    </xf>
    <xf numFmtId="49" fontId="0" fillId="3" borderId="3" xfId="0" applyNumberFormat="1" applyFill="1" applyBorder="1" applyProtection="1">
      <protection locked="0"/>
    </xf>
    <xf numFmtId="49" fontId="0" fillId="3" borderId="3" xfId="0" applyNumberFormat="1" applyFill="1" applyBorder="1" applyAlignment="1" applyProtection="1">
      <protection locked="0"/>
    </xf>
    <xf numFmtId="0" fontId="22" fillId="4" borderId="1" xfId="0" applyFont="1" applyFill="1" applyBorder="1"/>
    <xf numFmtId="0" fontId="3" fillId="3" borderId="3" xfId="0" applyFont="1" applyFill="1" applyBorder="1" applyProtection="1">
      <protection locked="0"/>
    </xf>
    <xf numFmtId="0" fontId="3" fillId="3" borderId="4" xfId="0" applyFont="1" applyFill="1" applyBorder="1" applyProtection="1">
      <protection locked="0"/>
    </xf>
    <xf numFmtId="0" fontId="5" fillId="3" borderId="4" xfId="0" applyFont="1" applyFill="1" applyBorder="1"/>
    <xf numFmtId="0" fontId="5" fillId="3" borderId="4" xfId="0" applyFont="1" applyFill="1" applyBorder="1" applyAlignment="1"/>
    <xf numFmtId="0" fontId="3" fillId="3" borderId="2" xfId="0" applyFont="1" applyFill="1" applyBorder="1"/>
    <xf numFmtId="0" fontId="3" fillId="6" borderId="1" xfId="0" applyFont="1" applyFill="1" applyBorder="1" applyAlignment="1" applyProtection="1">
      <alignment horizontal="center"/>
      <protection locked="0"/>
    </xf>
    <xf numFmtId="0" fontId="5" fillId="2" borderId="1" xfId="0" applyFont="1" applyFill="1" applyBorder="1"/>
    <xf numFmtId="0" fontId="0" fillId="7" borderId="14" xfId="0" applyFill="1" applyBorder="1"/>
    <xf numFmtId="0" fontId="0" fillId="3" borderId="7" xfId="0" applyFill="1" applyBorder="1"/>
    <xf numFmtId="0" fontId="22" fillId="4" borderId="3" xfId="0" applyFont="1" applyFill="1" applyBorder="1"/>
    <xf numFmtId="0" fontId="13" fillId="4" borderId="2" xfId="0" applyFont="1" applyFill="1" applyBorder="1"/>
    <xf numFmtId="0" fontId="22" fillId="4" borderId="2" xfId="0" applyFont="1" applyFill="1" applyBorder="1"/>
    <xf numFmtId="0" fontId="22" fillId="4" borderId="4" xfId="0" applyFont="1" applyFill="1" applyBorder="1"/>
    <xf numFmtId="0" fontId="3" fillId="3" borderId="1" xfId="0" applyFont="1" applyFill="1" applyBorder="1" applyAlignment="1">
      <alignment horizontal="center"/>
    </xf>
    <xf numFmtId="0" fontId="0" fillId="0" borderId="6" xfId="0" applyBorder="1"/>
    <xf numFmtId="0" fontId="0" fillId="0" borderId="10" xfId="0" applyBorder="1"/>
    <xf numFmtId="0" fontId="0" fillId="3" borderId="8" xfId="0" applyFill="1" applyBorder="1" applyProtection="1">
      <protection locked="0"/>
    </xf>
    <xf numFmtId="0" fontId="0" fillId="3" borderId="8" xfId="0" applyFill="1" applyBorder="1" applyAlignment="1" applyProtection="1">
      <alignment horizontal="center"/>
      <protection locked="0"/>
    </xf>
    <xf numFmtId="0" fontId="4" fillId="4" borderId="8" xfId="0" applyFont="1" applyFill="1" applyBorder="1"/>
    <xf numFmtId="0" fontId="2" fillId="5" borderId="12" xfId="0" applyFont="1" applyFill="1" applyBorder="1"/>
    <xf numFmtId="0" fontId="0" fillId="5" borderId="11" xfId="0" applyFill="1" applyBorder="1"/>
    <xf numFmtId="0" fontId="0" fillId="0" borderId="9" xfId="0" applyBorder="1"/>
    <xf numFmtId="0" fontId="0" fillId="5" borderId="13" xfId="0" applyFill="1" applyBorder="1"/>
    <xf numFmtId="0" fontId="0" fillId="3" borderId="15" xfId="0" applyFill="1" applyBorder="1"/>
    <xf numFmtId="0" fontId="5" fillId="10" borderId="1" xfId="0" applyFont="1" applyFill="1" applyBorder="1" applyProtection="1">
      <protection locked="0"/>
    </xf>
    <xf numFmtId="0" fontId="5" fillId="10" borderId="1" xfId="0" applyFont="1" applyFill="1" applyBorder="1" applyAlignment="1" applyProtection="1">
      <alignment horizontal="center"/>
      <protection locked="0"/>
    </xf>
    <xf numFmtId="0" fontId="5" fillId="10" borderId="2" xfId="0" applyFont="1" applyFill="1" applyBorder="1" applyProtection="1">
      <protection locked="0"/>
    </xf>
    <xf numFmtId="0" fontId="29" fillId="10" borderId="1" xfId="0" applyFont="1" applyFill="1" applyBorder="1"/>
    <xf numFmtId="0" fontId="29" fillId="10" borderId="4" xfId="0" applyNumberFormat="1" applyFont="1" applyFill="1" applyBorder="1" applyProtection="1"/>
    <xf numFmtId="164" fontId="29" fillId="10" borderId="1" xfId="0" applyNumberFormat="1" applyFont="1" applyFill="1" applyBorder="1" applyAlignment="1" applyProtection="1">
      <alignment horizontal="center"/>
    </xf>
    <xf numFmtId="1" fontId="29" fillId="10" borderId="1" xfId="0" applyNumberFormat="1" applyFont="1" applyFill="1" applyBorder="1" applyAlignment="1" applyProtection="1">
      <alignment horizontal="center"/>
    </xf>
    <xf numFmtId="164" fontId="29" fillId="10" borderId="1" xfId="0" applyNumberFormat="1" applyFont="1" applyFill="1" applyBorder="1" applyProtection="1"/>
    <xf numFmtId="0" fontId="0" fillId="0" borderId="6" xfId="0" applyBorder="1"/>
    <xf numFmtId="0" fontId="0" fillId="0" borderId="10" xfId="0" applyBorder="1"/>
    <xf numFmtId="0" fontId="5" fillId="3" borderId="2" xfId="0" applyFont="1" applyFill="1" applyBorder="1" applyProtection="1">
      <protection locked="0"/>
    </xf>
    <xf numFmtId="0" fontId="29" fillId="4" borderId="1" xfId="0" applyFont="1" applyFill="1" applyBorder="1"/>
    <xf numFmtId="0" fontId="2" fillId="5" borderId="7" xfId="0" applyFont="1" applyFill="1" applyBorder="1" applyAlignment="1" applyProtection="1">
      <alignment horizontal="left"/>
      <protection locked="0"/>
    </xf>
    <xf numFmtId="0" fontId="0" fillId="0" borderId="0" xfId="0" applyBorder="1" applyAlignment="1"/>
    <xf numFmtId="0" fontId="0" fillId="0" borderId="0" xfId="0" applyAlignment="1"/>
    <xf numFmtId="0" fontId="0" fillId="2" borderId="7" xfId="0" applyFill="1" applyBorder="1" applyAlignment="1" applyProtection="1">
      <alignment horizontal="center"/>
      <protection locked="0"/>
    </xf>
    <xf numFmtId="0" fontId="3" fillId="2" borderId="5" xfId="0" applyFont="1" applyFill="1" applyBorder="1" applyAlignment="1" applyProtection="1">
      <alignment horizontal="center" wrapText="1"/>
      <protection locked="0"/>
    </xf>
    <xf numFmtId="0" fontId="0" fillId="2" borderId="6" xfId="0" applyFill="1" applyBorder="1" applyAlignment="1" applyProtection="1">
      <alignment horizontal="right"/>
      <protection locked="0"/>
    </xf>
    <xf numFmtId="0" fontId="3" fillId="3" borderId="2" xfId="0" applyFont="1" applyFill="1" applyBorder="1" applyAlignment="1">
      <alignment horizontal="left" wrapText="1"/>
    </xf>
    <xf numFmtId="0" fontId="0" fillId="0" borderId="3" xfId="0" applyBorder="1" applyAlignment="1">
      <alignment horizontal="left" wrapText="1"/>
    </xf>
    <xf numFmtId="0" fontId="0" fillId="0" borderId="4" xfId="0" applyBorder="1" applyAlignment="1">
      <alignment horizontal="left" wrapText="1"/>
    </xf>
    <xf numFmtId="0" fontId="3" fillId="3" borderId="12" xfId="0" applyFont="1" applyFill="1" applyBorder="1" applyAlignment="1">
      <alignment horizontal="left" wrapText="1"/>
    </xf>
    <xf numFmtId="0" fontId="0" fillId="0" borderId="11" xfId="0" applyBorder="1" applyAlignment="1"/>
    <xf numFmtId="0" fontId="0" fillId="0" borderId="13" xfId="0" applyBorder="1" applyAlignment="1"/>
    <xf numFmtId="0" fontId="0" fillId="0" borderId="9" xfId="0" applyBorder="1" applyAlignment="1"/>
    <xf numFmtId="0" fontId="0" fillId="0" borderId="6" xfId="0" applyBorder="1" applyAlignment="1"/>
    <xf numFmtId="0" fontId="0" fillId="0" borderId="10" xfId="0" applyBorder="1" applyAlignment="1"/>
    <xf numFmtId="0" fontId="5" fillId="2" borderId="9" xfId="0" applyFont="1" applyFill="1" applyBorder="1" applyAlignment="1" applyProtection="1">
      <alignment horizontal="center"/>
      <protection locked="0"/>
    </xf>
    <xf numFmtId="0" fontId="5" fillId="2" borderId="6" xfId="0" applyFont="1" applyFill="1" applyBorder="1" applyAlignment="1" applyProtection="1">
      <alignment horizontal="center"/>
      <protection locked="0"/>
    </xf>
    <xf numFmtId="0" fontId="5" fillId="2" borderId="10" xfId="0" applyFont="1" applyFill="1" applyBorder="1" applyAlignment="1" applyProtection="1">
      <alignment horizontal="center"/>
      <protection locked="0"/>
    </xf>
    <xf numFmtId="0" fontId="0" fillId="0" borderId="6" xfId="0" applyBorder="1" applyAlignment="1">
      <alignment horizontal="center"/>
    </xf>
    <xf numFmtId="0" fontId="0" fillId="0" borderId="0" xfId="0" applyBorder="1" applyAlignment="1" applyProtection="1">
      <alignment horizontal="center"/>
      <protection locked="0"/>
    </xf>
    <xf numFmtId="0" fontId="5" fillId="2" borderId="9" xfId="0" applyFont="1" applyFill="1" applyBorder="1" applyAlignment="1">
      <alignment horizontal="center"/>
    </xf>
    <xf numFmtId="0" fontId="5" fillId="2" borderId="6" xfId="0" applyFont="1" applyFill="1" applyBorder="1" applyAlignment="1">
      <alignment horizontal="center"/>
    </xf>
    <xf numFmtId="0" fontId="5" fillId="2" borderId="10" xfId="0" applyFont="1" applyFill="1" applyBorder="1" applyAlignment="1">
      <alignment horizontal="center"/>
    </xf>
    <xf numFmtId="0" fontId="5" fillId="2" borderId="5" xfId="0" applyFont="1" applyFill="1" applyBorder="1" applyAlignment="1">
      <alignment horizontal="center" wrapText="1"/>
    </xf>
    <xf numFmtId="0" fontId="5" fillId="2" borderId="14" xfId="0" applyFont="1" applyFill="1" applyBorder="1" applyAlignment="1">
      <alignment horizontal="center" wrapText="1"/>
    </xf>
    <xf numFmtId="0" fontId="2" fillId="5" borderId="0" xfId="0" applyFont="1" applyFill="1" applyBorder="1" applyAlignment="1" applyProtection="1">
      <alignment horizontal="center"/>
      <protection locked="0"/>
    </xf>
    <xf numFmtId="0" fontId="0" fillId="0" borderId="10" xfId="0" applyBorder="1" applyAlignment="1">
      <alignment horizontal="center"/>
    </xf>
    <xf numFmtId="0" fontId="2" fillId="8" borderId="2" xfId="0" applyFont="1" applyFill="1" applyBorder="1" applyAlignment="1">
      <alignment horizontal="center"/>
    </xf>
    <xf numFmtId="0" fontId="0" fillId="8" borderId="3" xfId="0" applyFill="1" applyBorder="1" applyAlignment="1">
      <alignment horizontal="center"/>
    </xf>
    <xf numFmtId="0" fontId="0" fillId="8" borderId="4" xfId="0" applyFill="1" applyBorder="1" applyAlignment="1">
      <alignment horizontal="center"/>
    </xf>
    <xf numFmtId="0" fontId="0" fillId="2" borderId="8" xfId="0" applyFill="1" applyBorder="1" applyAlignment="1" applyProtection="1">
      <alignment horizontal="left" vertical="top" wrapText="1"/>
      <protection locked="0"/>
    </xf>
    <xf numFmtId="0" fontId="0" fillId="2" borderId="14" xfId="0" applyFill="1" applyBorder="1" applyAlignment="1" applyProtection="1">
      <alignment horizontal="left" vertical="top" wrapText="1"/>
      <protection locked="0"/>
    </xf>
    <xf numFmtId="0" fontId="2" fillId="8" borderId="3" xfId="0" applyFont="1" applyFill="1" applyBorder="1" applyAlignment="1">
      <alignment horizontal="center"/>
    </xf>
    <xf numFmtId="0" fontId="3" fillId="2" borderId="8" xfId="0" applyFont="1" applyFill="1" applyBorder="1" applyAlignment="1" applyProtection="1">
      <alignment horizontal="left" vertical="top" wrapText="1"/>
      <protection locked="0"/>
    </xf>
    <xf numFmtId="0" fontId="0" fillId="0" borderId="14" xfId="0" applyBorder="1" applyAlignment="1">
      <alignment horizontal="left" vertical="top" wrapText="1"/>
    </xf>
    <xf numFmtId="0" fontId="2" fillId="5" borderId="2" xfId="0" applyFont="1" applyFill="1" applyBorder="1" applyAlignment="1">
      <alignment horizontal="left"/>
    </xf>
    <xf numFmtId="0" fontId="2" fillId="5" borderId="3" xfId="0" applyFont="1" applyFill="1" applyBorder="1" applyAlignment="1">
      <alignment horizontal="left"/>
    </xf>
    <xf numFmtId="0" fontId="3" fillId="3" borderId="3" xfId="0" applyFont="1" applyFill="1" applyBorder="1" applyAlignment="1">
      <alignment horizontal="left" wrapText="1"/>
    </xf>
    <xf numFmtId="0" fontId="3" fillId="3" borderId="4" xfId="0" applyFont="1" applyFill="1" applyBorder="1" applyAlignment="1">
      <alignment horizontal="left" wrapText="1"/>
    </xf>
    <xf numFmtId="0" fontId="3" fillId="3" borderId="11" xfId="0" applyFont="1" applyFill="1" applyBorder="1" applyAlignment="1">
      <alignment horizontal="left" wrapText="1"/>
    </xf>
    <xf numFmtId="0" fontId="3" fillId="3" borderId="13" xfId="0" applyFont="1" applyFill="1" applyBorder="1" applyAlignment="1">
      <alignment horizontal="left" wrapText="1"/>
    </xf>
    <xf numFmtId="0" fontId="3" fillId="3" borderId="9" xfId="0" applyFont="1" applyFill="1" applyBorder="1" applyAlignment="1">
      <alignment horizontal="left" wrapText="1"/>
    </xf>
    <xf numFmtId="0" fontId="3" fillId="3" borderId="6" xfId="0" applyFont="1" applyFill="1" applyBorder="1" applyAlignment="1">
      <alignment horizontal="left" wrapText="1"/>
    </xf>
    <xf numFmtId="0" fontId="3" fillId="3" borderId="10" xfId="0" applyFont="1" applyFill="1" applyBorder="1" applyAlignment="1">
      <alignment horizontal="left" wrapText="1"/>
    </xf>
    <xf numFmtId="0" fontId="3" fillId="6" borderId="6" xfId="0" applyFont="1" applyFill="1" applyBorder="1" applyAlignment="1" applyProtection="1">
      <alignment horizontal="left"/>
      <protection locked="0"/>
    </xf>
    <xf numFmtId="0" fontId="0" fillId="2" borderId="2" xfId="0" applyFill="1" applyBorder="1" applyAlignment="1">
      <alignment horizontal="center"/>
    </xf>
    <xf numFmtId="0" fontId="0" fillId="2" borderId="3" xfId="0" applyFill="1" applyBorder="1" applyAlignment="1">
      <alignment horizontal="center"/>
    </xf>
    <xf numFmtId="0" fontId="2" fillId="5" borderId="0" xfId="0" applyFont="1" applyFill="1" applyBorder="1" applyAlignment="1">
      <alignment horizontal="left" indent="15"/>
    </xf>
    <xf numFmtId="0" fontId="0" fillId="0" borderId="0" xfId="0" applyAlignment="1">
      <alignment horizontal="left" indent="15"/>
    </xf>
    <xf numFmtId="0" fontId="0" fillId="0" borderId="4" xfId="0" applyBorder="1" applyAlignment="1">
      <alignment horizontal="center"/>
    </xf>
    <xf numFmtId="0" fontId="0" fillId="0" borderId="3" xfId="0" applyBorder="1" applyAlignment="1">
      <alignment horizontal="center"/>
    </xf>
    <xf numFmtId="0" fontId="2" fillId="8" borderId="4" xfId="0" applyFont="1" applyFill="1" applyBorder="1" applyAlignment="1">
      <alignment horizontal="center"/>
    </xf>
    <xf numFmtId="0" fontId="2" fillId="5" borderId="0" xfId="0" applyFont="1" applyFill="1" applyBorder="1" applyAlignment="1">
      <alignment horizontal="center"/>
    </xf>
    <xf numFmtId="0" fontId="3" fillId="3" borderId="12" xfId="0" applyFont="1" applyFill="1" applyBorder="1" applyAlignment="1" applyProtection="1">
      <alignment horizontal="left" vertical="center" wrapText="1"/>
    </xf>
    <xf numFmtId="0" fontId="3" fillId="3" borderId="11" xfId="0" applyFont="1" applyFill="1" applyBorder="1" applyAlignment="1" applyProtection="1">
      <alignment horizontal="left" vertical="center" wrapText="1"/>
    </xf>
    <xf numFmtId="0" fontId="3" fillId="3" borderId="13" xfId="0" applyFont="1" applyFill="1" applyBorder="1" applyAlignment="1" applyProtection="1">
      <alignment horizontal="left" vertical="center" wrapText="1"/>
    </xf>
    <xf numFmtId="0" fontId="3" fillId="3" borderId="9" xfId="0" applyFont="1" applyFill="1" applyBorder="1" applyAlignment="1" applyProtection="1">
      <alignment horizontal="left" vertical="center" wrapText="1"/>
    </xf>
    <xf numFmtId="0" fontId="3" fillId="3" borderId="6"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0" fillId="2" borderId="2" xfId="0" applyFill="1" applyBorder="1" applyAlignment="1" applyProtection="1">
      <alignment horizontal="left"/>
      <protection locked="0"/>
    </xf>
    <xf numFmtId="0" fontId="0" fillId="2" borderId="3" xfId="0" applyFill="1" applyBorder="1" applyAlignment="1" applyProtection="1">
      <alignment horizontal="left"/>
      <protection locked="0"/>
    </xf>
    <xf numFmtId="0" fontId="0" fillId="2" borderId="4" xfId="0" applyFill="1" applyBorder="1" applyAlignment="1" applyProtection="1">
      <alignment horizontal="left"/>
      <protection locked="0"/>
    </xf>
    <xf numFmtId="0" fontId="10" fillId="2" borderId="7" xfId="0" applyFont="1" applyFill="1" applyBorder="1" applyAlignment="1" applyProtection="1">
      <alignment horizontal="left" indent="1"/>
      <protection locked="0"/>
    </xf>
    <xf numFmtId="0" fontId="18" fillId="2" borderId="0" xfId="0" applyFont="1" applyFill="1" applyBorder="1" applyAlignment="1" applyProtection="1">
      <alignment horizontal="left" indent="1"/>
      <protection locked="0"/>
    </xf>
    <xf numFmtId="0" fontId="18" fillId="2" borderId="15" xfId="0" applyFont="1" applyFill="1" applyBorder="1" applyAlignment="1" applyProtection="1">
      <alignment horizontal="left" indent="1"/>
      <protection locked="0"/>
    </xf>
    <xf numFmtId="0" fontId="18" fillId="2" borderId="7" xfId="0" applyFont="1" applyFill="1" applyBorder="1" applyAlignment="1" applyProtection="1">
      <alignment horizontal="left" indent="1"/>
      <protection locked="0"/>
    </xf>
    <xf numFmtId="0" fontId="10" fillId="2" borderId="0" xfId="0" applyFont="1" applyFill="1" applyBorder="1" applyAlignment="1" applyProtection="1">
      <alignment horizontal="left" indent="1"/>
      <protection locked="0"/>
    </xf>
    <xf numFmtId="0" fontId="10" fillId="0" borderId="0" xfId="0" applyFont="1" applyBorder="1" applyAlignment="1">
      <alignment horizontal="left" indent="1"/>
    </xf>
    <xf numFmtId="0" fontId="10" fillId="0" borderId="15" xfId="0" applyFont="1" applyBorder="1" applyAlignment="1">
      <alignment horizontal="left" indent="1"/>
    </xf>
    <xf numFmtId="0" fontId="10" fillId="2" borderId="15" xfId="0" applyFont="1" applyFill="1" applyBorder="1" applyAlignment="1" applyProtection="1">
      <alignment horizontal="left" indent="1"/>
      <protection locked="0"/>
    </xf>
    <xf numFmtId="0" fontId="0" fillId="0" borderId="3" xfId="0" applyBorder="1" applyAlignment="1">
      <alignment horizontal="left"/>
    </xf>
    <xf numFmtId="0" fontId="0" fillId="0" borderId="4" xfId="0" applyBorder="1" applyAlignment="1">
      <alignment horizontal="left"/>
    </xf>
    <xf numFmtId="0" fontId="3" fillId="2" borderId="2" xfId="0" applyFont="1" applyFill="1" applyBorder="1" applyAlignment="1" applyProtection="1">
      <alignment horizontal="left"/>
      <protection locked="0"/>
    </xf>
    <xf numFmtId="0" fontId="10" fillId="0" borderId="0" xfId="0" applyFont="1" applyBorder="1" applyAlignment="1" applyProtection="1">
      <alignment horizontal="left" indent="1"/>
      <protection locked="0"/>
    </xf>
    <xf numFmtId="0" fontId="10" fillId="0" borderId="15" xfId="0" applyFont="1" applyBorder="1" applyAlignment="1" applyProtection="1">
      <alignment horizontal="left" indent="1"/>
      <protection locked="0"/>
    </xf>
    <xf numFmtId="0" fontId="18" fillId="2" borderId="7" xfId="0" applyFont="1" applyFill="1" applyBorder="1" applyAlignment="1">
      <alignment horizontal="left" indent="1"/>
    </xf>
    <xf numFmtId="0" fontId="18" fillId="2" borderId="0" xfId="0" applyFont="1" applyFill="1" applyBorder="1" applyAlignment="1">
      <alignment horizontal="left" indent="1"/>
    </xf>
    <xf numFmtId="0" fontId="18" fillId="2" borderId="15" xfId="0" applyFont="1" applyFill="1" applyBorder="1" applyAlignment="1">
      <alignment horizontal="left" indent="1"/>
    </xf>
    <xf numFmtId="0" fontId="5" fillId="2" borderId="1" xfId="0"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0" fontId="5" fillId="2" borderId="2" xfId="0" applyFont="1" applyFill="1" applyBorder="1" applyAlignment="1" applyProtection="1">
      <alignment horizontal="center"/>
      <protection locked="0"/>
    </xf>
    <xf numFmtId="0" fontId="5" fillId="2" borderId="3" xfId="0" applyFont="1" applyFill="1" applyBorder="1" applyAlignment="1" applyProtection="1">
      <alignment horizontal="center"/>
      <protection locked="0"/>
    </xf>
    <xf numFmtId="0" fontId="0" fillId="2" borderId="4" xfId="0" applyFill="1" applyBorder="1" applyAlignment="1">
      <alignment horizontal="left"/>
    </xf>
    <xf numFmtId="0" fontId="19" fillId="2" borderId="7" xfId="0" applyFont="1" applyFill="1" applyBorder="1" applyAlignment="1">
      <alignment horizontal="left" indent="1"/>
    </xf>
    <xf numFmtId="0" fontId="19" fillId="2" borderId="0" xfId="0" applyFont="1" applyFill="1" applyBorder="1" applyAlignment="1">
      <alignment horizontal="left" indent="1"/>
    </xf>
    <xf numFmtId="0" fontId="19" fillId="2" borderId="15" xfId="0" applyFont="1" applyFill="1" applyBorder="1" applyAlignment="1">
      <alignment horizontal="left" indent="1"/>
    </xf>
    <xf numFmtId="0" fontId="0" fillId="0" borderId="3" xfId="0" applyBorder="1" applyAlignment="1"/>
    <xf numFmtId="0" fontId="0" fillId="0" borderId="4" xfId="0" applyBorder="1" applyAlignment="1"/>
    <xf numFmtId="0" fontId="3" fillId="3" borderId="2" xfId="0" applyFont="1" applyFill="1" applyBorder="1" applyAlignment="1">
      <alignment vertical="top" wrapText="1"/>
    </xf>
    <xf numFmtId="0" fontId="0" fillId="3" borderId="3" xfId="0" applyFill="1" applyBorder="1" applyAlignment="1">
      <alignment vertical="top" wrapText="1"/>
    </xf>
    <xf numFmtId="0" fontId="0" fillId="3" borderId="4" xfId="0" applyFill="1" applyBorder="1" applyAlignment="1">
      <alignment vertical="top" wrapText="1"/>
    </xf>
    <xf numFmtId="0" fontId="5" fillId="2" borderId="2" xfId="0" applyFont="1" applyFill="1" applyBorder="1" applyAlignment="1">
      <alignment horizontal="center"/>
    </xf>
    <xf numFmtId="0" fontId="5" fillId="2" borderId="3" xfId="0" applyFont="1" applyFill="1" applyBorder="1" applyAlignment="1">
      <alignment horizontal="center"/>
    </xf>
    <xf numFmtId="0" fontId="5" fillId="2" borderId="4" xfId="0" applyFont="1" applyFill="1" applyBorder="1" applyAlignment="1">
      <alignment horizontal="center"/>
    </xf>
    <xf numFmtId="0" fontId="3" fillId="6" borderId="6" xfId="0" applyFont="1" applyFill="1" applyBorder="1" applyAlignment="1" applyProtection="1">
      <alignment horizontal="center"/>
      <protection locked="0"/>
    </xf>
    <xf numFmtId="0" fontId="2" fillId="5" borderId="9" xfId="0" applyFont="1" applyFill="1" applyBorder="1" applyAlignment="1">
      <alignment horizontal="center"/>
    </xf>
    <xf numFmtId="0" fontId="2" fillId="5" borderId="12" xfId="0" applyFont="1" applyFill="1" applyBorder="1" applyAlignment="1" applyProtection="1">
      <alignment horizontal="left"/>
      <protection locked="0"/>
    </xf>
    <xf numFmtId="0" fontId="3" fillId="3" borderId="12" xfId="0" applyFont="1" applyFill="1" applyBorder="1" applyAlignment="1">
      <alignment vertical="top" wrapText="1"/>
    </xf>
    <xf numFmtId="0" fontId="3" fillId="3" borderId="11" xfId="0" applyFont="1" applyFill="1" applyBorder="1" applyAlignment="1">
      <alignment vertical="top" wrapText="1"/>
    </xf>
    <xf numFmtId="0" fontId="3" fillId="3" borderId="13" xfId="0" applyFont="1" applyFill="1" applyBorder="1" applyAlignment="1">
      <alignment vertical="top" wrapText="1"/>
    </xf>
    <xf numFmtId="0" fontId="3" fillId="3" borderId="7" xfId="0" applyFont="1" applyFill="1" applyBorder="1" applyAlignment="1">
      <alignment vertical="top" wrapText="1"/>
    </xf>
    <xf numFmtId="0" fontId="3" fillId="3" borderId="0" xfId="0" applyFont="1" applyFill="1" applyBorder="1" applyAlignment="1">
      <alignment vertical="top" wrapText="1"/>
    </xf>
    <xf numFmtId="0" fontId="3" fillId="3" borderId="15" xfId="0" applyFont="1" applyFill="1" applyBorder="1" applyAlignment="1">
      <alignment vertical="top" wrapText="1"/>
    </xf>
    <xf numFmtId="0" fontId="3" fillId="3" borderId="9" xfId="0" applyFont="1" applyFill="1" applyBorder="1" applyAlignment="1">
      <alignment vertical="top" wrapText="1"/>
    </xf>
    <xf numFmtId="0" fontId="3" fillId="3" borderId="6" xfId="0" applyFont="1" applyFill="1" applyBorder="1" applyAlignment="1">
      <alignment vertical="top" wrapText="1"/>
    </xf>
    <xf numFmtId="0" fontId="3" fillId="3" borderId="10" xfId="0" applyFont="1" applyFill="1" applyBorder="1" applyAlignment="1">
      <alignment vertical="top" wrapText="1"/>
    </xf>
    <xf numFmtId="0" fontId="0" fillId="0" borderId="6" xfId="0" applyBorder="1" applyAlignment="1" applyProtection="1">
      <alignment horizontal="center"/>
      <protection locked="0"/>
    </xf>
    <xf numFmtId="0" fontId="0" fillId="0" borderId="3" xfId="0" applyBorder="1" applyAlignment="1" applyProtection="1">
      <alignment horizontal="center"/>
      <protection locked="0"/>
    </xf>
    <xf numFmtId="0" fontId="0" fillId="6" borderId="6" xfId="0" applyFill="1" applyBorder="1" applyAlignment="1" applyProtection="1">
      <alignment horizontal="left"/>
      <protection locked="0"/>
    </xf>
    <xf numFmtId="0" fontId="3" fillId="3" borderId="12" xfId="0" applyFont="1" applyFill="1" applyBorder="1" applyAlignment="1">
      <alignment horizontal="left" vertical="top" wrapText="1"/>
    </xf>
    <xf numFmtId="0" fontId="3" fillId="3" borderId="11" xfId="0" applyFont="1" applyFill="1" applyBorder="1" applyAlignment="1">
      <alignment horizontal="left" vertical="top" wrapText="1"/>
    </xf>
    <xf numFmtId="0" fontId="3" fillId="3" borderId="13" xfId="0" applyFont="1" applyFill="1" applyBorder="1" applyAlignment="1">
      <alignment horizontal="left" vertical="top" wrapText="1"/>
    </xf>
    <xf numFmtId="0" fontId="3" fillId="3" borderId="9" xfId="0" applyFont="1" applyFill="1" applyBorder="1" applyAlignment="1">
      <alignment horizontal="left" vertical="top" wrapText="1"/>
    </xf>
    <xf numFmtId="0" fontId="3" fillId="3" borderId="6" xfId="0" applyFont="1" applyFill="1" applyBorder="1" applyAlignment="1">
      <alignment horizontal="left" vertical="top" wrapText="1"/>
    </xf>
    <xf numFmtId="0" fontId="3" fillId="3" borderId="10" xfId="0" applyFont="1" applyFill="1" applyBorder="1" applyAlignment="1">
      <alignment horizontal="left" vertical="top" wrapText="1"/>
    </xf>
    <xf numFmtId="0" fontId="3" fillId="3" borderId="2" xfId="0" applyFont="1" applyFill="1" applyBorder="1" applyProtection="1">
      <protection locked="0"/>
    </xf>
    <xf numFmtId="0" fontId="3" fillId="3" borderId="3" xfId="0" applyFont="1" applyFill="1" applyBorder="1" applyProtection="1">
      <protection locked="0"/>
    </xf>
    <xf numFmtId="0" fontId="3" fillId="3" borderId="4" xfId="0" applyFont="1" applyFill="1" applyBorder="1" applyProtection="1">
      <protection locked="0"/>
    </xf>
    <xf numFmtId="0" fontId="5" fillId="3" borderId="2" xfId="0" applyFont="1" applyFill="1" applyBorder="1"/>
    <xf numFmtId="0" fontId="5" fillId="3" borderId="3" xfId="0" applyFont="1" applyFill="1" applyBorder="1"/>
    <xf numFmtId="0" fontId="5" fillId="3" borderId="4" xfId="0" applyFont="1" applyFill="1" applyBorder="1"/>
    <xf numFmtId="0" fontId="5" fillId="3" borderId="2" xfId="0" applyFont="1" applyFill="1" applyBorder="1" applyAlignment="1">
      <alignment horizontal="left"/>
    </xf>
    <xf numFmtId="0" fontId="5" fillId="3" borderId="3" xfId="0" applyFont="1" applyFill="1" applyBorder="1" applyAlignment="1">
      <alignment horizontal="left"/>
    </xf>
    <xf numFmtId="0" fontId="5" fillId="3" borderId="4" xfId="0" applyFont="1" applyFill="1" applyBorder="1" applyAlignment="1">
      <alignment horizontal="left"/>
    </xf>
    <xf numFmtId="0" fontId="11" fillId="2" borderId="8" xfId="0" applyFont="1" applyFill="1" applyBorder="1" applyAlignment="1" applyProtection="1">
      <alignment horizontal="left" vertical="top" wrapText="1"/>
      <protection locked="0"/>
    </xf>
    <xf numFmtId="0" fontId="0" fillId="0" borderId="5" xfId="0" applyBorder="1" applyAlignment="1">
      <alignment horizontal="left" vertical="top" wrapText="1"/>
    </xf>
    <xf numFmtId="0" fontId="14" fillId="8" borderId="2" xfId="0" applyFont="1" applyFill="1" applyBorder="1" applyAlignment="1">
      <alignment horizontal="center"/>
    </xf>
    <xf numFmtId="0" fontId="11" fillId="0" borderId="4" xfId="0" applyFont="1" applyBorder="1" applyAlignment="1">
      <alignment horizontal="center"/>
    </xf>
    <xf numFmtId="0" fontId="11" fillId="2" borderId="5" xfId="0" applyFont="1" applyFill="1" applyBorder="1" applyAlignment="1" applyProtection="1">
      <alignment horizontal="left" vertical="top" wrapText="1"/>
      <protection locked="0"/>
    </xf>
    <xf numFmtId="0" fontId="14" fillId="8" borderId="7" xfId="0" applyFont="1" applyFill="1" applyBorder="1" applyAlignment="1">
      <alignment horizontal="center"/>
    </xf>
    <xf numFmtId="0" fontId="15" fillId="2" borderId="8" xfId="0" applyFont="1" applyFill="1" applyBorder="1" applyAlignment="1" applyProtection="1">
      <alignment horizontal="center" vertical="top" wrapText="1"/>
      <protection locked="0"/>
    </xf>
    <xf numFmtId="0" fontId="15" fillId="2" borderId="5" xfId="0" applyFont="1" applyFill="1" applyBorder="1" applyAlignment="1" applyProtection="1">
      <alignment horizontal="center" vertical="top" wrapText="1"/>
      <protection locked="0"/>
    </xf>
    <xf numFmtId="0" fontId="15" fillId="2" borderId="8" xfId="0" applyFont="1" applyFill="1" applyBorder="1" applyAlignment="1" applyProtection="1">
      <alignment horizontal="left" vertical="top" wrapText="1"/>
      <protection locked="0"/>
    </xf>
    <xf numFmtId="0" fontId="15" fillId="2" borderId="5" xfId="0" applyFont="1" applyFill="1" applyBorder="1" applyAlignment="1" applyProtection="1">
      <alignment horizontal="left" vertical="top" wrapText="1"/>
      <protection locked="0"/>
    </xf>
    <xf numFmtId="0" fontId="14" fillId="8" borderId="3" xfId="0" applyFont="1" applyFill="1" applyBorder="1" applyAlignment="1">
      <alignment horizontal="center"/>
    </xf>
    <xf numFmtId="0" fontId="14" fillId="8" borderId="4" xfId="0" applyFont="1" applyFill="1" applyBorder="1" applyAlignment="1">
      <alignment horizontal="center"/>
    </xf>
    <xf numFmtId="0" fontId="16" fillId="0" borderId="4" xfId="0" applyFont="1" applyBorder="1" applyAlignment="1">
      <alignment horizontal="center"/>
    </xf>
    <xf numFmtId="0" fontId="14" fillId="5" borderId="6" xfId="0" applyFont="1" applyFill="1" applyBorder="1" applyAlignment="1">
      <alignment horizontal="left" indent="15"/>
    </xf>
    <xf numFmtId="0" fontId="0" fillId="0" borderId="6" xfId="0" applyBorder="1" applyAlignment="1">
      <alignment horizontal="left" indent="15"/>
    </xf>
    <xf numFmtId="0" fontId="16" fillId="2" borderId="2" xfId="0" applyFont="1" applyFill="1" applyBorder="1" applyAlignment="1">
      <alignment horizontal="center"/>
    </xf>
    <xf numFmtId="0" fontId="14" fillId="8" borderId="9" xfId="0" applyFont="1" applyFill="1" applyBorder="1" applyAlignment="1">
      <alignment horizontal="center"/>
    </xf>
    <xf numFmtId="0" fontId="16" fillId="0" borderId="6" xfId="0" applyFont="1" applyBorder="1" applyAlignment="1">
      <alignment horizontal="center"/>
    </xf>
    <xf numFmtId="0" fontId="16" fillId="2" borderId="1" xfId="0" applyFont="1" applyFill="1" applyBorder="1" applyAlignment="1">
      <alignment horizontal="center"/>
    </xf>
    <xf numFmtId="0" fontId="5" fillId="0" borderId="1" xfId="0" applyFont="1" applyBorder="1" applyAlignment="1">
      <alignment horizontal="center"/>
    </xf>
    <xf numFmtId="0" fontId="2" fillId="5" borderId="2" xfId="0" applyFont="1" applyFill="1" applyBorder="1" applyAlignment="1" applyProtection="1">
      <alignment horizontal="left"/>
      <protection locked="0"/>
    </xf>
    <xf numFmtId="0" fontId="5" fillId="0" borderId="3" xfId="0" applyFont="1" applyBorder="1" applyAlignment="1"/>
    <xf numFmtId="0" fontId="5" fillId="0" borderId="4" xfId="0" applyFont="1" applyBorder="1" applyAlignment="1"/>
    <xf numFmtId="0" fontId="15" fillId="2" borderId="2" xfId="0" applyFont="1" applyFill="1" applyBorder="1" applyAlignment="1" applyProtection="1">
      <alignment horizontal="center"/>
      <protection locked="0"/>
    </xf>
    <xf numFmtId="0" fontId="15" fillId="0" borderId="3" xfId="0" applyFont="1" applyBorder="1" applyAlignment="1"/>
    <xf numFmtId="0" fontId="15" fillId="0" borderId="4" xfId="0" applyFont="1" applyBorder="1" applyAlignment="1"/>
    <xf numFmtId="0" fontId="15" fillId="2" borderId="2" xfId="0" applyFont="1" applyFill="1" applyBorder="1" applyAlignment="1" applyProtection="1">
      <alignment horizontal="left"/>
      <protection locked="0"/>
    </xf>
    <xf numFmtId="0" fontId="15" fillId="2" borderId="3" xfId="0" applyFont="1" applyFill="1" applyBorder="1" applyAlignment="1"/>
    <xf numFmtId="0" fontId="11" fillId="6" borderId="3" xfId="0" applyFont="1" applyFill="1" applyBorder="1" applyAlignment="1" applyProtection="1">
      <alignment horizontal="left"/>
      <protection locked="0"/>
    </xf>
    <xf numFmtId="0" fontId="15" fillId="6" borderId="3" xfId="0" applyFont="1" applyFill="1" applyBorder="1" applyAlignment="1" applyProtection="1">
      <alignment horizontal="left"/>
      <protection locked="0"/>
    </xf>
    <xf numFmtId="0" fontId="14" fillId="5" borderId="2" xfId="0" applyFont="1" applyFill="1" applyBorder="1" applyAlignment="1" applyProtection="1">
      <alignment horizontal="left"/>
      <protection locked="0"/>
    </xf>
    <xf numFmtId="0" fontId="14" fillId="5" borderId="3" xfId="0" applyFont="1" applyFill="1" applyBorder="1" applyAlignment="1" applyProtection="1">
      <alignment horizontal="left"/>
      <protection locked="0"/>
    </xf>
    <xf numFmtId="0" fontId="14" fillId="5" borderId="4" xfId="0" applyFont="1" applyFill="1" applyBorder="1" applyAlignment="1" applyProtection="1">
      <alignment horizontal="left"/>
      <protection locked="0"/>
    </xf>
    <xf numFmtId="0" fontId="16" fillId="2" borderId="3" xfId="0" applyFont="1" applyFill="1" applyBorder="1" applyAlignment="1">
      <alignment horizontal="center"/>
    </xf>
    <xf numFmtId="0" fontId="16" fillId="0" borderId="4" xfId="0" applyFont="1" applyBorder="1" applyAlignment="1"/>
    <xf numFmtId="0" fontId="16" fillId="0" borderId="3" xfId="0" applyFont="1" applyBorder="1" applyAlignment="1">
      <alignment horizontal="center"/>
    </xf>
    <xf numFmtId="0" fontId="2" fillId="5" borderId="3" xfId="0" applyFont="1" applyFill="1" applyBorder="1" applyAlignment="1" applyProtection="1">
      <alignment horizontal="left"/>
      <protection locked="0"/>
    </xf>
    <xf numFmtId="0" fontId="2" fillId="5" borderId="4" xfId="0" applyFont="1" applyFill="1" applyBorder="1" applyAlignment="1" applyProtection="1">
      <alignment horizontal="left"/>
      <protection locked="0"/>
    </xf>
    <xf numFmtId="0" fontId="0" fillId="2" borderId="3" xfId="0" applyFill="1" applyBorder="1" applyAlignment="1"/>
    <xf numFmtId="0" fontId="3" fillId="6" borderId="3" xfId="0" applyFont="1" applyFill="1" applyBorder="1" applyAlignment="1" applyProtection="1">
      <alignment horizontal="left"/>
      <protection locked="0"/>
    </xf>
    <xf numFmtId="0" fontId="0" fillId="6" borderId="3" xfId="0" applyFill="1" applyBorder="1" applyAlignment="1" applyProtection="1">
      <alignment horizontal="left"/>
      <protection locked="0"/>
    </xf>
    <xf numFmtId="0" fontId="2" fillId="5" borderId="7" xfId="0" applyFont="1" applyFill="1" applyBorder="1" applyAlignment="1" applyProtection="1">
      <alignment horizontal="center"/>
      <protection locked="0"/>
    </xf>
    <xf numFmtId="0" fontId="2" fillId="5" borderId="12" xfId="0" applyFont="1" applyFill="1" applyBorder="1" applyAlignment="1" applyProtection="1">
      <alignment horizontal="center"/>
      <protection locked="0"/>
    </xf>
    <xf numFmtId="0" fontId="5" fillId="2" borderId="4" xfId="0" applyFont="1" applyFill="1" applyBorder="1" applyAlignment="1" applyProtection="1">
      <alignment horizontal="center"/>
      <protection locked="0"/>
    </xf>
    <xf numFmtId="0" fontId="0" fillId="0" borderId="2" xfId="0" applyBorder="1" applyAlignment="1">
      <alignment horizontal="left"/>
    </xf>
    <xf numFmtId="0" fontId="2" fillId="5" borderId="0" xfId="0" applyFont="1" applyFill="1" applyBorder="1" applyAlignment="1" applyProtection="1">
      <alignment horizontal="left"/>
      <protection locked="0"/>
    </xf>
    <xf numFmtId="0" fontId="0" fillId="2" borderId="2" xfId="0" applyFill="1" applyBorder="1" applyAlignment="1" applyProtection="1">
      <alignment horizontal="center"/>
      <protection locked="0"/>
    </xf>
    <xf numFmtId="0" fontId="2" fillId="9" borderId="12" xfId="0" applyFont="1" applyFill="1" applyBorder="1" applyAlignment="1">
      <alignment horizontal="left"/>
    </xf>
    <xf numFmtId="0" fontId="0" fillId="9" borderId="11" xfId="0" applyFill="1" applyBorder="1" applyAlignment="1">
      <alignment horizontal="left"/>
    </xf>
    <xf numFmtId="0" fontId="0" fillId="9" borderId="11" xfId="0" applyFill="1" applyBorder="1" applyAlignment="1"/>
    <xf numFmtId="0" fontId="0" fillId="9" borderId="13" xfId="0" applyFill="1" applyBorder="1" applyAlignment="1"/>
    <xf numFmtId="0" fontId="0" fillId="2" borderId="7" xfId="0" applyFill="1" applyBorder="1" applyAlignment="1">
      <alignment horizontal="center"/>
    </xf>
    <xf numFmtId="0" fontId="0" fillId="2" borderId="0" xfId="0" applyFill="1" applyBorder="1" applyAlignment="1">
      <alignment horizontal="center"/>
    </xf>
    <xf numFmtId="0" fontId="0" fillId="2" borderId="0" xfId="0" applyFill="1" applyBorder="1" applyAlignment="1"/>
    <xf numFmtId="0" fontId="0" fillId="2" borderId="15" xfId="0" applyFill="1" applyBorder="1" applyAlignment="1"/>
    <xf numFmtId="0" fontId="0" fillId="2" borderId="9" xfId="0" applyFill="1" applyBorder="1" applyAlignment="1"/>
    <xf numFmtId="0" fontId="0" fillId="2" borderId="6" xfId="0" applyFill="1" applyBorder="1" applyAlignment="1"/>
    <xf numFmtId="0" fontId="0" fillId="2" borderId="10" xfId="0" applyFill="1" applyBorder="1" applyAlignment="1"/>
    <xf numFmtId="0" fontId="2" fillId="9" borderId="12" xfId="0" applyFont="1" applyFill="1" applyBorder="1" applyAlignment="1" applyProtection="1">
      <alignment horizontal="left"/>
      <protection locked="0"/>
    </xf>
    <xf numFmtId="0" fontId="2" fillId="9" borderId="11" xfId="0" applyFont="1" applyFill="1" applyBorder="1" applyAlignment="1" applyProtection="1">
      <alignment horizontal="left"/>
      <protection locked="0"/>
    </xf>
    <xf numFmtId="0" fontId="8" fillId="5" borderId="1" xfId="0" applyFont="1" applyFill="1" applyBorder="1" applyAlignment="1">
      <alignment horizontal="center"/>
    </xf>
    <xf numFmtId="0" fontId="6" fillId="2" borderId="8" xfId="0" applyFont="1" applyFill="1" applyBorder="1" applyAlignment="1">
      <alignment horizontal="center"/>
    </xf>
    <xf numFmtId="0" fontId="0" fillId="0" borderId="8" xfId="0" applyBorder="1" applyAlignment="1"/>
    <xf numFmtId="0" fontId="2" fillId="9" borderId="7" xfId="0" applyFont="1" applyFill="1" applyBorder="1" applyAlignment="1">
      <alignment horizontal="center"/>
    </xf>
    <xf numFmtId="0" fontId="0" fillId="0" borderId="0" xfId="0" applyBorder="1" applyAlignment="1">
      <alignment horizontal="center"/>
    </xf>
    <xf numFmtId="0" fontId="8" fillId="5" borderId="0" xfId="0" applyFont="1" applyFill="1" applyBorder="1" applyAlignment="1">
      <alignment horizontal="center"/>
    </xf>
    <xf numFmtId="0" fontId="2" fillId="9" borderId="2" xfId="0" applyFont="1" applyFill="1" applyBorder="1" applyAlignment="1">
      <alignment horizontal="left"/>
    </xf>
    <xf numFmtId="0" fontId="0" fillId="2" borderId="12" xfId="0" applyFill="1" applyBorder="1" applyAlignment="1">
      <alignment horizontal="center"/>
    </xf>
    <xf numFmtId="0" fontId="2" fillId="9" borderId="9" xfId="0" applyFont="1" applyFill="1" applyBorder="1" applyAlignment="1">
      <alignment horizontal="center"/>
    </xf>
    <xf numFmtId="0" fontId="0" fillId="2" borderId="9" xfId="0" applyFill="1" applyBorder="1" applyAlignment="1" applyProtection="1">
      <alignment horizontal="center"/>
      <protection locked="0"/>
    </xf>
    <xf numFmtId="0" fontId="5" fillId="3" borderId="2" xfId="0" applyFont="1" applyFill="1" applyBorder="1" applyAlignment="1" applyProtection="1">
      <alignment wrapText="1"/>
      <protection locked="0"/>
    </xf>
    <xf numFmtId="0" fontId="0" fillId="0" borderId="3" xfId="0" applyBorder="1" applyAlignment="1">
      <alignment wrapText="1"/>
    </xf>
    <xf numFmtId="0" fontId="0" fillId="0" borderId="4" xfId="0" applyBorder="1" applyAlignment="1">
      <alignment wrapText="1"/>
    </xf>
    <xf numFmtId="0" fontId="0" fillId="0" borderId="15" xfId="0" applyBorder="1" applyAlignment="1"/>
    <xf numFmtId="0" fontId="0" fillId="6" borderId="3" xfId="0" applyFill="1" applyBorder="1" applyAlignment="1" applyProtection="1">
      <alignment horizontal="center"/>
      <protection locked="0"/>
    </xf>
    <xf numFmtId="0" fontId="3" fillId="3" borderId="2" xfId="0" applyFont="1" applyFill="1" applyBorder="1" applyAlignment="1" applyProtection="1">
      <alignment wrapText="1"/>
      <protection locked="0"/>
    </xf>
    <xf numFmtId="0" fontId="3" fillId="0" borderId="3" xfId="0" applyFont="1" applyBorder="1" applyAlignment="1">
      <alignment wrapText="1"/>
    </xf>
    <xf numFmtId="0" fontId="3" fillId="0" borderId="4" xfId="0" applyFont="1" applyBorder="1" applyAlignment="1">
      <alignment wrapText="1"/>
    </xf>
    <xf numFmtId="0" fontId="0" fillId="2" borderId="9" xfId="0" applyFill="1" applyBorder="1" applyAlignment="1" applyProtection="1">
      <alignment horizontal="left"/>
      <protection locked="0"/>
    </xf>
    <xf numFmtId="0" fontId="0" fillId="6" borderId="6" xfId="0" applyFill="1" applyBorder="1" applyAlignment="1" applyProtection="1">
      <alignment horizontal="center"/>
      <protection locked="0"/>
    </xf>
    <xf numFmtId="0" fontId="2" fillId="5" borderId="11" xfId="0" applyFont="1" applyFill="1" applyBorder="1" applyAlignment="1" applyProtection="1">
      <alignment horizontal="left"/>
      <protection locked="0"/>
    </xf>
    <xf numFmtId="0" fontId="0" fillId="2" borderId="6" xfId="0" applyFill="1" applyBorder="1" applyAlignment="1" applyProtection="1">
      <alignment horizontal="center"/>
      <protection locked="0"/>
    </xf>
    <xf numFmtId="0" fontId="0" fillId="0" borderId="6" xfId="0" applyBorder="1"/>
    <xf numFmtId="0" fontId="0" fillId="0" borderId="10" xfId="0" applyBorder="1"/>
    <xf numFmtId="0" fontId="5" fillId="2" borderId="12" xfId="0" applyFont="1" applyFill="1" applyBorder="1" applyAlignment="1" applyProtection="1">
      <alignment horizontal="center"/>
      <protection locked="0"/>
    </xf>
    <xf numFmtId="0" fontId="5" fillId="2" borderId="7"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1" xfId="0" applyBorder="1" applyAlignment="1">
      <alignment horizontal="center"/>
    </xf>
    <xf numFmtId="0" fontId="0" fillId="0" borderId="13" xfId="0" applyBorder="1" applyAlignment="1">
      <alignment horizontal="center"/>
    </xf>
    <xf numFmtId="0" fontId="5" fillId="3" borderId="2" xfId="0" applyFont="1" applyFill="1" applyBorder="1" applyAlignment="1"/>
    <xf numFmtId="0" fontId="3" fillId="3" borderId="2" xfId="0" applyFont="1" applyFill="1" applyBorder="1" applyAlignment="1" applyProtection="1">
      <alignment vertical="top" wrapText="1"/>
      <protection locked="0"/>
    </xf>
    <xf numFmtId="0" fontId="3" fillId="3" borderId="3" xfId="0" applyFont="1" applyFill="1" applyBorder="1" applyAlignment="1" applyProtection="1">
      <alignment vertical="top" wrapText="1"/>
      <protection locked="0"/>
    </xf>
    <xf numFmtId="0" fontId="3" fillId="3" borderId="4" xfId="0" applyFont="1" applyFill="1" applyBorder="1" applyAlignment="1" applyProtection="1">
      <alignment vertical="top" wrapText="1"/>
      <protection locked="0"/>
    </xf>
    <xf numFmtId="0" fontId="2" fillId="5" borderId="0" xfId="0" applyFont="1" applyFill="1" applyAlignment="1">
      <alignment horizontal="center"/>
    </xf>
    <xf numFmtId="0" fontId="0" fillId="0" borderId="0" xfId="0" applyAlignment="1">
      <alignment horizontal="center"/>
    </xf>
    <xf numFmtId="0" fontId="0" fillId="2" borderId="2" xfId="0" applyFill="1" applyBorder="1" applyAlignment="1"/>
    <xf numFmtId="0" fontId="0" fillId="2" borderId="4" xfId="0" applyFill="1" applyBorder="1" applyAlignment="1"/>
    <xf numFmtId="0" fontId="5" fillId="2" borderId="7" xfId="0" applyFont="1" applyFill="1" applyBorder="1" applyAlignment="1"/>
    <xf numFmtId="0" fontId="0" fillId="7" borderId="2" xfId="0" applyFill="1" applyBorder="1" applyAlignment="1">
      <alignment horizontal="left"/>
    </xf>
    <xf numFmtId="0" fontId="2" fillId="9" borderId="7" xfId="0" applyFont="1" applyFill="1" applyBorder="1" applyAlignment="1">
      <alignment horizontal="left"/>
    </xf>
    <xf numFmtId="0" fontId="3" fillId="3" borderId="12" xfId="0" applyFont="1" applyFill="1" applyBorder="1" applyAlignment="1" applyProtection="1">
      <alignment vertical="top" wrapText="1"/>
      <protection locked="0"/>
    </xf>
    <xf numFmtId="0" fontId="3" fillId="3" borderId="11" xfId="0" applyFont="1" applyFill="1" applyBorder="1" applyAlignment="1" applyProtection="1">
      <alignment vertical="top" wrapText="1"/>
      <protection locked="0"/>
    </xf>
    <xf numFmtId="0" fontId="3" fillId="3" borderId="13" xfId="0" applyFont="1" applyFill="1" applyBorder="1" applyAlignment="1" applyProtection="1">
      <alignment vertical="top" wrapText="1"/>
      <protection locked="0"/>
    </xf>
    <xf numFmtId="0" fontId="3" fillId="3" borderId="7" xfId="0" applyFont="1" applyFill="1" applyBorder="1" applyAlignment="1" applyProtection="1">
      <alignment vertical="top" wrapText="1"/>
      <protection locked="0"/>
    </xf>
    <xf numFmtId="0" fontId="3" fillId="3" borderId="0" xfId="0" applyFont="1" applyFill="1" applyBorder="1" applyAlignment="1" applyProtection="1">
      <alignment vertical="top" wrapText="1"/>
      <protection locked="0"/>
    </xf>
    <xf numFmtId="0" fontId="3" fillId="3" borderId="15" xfId="0" applyFont="1" applyFill="1" applyBorder="1" applyAlignment="1" applyProtection="1">
      <alignment vertical="top" wrapText="1"/>
      <protection locked="0"/>
    </xf>
    <xf numFmtId="0" fontId="3" fillId="3" borderId="9" xfId="0" applyFont="1" applyFill="1" applyBorder="1" applyAlignment="1" applyProtection="1">
      <alignment vertical="top" wrapText="1"/>
      <protection locked="0"/>
    </xf>
    <xf numFmtId="0" fontId="3" fillId="3" borderId="6" xfId="0" applyFont="1" applyFill="1" applyBorder="1" applyAlignment="1" applyProtection="1">
      <alignment vertical="top" wrapText="1"/>
      <protection locked="0"/>
    </xf>
    <xf numFmtId="0" fontId="3" fillId="3" borderId="10" xfId="0" applyFont="1" applyFill="1" applyBorder="1" applyAlignment="1" applyProtection="1">
      <alignment vertical="top" wrapText="1"/>
      <protection locked="0"/>
    </xf>
    <xf numFmtId="0" fontId="6" fillId="2" borderId="12" xfId="0" applyFont="1" applyFill="1" applyBorder="1" applyAlignment="1">
      <alignment horizontal="center"/>
    </xf>
    <xf numFmtId="0" fontId="6" fillId="2" borderId="11" xfId="0" applyFont="1" applyFill="1" applyBorder="1" applyAlignment="1">
      <alignment horizontal="center"/>
    </xf>
    <xf numFmtId="0" fontId="6" fillId="2" borderId="15" xfId="0" applyFont="1" applyFill="1" applyBorder="1" applyAlignment="1">
      <alignment horizontal="center"/>
    </xf>
    <xf numFmtId="0" fontId="2" fillId="9" borderId="2" xfId="0" applyFont="1" applyFill="1" applyBorder="1" applyAlignment="1">
      <alignment horizontal="left" indent="3"/>
    </xf>
    <xf numFmtId="0" fontId="6" fillId="2" borderId="7" xfId="0" applyFont="1" applyFill="1" applyBorder="1" applyAlignment="1">
      <alignment horizontal="center"/>
    </xf>
    <xf numFmtId="0" fontId="6" fillId="2" borderId="0" xfId="0" applyFont="1" applyFill="1" applyBorder="1" applyAlignment="1">
      <alignment horizontal="center"/>
    </xf>
    <xf numFmtId="0" fontId="3" fillId="6" borderId="3" xfId="0" applyFont="1" applyFill="1" applyBorder="1" applyAlignment="1" applyProtection="1">
      <alignment horizontal="center"/>
      <protection locked="0"/>
    </xf>
    <xf numFmtId="0" fontId="2" fillId="5" borderId="2" xfId="0" applyFont="1" applyFill="1" applyBorder="1" applyAlignment="1" applyProtection="1">
      <alignment horizontal="center"/>
      <protection locked="0"/>
    </xf>
  </cellXfs>
  <cellStyles count="1">
    <cellStyle name="Normal" xfId="0" builtinId="0"/>
  </cellStyles>
  <dxfs count="17">
    <dxf>
      <fill>
        <patternFill>
          <bgColor indexed="43"/>
        </patternFill>
      </fill>
      <border>
        <left style="thin">
          <color indexed="64"/>
        </left>
        <right style="thin">
          <color indexed="64"/>
        </right>
        <top style="thin">
          <color indexed="64"/>
        </top>
        <bottom style="thin">
          <color indexed="64"/>
        </bottom>
      </border>
    </dxf>
    <dxf>
      <fill>
        <patternFill>
          <bgColor rgb="FFFF0000"/>
        </patternFill>
      </fill>
    </dxf>
    <dxf>
      <fill>
        <patternFill>
          <bgColor rgb="FFFF0000"/>
        </patternFill>
      </fill>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rgb="FFFF0000"/>
        </patternFill>
      </fill>
    </dxf>
    <dxf>
      <fill>
        <patternFill>
          <bgColor rgb="FFFF0000"/>
        </patternFill>
      </fill>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ont>
        <color rgb="FF9C0006"/>
      </font>
      <fill>
        <patternFill>
          <bgColor rgb="FFFFC7CE"/>
        </patternFill>
      </fill>
    </dxf>
    <dxf>
      <fill>
        <patternFill>
          <bgColor indexed="43"/>
        </patternFill>
      </fill>
      <border>
        <left style="thin">
          <color indexed="64"/>
        </left>
        <right style="thin">
          <color indexed="64"/>
        </right>
        <top style="thin">
          <color indexed="64"/>
        </top>
        <bottom style="thin">
          <color indexed="64"/>
        </bottom>
      </border>
    </dxf>
    <dxf>
      <fill>
        <patternFill>
          <bgColor rgb="FFFF0000"/>
        </patternFill>
      </fill>
    </dxf>
    <dxf>
      <fill>
        <patternFill>
          <bgColor rgb="FFFF0000"/>
        </patternFill>
      </fill>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3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454545"/>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E0E0B8"/>
      <rgbColor rgb="0099CCFF"/>
      <rgbColor rgb="00FF99CC"/>
      <rgbColor rgb="00CC99FF"/>
      <rgbColor rgb="00FFCC99"/>
      <rgbColor rgb="003366FF"/>
      <rgbColor rgb="0033CCCC"/>
      <rgbColor rgb="0099CC00"/>
      <rgbColor rgb="00FFCC00"/>
      <rgbColor rgb="00FF9900"/>
      <rgbColor rgb="00FF6600"/>
      <rgbColor rgb="00666699"/>
      <rgbColor rgb="00B5B5B5"/>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7.xml"/><Relationship Id="rId3" Type="http://schemas.openxmlformats.org/officeDocument/2006/relationships/worksheet" Target="worksheets/sheet3.xml"/><Relationship Id="rId21" Type="http://schemas.openxmlformats.org/officeDocument/2006/relationships/externalLink" Target="externalLinks/externalLink2.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6.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externalLink" Target="externalLinks/externalLink1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5.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4.xml"/><Relationship Id="rId28" Type="http://schemas.openxmlformats.org/officeDocument/2006/relationships/externalLink" Target="externalLinks/externalLink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3.xml"/><Relationship Id="rId27" Type="http://schemas.openxmlformats.org/officeDocument/2006/relationships/externalLink" Target="externalLinks/externalLink8.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Drop" dropStyle="combo" dx="22" fmlaLink="$B$4" fmlaRange="execReportTypes" sel="1" val="0"/>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1</xdr:row>
          <xdr:rowOff>76200</xdr:rowOff>
        </xdr:from>
        <xdr:to>
          <xdr:col>0</xdr:col>
          <xdr:colOff>1009650</xdr:colOff>
          <xdr:row>1</xdr:row>
          <xdr:rowOff>276225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Create Ticker…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314325</xdr:colOff>
          <xdr:row>1</xdr:row>
          <xdr:rowOff>76200</xdr:rowOff>
        </xdr:from>
        <xdr:to>
          <xdr:col>3</xdr:col>
          <xdr:colOff>571500</xdr:colOff>
          <xdr:row>1</xdr:row>
          <xdr:rowOff>276225</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Request Market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457200</xdr:colOff>
          <xdr:row>1</xdr:row>
          <xdr:rowOff>76200</xdr:rowOff>
        </xdr:from>
        <xdr:to>
          <xdr:col>18</xdr:col>
          <xdr:colOff>495300</xdr:colOff>
          <xdr:row>1</xdr:row>
          <xdr:rowOff>276225</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552450</xdr:colOff>
          <xdr:row>1</xdr:row>
          <xdr:rowOff>76200</xdr:rowOff>
        </xdr:from>
        <xdr:to>
          <xdr:col>15</xdr:col>
          <xdr:colOff>428625</xdr:colOff>
          <xdr:row>1</xdr:row>
          <xdr:rowOff>276225</xdr:rowOff>
        </xdr:to>
        <xdr:sp macro="" textlink="">
          <xdr:nvSpPr>
            <xdr:cNvPr id="8196" name="Button 4" hidden="1">
              <a:extLst>
                <a:ext uri="{63B3BB69-23CF-44E3-9099-C40C66FF867C}">
                  <a14:compatExt spid="_x0000_s81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Set Refresh 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1076325</xdr:colOff>
          <xdr:row>1</xdr:row>
          <xdr:rowOff>76200</xdr:rowOff>
        </xdr:from>
        <xdr:to>
          <xdr:col>2</xdr:col>
          <xdr:colOff>257175</xdr:colOff>
          <xdr:row>1</xdr:row>
          <xdr:rowOff>276225</xdr:rowOff>
        </xdr:to>
        <xdr:sp macro="" textlink="">
          <xdr:nvSpPr>
            <xdr:cNvPr id="8201" name="Button 9" hidden="1">
              <a:extLst>
                <a:ext uri="{63B3BB69-23CF-44E3-9099-C40C66FF867C}">
                  <a14:compatExt spid="_x0000_s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Combo Legs...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1</xdr:row>
          <xdr:rowOff>76200</xdr:rowOff>
        </xdr:from>
        <xdr:to>
          <xdr:col>20</xdr:col>
          <xdr:colOff>209550</xdr:colOff>
          <xdr:row>1</xdr:row>
          <xdr:rowOff>276225</xdr:rowOff>
        </xdr:to>
        <xdr:sp macro="" textlink="">
          <xdr:nvSpPr>
            <xdr:cNvPr id="8209" name="Button 17" hidden="1">
              <a:extLst>
                <a:ext uri="{63B3BB69-23CF-44E3-9099-C40C66FF867C}">
                  <a14:compatExt spid="_x0000_s82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Bulletins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xdr:row>
          <xdr:rowOff>76200</xdr:rowOff>
        </xdr:from>
        <xdr:to>
          <xdr:col>17</xdr:col>
          <xdr:colOff>295275</xdr:colOff>
          <xdr:row>1</xdr:row>
          <xdr:rowOff>276225</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Set Log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323850</xdr:colOff>
          <xdr:row>1</xdr:row>
          <xdr:rowOff>76200</xdr:rowOff>
        </xdr:from>
        <xdr:to>
          <xdr:col>21</xdr:col>
          <xdr:colOff>676275</xdr:colOff>
          <xdr:row>1</xdr:row>
          <xdr:rowOff>276225</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Clear All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285750</xdr:colOff>
          <xdr:row>1</xdr:row>
          <xdr:rowOff>76200</xdr:rowOff>
        </xdr:from>
        <xdr:to>
          <xdr:col>12</xdr:col>
          <xdr:colOff>438150</xdr:colOff>
          <xdr:row>1</xdr:row>
          <xdr:rowOff>276225</xdr:rowOff>
        </xdr:to>
        <xdr:sp macro="" textlink="">
          <xdr:nvSpPr>
            <xdr:cNvPr id="8225" name="Button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Set Processing 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295275</xdr:colOff>
          <xdr:row>1</xdr:row>
          <xdr:rowOff>76200</xdr:rowOff>
        </xdr:from>
        <xdr:to>
          <xdr:col>7</xdr:col>
          <xdr:colOff>638175</xdr:colOff>
          <xdr:row>1</xdr:row>
          <xdr:rowOff>276225</xdr:rowOff>
        </xdr:to>
        <xdr:sp macro="" textlink="">
          <xdr:nvSpPr>
            <xdr:cNvPr id="8226" name="Button 34" hidden="1">
              <a:extLst>
                <a:ext uri="{63B3BB69-23CF-44E3-9099-C40C66FF867C}">
                  <a14:compatExt spid="_x0000_s82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Calc Implied Volat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28575</xdr:colOff>
          <xdr:row>1</xdr:row>
          <xdr:rowOff>76200</xdr:rowOff>
        </xdr:from>
        <xdr:to>
          <xdr:col>9</xdr:col>
          <xdr:colOff>38100</xdr:colOff>
          <xdr:row>1</xdr:row>
          <xdr:rowOff>266700</xdr:rowOff>
        </xdr:to>
        <xdr:sp macro="" textlink="">
          <xdr:nvSpPr>
            <xdr:cNvPr id="8227" name="Button 35" hidden="1">
              <a:extLst>
                <a:ext uri="{63B3BB69-23CF-44E3-9099-C40C66FF867C}">
                  <a14:compatExt spid="_x0000_s82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Calc Option Price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352425</xdr:colOff>
          <xdr:row>1</xdr:row>
          <xdr:rowOff>76200</xdr:rowOff>
        </xdr:from>
        <xdr:to>
          <xdr:col>6</xdr:col>
          <xdr:colOff>238125</xdr:colOff>
          <xdr:row>1</xdr:row>
          <xdr:rowOff>276225</xdr:rowOff>
        </xdr:to>
        <xdr:sp macro="" textlink="">
          <xdr:nvSpPr>
            <xdr:cNvPr id="8229" name="Button 37" hidden="1">
              <a:extLst>
                <a:ext uri="{63B3BB69-23CF-44E3-9099-C40C66FF867C}">
                  <a14:compatExt spid="_x0000_s82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Req Generic Ticks</a:t>
              </a:r>
            </a:p>
            <a:p>
              <a:pPr algn="ctr" rtl="0">
                <a:defRPr sz="1000"/>
              </a:pPr>
              <a:endParaRPr lang="en-GB"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1238250</xdr:colOff>
          <xdr:row>1</xdr:row>
          <xdr:rowOff>85725</xdr:rowOff>
        </xdr:from>
        <xdr:to>
          <xdr:col>2</xdr:col>
          <xdr:colOff>762000</xdr:colOff>
          <xdr:row>1</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Place / Modify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314325</xdr:colOff>
          <xdr:row>1</xdr:row>
          <xdr:rowOff>85725</xdr:rowOff>
        </xdr:from>
        <xdr:to>
          <xdr:col>5</xdr:col>
          <xdr:colOff>457200</xdr:colOff>
          <xdr:row>1</xdr:row>
          <xdr:rowOff>285750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Cancel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xdr:row>
          <xdr:rowOff>76200</xdr:rowOff>
        </xdr:from>
        <xdr:to>
          <xdr:col>9</xdr:col>
          <xdr:colOff>190500</xdr:colOff>
          <xdr:row>1</xdr:row>
          <xdr:rowOff>276225</xdr:rowOff>
        </xdr:to>
        <xdr:sp macro="" textlink="">
          <xdr:nvSpPr>
            <xdr:cNvPr id="2060" name="Button 12" hidden="1">
              <a:extLst>
                <a:ext uri="{63B3BB69-23CF-44E3-9099-C40C66FF867C}">
                  <a14:compatExt spid="_x0000_s20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Errors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1</xdr:row>
          <xdr:rowOff>85725</xdr:rowOff>
        </xdr:from>
        <xdr:to>
          <xdr:col>0</xdr:col>
          <xdr:colOff>1000125</xdr:colOff>
          <xdr:row>1</xdr:row>
          <xdr:rowOff>285750</xdr:rowOff>
        </xdr:to>
        <xdr:sp macro="" textlink="">
          <xdr:nvSpPr>
            <xdr:cNvPr id="2061" name="Button 13" hidden="1">
              <a:extLst>
                <a:ext uri="{63B3BB69-23CF-44E3-9099-C40C66FF867C}">
                  <a14:compatExt spid="_x0000_s20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Combo Legs...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1</xdr:row>
          <xdr:rowOff>85725</xdr:rowOff>
        </xdr:from>
        <xdr:to>
          <xdr:col>8</xdr:col>
          <xdr:colOff>180975</xdr:colOff>
          <xdr:row>1</xdr:row>
          <xdr:rowOff>285750</xdr:rowOff>
        </xdr:to>
        <xdr:sp macro="" textlink="">
          <xdr:nvSpPr>
            <xdr:cNvPr id="2063" name="Button 15" hidden="1">
              <a:extLst>
                <a:ext uri="{63B3BB69-23CF-44E3-9099-C40C66FF867C}">
                  <a14:compatExt spid="_x0000_s20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Apply Extended Template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314325</xdr:colOff>
          <xdr:row>1</xdr:row>
          <xdr:rowOff>76200</xdr:rowOff>
        </xdr:from>
        <xdr:to>
          <xdr:col>4</xdr:col>
          <xdr:colOff>123825</xdr:colOff>
          <xdr:row>1</xdr:row>
          <xdr:rowOff>276225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Place / Modify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295275</xdr:colOff>
          <xdr:row>1</xdr:row>
          <xdr:rowOff>76200</xdr:rowOff>
        </xdr:from>
        <xdr:to>
          <xdr:col>9</xdr:col>
          <xdr:colOff>152400</xdr:colOff>
          <xdr:row>1</xdr:row>
          <xdr:rowOff>276225</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Cancel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485775</xdr:colOff>
          <xdr:row>1</xdr:row>
          <xdr:rowOff>76200</xdr:rowOff>
        </xdr:from>
        <xdr:to>
          <xdr:col>10</xdr:col>
          <xdr:colOff>857250</xdr:colOff>
          <xdr:row>1</xdr:row>
          <xdr:rowOff>276225</xdr:rowOff>
        </xdr:to>
        <xdr:sp macro="" textlink="">
          <xdr:nvSpPr>
            <xdr:cNvPr id="13315" name="Button 3" hidden="1">
              <a:extLst>
                <a:ext uri="{63B3BB69-23CF-44E3-9099-C40C66FF867C}">
                  <a14:compatExt spid="_x0000_s133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Errors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1</xdr:row>
          <xdr:rowOff>76200</xdr:rowOff>
        </xdr:from>
        <xdr:to>
          <xdr:col>2</xdr:col>
          <xdr:colOff>152400</xdr:colOff>
          <xdr:row>1</xdr:row>
          <xdr:rowOff>276225</xdr:rowOff>
        </xdr:to>
        <xdr:sp macro="" textlink="">
          <xdr:nvSpPr>
            <xdr:cNvPr id="13316" name="Button 4" hidden="1">
              <a:extLst>
                <a:ext uri="{63B3BB69-23CF-44E3-9099-C40C66FF867C}">
                  <a14:compatExt spid="_x0000_s133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Combo Legs...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533400</xdr:colOff>
          <xdr:row>1</xdr:row>
          <xdr:rowOff>76200</xdr:rowOff>
        </xdr:from>
        <xdr:to>
          <xdr:col>7</xdr:col>
          <xdr:colOff>714375</xdr:colOff>
          <xdr:row>1</xdr:row>
          <xdr:rowOff>276225</xdr:rowOff>
        </xdr:to>
        <xdr:sp macro="" textlink="">
          <xdr:nvSpPr>
            <xdr:cNvPr id="13317" name="Button 5" hidden="1">
              <a:extLst>
                <a:ext uri="{63B3BB69-23CF-44E3-9099-C40C66FF867C}">
                  <a14:compatExt spid="_x0000_s133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Apply Extended Template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1181100</xdr:colOff>
          <xdr:row>1</xdr:row>
          <xdr:rowOff>104775</xdr:rowOff>
        </xdr:from>
        <xdr:ext cx="1228725" cy="228600"/>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Place / Modify Order</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3</xdr:col>
          <xdr:colOff>295275</xdr:colOff>
          <xdr:row>1</xdr:row>
          <xdr:rowOff>104775</xdr:rowOff>
        </xdr:from>
        <xdr:ext cx="821531" cy="228600"/>
        <xdr:sp macro="" textlink="">
          <xdr:nvSpPr>
            <xdr:cNvPr id="29698" name="Button 2" hidden="1">
              <a:extLst>
                <a:ext uri="{63B3BB69-23CF-44E3-9099-C40C66FF867C}">
                  <a14:compatExt spid="_x0000_s29698"/>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Cancel Order</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1</xdr:row>
          <xdr:rowOff>85725</xdr:rowOff>
        </xdr:from>
        <xdr:to>
          <xdr:col>8</xdr:col>
          <xdr:colOff>933450</xdr:colOff>
          <xdr:row>1</xdr:row>
          <xdr:rowOff>314325</xdr:rowOff>
        </xdr:to>
        <xdr:sp macro="" textlink="">
          <xdr:nvSpPr>
            <xdr:cNvPr id="29699" name="Button 3" hidden="1">
              <a:extLst>
                <a:ext uri="{63B3BB69-23CF-44E3-9099-C40C66FF867C}">
                  <a14:compatExt spid="_x0000_s296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Errors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0</xdr:col>
          <xdr:colOff>123825</xdr:colOff>
          <xdr:row>1</xdr:row>
          <xdr:rowOff>104775</xdr:rowOff>
        </xdr:from>
        <xdr:ext cx="876300" cy="228600"/>
        <xdr:sp macro="" textlink="">
          <xdr:nvSpPr>
            <xdr:cNvPr id="29700" name="Button 4" hidden="1">
              <a:extLst>
                <a:ext uri="{63B3BB69-23CF-44E3-9099-C40C66FF867C}">
                  <a14:compatExt spid="_x0000_s29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Combo Legs...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xdr:col>
          <xdr:colOff>85725</xdr:colOff>
          <xdr:row>1</xdr:row>
          <xdr:rowOff>104775</xdr:rowOff>
        </xdr:from>
        <xdr:ext cx="1512094" cy="228600"/>
        <xdr:sp macro="" textlink="">
          <xdr:nvSpPr>
            <xdr:cNvPr id="29701" name="Button 5" hidden="1">
              <a:extLst>
                <a:ext uri="{63B3BB69-23CF-44E3-9099-C40C66FF867C}">
                  <a14:compatExt spid="_x0000_s29701"/>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Apply Extended Template</a:t>
              </a:r>
            </a:p>
          </xdr:txBody>
        </xdr:sp>
        <xdr:clientData fPrintsWithSheet="0"/>
      </xdr:one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1</xdr:row>
          <xdr:rowOff>57150</xdr:rowOff>
        </xdr:from>
        <xdr:to>
          <xdr:col>2</xdr:col>
          <xdr:colOff>695325</xdr:colOff>
          <xdr:row>1</xdr:row>
          <xdr:rowOff>257175</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Arial"/>
                  <a:cs typeface="Arial"/>
                </a:rPr>
                <a:t>Subscribe to Open Orders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1</xdr:row>
          <xdr:rowOff>57150</xdr:rowOff>
        </xdr:from>
        <xdr:to>
          <xdr:col>10</xdr:col>
          <xdr:colOff>171450</xdr:colOff>
          <xdr:row>1</xdr:row>
          <xdr:rowOff>257175</xdr:rowOff>
        </xdr:to>
        <xdr:sp macro="" textlink="">
          <xdr:nvSpPr>
            <xdr:cNvPr id="24578" name="Button 2" hidden="1">
              <a:extLst>
                <a:ext uri="{63B3BB69-23CF-44E3-9099-C40C66FF867C}">
                  <a14:compatExt spid="_x0000_s245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Arial"/>
                  <a:cs typeface="Arial"/>
                </a:rPr>
                <a:t>Show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xdr:row>
          <xdr:rowOff>57150</xdr:rowOff>
        </xdr:from>
        <xdr:to>
          <xdr:col>7</xdr:col>
          <xdr:colOff>47625</xdr:colOff>
          <xdr:row>1</xdr:row>
          <xdr:rowOff>257175</xdr:rowOff>
        </xdr:to>
        <xdr:sp macro="" textlink="">
          <xdr:nvSpPr>
            <xdr:cNvPr id="24579" name="Button 3" hidden="1">
              <a:extLst>
                <a:ext uri="{63B3BB69-23CF-44E3-9099-C40C66FF867C}">
                  <a14:compatExt spid="_x0000_s245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Arial"/>
                  <a:cs typeface="Arial"/>
                </a:rPr>
                <a:t>Cancel Open Orders Subscription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523875</xdr:colOff>
          <xdr:row>1</xdr:row>
          <xdr:rowOff>57150</xdr:rowOff>
        </xdr:from>
        <xdr:to>
          <xdr:col>8</xdr:col>
          <xdr:colOff>981075</xdr:colOff>
          <xdr:row>1</xdr:row>
          <xdr:rowOff>257175</xdr:rowOff>
        </xdr:to>
        <xdr:sp macro="" textlink="">
          <xdr:nvSpPr>
            <xdr:cNvPr id="24580" name="Button 4" hidden="1">
              <a:extLst>
                <a:ext uri="{63B3BB69-23CF-44E3-9099-C40C66FF867C}">
                  <a14:compatExt spid="_x0000_s245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Arial"/>
                  <a:cs typeface="Arial"/>
                </a:rPr>
                <a:t>Clear Open Orders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1</xdr:row>
          <xdr:rowOff>85725</xdr:rowOff>
        </xdr:from>
        <xdr:to>
          <xdr:col>2</xdr:col>
          <xdr:colOff>495300</xdr:colOff>
          <xdr:row>1</xdr:row>
          <xdr:rowOff>285750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Subscribe to Executions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600075</xdr:colOff>
          <xdr:row>1</xdr:row>
          <xdr:rowOff>85725</xdr:rowOff>
        </xdr:from>
        <xdr:to>
          <xdr:col>8</xdr:col>
          <xdr:colOff>819150</xdr:colOff>
          <xdr:row>1</xdr:row>
          <xdr:rowOff>285750</xdr:rowOff>
        </xdr:to>
        <xdr:sp macro="" textlink="">
          <xdr:nvSpPr>
            <xdr:cNvPr id="25602" name="Button 2" hidden="1">
              <a:extLst>
                <a:ext uri="{63B3BB69-23CF-44E3-9099-C40C66FF867C}">
                  <a14:compatExt spid="_x0000_s256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xdr:row>
          <xdr:rowOff>85725</xdr:rowOff>
        </xdr:from>
        <xdr:to>
          <xdr:col>5</xdr:col>
          <xdr:colOff>800100</xdr:colOff>
          <xdr:row>1</xdr:row>
          <xdr:rowOff>285750</xdr:rowOff>
        </xdr:to>
        <xdr:sp macro="" textlink="">
          <xdr:nvSpPr>
            <xdr:cNvPr id="25603" name="Button 3" hidden="1">
              <a:extLst>
                <a:ext uri="{63B3BB69-23CF-44E3-9099-C40C66FF867C}">
                  <a14:compatExt spid="_x0000_s256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Cancel Executions Subscription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xdr:row>
          <xdr:rowOff>85725</xdr:rowOff>
        </xdr:from>
        <xdr:to>
          <xdr:col>7</xdr:col>
          <xdr:colOff>390525</xdr:colOff>
          <xdr:row>1</xdr:row>
          <xdr:rowOff>285750</xdr:rowOff>
        </xdr:to>
        <xdr:sp macro="" textlink="">
          <xdr:nvSpPr>
            <xdr:cNvPr id="25604" name="Button 4" hidden="1">
              <a:extLst>
                <a:ext uri="{63B3BB69-23CF-44E3-9099-C40C66FF867C}">
                  <a14:compatExt spid="_x0000_s256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Clear Executions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3</xdr:row>
          <xdr:rowOff>9525</xdr:rowOff>
        </xdr:from>
        <xdr:to>
          <xdr:col>2</xdr:col>
          <xdr:colOff>676275</xdr:colOff>
          <xdr:row>4</xdr:row>
          <xdr:rowOff>142875</xdr:rowOff>
        </xdr:to>
        <xdr:sp macro="" textlink="">
          <xdr:nvSpPr>
            <xdr:cNvPr id="28679" name="Drop Down 7" hidden="1">
              <a:extLst>
                <a:ext uri="{63B3BB69-23CF-44E3-9099-C40C66FF867C}">
                  <a14:compatExt spid="_x0000_s28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2</xdr:row>
          <xdr:rowOff>57150</xdr:rowOff>
        </xdr:from>
        <xdr:to>
          <xdr:col>8</xdr:col>
          <xdr:colOff>1457325</xdr:colOff>
          <xdr:row>3</xdr:row>
          <xdr:rowOff>123825</xdr:rowOff>
        </xdr:to>
        <xdr:sp macro="" textlink="">
          <xdr:nvSpPr>
            <xdr:cNvPr id="28680" name="Button 8" hidden="1">
              <a:extLst>
                <a:ext uri="{63B3BB69-23CF-44E3-9099-C40C66FF867C}">
                  <a14:compatExt spid="_x0000_s286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Run Selected Query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1581150</xdr:colOff>
          <xdr:row>2</xdr:row>
          <xdr:rowOff>57150</xdr:rowOff>
        </xdr:from>
        <xdr:to>
          <xdr:col>9</xdr:col>
          <xdr:colOff>1219200</xdr:colOff>
          <xdr:row>3</xdr:row>
          <xdr:rowOff>133350</xdr:rowOff>
        </xdr:to>
        <xdr:sp macro="" textlink="">
          <xdr:nvSpPr>
            <xdr:cNvPr id="28681" name="Button 9" hidden="1">
              <a:extLst>
                <a:ext uri="{63B3BB69-23CF-44E3-9099-C40C66FF867C}">
                  <a14:compatExt spid="_x0000_s286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Clear Executions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1</xdr:row>
          <xdr:rowOff>57150</xdr:rowOff>
        </xdr:from>
        <xdr:to>
          <xdr:col>2</xdr:col>
          <xdr:colOff>533400</xdr:colOff>
          <xdr:row>2</xdr:row>
          <xdr:rowOff>95250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Subscribe to Account 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638175</xdr:colOff>
          <xdr:row>1</xdr:row>
          <xdr:rowOff>57150</xdr:rowOff>
        </xdr:from>
        <xdr:to>
          <xdr:col>5</xdr:col>
          <xdr:colOff>304800</xdr:colOff>
          <xdr:row>2</xdr:row>
          <xdr:rowOff>95250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Cancel Account Subscription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390525</xdr:colOff>
          <xdr:row>1</xdr:row>
          <xdr:rowOff>57150</xdr:rowOff>
        </xdr:from>
        <xdr:to>
          <xdr:col>6</xdr:col>
          <xdr:colOff>981075</xdr:colOff>
          <xdr:row>2</xdr:row>
          <xdr:rowOff>95250</xdr:rowOff>
        </xdr:to>
        <xdr:sp macro="" textlink="">
          <xdr:nvSpPr>
            <xdr:cNvPr id="26627" name="Button 3" hidden="1">
              <a:extLst>
                <a:ext uri="{63B3BB69-23CF-44E3-9099-C40C66FF867C}">
                  <a14:compatExt spid="_x0000_s266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Clear Account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28575</xdr:colOff>
          <xdr:row>1</xdr:row>
          <xdr:rowOff>57150</xdr:rowOff>
        </xdr:from>
        <xdr:to>
          <xdr:col>9</xdr:col>
          <xdr:colOff>981075</xdr:colOff>
          <xdr:row>2</xdr:row>
          <xdr:rowOff>95250</xdr:rowOff>
        </xdr:to>
        <xdr:sp macro="" textlink="">
          <xdr:nvSpPr>
            <xdr:cNvPr id="26628" name="Button 4" hidden="1">
              <a:extLst>
                <a:ext uri="{63B3BB69-23CF-44E3-9099-C40C66FF867C}">
                  <a14:compatExt spid="_x0000_s266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1066800</xdr:colOff>
          <xdr:row>1</xdr:row>
          <xdr:rowOff>57150</xdr:rowOff>
        </xdr:from>
        <xdr:to>
          <xdr:col>8</xdr:col>
          <xdr:colOff>904875</xdr:colOff>
          <xdr:row>2</xdr:row>
          <xdr:rowOff>95250</xdr:rowOff>
        </xdr:to>
        <xdr:sp macro="" textlink="">
          <xdr:nvSpPr>
            <xdr:cNvPr id="26629" name="Button 5" hidden="1">
              <a:extLst>
                <a:ext uri="{63B3BB69-23CF-44E3-9099-C40C66FF867C}">
                  <a14:compatExt spid="_x0000_s266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Request Managed Accounts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219075</xdr:colOff>
          <xdr:row>1</xdr:row>
          <xdr:rowOff>57150</xdr:rowOff>
        </xdr:from>
        <xdr:to>
          <xdr:col>1</xdr:col>
          <xdr:colOff>962025</xdr:colOff>
          <xdr:row>2</xdr:row>
          <xdr:rowOff>95250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Subscribe to Portfolio 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57150</xdr:rowOff>
        </xdr:from>
        <xdr:to>
          <xdr:col>4</xdr:col>
          <xdr:colOff>323850</xdr:colOff>
          <xdr:row>2</xdr:row>
          <xdr:rowOff>95250</xdr:rowOff>
        </xdr:to>
        <xdr:sp macro="" textlink="">
          <xdr:nvSpPr>
            <xdr:cNvPr id="27650" name="Button 2" hidden="1">
              <a:extLst>
                <a:ext uri="{63B3BB69-23CF-44E3-9099-C40C66FF867C}">
                  <a14:compatExt spid="_x0000_s276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Cancel Portfolio Subscription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638175</xdr:colOff>
          <xdr:row>1</xdr:row>
          <xdr:rowOff>57150</xdr:rowOff>
        </xdr:from>
        <xdr:to>
          <xdr:col>6</xdr:col>
          <xdr:colOff>466725</xdr:colOff>
          <xdr:row>2</xdr:row>
          <xdr:rowOff>95250</xdr:rowOff>
        </xdr:to>
        <xdr:sp macro="" textlink="">
          <xdr:nvSpPr>
            <xdr:cNvPr id="27651" name="Button 3" hidden="1">
              <a:extLst>
                <a:ext uri="{63B3BB69-23CF-44E3-9099-C40C66FF867C}">
                  <a14:compatExt spid="_x0000_s276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Clear Portfolio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790575</xdr:colOff>
          <xdr:row>1</xdr:row>
          <xdr:rowOff>57150</xdr:rowOff>
        </xdr:from>
        <xdr:to>
          <xdr:col>7</xdr:col>
          <xdr:colOff>628650</xdr:colOff>
          <xdr:row>2</xdr:row>
          <xdr:rowOff>95250</xdr:rowOff>
        </xdr:to>
        <xdr:sp macro="" textlink="">
          <xdr:nvSpPr>
            <xdr:cNvPr id="27652" name="Button 4" hidden="1">
              <a:extLst>
                <a:ext uri="{63B3BB69-23CF-44E3-9099-C40C66FF867C}">
                  <a14:compatExt spid="_x0000_s276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Errors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1</xdr:row>
          <xdr:rowOff>76200</xdr:rowOff>
        </xdr:from>
        <xdr:to>
          <xdr:col>1</xdr:col>
          <xdr:colOff>981075</xdr:colOff>
          <xdr:row>1</xdr:row>
          <xdr:rowOff>276225</xdr:rowOff>
        </xdr:to>
        <xdr:sp macro="" textlink="">
          <xdr:nvSpPr>
            <xdr:cNvPr id="23554" name="Button 2" hidden="1">
              <a:extLst>
                <a:ext uri="{63B3BB69-23CF-44E3-9099-C40C66FF867C}">
                  <a14:compatExt spid="_x0000_s235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Start Scanner Subscription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1333500</xdr:colOff>
          <xdr:row>1</xdr:row>
          <xdr:rowOff>76200</xdr:rowOff>
        </xdr:from>
        <xdr:to>
          <xdr:col>3</xdr:col>
          <xdr:colOff>590550</xdr:colOff>
          <xdr:row>1</xdr:row>
          <xdr:rowOff>276225</xdr:rowOff>
        </xdr:to>
        <xdr:sp macro="" textlink="">
          <xdr:nvSpPr>
            <xdr:cNvPr id="23556" name="Button 4" hidden="1">
              <a:extLst>
                <a:ext uri="{63B3BB69-23CF-44E3-9099-C40C66FF867C}">
                  <a14:compatExt spid="_x0000_s235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Cancel Scanner Subscription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952500</xdr:colOff>
          <xdr:row>1</xdr:row>
          <xdr:rowOff>85725</xdr:rowOff>
        </xdr:from>
        <xdr:to>
          <xdr:col>3</xdr:col>
          <xdr:colOff>1752600</xdr:colOff>
          <xdr:row>1</xdr:row>
          <xdr:rowOff>285750</xdr:rowOff>
        </xdr:to>
        <xdr:sp macro="" textlink="">
          <xdr:nvSpPr>
            <xdr:cNvPr id="23557" name="Button 5" hidden="1">
              <a:extLst>
                <a:ext uri="{63B3BB69-23CF-44E3-9099-C40C66FF867C}">
                  <a14:compatExt spid="_x0000_s235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Errors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200025</xdr:colOff>
          <xdr:row>1</xdr:row>
          <xdr:rowOff>66675</xdr:rowOff>
        </xdr:from>
        <xdr:to>
          <xdr:col>2</xdr:col>
          <xdr:colOff>742950</xdr:colOff>
          <xdr:row>1</xdr:row>
          <xdr:rowOff>266700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Request Bond Contract Details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xdr:row>
          <xdr:rowOff>66675</xdr:rowOff>
        </xdr:from>
        <xdr:to>
          <xdr:col>4</xdr:col>
          <xdr:colOff>266700</xdr:colOff>
          <xdr:row>1</xdr:row>
          <xdr:rowOff>266700</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Errors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161925</xdr:colOff>
          <xdr:row>1</xdr:row>
          <xdr:rowOff>66675</xdr:rowOff>
        </xdr:from>
        <xdr:to>
          <xdr:col>2</xdr:col>
          <xdr:colOff>523875</xdr:colOff>
          <xdr:row>1</xdr:row>
          <xdr:rowOff>266700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Request Market Depth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723900</xdr:colOff>
          <xdr:row>1</xdr:row>
          <xdr:rowOff>85725</xdr:rowOff>
        </xdr:from>
        <xdr:to>
          <xdr:col>10</xdr:col>
          <xdr:colOff>57150</xdr:colOff>
          <xdr:row>1</xdr:row>
          <xdr:rowOff>276225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323850</xdr:colOff>
          <xdr:row>1</xdr:row>
          <xdr:rowOff>76200</xdr:rowOff>
        </xdr:from>
        <xdr:to>
          <xdr:col>6</xdr:col>
          <xdr:colOff>76200</xdr:colOff>
          <xdr:row>1</xdr:row>
          <xdr:rowOff>276225</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Cancel Market Depth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561975</xdr:colOff>
          <xdr:row>1</xdr:row>
          <xdr:rowOff>76200</xdr:rowOff>
        </xdr:from>
        <xdr:to>
          <xdr:col>8</xdr:col>
          <xdr:colOff>352425</xdr:colOff>
          <xdr:row>1</xdr:row>
          <xdr:rowOff>276225</xdr:rowOff>
        </xdr:to>
        <xdr:sp macro="" textlink="">
          <xdr:nvSpPr>
            <xdr:cNvPr id="12319" name="Button 1055" hidden="1">
              <a:extLst>
                <a:ext uri="{63B3BB69-23CF-44E3-9099-C40C66FF867C}">
                  <a14:compatExt spid="_x0000_s123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Set Refresh Rate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1238250</xdr:colOff>
          <xdr:row>1</xdr:row>
          <xdr:rowOff>85725</xdr:rowOff>
        </xdr:from>
        <xdr:to>
          <xdr:col>2</xdr:col>
          <xdr:colOff>762000</xdr:colOff>
          <xdr:row>1</xdr:row>
          <xdr:rowOff>285750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Place / Modify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314325</xdr:colOff>
          <xdr:row>1</xdr:row>
          <xdr:rowOff>85725</xdr:rowOff>
        </xdr:from>
        <xdr:to>
          <xdr:col>5</xdr:col>
          <xdr:colOff>447675</xdr:colOff>
          <xdr:row>1</xdr:row>
          <xdr:rowOff>285750</xdr:rowOff>
        </xdr:to>
        <xdr:sp macro="" textlink="">
          <xdr:nvSpPr>
            <xdr:cNvPr id="30722" name="Button 2" hidden="1">
              <a:extLst>
                <a:ext uri="{63B3BB69-23CF-44E3-9099-C40C66FF867C}">
                  <a14:compatExt spid="_x0000_s307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Cancel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1</xdr:row>
          <xdr:rowOff>85725</xdr:rowOff>
        </xdr:from>
        <xdr:to>
          <xdr:col>9</xdr:col>
          <xdr:colOff>57150</xdr:colOff>
          <xdr:row>1</xdr:row>
          <xdr:rowOff>285750</xdr:rowOff>
        </xdr:to>
        <xdr:sp macro="" textlink="">
          <xdr:nvSpPr>
            <xdr:cNvPr id="30723" name="Button 3" hidden="1">
              <a:extLst>
                <a:ext uri="{63B3BB69-23CF-44E3-9099-C40C66FF867C}">
                  <a14:compatExt spid="_x0000_s307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Errors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1</xdr:row>
          <xdr:rowOff>85725</xdr:rowOff>
        </xdr:from>
        <xdr:to>
          <xdr:col>0</xdr:col>
          <xdr:colOff>1000125</xdr:colOff>
          <xdr:row>1</xdr:row>
          <xdr:rowOff>285750</xdr:rowOff>
        </xdr:to>
        <xdr:sp macro="" textlink="">
          <xdr:nvSpPr>
            <xdr:cNvPr id="30724" name="Button 4" hidden="1">
              <a:extLst>
                <a:ext uri="{63B3BB69-23CF-44E3-9099-C40C66FF867C}">
                  <a14:compatExt spid="_x0000_s307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Combo Legs...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1</xdr:row>
          <xdr:rowOff>85725</xdr:rowOff>
        </xdr:from>
        <xdr:to>
          <xdr:col>8</xdr:col>
          <xdr:colOff>133350</xdr:colOff>
          <xdr:row>1</xdr:row>
          <xdr:rowOff>285750</xdr:rowOff>
        </xdr:to>
        <xdr:sp macro="" textlink="">
          <xdr:nvSpPr>
            <xdr:cNvPr id="30725" name="Button 5" hidden="1">
              <a:extLst>
                <a:ext uri="{63B3BB69-23CF-44E3-9099-C40C66FF867C}">
                  <a14:compatExt spid="_x0000_s307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Apply Extended Template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200025</xdr:colOff>
          <xdr:row>1</xdr:row>
          <xdr:rowOff>66675</xdr:rowOff>
        </xdr:from>
        <xdr:to>
          <xdr:col>2</xdr:col>
          <xdr:colOff>561975</xdr:colOff>
          <xdr:row>1</xdr:row>
          <xdr:rowOff>276225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Request Executions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3</xdr:col>
          <xdr:colOff>180975</xdr:colOff>
          <xdr:row>1</xdr:row>
          <xdr:rowOff>95250</xdr:rowOff>
        </xdr:from>
        <xdr:ext cx="797719" cy="228600"/>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Show Errors</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xdr:row>
          <xdr:rowOff>66675</xdr:rowOff>
        </xdr:from>
        <xdr:to>
          <xdr:col>2</xdr:col>
          <xdr:colOff>561975</xdr:colOff>
          <xdr:row>1</xdr:row>
          <xdr:rowOff>276225</xdr:rowOff>
        </xdr:to>
        <xdr:sp macro="" textlink="">
          <xdr:nvSpPr>
            <xdr:cNvPr id="10243" name="Button 3"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Request Executions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3</xdr:col>
          <xdr:colOff>180975</xdr:colOff>
          <xdr:row>1</xdr:row>
          <xdr:rowOff>95250</xdr:rowOff>
        </xdr:from>
        <xdr:ext cx="797719" cy="228600"/>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Show Errors</a:t>
              </a:r>
            </a:p>
          </xdr:txBody>
        </xdr:sp>
        <xdr:clientData fPrintsWithSheet="0"/>
      </xdr:one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1</xdr:row>
          <xdr:rowOff>57150</xdr:rowOff>
        </xdr:from>
        <xdr:to>
          <xdr:col>2</xdr:col>
          <xdr:colOff>276225</xdr:colOff>
          <xdr:row>2</xdr:row>
          <xdr:rowOff>104775</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Req Account Value</a:t>
              </a:r>
            </a:p>
            <a:p>
              <a:pPr algn="ctr" rtl="0">
                <a:defRPr sz="1000"/>
              </a:pPr>
              <a:r>
                <a:rPr lang="en-GB" sz="1000" b="0" i="0" u="none" strike="noStrike" baseline="0">
                  <a:solidFill>
                    <a:srgbClr val="000000"/>
                  </a:solidFill>
                  <a:latin typeface="Arial"/>
                  <a:cs typeface="Arial"/>
                </a:rPr>
                <a:t>Req Account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xdr:row>
          <xdr:rowOff>47625</xdr:rowOff>
        </xdr:from>
        <xdr:to>
          <xdr:col>5</xdr:col>
          <xdr:colOff>247650</xdr:colOff>
          <xdr:row>2</xdr:row>
          <xdr:rowOff>95250</xdr:rowOff>
        </xdr:to>
        <xdr:sp macro="" textlink="">
          <xdr:nvSpPr>
            <xdr:cNvPr id="7176" name="Button 8" hidden="1">
              <a:extLst>
                <a:ext uri="{63B3BB69-23CF-44E3-9099-C40C66FF867C}">
                  <a14:compatExt spid="_x0000_s71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Req Portfolio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xdr:row>
          <xdr:rowOff>47625</xdr:rowOff>
        </xdr:from>
        <xdr:to>
          <xdr:col>7</xdr:col>
          <xdr:colOff>590550</xdr:colOff>
          <xdr:row>2</xdr:row>
          <xdr:rowOff>104775</xdr:rowOff>
        </xdr:to>
        <xdr:sp macro="" textlink="">
          <xdr:nvSpPr>
            <xdr:cNvPr id="7177" name="Button 9" hidden="1">
              <a:extLst>
                <a:ext uri="{63B3BB69-23CF-44E3-9099-C40C66FF867C}">
                  <a14:compatExt spid="_x0000_s71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Req Managed Accounts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228600</xdr:colOff>
          <xdr:row>1</xdr:row>
          <xdr:rowOff>38100</xdr:rowOff>
        </xdr:from>
        <xdr:to>
          <xdr:col>9</xdr:col>
          <xdr:colOff>514350</xdr:colOff>
          <xdr:row>2</xdr:row>
          <xdr:rowOff>114300</xdr:rowOff>
        </xdr:to>
        <xdr:sp macro="" textlink="">
          <xdr:nvSpPr>
            <xdr:cNvPr id="7178" name="Button 10" hidden="1">
              <a:extLst>
                <a:ext uri="{63B3BB69-23CF-44E3-9099-C40C66FF867C}">
                  <a14:compatExt spid="_x0000_s71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1</xdr:row>
          <xdr:rowOff>57150</xdr:rowOff>
        </xdr:from>
        <xdr:to>
          <xdr:col>2</xdr:col>
          <xdr:colOff>276225</xdr:colOff>
          <xdr:row>2</xdr:row>
          <xdr:rowOff>104775</xdr:rowOff>
        </xdr:to>
        <xdr:sp macro="" textlink="">
          <xdr:nvSpPr>
            <xdr:cNvPr id="7179" name="Button 11" hidden="1">
              <a:extLst>
                <a:ext uri="{63B3BB69-23CF-44E3-9099-C40C66FF867C}">
                  <a14:compatExt spid="_x0000_s71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Req Account Value</a:t>
              </a:r>
            </a:p>
            <a:p>
              <a:pPr algn="ctr" rtl="0">
                <a:defRPr sz="1000"/>
              </a:pPr>
              <a:r>
                <a:rPr lang="en-GB" sz="1000" b="0" i="0" u="none" strike="noStrike" baseline="0">
                  <a:solidFill>
                    <a:srgbClr val="000000"/>
                  </a:solidFill>
                  <a:latin typeface="Arial"/>
                  <a:cs typeface="Arial"/>
                </a:rPr>
                <a:t>Req Account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xdr:row>
          <xdr:rowOff>47625</xdr:rowOff>
        </xdr:from>
        <xdr:to>
          <xdr:col>5</xdr:col>
          <xdr:colOff>247650</xdr:colOff>
          <xdr:row>2</xdr:row>
          <xdr:rowOff>95250</xdr:rowOff>
        </xdr:to>
        <xdr:sp macro="" textlink="">
          <xdr:nvSpPr>
            <xdr:cNvPr id="7180" name="Button 12" hidden="1">
              <a:extLst>
                <a:ext uri="{63B3BB69-23CF-44E3-9099-C40C66FF867C}">
                  <a14:compatExt spid="_x0000_s71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Req Portfolio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xdr:row>
          <xdr:rowOff>47625</xdr:rowOff>
        </xdr:from>
        <xdr:to>
          <xdr:col>7</xdr:col>
          <xdr:colOff>590550</xdr:colOff>
          <xdr:row>2</xdr:row>
          <xdr:rowOff>104775</xdr:rowOff>
        </xdr:to>
        <xdr:sp macro="" textlink="">
          <xdr:nvSpPr>
            <xdr:cNvPr id="7181" name="Button 13" hidden="1">
              <a:extLst>
                <a:ext uri="{63B3BB69-23CF-44E3-9099-C40C66FF867C}">
                  <a14:compatExt spid="_x0000_s71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Req Managed Accounts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228600</xdr:colOff>
          <xdr:row>1</xdr:row>
          <xdr:rowOff>38100</xdr:rowOff>
        </xdr:from>
        <xdr:to>
          <xdr:col>9</xdr:col>
          <xdr:colOff>514350</xdr:colOff>
          <xdr:row>2</xdr:row>
          <xdr:rowOff>114300</xdr:rowOff>
        </xdr:to>
        <xdr:sp macro="" textlink="">
          <xdr:nvSpPr>
            <xdr:cNvPr id="7182" name="Button 14" hidden="1">
              <a:extLst>
                <a:ext uri="{63B3BB69-23CF-44E3-9099-C40C66FF867C}">
                  <a14:compatExt spid="_x0000_s71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Errors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200025</xdr:colOff>
          <xdr:row>1</xdr:row>
          <xdr:rowOff>85725</xdr:rowOff>
        </xdr:from>
        <xdr:to>
          <xdr:col>2</xdr:col>
          <xdr:colOff>342900</xdr:colOff>
          <xdr:row>1</xdr:row>
          <xdr:rowOff>285750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Request Contract Details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1</xdr:row>
          <xdr:rowOff>85725</xdr:rowOff>
        </xdr:from>
        <xdr:to>
          <xdr:col>4</xdr:col>
          <xdr:colOff>390525</xdr:colOff>
          <xdr:row>1</xdr:row>
          <xdr:rowOff>295275</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Errors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1</xdr:row>
          <xdr:rowOff>76200</xdr:rowOff>
        </xdr:from>
        <xdr:to>
          <xdr:col>0</xdr:col>
          <xdr:colOff>1066800</xdr:colOff>
          <xdr:row>1</xdr:row>
          <xdr:rowOff>276225</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Create Ticker…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1</xdr:row>
          <xdr:rowOff>76200</xdr:rowOff>
        </xdr:from>
        <xdr:to>
          <xdr:col>4</xdr:col>
          <xdr:colOff>552450</xdr:colOff>
          <xdr:row>1</xdr:row>
          <xdr:rowOff>276225</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Request Historical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xdr:row>
          <xdr:rowOff>76200</xdr:rowOff>
        </xdr:from>
        <xdr:to>
          <xdr:col>2</xdr:col>
          <xdr:colOff>247650</xdr:colOff>
          <xdr:row>1</xdr:row>
          <xdr:rowOff>276225</xdr:rowOff>
        </xdr:to>
        <xdr:sp macro="" textlink="">
          <xdr:nvSpPr>
            <xdr:cNvPr id="18437" name="Button 5" hidden="1">
              <a:extLst>
                <a:ext uri="{63B3BB69-23CF-44E3-9099-C40C66FF867C}">
                  <a14:compatExt spid="_x0000_s184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Combo Legs...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76200</xdr:rowOff>
        </xdr:from>
        <xdr:to>
          <xdr:col>8</xdr:col>
          <xdr:colOff>19050</xdr:colOff>
          <xdr:row>1</xdr:row>
          <xdr:rowOff>276225</xdr:rowOff>
        </xdr:to>
        <xdr:sp macro="" textlink="">
          <xdr:nvSpPr>
            <xdr:cNvPr id="18441" name="Button 9" hidden="1">
              <a:extLst>
                <a:ext uri="{63B3BB69-23CF-44E3-9099-C40C66FF867C}">
                  <a14:compatExt spid="_x0000_s184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Cancel Historical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342900</xdr:colOff>
          <xdr:row>1</xdr:row>
          <xdr:rowOff>76200</xdr:rowOff>
        </xdr:from>
        <xdr:to>
          <xdr:col>9</xdr:col>
          <xdr:colOff>38100</xdr:colOff>
          <xdr:row>1</xdr:row>
          <xdr:rowOff>276225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Errors</a:t>
              </a:r>
            </a:p>
          </xdr:txBody>
        </xdr:sp>
        <xdr:clientData fPrintsWithSheet="0"/>
      </xdr:twoCellAnchor>
    </mc:Choice>
    <mc:Fallback/>
  </mc:AlternateContent>
</xdr:wsDr>
</file>

<file path=xl/externalLinks/externalLink1.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Sgudny678" ddeTopic="tik">
    <ddeItems>
      <ddeItem name="id10?ask" advise="1">
        <values>
          <value>
            <val>43.08</val>
          </value>
        </values>
      </ddeItem>
      <ddeItem name="id10?askSize" advise="1">
        <values>
          <value>
            <val>5</val>
          </value>
        </values>
      </ddeItem>
      <ddeItem name="id10?bid" advise="1">
        <values>
          <value>
            <val>42.7</val>
          </value>
        </values>
      </ddeItem>
      <ddeItem name="id10?bidSize" advise="1">
        <values>
          <value>
            <val>16</val>
          </value>
        </values>
      </ddeItem>
      <ddeItem name="id10?close" advise="1">
        <values>
          <value>
            <val>42.75</val>
          </value>
        </values>
      </ddeItem>
      <ddeItem name="id10?high" advise="1">
        <values>
          <value>
            <val>43.1</val>
          </value>
        </values>
      </ddeItem>
      <ddeItem name="id10?last" advise="1">
        <values>
          <value>
            <val>42.93</val>
          </value>
        </values>
      </ddeItem>
      <ddeItem name="id10?lastSize" advise="1">
        <values>
          <value>
            <val>31</val>
          </value>
        </values>
      </ddeItem>
      <ddeItem name="id10?low" advise="1">
        <values>
          <value>
            <val>42.72</val>
          </value>
        </values>
      </ddeItem>
      <ddeItem name="id10?req?YHOO_STK_SMART_USD_~/" advise="1">
        <values>
          <value t="nil">
            <val>1</val>
          </value>
        </values>
      </ddeItem>
      <ddeItem name="id10?req2?ZM5_FUT_LIFFE_GBP_~/" advise="1">
        <values>
          <value t="nil">
            <val>1</val>
          </value>
        </values>
      </ddeItem>
      <ddeItem name="id10?volume" advise="1">
        <values>
          <value>
            <val>51328</val>
          </value>
        </values>
      </ddeItem>
      <ddeItem name="id11?ask" advise="1">
        <values>
          <value>
            <val>0</val>
          </value>
        </values>
      </ddeItem>
      <ddeItem name="id11?askSize" advise="1">
        <values>
          <value>
            <val>0</val>
          </value>
        </values>
      </ddeItem>
      <ddeItem name="id11?bid" advise="1">
        <values>
          <value>
            <val>0</val>
          </value>
        </values>
      </ddeItem>
      <ddeItem name="id11?bidSize" advise="1">
        <values>
          <value>
            <val>0</val>
          </value>
        </values>
      </ddeItem>
      <ddeItem name="id11?close" advise="1">
        <values>
          <value>
            <val>0</val>
          </value>
        </values>
      </ddeItem>
      <ddeItem name="id11?high" advise="1">
        <values>
          <value>
            <val>0</val>
          </value>
        </values>
      </ddeItem>
      <ddeItem name="id11?last" advise="1">
        <values>
          <value>
            <val>0</val>
          </value>
        </values>
      </ddeItem>
      <ddeItem name="id11?lastSize" advise="1">
        <values>
          <value>
            <val>0</val>
          </value>
        </values>
      </ddeItem>
      <ddeItem name="id11?low" advise="1">
        <values>
          <value>
            <val>0</val>
          </value>
        </values>
      </ddeItem>
      <ddeItem name="id11?req?GE_STK_SMART_USD_~/" advise="1">
        <values>
          <value t="nil">
            <val>1</val>
          </value>
        </values>
      </ddeItem>
      <ddeItem name="id11?req2?FSMIsingleSpaceMARsingleSpace15_FUT_SOFFEX_CHF_~/" advise="1">
        <values>
          <value t="nil">
            <val>1</val>
          </value>
        </values>
      </ddeItem>
      <ddeItem name="id11?volume" advise="1">
        <values>
          <value>
            <val>0</val>
          </value>
        </values>
      </ddeItem>
      <ddeItem name="id12?ask" advise="1">
        <values>
          <value>
            <val>0</val>
          </value>
        </values>
      </ddeItem>
      <ddeItem name="id12?askSize" advise="1">
        <values>
          <value>
            <val>0</val>
          </value>
        </values>
      </ddeItem>
      <ddeItem name="id12?bid" advise="1">
        <values>
          <value>
            <val>0</val>
          </value>
        </values>
      </ddeItem>
      <ddeItem name="id12?bidSize" advise="1">
        <values>
          <value>
            <val>0</val>
          </value>
        </values>
      </ddeItem>
      <ddeItem name="id12?close" advise="1">
        <values>
          <value>
            <val>0</val>
          </value>
        </values>
      </ddeItem>
      <ddeItem name="id12?high" advise="1">
        <values>
          <value>
            <val>0</val>
          </value>
        </values>
      </ddeItem>
      <ddeItem name="id12?last" advise="1">
        <values>
          <value>
            <val>0</val>
          </value>
        </values>
      </ddeItem>
      <ddeItem name="id12?lastSize" advise="1">
        <values>
          <value>
            <val>0</val>
          </value>
        </values>
      </ddeItem>
      <ddeItem name="id12?low" advise="1">
        <values>
          <value>
            <val>0</val>
          </value>
        </values>
      </ddeItem>
      <ddeItem name="id12?req?GOOG_STK_ISLAND_USD_~/" advise="1">
        <values>
          <value t="nil">
            <val>1</val>
          </value>
        </values>
      </ddeItem>
      <ddeItem name="id12?req2?FCEM6_FUT_MONEP_EUR_~/" advise="1">
        <values>
          <value t="nil">
            <val>1</val>
          </value>
        </values>
      </ddeItem>
      <ddeItem name="id12?volume" advise="1">
        <values>
          <value>
            <val>0</val>
          </value>
        </values>
      </ddeItem>
      <ddeItem name="id13?ask" advise="1">
        <values>
          <value>
            <val>0</val>
          </value>
        </values>
      </ddeItem>
      <ddeItem name="id13?askDelta" advise="1">
        <values>
          <value>
            <val>0</val>
          </value>
        </values>
      </ddeItem>
      <ddeItem name="id13?askImpliedVol" advise="1">
        <values>
          <value>
            <val>0</val>
          </value>
        </values>
      </ddeItem>
      <ddeItem name="id13?askSize" advise="1">
        <values>
          <value>
            <val>0</val>
          </value>
        </values>
      </ddeItem>
      <ddeItem name="id13?bid" advise="1">
        <values>
          <value>
            <val>0</val>
          </value>
        </values>
      </ddeItem>
      <ddeItem name="id13?bidDelta" advise="1">
        <values>
          <value>
            <val>0</val>
          </value>
        </values>
      </ddeItem>
      <ddeItem name="id13?bidImpliedVol" advise="1">
        <values>
          <value>
            <val>0</val>
          </value>
        </values>
      </ddeItem>
      <ddeItem name="id13?bidSize" advise="1">
        <values>
          <value>
            <val>0</val>
          </value>
        </values>
      </ddeItem>
      <ddeItem name="id13?close" advise="1">
        <values>
          <value>
            <val>0</val>
          </value>
        </values>
      </ddeItem>
      <ddeItem name="id13?high" advise="1">
        <values>
          <value>
            <val>0</val>
          </value>
        </values>
      </ddeItem>
      <ddeItem name="id13?last" advise="1">
        <values>
          <value>
            <val>0</val>
          </value>
        </values>
      </ddeItem>
      <ddeItem name="id13?lastDelta" advise="1">
        <values>
          <value>
            <val>0</val>
          </value>
        </values>
      </ddeItem>
      <ddeItem name="id13?lastImpliedVol" advise="1">
        <values>
          <value>
            <val>0</val>
          </value>
        </values>
      </ddeItem>
      <ddeItem name="id13?lastSize" advise="1">
        <values>
          <value>
            <val>0</val>
          </value>
        </values>
      </ddeItem>
      <ddeItem name="id13?low" advise="1">
        <values>
          <value>
            <val>0</val>
          </value>
        </values>
      </ddeItem>
      <ddeItem name="id13?modelDelta" advise="1">
        <values>
          <value>
            <val>0</val>
          </value>
        </values>
      </ddeItem>
      <ddeItem name="id13?modelGamma" advise="1">
        <values>
          <value>
            <val>0</val>
          </value>
        </values>
      </ddeItem>
      <ddeItem name="id13?modelPrice" advise="1">
        <values>
          <value>
            <val>0</val>
          </value>
        </values>
      </ddeItem>
      <ddeItem name="id13?modelTheta" advise="1">
        <values>
          <value>
            <val>0</val>
          </value>
        </values>
      </ddeItem>
      <ddeItem name="id13?modelUndPrice" advise="1">
        <values>
          <value>
            <val>0</val>
          </value>
        </values>
      </ddeItem>
      <ddeItem name="id13?modelVega" advise="1">
        <values>
          <value>
            <val>0</val>
          </value>
        </values>
      </ddeItem>
      <ddeItem name="id13?modelVolatility" advise="1">
        <values>
          <value>
            <val>0</val>
          </value>
        </values>
      </ddeItem>
      <ddeItem name="id13?pvDividend" advise="1">
        <values>
          <value>
            <val>0</val>
          </value>
        </values>
      </ddeItem>
      <ddeItem name="id13?req?GOOG_OPT_20160115_570_C_100_SMART_USD_~_~/" advise="1">
        <values>
          <value t="nil">
            <val>1</val>
          </value>
        </values>
      </ddeItem>
      <ddeItem name="id13?req?IBKR_STK_ISLAND_USD_~/" advise="1">
        <values>
          <value t="nil">
            <val>1</val>
          </value>
        </values>
      </ddeItem>
      <ddeItem name="id13?volume" advise="1">
        <values>
          <value>
            <val>0</val>
          </value>
        </values>
      </ddeItem>
      <ddeItem name="id14?ask" advise="1">
        <values>
          <value>
            <val>0</val>
          </value>
        </values>
      </ddeItem>
      <ddeItem name="id14?askDelta" advise="1">
        <values>
          <value>
            <val>0</val>
          </value>
        </values>
      </ddeItem>
      <ddeItem name="id14?askImpliedVol" advise="1">
        <values>
          <value>
            <val>0</val>
          </value>
        </values>
      </ddeItem>
      <ddeItem name="id14?askSize" advise="1">
        <values>
          <value>
            <val>0</val>
          </value>
        </values>
      </ddeItem>
      <ddeItem name="id14?bid" advise="1">
        <values>
          <value>
            <val>0</val>
          </value>
        </values>
      </ddeItem>
      <ddeItem name="id14?bidDelta" advise="1">
        <values>
          <value>
            <val>0</val>
          </value>
        </values>
      </ddeItem>
      <ddeItem name="id14?bidImpliedVol" advise="1">
        <values>
          <value>
            <val>0</val>
          </value>
        </values>
      </ddeItem>
      <ddeItem name="id14?bidSize" advise="1">
        <values>
          <value>
            <val>0</val>
          </value>
        </values>
      </ddeItem>
      <ddeItem name="id14?close" advise="1">
        <values>
          <value>
            <val>0</val>
          </value>
        </values>
      </ddeItem>
      <ddeItem name="id14?high" advise="1">
        <values>
          <value>
            <val>0</val>
          </value>
        </values>
      </ddeItem>
      <ddeItem name="id14?last" advise="1">
        <values>
          <value>
            <val>0</val>
          </value>
        </values>
      </ddeItem>
      <ddeItem name="id14?lastDelta" advise="1">
        <values>
          <value>
            <val>0</val>
          </value>
        </values>
      </ddeItem>
      <ddeItem name="id14?lastImpliedVol" advise="1">
        <values>
          <value>
            <val>0</val>
          </value>
        </values>
      </ddeItem>
      <ddeItem name="id14?lastSize" advise="1">
        <values>
          <value>
            <val>0</val>
          </value>
        </values>
      </ddeItem>
      <ddeItem name="id14?low" advise="1">
        <values>
          <value>
            <val>0</val>
          </value>
        </values>
      </ddeItem>
      <ddeItem name="id14?modelDelta" advise="1">
        <values>
          <value>
            <val>0</val>
          </value>
        </values>
      </ddeItem>
      <ddeItem name="id14?modelGamma" advise="1">
        <values>
          <value>
            <val>0</val>
          </value>
        </values>
      </ddeItem>
      <ddeItem name="id14?modelPrice" advise="1">
        <values>
          <value>
            <val>0</val>
          </value>
        </values>
      </ddeItem>
      <ddeItem name="id14?modelTheta" advise="1">
        <values>
          <value>
            <val>0</val>
          </value>
        </values>
      </ddeItem>
      <ddeItem name="id14?modelUndPrice" advise="1">
        <values>
          <value>
            <val>0</val>
          </value>
        </values>
      </ddeItem>
      <ddeItem name="id14?modelVega" advise="1">
        <values>
          <value>
            <val>0</val>
          </value>
        </values>
      </ddeItem>
      <ddeItem name="id14?modelVolatility" advise="1">
        <values>
          <value>
            <val>0</val>
          </value>
        </values>
      </ddeItem>
      <ddeItem name="id14?pvDividend" advise="1">
        <values>
          <value>
            <val>0</val>
          </value>
        </values>
      </ddeItem>
      <ddeItem name="id14?req?IBM_OPT_20160115_100_C_100_SMART_USD_~_~/" advise="1">
        <values>
          <value t="nil">
            <val>1</val>
          </value>
        </values>
      </ddeItem>
      <ddeItem name="id14?req?IBM_STK_NYSE_USD_~/" advise="1">
        <values>
          <value t="nil">
            <val>1</val>
          </value>
        </values>
      </ddeItem>
      <ddeItem name="id14?volume" advise="1">
        <values>
          <value>
            <val>0</val>
          </value>
        </values>
      </ddeItem>
      <ddeItem name="id15?ask" advise="1">
        <values>
          <value>
            <val>0</val>
          </value>
        </values>
      </ddeItem>
      <ddeItem name="id15?askDelta" advise="1">
        <values>
          <value>
            <val>0</val>
          </value>
        </values>
      </ddeItem>
      <ddeItem name="id15?askImpliedVol" advise="1">
        <values>
          <value>
            <val>0</val>
          </value>
        </values>
      </ddeItem>
      <ddeItem name="id15?askSize" advise="1">
        <values>
          <value>
            <val>0</val>
          </value>
        </values>
      </ddeItem>
      <ddeItem name="id15?bid" advise="1">
        <values>
          <value>
            <val>0</val>
          </value>
        </values>
      </ddeItem>
      <ddeItem name="id15?bidDelta" advise="1">
        <values>
          <value>
            <val>0</val>
          </value>
        </values>
      </ddeItem>
      <ddeItem name="id15?bidImpliedVol" advise="1">
        <values>
          <value>
            <val>0</val>
          </value>
        </values>
      </ddeItem>
      <ddeItem name="id15?bidSize" advise="1">
        <values>
          <value>
            <val>0</val>
          </value>
        </values>
      </ddeItem>
      <ddeItem name="id15?close" advise="1">
        <values>
          <value>
            <val>0</val>
          </value>
        </values>
      </ddeItem>
      <ddeItem name="id15?high" advise="1">
        <values>
          <value>
            <val>0</val>
          </value>
        </values>
      </ddeItem>
      <ddeItem name="id15?last" advise="1">
        <values>
          <value>
            <val>0</val>
          </value>
        </values>
      </ddeItem>
      <ddeItem name="id15?lastDelta" advise="1">
        <values>
          <value>
            <val>0</val>
          </value>
        </values>
      </ddeItem>
      <ddeItem name="id15?lastImpliedVol" advise="1">
        <values>
          <value>
            <val>0</val>
          </value>
        </values>
      </ddeItem>
      <ddeItem name="id15?lastSize" advise="1">
        <values>
          <value>
            <val>0</val>
          </value>
        </values>
      </ddeItem>
      <ddeItem name="id15?low" advise="1">
        <values>
          <value>
            <val>0</val>
          </value>
        </values>
      </ddeItem>
      <ddeItem name="id15?modelDelta" advise="1">
        <values>
          <value>
            <val>0</val>
          </value>
        </values>
      </ddeItem>
      <ddeItem name="id15?modelGamma" advise="1">
        <values>
          <value>
            <val>0</val>
          </value>
        </values>
      </ddeItem>
      <ddeItem name="id15?modelPrice" advise="1">
        <values>
          <value>
            <val>0</val>
          </value>
        </values>
      </ddeItem>
      <ddeItem name="id15?modelTheta" advise="1">
        <values>
          <value>
            <val>0</val>
          </value>
        </values>
      </ddeItem>
      <ddeItem name="id15?modelUndPrice" advise="1">
        <values>
          <value>
            <val>0</val>
          </value>
        </values>
      </ddeItem>
      <ddeItem name="id15?modelVega" advise="1">
        <values>
          <value>
            <val>0</val>
          </value>
        </values>
      </ddeItem>
      <ddeItem name="id15?modelVolatility" advise="1">
        <values>
          <value>
            <val>0</val>
          </value>
        </values>
      </ddeItem>
      <ddeItem name="id15?pvDividend" advise="1">
        <values>
          <value>
            <val>0</val>
          </value>
        </values>
      </ddeItem>
      <ddeItem name="id15?req?AAPL_OPT_20160115_100_P_100_AMEX_USD_~_~/" advise="1">
        <values>
          <value t="nil">
            <val>1</val>
          </value>
        </values>
      </ddeItem>
      <ddeItem name="id15?req?VOD_STK_LSE_GBP_~/" advise="1">
        <values>
          <value t="nil">
            <val>1</val>
          </value>
        </values>
      </ddeItem>
      <ddeItem name="id15?volume" advise="1">
        <values>
          <value>
            <val>0</val>
          </value>
        </values>
      </ddeItem>
      <ddeItem name="id16?ask" advise="1">
        <values>
          <value>
            <val>0</val>
          </value>
        </values>
      </ddeItem>
      <ddeItem name="id16?askDelta" advise="1">
        <values>
          <value>
            <val>0</val>
          </value>
        </values>
      </ddeItem>
      <ddeItem name="id16?askImpliedVol" advise="1">
        <values>
          <value>
            <val>0</val>
          </value>
        </values>
      </ddeItem>
      <ddeItem name="id16?askSize" advise="1">
        <values>
          <value>
            <val>0</val>
          </value>
        </values>
      </ddeItem>
      <ddeItem name="id16?bid" advise="1">
        <values>
          <value>
            <val>0</val>
          </value>
        </values>
      </ddeItem>
      <ddeItem name="id16?bidDelta" advise="1">
        <values>
          <value>
            <val>0</val>
          </value>
        </values>
      </ddeItem>
      <ddeItem name="id16?bidImpliedVol" advise="1">
        <values>
          <value>
            <val>0</val>
          </value>
        </values>
      </ddeItem>
      <ddeItem name="id16?bidSize" advise="1">
        <values>
          <value>
            <val>0</val>
          </value>
        </values>
      </ddeItem>
      <ddeItem name="id16?close" advise="1">
        <values>
          <value>
            <val>0</val>
          </value>
        </values>
      </ddeItem>
      <ddeItem name="id16?high" advise="1">
        <values>
          <value>
            <val>0</val>
          </value>
        </values>
      </ddeItem>
      <ddeItem name="id16?last" advise="1">
        <values>
          <value>
            <val>0</val>
          </value>
        </values>
      </ddeItem>
      <ddeItem name="id16?lastDelta" advise="1">
        <values>
          <value>
            <val>0</val>
          </value>
        </values>
      </ddeItem>
      <ddeItem name="id16?lastImpliedVol" advise="1">
        <values>
          <value>
            <val>0</val>
          </value>
        </values>
      </ddeItem>
      <ddeItem name="id16?lastSize" advise="1">
        <values>
          <value>
            <val>0</val>
          </value>
        </values>
      </ddeItem>
      <ddeItem name="id16?low" advise="1">
        <values>
          <value>
            <val>0</val>
          </value>
        </values>
      </ddeItem>
      <ddeItem name="id16?modelDelta" advise="1">
        <values>
          <value>
            <val>0</val>
          </value>
        </values>
      </ddeItem>
      <ddeItem name="id16?modelGamma" advise="1">
        <values>
          <value>
            <val>0</val>
          </value>
        </values>
      </ddeItem>
      <ddeItem name="id16?modelPrice" advise="1">
        <values>
          <value>
            <val>0</val>
          </value>
        </values>
      </ddeItem>
      <ddeItem name="id16?modelTheta" advise="1">
        <values>
          <value>
            <val>0</val>
          </value>
        </values>
      </ddeItem>
      <ddeItem name="id16?modelUndPrice" advise="1">
        <values>
          <value>
            <val>0</val>
          </value>
        </values>
      </ddeItem>
      <ddeItem name="id16?modelVega" advise="1">
        <values>
          <value>
            <val>0</val>
          </value>
        </values>
      </ddeItem>
      <ddeItem name="id16?modelVolatility" advise="1">
        <values>
          <value>
            <val>0</val>
          </value>
        </values>
      </ddeItem>
      <ddeItem name="id16?pvDividend" advise="1">
        <values>
          <value>
            <val>0</val>
          </value>
        </values>
      </ddeItem>
      <ddeItem name="id16?req?EUR_FOP_20150605_1.33_C_125000_GLOBEX_USD_~_XT/" advise="1">
        <values>
          <value t="nil">
            <val>1</val>
          </value>
        </values>
      </ddeItem>
      <ddeItem name="id16?volume" advise="1">
        <values>
          <value>
            <val>0</val>
          </value>
        </values>
      </ddeItem>
      <ddeItem name="id17?ask" advise="1">
        <values>
          <value>
            <val>0</val>
          </value>
        </values>
      </ddeItem>
      <ddeItem name="id17?askDelta" advise="1">
        <values>
          <value>
            <val>0</val>
          </value>
        </values>
      </ddeItem>
      <ddeItem name="id17?askImpliedVol" advise="1">
        <values>
          <value>
            <val>0</val>
          </value>
        </values>
      </ddeItem>
      <ddeItem name="id17?askSize" advise="1">
        <values>
          <value>
            <val>0</val>
          </value>
        </values>
      </ddeItem>
      <ddeItem name="id17?bid" advise="1">
        <values>
          <value>
            <val>0</val>
          </value>
        </values>
      </ddeItem>
      <ddeItem name="id17?bidDelta" advise="1">
        <values>
          <value>
            <val>0</val>
          </value>
        </values>
      </ddeItem>
      <ddeItem name="id17?bidImpliedVol" advise="1">
        <values>
          <value>
            <val>0</val>
          </value>
        </values>
      </ddeItem>
      <ddeItem name="id17?bidSize" advise="1">
        <values>
          <value>
            <val>0</val>
          </value>
        </values>
      </ddeItem>
      <ddeItem name="id17?close" advise="1">
        <values>
          <value>
            <val>0</val>
          </value>
        </values>
      </ddeItem>
      <ddeItem name="id17?high" advise="1">
        <values>
          <value>
            <val>0</val>
          </value>
        </values>
      </ddeItem>
      <ddeItem name="id17?last" advise="1">
        <values>
          <value>
            <val>0</val>
          </value>
        </values>
      </ddeItem>
      <ddeItem name="id17?lastDelta" advise="1">
        <values>
          <value>
            <val>0</val>
          </value>
        </values>
      </ddeItem>
      <ddeItem name="id17?lastImpliedVol" advise="1">
        <values>
          <value>
            <val>0</val>
          </value>
        </values>
      </ddeItem>
      <ddeItem name="id17?lastSize" advise="1">
        <values>
          <value>
            <val>0</val>
          </value>
        </values>
      </ddeItem>
      <ddeItem name="id17?low" advise="1">
        <values>
          <value>
            <val>0</val>
          </value>
        </values>
      </ddeItem>
      <ddeItem name="id17?modelDelta" advise="1">
        <values>
          <value>
            <val>0</val>
          </value>
        </values>
      </ddeItem>
      <ddeItem name="id17?modelGamma" advise="1">
        <values>
          <value>
            <val>0</val>
          </value>
        </values>
      </ddeItem>
      <ddeItem name="id17?modelPrice" advise="1">
        <values>
          <value>
            <val>0</val>
          </value>
        </values>
      </ddeItem>
      <ddeItem name="id17?modelTheta" advise="1">
        <values>
          <value>
            <val>0</val>
          </value>
        </values>
      </ddeItem>
      <ddeItem name="id17?modelUndPrice" advise="1">
        <values>
          <value>
            <val>0</val>
          </value>
        </values>
      </ddeItem>
      <ddeItem name="id17?modelVega" advise="1">
        <values>
          <value>
            <val>0</val>
          </value>
        </values>
      </ddeItem>
      <ddeItem name="id17?modelVolatility" advise="1">
        <values>
          <value>
            <val>0</val>
          </value>
        </values>
      </ddeItem>
      <ddeItem name="id17?pvDividend" advise="1">
        <values>
          <value>
            <val>0</val>
          </value>
        </values>
      </ddeItem>
      <ddeItem name="id17?req?ES_FOP_20150619_750_C_50_GLOBEX_USD_~_~/" advise="1">
        <values>
          <value t="nil">
            <val>1</val>
          </value>
        </values>
      </ddeItem>
      <ddeItem name="id17?volume" advise="1">
        <values>
          <value>
            <val>0</val>
          </value>
        </values>
      </ddeItem>
      <ddeItem name="id18?ask" advise="1">
        <values>
          <value>
            <val>0</val>
          </value>
        </values>
      </ddeItem>
      <ddeItem name="id18?askSize" advise="1">
        <values>
          <value>
            <val>0</val>
          </value>
        </values>
      </ddeItem>
      <ddeItem name="id18?bid" advise="1">
        <values>
          <value>
            <val>0</val>
          </value>
        </values>
      </ddeItem>
      <ddeItem name="id18?bidSize" advise="1">
        <values>
          <value>
            <val>0</val>
          </value>
        </values>
      </ddeItem>
      <ddeItem name="id18?close" advise="1">
        <values>
          <value>
            <val>0</val>
          </value>
        </values>
      </ddeItem>
      <ddeItem name="id18?high" advise="1">
        <values>
          <value>
            <val>0</val>
          </value>
        </values>
      </ddeItem>
      <ddeItem name="id18?last" advise="1">
        <values>
          <value>
            <val>0</val>
          </value>
        </values>
      </ddeItem>
      <ddeItem name="id18?lastSize" advise="1">
        <values>
          <value>
            <val>0</val>
          </value>
        </values>
      </ddeItem>
      <ddeItem name="id18?low" advise="1">
        <values>
          <value>
            <val>0</val>
          </value>
        </values>
      </ddeItem>
      <ddeItem name="id18?req?ES_IND_GLOBEX_USD_~/" advise="1">
        <values>
          <value t="nil">
            <val>1</val>
          </value>
        </values>
      </ddeItem>
      <ddeItem name="id18?volume" advise="1">
        <values>
          <value>
            <val>0</val>
          </value>
        </values>
      </ddeItem>
      <ddeItem name="id19?ask" advise="1">
        <values>
          <value>
            <val>0</val>
          </value>
        </values>
      </ddeItem>
      <ddeItem name="id19?askSize" advise="1">
        <values>
          <value>
            <val>0</val>
          </value>
        </values>
      </ddeItem>
      <ddeItem name="id19?bid" advise="1">
        <values>
          <value>
            <val>0</val>
          </value>
        </values>
      </ddeItem>
      <ddeItem name="id19?bidSize" advise="1">
        <values>
          <value>
            <val>0</val>
          </value>
        </values>
      </ddeItem>
      <ddeItem name="id19?close" advise="1">
        <values>
          <value>
            <val>0</val>
          </value>
        </values>
      </ddeItem>
      <ddeItem name="id19?high" advise="1">
        <values>
          <value>
            <val>0</val>
          </value>
        </values>
      </ddeItem>
      <ddeItem name="id19?last" advise="1">
        <values>
          <value>
            <val>0</val>
          </value>
        </values>
      </ddeItem>
      <ddeItem name="id19?lastSize" advise="1">
        <values>
          <value>
            <val>0</val>
          </value>
        </values>
      </ddeItem>
      <ddeItem name="id19?low" advise="1">
        <values>
          <value>
            <val>0</val>
          </value>
        </values>
      </ddeItem>
      <ddeItem name="id19?req?CAC40_IND_MONEP_EUR_~/" advise="1">
        <values>
          <value t="nil">
            <val>1</val>
          </value>
        </values>
      </ddeItem>
      <ddeItem name="id19?volume" advise="1">
        <values>
          <value>
            <val>0</val>
          </value>
        </values>
      </ddeItem>
      <ddeItem name="id20?ask" advise="1">
        <values>
          <value>
            <val>0</val>
          </value>
        </values>
      </ddeItem>
      <ddeItem name="id20?askSize" advise="1">
        <values>
          <value>
            <val>0</val>
          </value>
        </values>
      </ddeItem>
      <ddeItem name="id20?bid" advise="1">
        <values>
          <value>
            <val>0</val>
          </value>
        </values>
      </ddeItem>
      <ddeItem name="id20?bidSize" advise="1">
        <values>
          <value>
            <val>0</val>
          </value>
        </values>
      </ddeItem>
      <ddeItem name="id20?close" advise="1">
        <values>
          <value>
            <val>0</val>
          </value>
        </values>
      </ddeItem>
      <ddeItem name="id20?high" advise="1">
        <values>
          <value>
            <val>0</val>
          </value>
        </values>
      </ddeItem>
      <ddeItem name="id20?last" advise="1">
        <values>
          <value>
            <val>0</val>
          </value>
        </values>
      </ddeItem>
      <ddeItem name="id20?lastSize" advise="1">
        <values>
          <value>
            <val>0</val>
          </value>
        </values>
      </ddeItem>
      <ddeItem name="id20?low" advise="1">
        <values>
          <value>
            <val>0</val>
          </value>
        </values>
      </ddeItem>
      <ddeItem name="id20?req?USD_BAG_SMART_USD_CMBLGS_2_109385219_1_BUY_SMART_0_9408_1_SELL_SMART_0_CMBLGS_~/" advise="1">
        <values>
          <value t="nil">
            <val>1</val>
          </value>
        </values>
      </ddeItem>
      <ddeItem name="id20?volume" advise="1">
        <values>
          <value>
            <val>0</val>
          </value>
        </values>
      </ddeItem>
      <ddeItem name="id7?ask" advise="1">
        <values>
          <value>
            <val>0</val>
          </value>
        </values>
      </ddeItem>
      <ddeItem name="id7?askSize" advise="1">
        <values>
          <value>
            <val>0</val>
          </value>
        </values>
      </ddeItem>
      <ddeItem name="id7?bid" advise="1">
        <values>
          <value>
            <val>0</val>
          </value>
        </values>
      </ddeItem>
      <ddeItem name="id7?bidSize" advise="1">
        <values>
          <value>
            <val>0</val>
          </value>
        </values>
      </ddeItem>
      <ddeItem name="id7?close" advise="1">
        <values>
          <value>
            <val>0</val>
          </value>
        </values>
      </ddeItem>
      <ddeItem name="id7?high" advise="1">
        <values>
          <value>
            <val>0</val>
          </value>
        </values>
      </ddeItem>
      <ddeItem name="id7?last" advise="1">
        <values>
          <value>
            <val>0</val>
          </value>
        </values>
      </ddeItem>
      <ddeItem name="id7?lastSize" advise="1">
        <values>
          <value>
            <val>0</val>
          </value>
        </values>
      </ddeItem>
      <ddeItem name="id7?low" advise="1">
        <values>
          <value>
            <val>0</val>
          </value>
        </values>
      </ddeItem>
      <ddeItem name="id7?req?EUR_CASH_IDEALPRO_USD_~/" advise="1">
        <values>
          <value t="nil">
            <val>1</val>
          </value>
        </values>
      </ddeItem>
      <ddeItem name="id7?volume" advise="1">
        <values>
          <value>
            <val>0</val>
          </value>
        </values>
      </ddeItem>
      <ddeItem name="id8?ask" advise="1">
        <values>
          <value>
            <val>0</val>
          </value>
        </values>
      </ddeItem>
      <ddeItem name="id8?askSize" advise="1">
        <values>
          <value>
            <val>0</val>
          </value>
        </values>
      </ddeItem>
      <ddeItem name="id8?bid" advise="1">
        <values>
          <value>
            <val>0</val>
          </value>
        </values>
      </ddeItem>
      <ddeItem name="id8?bidSize" advise="1">
        <values>
          <value>
            <val>0</val>
          </value>
        </values>
      </ddeItem>
      <ddeItem name="id8?close" advise="1">
        <values>
          <value>
            <val>0</val>
          </value>
        </values>
      </ddeItem>
      <ddeItem name="id8?high" advise="1">
        <values>
          <value>
            <val>0</val>
          </value>
        </values>
      </ddeItem>
      <ddeItem name="id8?last" advise="1">
        <values>
          <value>
            <val>0</val>
          </value>
        </values>
      </ddeItem>
      <ddeItem name="id8?lastSize" advise="1">
        <values>
          <value>
            <val>0</val>
          </value>
        </values>
      </ddeItem>
      <ddeItem name="id8?low" advise="1">
        <values>
          <value>
            <val>0</val>
          </value>
        </values>
      </ddeItem>
      <ddeItem name="id8?req?EUR_CASH_IDEALPRO_GBP_~/" advise="1">
        <values>
          <value t="nil">
            <val>1</val>
          </value>
        </values>
      </ddeItem>
      <ddeItem name="id8?volume" advise="1">
        <values>
          <value>
            <val>0</val>
          </value>
        </values>
      </ddeItem>
      <ddeItem name="id9?ask" advise="1">
        <values>
          <value>
            <val>0</val>
          </value>
        </values>
      </ddeItem>
      <ddeItem name="id9?askSize" advise="1">
        <values>
          <value>
            <val>0</val>
          </value>
        </values>
      </ddeItem>
      <ddeItem name="id9?bid" advise="1">
        <values>
          <value>
            <val>0</val>
          </value>
        </values>
      </ddeItem>
      <ddeItem name="id9?bidSize" advise="1">
        <values>
          <value>
            <val>0</val>
          </value>
        </values>
      </ddeItem>
      <ddeItem name="id9?close" advise="1">
        <values>
          <value>
            <val>0</val>
          </value>
        </values>
      </ddeItem>
      <ddeItem name="id9?high" advise="1">
        <values>
          <value>
            <val>0</val>
          </value>
        </values>
      </ddeItem>
      <ddeItem name="id9?last" advise="1">
        <values>
          <value>
            <val>0</val>
          </value>
        </values>
      </ddeItem>
      <ddeItem name="id9?lastSize" advise="1">
        <values>
          <value>
            <val>0</val>
          </value>
        </values>
      </ddeItem>
      <ddeItem name="id9?low" advise="1">
        <values>
          <value>
            <val>0</val>
          </value>
        </values>
      </ddeItem>
      <ddeItem name="id9?req?MSFT_STK_SMART_USD_~/" advise="1">
        <values>
          <value t="nil">
            <val>1</val>
          </value>
        </values>
      </ddeItem>
      <ddeItem name="id9?req2?ESU5_FUT_GLOBEX_USD_~/" advise="1">
        <values>
          <value t="nil">
            <val>1</val>
          </value>
        </values>
      </ddeItem>
      <ddeItem name="id9?volume" advise="1">
        <values>
          <value>
            <val>0</val>
          </value>
        </values>
      </ddeItem>
      <ddeItem name="StdDocumentName" ole="1" advise="1"/>
    </ddeItems>
  </ddeLin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Sgudny678" ddeTopic="accts">
    <ddeItems>
      <ddeItem name="id0?req?U1558233" advise="1">
        <values>
          <value t="str">
            <val>PROCESSING</val>
          </value>
        </values>
      </ddeItem>
      <ddeItem name="StdDocumentName" ole="1" advise="1"/>
    </ddeItems>
  </ddeLin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Sgudny678" ddeTopic="acct">
    <ddeItems>
      <ddeItem name="id1?acctTime" advise="1">
        <values>
          <value t="nil">
            <val>1</val>
          </value>
        </values>
      </ddeItem>
      <ddeItem name="StdDocumentName" ole="1" advise="1"/>
    </ddeItems>
  </ddeLin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Sminzhu197" ddeTopic="FAaccts">
    <ddeItems>
      <ddeItem name="id1?req" advise="1"/>
      <ddeItem name="id1?value" advise="1"/>
      <ddeItem name="StdDocumentName" ole="1" advise="1"/>
    </ddeItems>
  </ddeLin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Sminzhu197" ddeTopic="err">
    <ddeItems>
      <ddeItem name="errorCode" advise="1"/>
      <ddeItem name="errorMsg" advise="1"/>
      <ddeItem name="id" advise="1"/>
      <ddeItem name="StdDocumentName" ole="1" advise="1"/>
    </ddeItems>
  </ddeLin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Sgudny678" ddeTopic="ports">
    <ddeItems>
      <ddeItem name="id0?req?U1558233" advise="1">
        <values>
          <value t="str">
            <val>PROCESSING</val>
          </value>
        </values>
      </ddeItem>
      <ddeItem name="StdDocumentName" ole="1" advise="1"/>
    </ddeItems>
  </ddeLin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S" ddeTopic="mktDepth">
    <ddeItems>
      <ddeItem name="id0?mktMaker?0_ASK" advise="1"/>
      <ddeItem name="id0?mktMaker?0_BID" advise="1"/>
      <ddeItem name="id0?mktMaker?1_ASK" advise="1"/>
      <ddeItem name="id0?mktMaker?1_BID" advise="1"/>
      <ddeItem name="id0?mktMaker?2_ASK" advise="1"/>
      <ddeItem name="id0?mktMaker?2_BID" advise="1"/>
      <ddeItem name="id0?mktMaker?3_ASK" advise="1"/>
      <ddeItem name="id0?mktMaker?3_BID" advise="1"/>
      <ddeItem name="id0?mktMaker?4_ASK" advise="1"/>
      <ddeItem name="id0?mktMaker?4_BID" advise="1"/>
      <ddeItem name="id0?mktMaker?5_ASK" advise="1"/>
      <ddeItem name="id0?mktMaker?5_BID" advise="1"/>
      <ddeItem name="id0?mktMaker?6_ASK" advise="1"/>
      <ddeItem name="id0?mktMaker?6_BID" advise="1"/>
      <ddeItem name="id0?mktMaker?7_ASK" advise="1"/>
      <ddeItem name="id0?mktMaker?7_BID" advise="1"/>
      <ddeItem name="id0?mktMaker?8_ASK" advise="1"/>
      <ddeItem name="id0?mktMaker?8_BID" advise="1"/>
      <ddeItem name="id0?mktMaker?9_ASK" advise="1"/>
      <ddeItem name="id0?mktMaker?9_BID" advise="1"/>
      <ddeItem name="id0?price?0_ASK" advise="1"/>
      <ddeItem name="id0?price?0_BID" advise="1"/>
      <ddeItem name="id0?price?1_ASK" advise="1"/>
      <ddeItem name="id0?price?1_BID" advise="1"/>
      <ddeItem name="id0?price?2_ASK" advise="1"/>
      <ddeItem name="id0?price?2_BID" advise="1"/>
      <ddeItem name="id0?price?3_ASK" advise="1"/>
      <ddeItem name="id0?price?3_BID" advise="1"/>
      <ddeItem name="id0?price?4_ASK" advise="1"/>
      <ddeItem name="id0?price?4_BID" advise="1"/>
      <ddeItem name="id0?price?5_ASK" advise="1"/>
      <ddeItem name="id0?price?5_BID" advise="1"/>
      <ddeItem name="id0?price?6_ASK" advise="1"/>
      <ddeItem name="id0?price?6_BID" advise="1"/>
      <ddeItem name="id0?price?7_ASK" advise="1"/>
      <ddeItem name="id0?price?7_BID" advise="1"/>
      <ddeItem name="id0?price?8_ASK" advise="1"/>
      <ddeItem name="id0?price?8_BID" advise="1"/>
      <ddeItem name="id0?price?9_ASK" advise="1"/>
      <ddeItem name="id0?price?9_BID" advise="1"/>
      <ddeItem name="id0?req?LASTsingleSpaceTRADEsingleSpaceDATE_STRIKE_MM_PRICE/?0" advise="1"/>
      <ddeItem name="id0?size?0_ASK" advise="1"/>
      <ddeItem name="id0?size?0_BID" advise="1"/>
      <ddeItem name="id0?size?1_ASK" advise="1"/>
      <ddeItem name="id0?size?1_BID" advise="1"/>
      <ddeItem name="id0?size?2_ASK" advise="1"/>
      <ddeItem name="id0?size?2_BID" advise="1"/>
      <ddeItem name="id0?size?3_ASK" advise="1"/>
      <ddeItem name="id0?size?3_BID" advise="1"/>
      <ddeItem name="id0?size?4_ASK" advise="1"/>
      <ddeItem name="id0?size?4_BID" advise="1"/>
      <ddeItem name="id0?size?5_ASK" advise="1"/>
      <ddeItem name="id0?size?5_BID" advise="1"/>
      <ddeItem name="id0?size?6_ASK" advise="1"/>
      <ddeItem name="id0?size?6_BID" advise="1"/>
      <ddeItem name="id0?size?7_ASK" advise="1"/>
      <ddeItem name="id0?size?7_BID" advise="1"/>
      <ddeItem name="id0?size?8_ASK" advise="1"/>
      <ddeItem name="id0?size?8_BID" advise="1"/>
      <ddeItem name="id0?size?9_ASK" advise="1"/>
      <ddeItem name="id0?size?9_BID" advise="1"/>
      <ddeItem name="StdDocumentName" ole="1" advise="1"/>
    </ddeItems>
  </ddeLin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Sgudny678" ddeTopic="err">
    <ddeItems>
      <ddeItem name="errorCode" advise="1">
        <values>
          <value>
            <val>200</val>
          </value>
        </values>
      </ddeItem>
      <ddeItem name="errorMsg" advise="1">
        <values>
          <value t="str">
            <val>No security definition has been found for the request</val>
          </value>
        </values>
      </ddeItem>
      <ddeItem name="id" advise="1">
        <values>
          <value>
            <val>720</val>
          </value>
        </values>
      </ddeItem>
      <ddeItem name="StdDocumentName" ole="1" advise="1"/>
    </ddeItems>
  </ddeLin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Sgudny678" ddeTopic="contract">
    <ddeItems>
      <ddeItem name="id0?conid" advise="1">
        <values>
          <value>
            <val>266630</val>
          </value>
        </values>
      </ddeItem>
      <ddeItem name="id0?marketName" advise="1">
        <values>
          <value t="str">
            <val>NMS</val>
          </value>
        </values>
      </ddeItem>
      <ddeItem name="id0?minTick" advise="1">
        <values>
          <value>
            <val>0.01</val>
          </value>
        </values>
      </ddeItem>
      <ddeItem name="id0?multiplier" advise="1">
        <values>
          <value t="nil">
            <val>1</val>
          </value>
        </values>
      </ddeItem>
      <ddeItem name="id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0?req?MSFT_STK_SMART_USD_~/" advise="1">
        <values>
          <value t="nil">
            <val>1</val>
          </value>
        </values>
      </ddeItem>
      <ddeItem name="id0?tradingClass" advise="1">
        <values>
          <value t="str">
            <val>NMS</val>
          </value>
        </values>
      </ddeItem>
      <ddeItem name="id0?validExchanges" advise="1">
        <values>
          <value t="str">
            <val>SMART,CBOE,ISE,CHX,ARCA,ISLAND,VWAP,DRCTEDGE,NSX,BEX,BATS,EDGEA,CSFBALGO,JEFFALGO,BYX,IEX,TPLUS2,PSX</val>
          </value>
        </values>
      </ddeItem>
      <ddeItem name="id10?conid" advise="1">
        <values>
          <value>
            <val>4493</val>
          </value>
        </values>
      </ddeItem>
      <ddeItem name="id10?marketName" advise="1">
        <values>
          <value t="str">
            <val>APH</val>
          </value>
        </values>
      </ddeItem>
      <ddeItem name="id10?minTick" advise="1">
        <values>
          <value>
            <val>0.01</val>
          </value>
        </values>
      </ddeItem>
      <ddeItem name="id10?multiplier" advise="1">
        <values>
          <value t="nil">
            <val>1</val>
          </value>
        </values>
      </ddeItem>
      <ddeItem name="id1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0?req?APH_STK_SMART_USD_~/" advise="1">
        <values>
          <value t="nil">
            <val>1</val>
          </value>
        </values>
      </ddeItem>
      <ddeItem name="id10?tradingClass" advise="1">
        <values>
          <value t="str">
            <val>APH</val>
          </value>
        </values>
      </ddeItem>
      <ddeItem name="id10?validExchanges" advise="1">
        <values>
          <value t="str">
            <val>SMART,NYSE,CBOE,ISE,CHX,ARCA,ISLAND,VWAP,DRCTEDGE,NSX,BEX,BATS,EDGEA,CSFBALGO,JEFFALGO,BYX,IEX,TPLUS2,PSX</val>
          </value>
        </values>
      </ddeItem>
      <ddeItem name="id100?conid" advise="1">
        <values>
          <value>
            <val>4815747</val>
          </value>
        </values>
      </ddeItem>
      <ddeItem name="id100?marketName" advise="1">
        <values>
          <value t="str">
            <val>NMS</val>
          </value>
        </values>
      </ddeItem>
      <ddeItem name="id100?minTick" advise="1">
        <values>
          <value>
            <val>0.01</val>
          </value>
        </values>
      </ddeItem>
      <ddeItem name="id100?multiplier" advise="1">
        <values>
          <value t="nil">
            <val>1</val>
          </value>
        </values>
      </ddeItem>
      <ddeItem name="id10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00?req?NVDA_STK_SMART_USD_~/" advise="1">
        <values>
          <value t="nil">
            <val>1</val>
          </value>
        </values>
      </ddeItem>
      <ddeItem name="id100?tradingClass" advise="1">
        <values>
          <value t="str">
            <val>NMS</val>
          </value>
        </values>
      </ddeItem>
      <ddeItem name="id100?validExchanges" advise="1">
        <values>
          <value t="str">
            <val>SMART,CBOE,ISE,CHX,ARCA,ISLAND,VWAP,DRCTEDGE,NSX,BEX,BATS,EDGEA,CSFBALGO,JEFFALGO,BYX,IEX,TPLUS2,PSX</val>
          </value>
        </values>
      </ddeItem>
      <ddeItem name="id101?conid" advise="1">
        <values>
          <value>
            <val>7516</val>
          </value>
        </values>
      </ddeItem>
      <ddeItem name="id101?marketName" advise="1">
        <values>
          <value t="str">
            <val>GE</val>
          </value>
        </values>
      </ddeItem>
      <ddeItem name="id101?minTick" advise="1">
        <values>
          <value>
            <val>0.01</val>
          </value>
        </values>
      </ddeItem>
      <ddeItem name="id101?multiplier" advise="1">
        <values>
          <value t="nil">
            <val>1</val>
          </value>
        </values>
      </ddeItem>
      <ddeItem name="id10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01?req?GE_STK_SMART_USD_~/" advise="1">
        <values>
          <value t="nil">
            <val>1</val>
          </value>
        </values>
      </ddeItem>
      <ddeItem name="id101?tradingClass" advise="1">
        <values>
          <value t="str">
            <val>GE</val>
          </value>
        </values>
      </ddeItem>
      <ddeItem name="id101?validExchanges" advise="1">
        <values>
          <value t="str">
            <val>SMART,NYSE,CBOE,ISE,CHX,ARCA,ISLAND,VWAP,DRCTEDGE,NSX,BEX,BATS,EDGEA,CSFBALGO,JEFFALGO,BYX,IEX,TPLUS2,PSX</val>
          </value>
        </values>
      </ddeItem>
      <ddeItem name="id102?conid" advise="1">
        <values>
          <value>
            <val>7867</val>
          </value>
        </values>
      </ddeItem>
      <ddeItem name="id102?marketName" advise="1">
        <values>
          <value t="str">
            <val>GWW</val>
          </value>
        </values>
      </ddeItem>
      <ddeItem name="id102?minTick" advise="1">
        <values>
          <value>
            <val>0.01</val>
          </value>
        </values>
      </ddeItem>
      <ddeItem name="id102?multiplier" advise="1">
        <values>
          <value t="nil">
            <val>1</val>
          </value>
        </values>
      </ddeItem>
      <ddeItem name="id10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02?req?GWW_STK_SMART_USD_~/" advise="1">
        <values>
          <value t="nil">
            <val>1</val>
          </value>
        </values>
      </ddeItem>
      <ddeItem name="id102?tradingClass" advise="1">
        <values>
          <value t="str">
            <val>GWW</val>
          </value>
        </values>
      </ddeItem>
      <ddeItem name="id102?validExchanges" advise="1">
        <values>
          <value t="str">
            <val>SMART,NYSE,CBOE,ISE,CHX,ARCA,ISLAND,VWAP,DRCTEDGE,NSX,BEX,BATS,EDGEA,CSFBALGO,JEFFALGO,BYX,IEX,TPLUS2,PSX</val>
          </value>
        </values>
      </ddeItem>
      <ddeItem name="id103?conid" advise="1">
        <values>
          <value>
            <val>7890</val>
          </value>
        </values>
      </ddeItem>
      <ddeItem name="id103?marketName" advise="1">
        <values>
          <value t="str">
            <val>HAL</val>
          </value>
        </values>
      </ddeItem>
      <ddeItem name="id103?minTick" advise="1">
        <values>
          <value>
            <val>0.01</val>
          </value>
        </values>
      </ddeItem>
      <ddeItem name="id103?multiplier" advise="1">
        <values>
          <value t="nil">
            <val>1</val>
          </value>
        </values>
      </ddeItem>
      <ddeItem name="id10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03?req?HAL_STK_SMART_USD_~/" advise="1">
        <values>
          <value t="nil">
            <val>1</val>
          </value>
        </values>
      </ddeItem>
      <ddeItem name="id103?tradingClass" advise="1">
        <values>
          <value t="str">
            <val>HAL</val>
          </value>
        </values>
      </ddeItem>
      <ddeItem name="id103?validExchanges" advise="1">
        <values>
          <value t="str">
            <val>SMART,NYSE,CBOE,ISE,CHX,ARCA,ISLAND,VWAP,DRCTEDGE,NSX,BEX,BATS,EDGEA,CSFBALGO,JEFFALGO,BYX,IEX,TPLUS2,PSX</val>
          </value>
        </values>
      </ddeItem>
      <ddeItem name="id104?conid" advise="1">
        <values>
          <value>
            <val>4627828</val>
          </value>
        </values>
      </ddeItem>
      <ddeItem name="id104?marketName" advise="1">
        <values>
          <value t="str">
            <val>GS</val>
          </value>
        </values>
      </ddeItem>
      <ddeItem name="id104?minTick" advise="1">
        <values>
          <value>
            <val>0.01</val>
          </value>
        </values>
      </ddeItem>
      <ddeItem name="id104?multiplier" advise="1">
        <values>
          <value t="nil">
            <val>1</val>
          </value>
        </values>
      </ddeItem>
      <ddeItem name="id10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04?req?GS_STK_SMART_USD_~/" advise="1">
        <values>
          <value t="nil">
            <val>1</val>
          </value>
        </values>
      </ddeItem>
      <ddeItem name="id104?tradingClass" advise="1">
        <values>
          <value t="str">
            <val>GS</val>
          </value>
        </values>
      </ddeItem>
      <ddeItem name="id104?validExchanges" advise="1">
        <values>
          <value t="str">
            <val>SMART,NYSE,CBOE,ISE,CHX,ARCA,ISLAND,VWAP,DRCTEDGE,NSX,BEX,BATS,EDGEA,CSFBALGO,JEFFALGO,BYX,IEX,TPLUS2,PSX</val>
          </value>
        </values>
      </ddeItem>
      <ddeItem name="id105?conid" advise="1">
        <values>
          <value>
            <val>7935</val>
          </value>
        </values>
      </ddeItem>
      <ddeItem name="id105?marketName" advise="1">
        <values>
          <value t="str">
            <val>HOG</val>
          </value>
        </values>
      </ddeItem>
      <ddeItem name="id105?minTick" advise="1">
        <values>
          <value>
            <val>0.01</val>
          </value>
        </values>
      </ddeItem>
      <ddeItem name="id105?multiplier" advise="1">
        <values>
          <value t="nil">
            <val>1</val>
          </value>
        </values>
      </ddeItem>
      <ddeItem name="id10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05?req?HOG_STK_SMART_USD_~/" advise="1">
        <values>
          <value t="nil">
            <val>1</val>
          </value>
        </values>
      </ddeItem>
      <ddeItem name="id105?tradingClass" advise="1">
        <values>
          <value t="str">
            <val>HOG</val>
          </value>
        </values>
      </ddeItem>
      <ddeItem name="id105?validExchanges" advise="1">
        <values>
          <value t="str">
            <val>SMART,NYSE,CBOE,ISE,CHX,ARCA,ISLAND,VWAP,DRCTEDGE,NSX,BEX,BATS,EDGEA,CSFBALGO,JEFFALGO,BYX,IEX,TPLUS2,PSX</val>
          </value>
        </values>
      </ddeItem>
      <ddeItem name="id106?conid" advise="1">
        <values>
          <value>
            <val>7896</val>
          </value>
        </values>
      </ddeItem>
      <ddeItem name="id106?marketName" advise="1">
        <values>
          <value t="str">
            <val>HAR</val>
          </value>
        </values>
      </ddeItem>
      <ddeItem name="id106?minTick" advise="1">
        <values>
          <value>
            <val>0.01</val>
          </value>
        </values>
      </ddeItem>
      <ddeItem name="id106?multiplier" advise="1">
        <values>
          <value t="nil">
            <val>1</val>
          </value>
        </values>
      </ddeItem>
      <ddeItem name="id10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06?req?HAR_STK_SMART_USD_~/" advise="1">
        <values>
          <value t="nil">
            <val>1</val>
          </value>
        </values>
      </ddeItem>
      <ddeItem name="id106?tradingClass" advise="1">
        <values>
          <value t="str">
            <val>HAR</val>
          </value>
        </values>
      </ddeItem>
      <ddeItem name="id106?validExchanges" advise="1">
        <values>
          <value t="str">
            <val>SMART,NYSE,CBOE,ISE,CHX,ARCA,ISLAND,VWAP,DRCTEDGE,NSX,BEX,BATS,EDGEA,CSFBALGO,JEFFALGO,BYX,IEX,TPLUS2,PSX</val>
          </value>
        </values>
      </ddeItem>
      <ddeItem name="id107?conid" advise="1">
        <values>
          <value>
            <val>8160</val>
          </value>
        </values>
      </ddeItem>
      <ddeItem name="id107?marketName" advise="1">
        <values>
          <value t="str">
            <val>HRS</val>
          </value>
        </values>
      </ddeItem>
      <ddeItem name="id107?minTick" advise="1">
        <values>
          <value>
            <val>0.01</val>
          </value>
        </values>
      </ddeItem>
      <ddeItem name="id107?multiplier" advise="1">
        <values>
          <value t="nil">
            <val>1</val>
          </value>
        </values>
      </ddeItem>
      <ddeItem name="id10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07?req?HRS_STK_SMART_USD_~/" advise="1">
        <values>
          <value t="nil">
            <val>1</val>
          </value>
        </values>
      </ddeItem>
      <ddeItem name="id107?tradingClass" advise="1">
        <values>
          <value t="str">
            <val>HRS</val>
          </value>
        </values>
      </ddeItem>
      <ddeItem name="id107?validExchanges" advise="1">
        <values>
          <value t="str">
            <val>SMART,NYSE,CBOE,ISE,CHX,ARCA,ISLAND,VWAP,DRCTEDGE,NSX,BEX,BATS,EDGEA,CSFBALGO,JEFFALGO,BYX,IEX,TPLUS2,PSX</val>
          </value>
        </values>
      </ddeItem>
      <ddeItem name="id108?conid" advise="1">
        <values>
          <value>
            <val>754956</val>
          </value>
        </values>
      </ddeItem>
      <ddeItem name="id108?marketName" advise="1">
        <values>
          <value t="str">
            <val>NMS</val>
          </value>
        </values>
      </ddeItem>
      <ddeItem name="id108?minTick" advise="1">
        <values>
          <value>
            <val>0.01</val>
          </value>
        </values>
      </ddeItem>
      <ddeItem name="id108?multiplier" advise="1">
        <values>
          <value t="nil">
            <val>1</val>
          </value>
        </values>
      </ddeItem>
      <ddeItem name="id10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08?req?HAS_STK_SMART_USD_~/" advise="1">
        <values>
          <value t="nil">
            <val>1</val>
          </value>
        </values>
      </ddeItem>
      <ddeItem name="id108?tradingClass" advise="1">
        <values>
          <value t="str">
            <val>NMS</val>
          </value>
        </values>
      </ddeItem>
      <ddeItem name="id108?validExchanges" advise="1">
        <values>
          <value t="str">
            <val>SMART,CBOE,ISE,CHX,ARCA,ISLAND,VWAP,DRCTEDGE,NSX,BEX,BATS,EDGEA,CSFBALGO,JEFFALGO,BYX,IEX,TPLUS2,PSX</val>
          </value>
        </values>
      </ddeItem>
      <ddeItem name="id109?conid" advise="1">
        <values>
          <value>
            <val>3655640</val>
          </value>
        </values>
      </ddeItem>
      <ddeItem name="id109?marketName" advise="1">
        <values>
          <value t="str">
            <val>NMS</val>
          </value>
        </values>
      </ddeItem>
      <ddeItem name="id109?minTick" advise="1">
        <values>
          <value>
            <val>0.01</val>
          </value>
        </values>
      </ddeItem>
      <ddeItem name="id109?multiplier" advise="1">
        <values>
          <value t="nil">
            <val>1</val>
          </value>
        </values>
      </ddeItem>
      <ddeItem name="id10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09?req?HSIC_STK_SMART_USD_~/" advise="1">
        <values>
          <value t="nil">
            <val>1</val>
          </value>
        </values>
      </ddeItem>
      <ddeItem name="id109?tradingClass" advise="1">
        <values>
          <value t="str">
            <val>NMS</val>
          </value>
        </values>
      </ddeItem>
      <ddeItem name="id109?validExchanges" advise="1">
        <values>
          <value t="str">
            <val>SMART,CBOE,ISE,CHX,ARCA,ISLAND,VWAP,DRCTEDGE,NSX,BEX,BATS,EDGEA,CSFBALGO,JEFFALGO,BYX,IEX,TPLUS2,PSX</val>
          </value>
        </values>
      </ddeItem>
      <ddeItem name="id11?conid" advise="1">
        <values>
          <value>
            <val>6608432</val>
          </value>
        </values>
      </ddeItem>
      <ddeItem name="id11?marketName" advise="1">
        <values>
          <value t="str">
            <val>PWR</val>
          </value>
        </values>
      </ddeItem>
      <ddeItem name="id11?minTick" advise="1">
        <values>
          <value>
            <val>0.01</val>
          </value>
        </values>
      </ddeItem>
      <ddeItem name="id11?multiplier" advise="1">
        <values>
          <value t="nil">
            <val>1</val>
          </value>
        </values>
      </ddeItem>
      <ddeItem name="id1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1?req?PWR_STK_SMART_USD_~/" advise="1">
        <values>
          <value t="nil">
            <val>1</val>
          </value>
        </values>
      </ddeItem>
      <ddeItem name="id11?tradingClass" advise="1">
        <values>
          <value t="str">
            <val>PWR</val>
          </value>
        </values>
      </ddeItem>
      <ddeItem name="id11?validExchanges" advise="1">
        <values>
          <value t="str">
            <val>SMART,NYSE,CBOE,ISE,CHX,ARCA,ISLAND,DRCTEDGE,NSX,BEX,BATS,EDGEA,CSFBALGO,JEFFALGO,BYX,IEX,TPLUS2,PSX</val>
          </value>
        </values>
      </ddeItem>
      <ddeItem name="id110?conid" advise="1">
        <values>
          <value>
            <val>46126937</val>
          </value>
        </values>
      </ddeItem>
      <ddeItem name="id110?marketName" advise="1">
        <values>
          <value t="str">
            <val>HCP</val>
          </value>
        </values>
      </ddeItem>
      <ddeItem name="id110?minTick" advise="1">
        <values>
          <value>
            <val>0.01</val>
          </value>
        </values>
      </ddeItem>
      <ddeItem name="id110?multiplier" advise="1">
        <values>
          <value t="nil">
            <val>1</val>
          </value>
        </values>
      </ddeItem>
      <ddeItem name="id11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10?req?HCP_STK_SMART_USD_~/" advise="1">
        <values>
          <value t="nil">
            <val>1</val>
          </value>
        </values>
      </ddeItem>
      <ddeItem name="id110?tradingClass" advise="1">
        <values>
          <value t="str">
            <val>HCP</val>
          </value>
        </values>
      </ddeItem>
      <ddeItem name="id110?validExchanges" advise="1">
        <values>
          <value t="str">
            <val>SMART,NYSE,CBOE,ISE,CHX,ARCA,ISLAND,DRCTEDGE,NSX,BEX,BATS,EDGEA,CSFBALGO,JEFFALGO,BYX,IEX,TPLUS2,PSX</val>
          </value>
        </values>
      </ddeItem>
      <ddeItem name="id111?conid" advise="1">
        <values>
          <value>
            <val>8097</val>
          </value>
        </values>
      </ddeItem>
      <ddeItem name="id111?marketName" advise="1">
        <values>
          <value t="str">
            <val>HP</val>
          </value>
        </values>
      </ddeItem>
      <ddeItem name="id111?minTick" advise="1">
        <values>
          <value>
            <val>0.01</val>
          </value>
        </values>
      </ddeItem>
      <ddeItem name="id111?multiplier" advise="1">
        <values>
          <value t="nil">
            <val>1</val>
          </value>
        </values>
      </ddeItem>
      <ddeItem name="id11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11?req?HP_STK_SMART_USD_~/" advise="1">
        <values>
          <value t="nil">
            <val>1</val>
          </value>
        </values>
      </ddeItem>
      <ddeItem name="id111?tradingClass" advise="1">
        <values>
          <value t="str">
            <val>HP</val>
          </value>
        </values>
      </ddeItem>
      <ddeItem name="id111?validExchanges" advise="1">
        <values>
          <value t="str">
            <val>SMART,NYSE,CBOE,ISE,CHX,ARCA,ISLAND,DRCTEDGE,NSX,BEX,BATS,EDGEA,CSFBALGO,JEFFALGO,BYX,IEX,TPLUS2,PSX</val>
          </value>
        </values>
      </ddeItem>
      <ddeItem name="id112?conid" advise="1">
        <values>
          <value>
            <val>8199</val>
          </value>
        </values>
      </ddeItem>
      <ddeItem name="id112?marketName" advise="1">
        <values>
          <value t="str">
            <val>HSY</val>
          </value>
        </values>
      </ddeItem>
      <ddeItem name="id112?minTick" advise="1">
        <values>
          <value>
            <val>0.01</val>
          </value>
        </values>
      </ddeItem>
      <ddeItem name="id112?multiplier" advise="1">
        <values>
          <value t="nil">
            <val>1</val>
          </value>
        </values>
      </ddeItem>
      <ddeItem name="id11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12?req?HSY_STK_SMART_USD_~/" advise="1">
        <values>
          <value t="nil">
            <val>1</val>
          </value>
        </values>
      </ddeItem>
      <ddeItem name="id112?tradingClass" advise="1">
        <values>
          <value t="str">
            <val>HSY</val>
          </value>
        </values>
      </ddeItem>
      <ddeItem name="id112?validExchanges" advise="1">
        <values>
          <value t="str">
            <val>SMART,NYSE,CBOE,ISE,CHX,ARCA,ISLAND,VWAP,DRCTEDGE,NSX,BEX,BATS,EDGEA,CSFBALGO,JEFFALGO,BYX,IEX,TPLUS2,PSX</val>
          </value>
        </values>
      </ddeItem>
      <ddeItem name="id113?conid" advise="1">
        <values>
          <value>
            <val>6248713</val>
          </value>
        </values>
      </ddeItem>
      <ddeItem name="id113?marketName" advise="1">
        <values>
          <value t="str">
            <val>NMS</val>
          </value>
        </values>
      </ddeItem>
      <ddeItem name="id113?minTick" advise="1">
        <values>
          <value>
            <val>0.01</val>
          </value>
        </values>
      </ddeItem>
      <ddeItem name="id113?multiplier" advise="1">
        <values>
          <value t="nil">
            <val>1</val>
          </value>
        </values>
      </ddeItem>
      <ddeItem name="id11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13?req?FFIV_STK_SMART_USD_~/" advise="1">
        <values>
          <value t="nil">
            <val>1</val>
          </value>
        </values>
      </ddeItem>
      <ddeItem name="id113?tradingClass" advise="1">
        <values>
          <value t="str">
            <val>NMS</val>
          </value>
        </values>
      </ddeItem>
      <ddeItem name="id113?validExchanges" advise="1">
        <values>
          <value t="str">
            <val>SMART,CBOE,ISE,CHX,ARCA,ISLAND,VWAP,DRCTEDGE,NSX,BEX,BATS,EDGEA,CSFBALGO,JEFFALGO,BYX,IEX,TPLUS2,PSX</val>
          </value>
        </values>
      </ddeItem>
      <ddeItem name="id114?conid" advise="1">
        <values>
          <value>
            <val>4740381</val>
          </value>
        </values>
      </ddeItem>
      <ddeItem name="id114?marketName" advise="1">
        <values>
          <value t="str">
            <val>RAI</val>
          </value>
        </values>
      </ddeItem>
      <ddeItem name="id114?minTick" advise="1">
        <values>
          <value>
            <val>0.01</val>
          </value>
        </values>
      </ddeItem>
      <ddeItem name="id114?multiplier" advise="1">
        <values>
          <value t="nil">
            <val>1</val>
          </value>
        </values>
      </ddeItem>
      <ddeItem name="id11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14?req?RAI_STK_SMART_USD_~/" advise="1">
        <values>
          <value t="nil">
            <val>1</val>
          </value>
        </values>
      </ddeItem>
      <ddeItem name="id114?tradingClass" advise="1">
        <values>
          <value t="str">
            <val>RAI</val>
          </value>
        </values>
      </ddeItem>
      <ddeItem name="id114?validExchanges" advise="1">
        <values>
          <value t="str">
            <val>SMART,NYSE,CBOE,ISE,CHX,ARCA,ISLAND,VWAP,DRCTEDGE,NSX,BEX,BATS,EDGEA,CSFBALGO,JEFFALGO,BYX,IEX,TPLUS2,PSX</val>
          </value>
        </values>
      </ddeItem>
      <ddeItem name="id115?conid" advise="1">
        <values>
          <value>
            <val>6248722</val>
          </value>
        </values>
      </ddeItem>
      <ddeItem name="id115?marketName" advise="1">
        <values>
          <value t="str">
            <val>JNPR</val>
          </value>
        </values>
      </ddeItem>
      <ddeItem name="id115?minTick" advise="1">
        <values>
          <value>
            <val>0.01</val>
          </value>
        </values>
      </ddeItem>
      <ddeItem name="id115?multiplier" advise="1">
        <values>
          <value t="nil">
            <val>1</val>
          </value>
        </values>
      </ddeItem>
      <ddeItem name="id11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15?req?JNPR_STK_SMART_USD_~/" advise="1">
        <values>
          <value t="nil">
            <val>1</val>
          </value>
        </values>
      </ddeItem>
      <ddeItem name="id115?tradingClass" advise="1">
        <values>
          <value t="str">
            <val>JNPR</val>
          </value>
        </values>
      </ddeItem>
      <ddeItem name="id115?validExchanges" advise="1">
        <values>
          <value t="str">
            <val>SMART,NYSE,CBOE,ISE,CHX,ARCA,ISLAND,VWAP,DRCTEDGE,NSX,BEX,BATS,EDGEA,CSFBALGO,JEFFALGO,BYX,IEX,TPLUS2,PSX</val>
          </value>
        </values>
      </ddeItem>
      <ddeItem name="id116?conid" advise="1">
        <values>
          <value>
            <val>13277</val>
          </value>
        </values>
      </ddeItem>
      <ddeItem name="id116?marketName" advise="1">
        <values>
          <value t="str">
            <val>UNM</val>
          </value>
        </values>
      </ddeItem>
      <ddeItem name="id116?minTick" advise="1">
        <values>
          <value>
            <val>0.01</val>
          </value>
        </values>
      </ddeItem>
      <ddeItem name="id116?multiplier" advise="1">
        <values>
          <value t="nil">
            <val>1</val>
          </value>
        </values>
      </ddeItem>
      <ddeItem name="id11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16?req?UNM_STK_SMART_USD_~/" advise="1">
        <values>
          <value t="nil">
            <val>1</val>
          </value>
        </values>
      </ddeItem>
      <ddeItem name="id116?tradingClass" advise="1">
        <values>
          <value t="str">
            <val>UNM</val>
          </value>
        </values>
      </ddeItem>
      <ddeItem name="id116?validExchanges" advise="1">
        <values>
          <value t="str">
            <val>SMART,NYSE,CBOE,ISE,CHX,ARCA,ISLAND,VWAP,DRCTEDGE,NSX,BEX,BATS,EDGEA,CSFBALGO,JEFFALGO,BYX,IEX,TPLUS2,PSX</val>
          </value>
        </values>
      </ddeItem>
      <ddeItem name="id117?conid" advise="1">
        <values>
          <value>
            <val>7930</val>
          </value>
        </values>
      </ddeItem>
      <ddeItem name="id117?marketName" advise="1">
        <values>
          <value t="str">
            <val>HD</val>
          </value>
        </values>
      </ddeItem>
      <ddeItem name="id117?minTick" advise="1">
        <values>
          <value>
            <val>0.01</val>
          </value>
        </values>
      </ddeItem>
      <ddeItem name="id117?multiplier" advise="1">
        <values>
          <value t="nil">
            <val>1</val>
          </value>
        </values>
      </ddeItem>
      <ddeItem name="id11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17?req?HD_STK_SMART_USD_~/" advise="1">
        <values>
          <value t="nil">
            <val>1</val>
          </value>
        </values>
      </ddeItem>
      <ddeItem name="id117?tradingClass" advise="1">
        <values>
          <value t="str">
            <val>HD</val>
          </value>
        </values>
      </ddeItem>
      <ddeItem name="id117?validExchanges" advise="1">
        <values>
          <value t="str">
            <val>SMART,NYSE,CBOE,ISE,CHX,ARCA,ISLAND,VWAP,DRCTEDGE,NSX,BEX,BATS,EDGEA,CSFBALGO,JEFFALGO,BYX,IEX,TPLUS2,PSX</val>
          </value>
        </values>
      </ddeItem>
      <ddeItem name="id118?conid" advise="1">
        <values>
          <value>
            <val>8153</val>
          </value>
        </values>
      </ddeItem>
      <ddeItem name="id118?marketName" advise="1">
        <values>
          <value t="str">
            <val>HRL</val>
          </value>
        </values>
      </ddeItem>
      <ddeItem name="id118?minTick" advise="1">
        <values>
          <value>
            <val>0.01</val>
          </value>
        </values>
      </ddeItem>
      <ddeItem name="id118?multiplier" advise="1">
        <values>
          <value t="nil">
            <val>1</val>
          </value>
        </values>
      </ddeItem>
      <ddeItem name="id11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18?req?HRL_STK_SMART_USD_~/" advise="1">
        <values>
          <value t="nil">
            <val>1</val>
          </value>
        </values>
      </ddeItem>
      <ddeItem name="id118?tradingClass" advise="1">
        <values>
          <value t="str">
            <val>HRL</val>
          </value>
        </values>
      </ddeItem>
      <ddeItem name="id118?validExchanges" advise="1">
        <values>
          <value t="str">
            <val>SMART,NYSE,CBOE,ISE,CHX,ARCA,ISLAND,VWAP,DRCTEDGE,NSX,BEX,BATS,EDGEA,CSFBALGO,JEFFALGO,BYX,IEX,TPLUS2,PSX</val>
          </value>
        </values>
      </ddeItem>
      <ddeItem name="id119?conid" advise="1">
        <values>
          <value>
            <val>8093</val>
          </value>
        </values>
      </ddeItem>
      <ddeItem name="id119?marketName" advise="1">
        <values>
          <value t="str">
            <val>CNP</val>
          </value>
        </values>
      </ddeItem>
      <ddeItem name="id119?minTick" advise="1">
        <values>
          <value>
            <val>0.01</val>
          </value>
        </values>
      </ddeItem>
      <ddeItem name="id119?multiplier" advise="1">
        <values>
          <value t="nil">
            <val>1</val>
          </value>
        </values>
      </ddeItem>
      <ddeItem name="id11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19?req?CNP_STK_SMART_USD_~/" advise="1">
        <values>
          <value t="nil">
            <val>1</val>
          </value>
        </values>
      </ddeItem>
      <ddeItem name="id119?tradingClass" advise="1">
        <values>
          <value t="str">
            <val>CNP</val>
          </value>
        </values>
      </ddeItem>
      <ddeItem name="id119?validExchanges" advise="1">
        <values>
          <value t="str">
            <val>SMART,NYSE,CBOE,ISE,CHX,ARCA,ISLAND,VWAP,DRCTEDGE,NSX,BEX,BATS,EDGEA,CSFBALGO,JEFFALGO,BYX,IEX,TPLUS2,PSX</val>
          </value>
        </values>
      </ddeItem>
      <ddeItem name="id12?conid" advise="1">
        <values>
          <value>
            <val>6150</val>
          </value>
        </values>
      </ddeItem>
      <ddeItem name="id12?marketName" advise="1">
        <values>
          <value t="str">
            <val>NMS</val>
          </value>
        </values>
      </ddeItem>
      <ddeItem name="id12?minTick" advise="1">
        <values>
          <value>
            <val>0.01</val>
          </value>
        </values>
      </ddeItem>
      <ddeItem name="id12?multiplier" advise="1">
        <values>
          <value t="nil">
            <val>1</val>
          </value>
        </values>
      </ddeItem>
      <ddeItem name="id1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2?req?CSX_STK_SMART_USD_~/" advise="1">
        <values>
          <value t="nil">
            <val>1</val>
          </value>
        </values>
      </ddeItem>
      <ddeItem name="id12?tradingClass" advise="1">
        <values>
          <value t="str">
            <val>NMS</val>
          </value>
        </values>
      </ddeItem>
      <ddeItem name="id12?validExchanges" advise="1">
        <values>
          <value t="str">
            <val>SMART,CBOE,ISE,CHX,ARCA,ISLAND,VWAP,DRCTEDGE,NSX,BEX,BATS,EDGEA,CSFBALGO,JEFFALGO,BYX,IEX,TPLUS2,PSX</val>
          </value>
        </values>
      </ddeItem>
      <ddeItem name="id120?conid" advise="1">
        <values>
          <value>
            <val>8251</val>
          </value>
        </values>
      </ddeItem>
      <ddeItem name="id120?marketName" advise="1">
        <values>
          <value t="str">
            <val>HUM</val>
          </value>
        </values>
      </ddeItem>
      <ddeItem name="id120?minTick" advise="1">
        <values>
          <value>
            <val>0.01</val>
          </value>
        </values>
      </ddeItem>
      <ddeItem name="id120?multiplier" advise="1">
        <values>
          <value t="nil">
            <val>1</val>
          </value>
        </values>
      </ddeItem>
      <ddeItem name="id12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20?req?HUM_STK_SMART_USD_~/" advise="1">
        <values>
          <value t="nil">
            <val>1</val>
          </value>
        </values>
      </ddeItem>
      <ddeItem name="id120?tradingClass" advise="1">
        <values>
          <value t="str">
            <val>HUM</val>
          </value>
        </values>
      </ddeItem>
      <ddeItem name="id120?validExchanges" advise="1">
        <values>
          <value t="str">
            <val>SMART,NYSE,CBOE,ISE,CHX,ARCA,ISLAND,VWAP,DRCTEDGE,NSX,BEX,BATS,EDGEA,CSFBALGO,JEFFALGO,BYX,IEX,TPLUS2,PSX</val>
          </value>
        </values>
      </ddeItem>
      <ddeItem name="id121?conid" advise="1">
        <values>
          <value>
            <val>270825</val>
          </value>
        </values>
      </ddeItem>
      <ddeItem name="id121?marketName" advise="1">
        <values>
          <value t="str">
            <val>NMS</val>
          </value>
        </values>
      </ddeItem>
      <ddeItem name="id121?minTick" advise="1">
        <values>
          <value>
            <val>0.01</val>
          </value>
        </values>
      </ddeItem>
      <ddeItem name="id121?multiplier" advise="1">
        <values>
          <value t="nil">
            <val>1</val>
          </value>
        </values>
      </ddeItem>
      <ddeItem name="id12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21?req?JBHT_STK_SMART_USD_~/" advise="1">
        <values>
          <value t="nil">
            <val>1</val>
          </value>
        </values>
      </ddeItem>
      <ddeItem name="id121?tradingClass" advise="1">
        <values>
          <value t="str">
            <val>NMS</val>
          </value>
        </values>
      </ddeItem>
      <ddeItem name="id121?validExchanges" advise="1">
        <values>
          <value t="str">
            <val>SMART,CBOE,ISE,CHX,ARCA,ISLAND,VWAP,DRCTEDGE,NSX,BEX,BATS,EDGEA,CSFBALGO,JEFFALGO,BYX,IEX,TPLUS2,PSX</val>
          </value>
        </values>
      </ddeItem>
      <ddeItem name="id122?conid" advise="1">
        <values>
          <value>
            <val>270018</val>
          </value>
        </values>
      </ddeItem>
      <ddeItem name="id122?marketName" advise="1">
        <values>
          <value t="str">
            <val>NMS</val>
          </value>
        </values>
      </ddeItem>
      <ddeItem name="id122?minTick" advise="1">
        <values>
          <value>
            <val>0.01</val>
          </value>
        </values>
      </ddeItem>
      <ddeItem name="id122?multiplier" advise="1">
        <values>
          <value t="nil">
            <val>1</val>
          </value>
        </values>
      </ddeItem>
      <ddeItem name="id12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22?req?HBAN_STK_SMART_USD_~/" advise="1">
        <values>
          <value t="nil">
            <val>1</val>
          </value>
        </values>
      </ddeItem>
      <ddeItem name="id122?tradingClass" advise="1">
        <values>
          <value t="str">
            <val>NMS</val>
          </value>
        </values>
      </ddeItem>
      <ddeItem name="id122?validExchanges" advise="1">
        <values>
          <value t="str">
            <val>SMART,CBOE,ISE,CHX,ARCA,ISLAND,VWAP,DRCTEDGE,NSX,BEX,BATS,EDGEA,CSFBALGO,JEFFALGO,BYX,IEX,TPLUS2,PSX</val>
          </value>
        </values>
      </ddeItem>
      <ddeItem name="id123?conid" advise="1">
        <values>
          <value>
            <val>5090107</val>
          </value>
        </values>
      </ddeItem>
      <ddeItem name="id123?marketName" advise="1">
        <values>
          <value t="str">
            <val>RHT</val>
          </value>
        </values>
      </ddeItem>
      <ddeItem name="id123?minTick" advise="1">
        <values>
          <value>
            <val>0.01</val>
          </value>
        </values>
      </ddeItem>
      <ddeItem name="id123?multiplier" advise="1">
        <values>
          <value t="nil">
            <val>1</val>
          </value>
        </values>
      </ddeItem>
      <ddeItem name="id12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23?req?RHT_STK_SMART_USD_~/" advise="1">
        <values>
          <value t="nil">
            <val>1</val>
          </value>
        </values>
      </ddeItem>
      <ddeItem name="id123?tradingClass" advise="1">
        <values>
          <value t="str">
            <val>RHT</val>
          </value>
        </values>
      </ddeItem>
      <ddeItem name="id123?validExchanges" advise="1">
        <values>
          <value t="str">
            <val>SMART,NYSE,CBOE,ISE,CHX,ARCA,ISLAND,VWAP,DRCTEDGE,NSX,BEX,BATS,EDGEA,CSFBALGO,JEFFALGO,BYX,IEX,TPLUS2,PSX</val>
          </value>
        </values>
      </ddeItem>
      <ddeItem name="id124?conid" advise="1">
        <values>
          <value>
            <val>26734397</val>
          </value>
        </values>
      </ddeItem>
      <ddeItem name="id124?marketName" advise="1">
        <values>
          <value t="str">
            <val>NMS</val>
          </value>
        </values>
      </ddeItem>
      <ddeItem name="id124?minTick" advise="1">
        <values>
          <value>
            <val>0.01</val>
          </value>
        </values>
      </ddeItem>
      <ddeItem name="id124?multiplier" advise="1">
        <values>
          <value t="nil">
            <val>1</val>
          </value>
        </values>
      </ddeItem>
      <ddeItem name="id12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24?req?BIIB_STK_SMART_USD_~/" advise="1">
        <values>
          <value t="nil">
            <val>1</val>
          </value>
        </values>
      </ddeItem>
      <ddeItem name="id124?tradingClass" advise="1">
        <values>
          <value t="str">
            <val>NMS</val>
          </value>
        </values>
      </ddeItem>
      <ddeItem name="id124?validExchanges" advise="1">
        <values>
          <value t="str">
            <val>SMART,CBOE,ISE,CHX,ARCA,ISLAND,VWAP,DRCTEDGE,NSX,BEX,BATS,EDGEA,CSFBALGO,JEFFALGO,BYX,IEX,TPLUS2,PSX</val>
          </value>
        </values>
      </ddeItem>
      <ddeItem name="id125?conid" advise="1">
        <values>
          <value>
            <val>8620</val>
          </value>
        </values>
      </ddeItem>
      <ddeItem name="id125?marketName" advise="1">
        <values>
          <value t="str">
            <val>ITW</val>
          </value>
        </values>
      </ddeItem>
      <ddeItem name="id125?minTick" advise="1">
        <values>
          <value>
            <val>0.01</val>
          </value>
        </values>
      </ddeItem>
      <ddeItem name="id125?multiplier" advise="1">
        <values>
          <value t="nil">
            <val>1</val>
          </value>
        </values>
      </ddeItem>
      <ddeItem name="id12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25?req?ITW_STK_SMART_USD_~/" advise="1">
        <values>
          <value t="nil">
            <val>1</val>
          </value>
        </values>
      </ddeItem>
      <ddeItem name="id125?tradingClass" advise="1">
        <values>
          <value t="str">
            <val>ITW</val>
          </value>
        </values>
      </ddeItem>
      <ddeItem name="id125?validExchanges" advise="1">
        <values>
          <value t="str">
            <val>SMART,NYSE,CBOE,ISE,CHX,ARCA,ISLAND,VWAP,DRCTEDGE,NSX,BEX,BATS,EDGEA,CSFBALGO,JEFFALGO,BYX,IEX,TPLUS2,PSX</val>
          </value>
        </values>
      </ddeItem>
      <ddeItem name="id126?conid" advise="1">
        <values>
          <value>
            <val>270662</val>
          </value>
        </values>
      </ddeItem>
      <ddeItem name="id126?marketName" advise="1">
        <values>
          <value t="str">
            <val>NMS</val>
          </value>
        </values>
      </ddeItem>
      <ddeItem name="id126?minTick" advise="1">
        <values>
          <value>
            <val>0.01</val>
          </value>
        </values>
      </ddeItem>
      <ddeItem name="id126?multiplier" advise="1">
        <values>
          <value t="nil">
            <val>1</val>
          </value>
        </values>
      </ddeItem>
      <ddeItem name="id12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26?req?INTU_STK_SMART_USD_~/" advise="1">
        <values>
          <value t="nil">
            <val>1</val>
          </value>
        </values>
      </ddeItem>
      <ddeItem name="id126?tradingClass" advise="1">
        <values>
          <value t="str">
            <val>NMS</val>
          </value>
        </values>
      </ddeItem>
      <ddeItem name="id126?validExchanges" advise="1">
        <values>
          <value t="str">
            <val>SMART,CBOE,ISE,CHX,ARCA,ISLAND,VWAP,DRCTEDGE,NSX,BEX,BATS,EDGEA,CSFBALGO,JEFFALGO,BYX,IEX,TPLUS2,PSX</val>
          </value>
        </values>
      </ddeItem>
      <ddeItem name="id127?conid" advise="1">
        <values>
          <value>
            <val>270639</val>
          </value>
        </values>
      </ddeItem>
      <ddeItem name="id127?marketName" advise="1">
        <values>
          <value t="str">
            <val>NMS</val>
          </value>
        </values>
      </ddeItem>
      <ddeItem name="id127?minTick" advise="1">
        <values>
          <value>
            <val>0.01</val>
          </value>
        </values>
      </ddeItem>
      <ddeItem name="id127?multiplier" advise="1">
        <values>
          <value t="nil">
            <val>1</val>
          </value>
        </values>
      </ddeItem>
      <ddeItem name="id12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27?req?INTC_STK_SMART_USD_~/" advise="1">
        <values>
          <value t="nil">
            <val>1</val>
          </value>
        </values>
      </ddeItem>
      <ddeItem name="id127?tradingClass" advise="1">
        <values>
          <value t="str">
            <val>NMS</val>
          </value>
        </values>
      </ddeItem>
      <ddeItem name="id127?validExchanges" advise="1">
        <values>
          <value t="str">
            <val>SMART,CBOE,ISE,CHX,ARCA,ISLAND,VWAP,DRCTEDGE,NSX,BEX,BATS,EDGEA,CSFBALGO,JEFFALGO,BYX,IEX,TPLUS2,PSX</val>
          </value>
        </values>
      </ddeItem>
      <ddeItem name="id128?conid" advise="1">
        <values>
          <value>
            <val>8385</val>
          </value>
        </values>
      </ddeItem>
      <ddeItem name="id128?marketName" advise="1">
        <values>
          <value t="str">
            <val>IFF</val>
          </value>
        </values>
      </ddeItem>
      <ddeItem name="id128?minTick" advise="1">
        <values>
          <value>
            <val>0.01</val>
          </value>
        </values>
      </ddeItem>
      <ddeItem name="id128?multiplier" advise="1">
        <values>
          <value t="nil">
            <val>1</val>
          </value>
        </values>
      </ddeItem>
      <ddeItem name="id12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28?req?IFF_STK_SMART_USD_~/" advise="1">
        <values>
          <value t="nil">
            <val>1</val>
          </value>
        </values>
      </ddeItem>
      <ddeItem name="id128?tradingClass" advise="1">
        <values>
          <value t="str">
            <val>IFF</val>
          </value>
        </values>
      </ddeItem>
      <ddeItem name="id128?validExchanges" advise="1">
        <values>
          <value t="str">
            <val>SMART,NYSE,CBOE,ISE,CHX,ARCA,ISLAND,VWAP,DRCTEDGE,NSX,BEX,BATS,EDGEA,CSFBALGO,JEFFALGO,BYX,IEX,TPLUS2,PSX</val>
          </value>
        </values>
      </ddeItem>
      <ddeItem name="id129?conid" advise="1">
        <values>
          <value>
            <val>8511</val>
          </value>
        </values>
      </ddeItem>
      <ddeItem name="id129?marketName" advise="1">
        <values>
          <value t="str">
            <val>IP</val>
          </value>
        </values>
      </ddeItem>
      <ddeItem name="id129?minTick" advise="1">
        <values>
          <value>
            <val>0.01</val>
          </value>
        </values>
      </ddeItem>
      <ddeItem name="id129?multiplier" advise="1">
        <values>
          <value t="nil">
            <val>1</val>
          </value>
        </values>
      </ddeItem>
      <ddeItem name="id12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29?req?IP_STK_SMART_USD_~/" advise="1">
        <values>
          <value t="nil">
            <val>1</val>
          </value>
        </values>
      </ddeItem>
      <ddeItem name="id129?tradingClass" advise="1">
        <values>
          <value t="str">
            <val>IP</val>
          </value>
        </values>
      </ddeItem>
      <ddeItem name="id129?validExchanges" advise="1">
        <values>
          <value t="str">
            <val>SMART,NYSE,CBOE,ISE,CHX,ARCA,ISLAND,VWAP,DRCTEDGE,NSX,BEX,BATS,EDGEA,CSFBALGO,JEFFALGO,BYX,IEX,TPLUS2,PSX</val>
          </value>
        </values>
      </ddeItem>
      <ddeItem name="id130?conid" advise="1">
        <values>
          <value>
            <val>8514</val>
          </value>
        </values>
      </ddeItem>
      <ddeItem name="id130?marketName" advise="1">
        <values>
          <value t="str">
            <val>IPG</val>
          </value>
        </values>
      </ddeItem>
      <ddeItem name="id130?minTick" advise="1">
        <values>
          <value>
            <val>0.01</val>
          </value>
        </values>
      </ddeItem>
      <ddeItem name="id130?multiplier" advise="1">
        <values>
          <value t="nil">
            <val>1</val>
          </value>
        </values>
      </ddeItem>
      <ddeItem name="id13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30?req?IPG_STK_SMART_USD_~/" advise="1">
        <values>
          <value t="nil">
            <val>1</val>
          </value>
        </values>
      </ddeItem>
      <ddeItem name="id130?tradingClass" advise="1">
        <values>
          <value t="str">
            <val>IPG</val>
          </value>
        </values>
      </ddeItem>
      <ddeItem name="id130?validExchanges" advise="1">
        <values>
          <value t="str">
            <val>SMART,NYSE,CBOE,ISE,CHX,ARCA,ISLAND,VWAP,DRCTEDGE,NSX,BEX,BATS,EDGEA,CSFBALGO,JEFFALGO,BYX,IEX,TPLUS2,PSX</val>
          </value>
        </values>
      </ddeItem>
      <ddeItem name="id131?conid" advise="1">
        <values>
          <value>
            <val>8660</val>
          </value>
        </values>
      </ddeItem>
      <ddeItem name="id131?marketName" advise="1">
        <values>
          <value t="str">
            <val>JEC</val>
          </value>
        </values>
      </ddeItem>
      <ddeItem name="id131?minTick" advise="1">
        <values>
          <value>
            <val>0.01</val>
          </value>
        </values>
      </ddeItem>
      <ddeItem name="id131?multiplier" advise="1">
        <values>
          <value t="nil">
            <val>1</val>
          </value>
        </values>
      </ddeItem>
      <ddeItem name="id13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31?req?JEC_STK_SMART_USD_~/" advise="1">
        <values>
          <value t="nil">
            <val>1</val>
          </value>
        </values>
      </ddeItem>
      <ddeItem name="id131?tradingClass" advise="1">
        <values>
          <value t="str">
            <val>JEC</val>
          </value>
        </values>
      </ddeItem>
      <ddeItem name="id131?validExchanges" advise="1">
        <values>
          <value t="str">
            <val>SMART,NYSE,CBOE,ISE,CHX,ARCA,ISLAND,DRCTEDGE,NSX,BEX,BATS,EDGEA,CSFBALGO,JEFFALGO,BYX,IEX,TPLUS2,PSX</val>
          </value>
        </values>
      </ddeItem>
      <ddeItem name="id132?conid" advise="1">
        <values>
          <value>
            <val>8719</val>
          </value>
        </values>
      </ddeItem>
      <ddeItem name="id132?marketName" advise="1">
        <values>
          <value t="str">
            <val>JNJ</val>
          </value>
        </values>
      </ddeItem>
      <ddeItem name="id132?minTick" advise="1">
        <values>
          <value>
            <val>0.01</val>
          </value>
        </values>
      </ddeItem>
      <ddeItem name="id132?multiplier" advise="1">
        <values>
          <value t="nil">
            <val>1</val>
          </value>
        </values>
      </ddeItem>
      <ddeItem name="id13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32?req?JNJ_STK_SMART_USD_~/" advise="1">
        <values>
          <value t="nil">
            <val>1</val>
          </value>
        </values>
      </ddeItem>
      <ddeItem name="id132?tradingClass" advise="1">
        <values>
          <value t="str">
            <val>JNJ</val>
          </value>
        </values>
      </ddeItem>
      <ddeItem name="id132?validExchanges" advise="1">
        <values>
          <value t="str">
            <val>SMART,NYSE,CBOE,ISE,CHX,ARCA,ISLAND,VWAP,DRCTEDGE,NSX,BEX,BATS,EDGEA,CSFBALGO,JEFFALGO,BYX,IEX,TPLUS2,PSX</val>
          </value>
        </values>
      </ddeItem>
      <ddeItem name="id133?conid" advise="1">
        <values>
          <value>
            <val>1217009</val>
          </value>
        </values>
      </ddeItem>
      <ddeItem name="id133?marketName" advise="1">
        <values>
          <value t="str">
            <val>HIG</val>
          </value>
        </values>
      </ddeItem>
      <ddeItem name="id133?minTick" advise="1">
        <values>
          <value>
            <val>0.01</val>
          </value>
        </values>
      </ddeItem>
      <ddeItem name="id133?multiplier" advise="1">
        <values>
          <value t="nil">
            <val>1</val>
          </value>
        </values>
      </ddeItem>
      <ddeItem name="id13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33?req?HIG_STK_SMART_USD_~/" advise="1">
        <values>
          <value t="nil">
            <val>1</val>
          </value>
        </values>
      </ddeItem>
      <ddeItem name="id133?tradingClass" advise="1">
        <values>
          <value t="str">
            <val>HIG</val>
          </value>
        </values>
      </ddeItem>
      <ddeItem name="id133?validExchanges" advise="1">
        <values>
          <value t="str">
            <val>SMART,NYSE,CBOE,ISE,CHX,ARCA,ISLAND,VWAP,DRCTEDGE,NSX,BEX,BATS,EDGEA,CSFBALGO,JEFFALGO,BYX,IEX,TPLUS2,PSX</val>
          </value>
        </values>
      </ddeItem>
      <ddeItem name="id134?conid" advise="1">
        <values>
          <value>
            <val>8650</val>
          </value>
        </values>
      </ddeItem>
      <ddeItem name="id134?marketName" advise="1">
        <values>
          <value t="str">
            <val>JCI</val>
          </value>
        </values>
      </ddeItem>
      <ddeItem name="id134?minTick" advise="1">
        <values>
          <value>
            <val>0.01</val>
          </value>
        </values>
      </ddeItem>
      <ddeItem name="id134?multiplier" advise="1">
        <values>
          <value t="nil">
            <val>1</val>
          </value>
        </values>
      </ddeItem>
      <ddeItem name="id13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34?req?JCI_STK_SMART_USD_~/" advise="1">
        <values>
          <value t="nil">
            <val>1</val>
          </value>
        </values>
      </ddeItem>
      <ddeItem name="id134?tradingClass" advise="1">
        <values>
          <value t="str">
            <val>JCI</val>
          </value>
        </values>
      </ddeItem>
      <ddeItem name="id134?validExchanges" advise="1">
        <values>
          <value t="str">
            <val>SMART,NYSE,CBOE,ISE,CHX,ARCA,ISLAND,VWAP,DRCTEDGE,NSX,BEX,BATS,EDGEA,CSFBALGO,JEFFALGO,BYX,IEX,TPLUS2,PSX</val>
          </value>
        </values>
      </ddeItem>
      <ddeItem name="id135?conid" advise="1">
        <values>
          <value>
            <val>270957</val>
          </value>
        </values>
      </ddeItem>
      <ddeItem name="id135?marketName" advise="1">
        <values>
          <value t="str">
            <val>NMS</val>
          </value>
        </values>
      </ddeItem>
      <ddeItem name="id135?minTick" advise="1">
        <values>
          <value>
            <val>0.01</val>
          </value>
        </values>
      </ddeItem>
      <ddeItem name="id135?multiplier" advise="1">
        <values>
          <value t="nil">
            <val>1</val>
          </value>
        </values>
      </ddeItem>
      <ddeItem name="id13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35?req?KLAC_STK_SMART_USD_~/" advise="1">
        <values>
          <value t="nil">
            <val>1</val>
          </value>
        </values>
      </ddeItem>
      <ddeItem name="id135?tradingClass" advise="1">
        <values>
          <value t="str">
            <val>NMS</val>
          </value>
        </values>
      </ddeItem>
      <ddeItem name="id135?validExchanges" advise="1">
        <values>
          <value t="str">
            <val>SMART,CBOE,ISE,CHX,ARCA,ISLAND,VWAP,DRCTEDGE,NSX,BEX,BATS,EDGEA,CSFBALGO,JEFFALGO,BYX,IEX,TPLUS2,PSX</val>
          </value>
        </values>
      </ddeItem>
      <ddeItem name="id136?conid" advise="1">
        <values>
          <value>
            <val>754442</val>
          </value>
        </values>
      </ddeItem>
      <ddeItem name="id136?marketName" advise="1">
        <values>
          <value t="str">
            <val>DVN</val>
          </value>
        </values>
      </ddeItem>
      <ddeItem name="id136?minTick" advise="1">
        <values>
          <value>
            <val>0.01</val>
          </value>
        </values>
      </ddeItem>
      <ddeItem name="id136?multiplier" advise="1">
        <values>
          <value t="nil">
            <val>1</val>
          </value>
        </values>
      </ddeItem>
      <ddeItem name="id13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36?req?DVN_STK_SMART_USD_~/" advise="1">
        <values>
          <value t="nil">
            <val>1</val>
          </value>
        </values>
      </ddeItem>
      <ddeItem name="id136?tradingClass" advise="1">
        <values>
          <value t="str">
            <val>DVN</val>
          </value>
        </values>
      </ddeItem>
      <ddeItem name="id136?validExchanges" advise="1">
        <values>
          <value t="str">
            <val>SMART,NYSE,CBOE,ISE,CHX,ARCA,ISLAND,VWAP,DRCTEDGE,NSX,BEX,BATS,EDGEA,CSFBALGO,JEFFALGO,BYX,IEX,TPLUS2,PSX</val>
          </value>
        </values>
      </ddeItem>
      <ddeItem name="id137?conid" advise="1">
        <values>
          <value>
            <val>8758</val>
          </value>
        </values>
      </ddeItem>
      <ddeItem name="id137?marketName" advise="1">
        <values>
          <value t="str">
            <val>K</val>
          </value>
        </values>
      </ddeItem>
      <ddeItem name="id137?minTick" advise="1">
        <values>
          <value>
            <val>0.01</val>
          </value>
        </values>
      </ddeItem>
      <ddeItem name="id137?multiplier" advise="1">
        <values>
          <value t="nil">
            <val>1</val>
          </value>
        </values>
      </ddeItem>
      <ddeItem name="id13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37?req?K_STK_SMART_USD_~/" advise="1">
        <values>
          <value t="nil">
            <val>1</val>
          </value>
        </values>
      </ddeItem>
      <ddeItem name="id137?tradingClass" advise="1">
        <values>
          <value t="str">
            <val>K</val>
          </value>
        </values>
      </ddeItem>
      <ddeItem name="id137?validExchanges" advise="1">
        <values>
          <value t="str">
            <val>SMART,NYSE,CBOE,ISE,CHX,ARCA,ISLAND,VWAP,DRCTEDGE,NSX,BEX,BATS,EDGEA,CSFBALGO,JEFFALGO,BYX,IEX,TPLUS2,PSX</val>
          </value>
        </values>
      </ddeItem>
      <ddeItem name="id138?conid" advise="1">
        <values>
          <value>
            <val>8809</val>
          </value>
        </values>
      </ddeItem>
      <ddeItem name="id138?marketName" advise="1">
        <values>
          <value t="str">
            <val>KEY</val>
          </value>
        </values>
      </ddeItem>
      <ddeItem name="id138?minTick" advise="1">
        <values>
          <value>
            <val>0.01</val>
          </value>
        </values>
      </ddeItem>
      <ddeItem name="id138?multiplier" advise="1">
        <values>
          <value t="nil">
            <val>1</val>
          </value>
        </values>
      </ddeItem>
      <ddeItem name="id13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38?req?KEY_STK_SMART_USD_~/" advise="1">
        <values>
          <value t="nil">
            <val>1</val>
          </value>
        </values>
      </ddeItem>
      <ddeItem name="id138?tradingClass" advise="1">
        <values>
          <value t="str">
            <val>KEY</val>
          </value>
        </values>
      </ddeItem>
      <ddeItem name="id138?validExchanges" advise="1">
        <values>
          <value t="str">
            <val>SMART,NYSE,CBOE,ISE,CHX,ARCA,ISLAND,VWAP,DRCTEDGE,NSX,BEX,BATS,EDGEA,CSFBALGO,JEFFALGO,BYX,IEX,TPLUS2,PSX</val>
          </value>
        </values>
      </ddeItem>
      <ddeItem name="id139?conid" advise="1">
        <values>
          <value>
            <val>8845</val>
          </value>
        </values>
      </ddeItem>
      <ddeItem name="id139?marketName" advise="1">
        <values>
          <value t="str">
            <val>KIM</val>
          </value>
        </values>
      </ddeItem>
      <ddeItem name="id139?minTick" advise="1">
        <values>
          <value>
            <val>0.01</val>
          </value>
        </values>
      </ddeItem>
      <ddeItem name="id139?multiplier" advise="1">
        <values>
          <value t="nil">
            <val>1</val>
          </value>
        </values>
      </ddeItem>
      <ddeItem name="id13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39?req?KIM_STK_SMART_USD_~/" advise="1">
        <values>
          <value t="nil">
            <val>1</val>
          </value>
        </values>
      </ddeItem>
      <ddeItem name="id139?tradingClass" advise="1">
        <values>
          <value t="str">
            <val>KIM</val>
          </value>
        </values>
      </ddeItem>
      <ddeItem name="id139?validExchanges" advise="1">
        <values>
          <value t="str">
            <val>SMART,NYSE,CBOE,ISE,CHX,ARCA,ISLAND,VWAP,DRCTEDGE,NSX,BEX,BATS,EDGEA,CSFBALGO,JEFFALGO,BYX,IEX,TPLUS2,PSX</val>
          </value>
        </values>
      </ddeItem>
      <ddeItem name="id140?conid" advise="1">
        <values>
          <value>
            <val>8864</val>
          </value>
        </values>
      </ddeItem>
      <ddeItem name="id140?marketName" advise="1">
        <values>
          <value t="str">
            <val>KMB</val>
          </value>
        </values>
      </ddeItem>
      <ddeItem name="id140?minTick" advise="1">
        <values>
          <value>
            <val>0.01</val>
          </value>
        </values>
      </ddeItem>
      <ddeItem name="id140?multiplier" advise="1">
        <values>
          <value t="nil">
            <val>1</val>
          </value>
        </values>
      </ddeItem>
      <ddeItem name="id14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40?req?KMB_STK_SMART_USD_~/" advise="1">
        <values>
          <value t="nil">
            <val>1</val>
          </value>
        </values>
      </ddeItem>
      <ddeItem name="id140?tradingClass" advise="1">
        <values>
          <value t="str">
            <val>KMB</val>
          </value>
        </values>
      </ddeItem>
      <ddeItem name="id140?validExchanges" advise="1">
        <values>
          <value t="str">
            <val>SMART,NYSE,CBOE,ISE,CHX,ARCA,ISLAND,VWAP,DRCTEDGE,NSX,BEX,BATS,EDGEA,CSFBALGO,JEFFALGO,BYX,IEX,TPLUS2,PSX</val>
          </value>
        </values>
      </ddeItem>
      <ddeItem name="id141?conid" advise="1">
        <values>
          <value>
            <val>5049</val>
          </value>
        </values>
      </ddeItem>
      <ddeItem name="id141?marketName" advise="1">
        <values>
          <value t="str">
            <val>BLK</val>
          </value>
        </values>
      </ddeItem>
      <ddeItem name="id141?minTick" advise="1">
        <values>
          <value>
            <val>0.01</val>
          </value>
        </values>
      </ddeItem>
      <ddeItem name="id141?multiplier" advise="1">
        <values>
          <value t="nil">
            <val>1</val>
          </value>
        </values>
      </ddeItem>
      <ddeItem name="id14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41?req?BLK_STK_SMART_USD_~/" advise="1">
        <values>
          <value t="nil">
            <val>1</val>
          </value>
        </values>
      </ddeItem>
      <ddeItem name="id141?tradingClass" advise="1">
        <values>
          <value t="str">
            <val>BLK</val>
          </value>
        </values>
      </ddeItem>
      <ddeItem name="id141?validExchanges" advise="1">
        <values>
          <value t="str">
            <val>SMART,NYSE,CBOE,ISE,CHX,ARCA,ISLAND,DRCTEDGE,NSX,BEX,BATS,EDGEA,CSFBALGO,JEFFALGO,BYX,IEX,TPLUS2,PSX</val>
          </value>
        </values>
      </ddeItem>
      <ddeItem name="id142?conid" advise="1">
        <values>
          <value>
            <val>8942</val>
          </value>
        </values>
      </ddeItem>
      <ddeItem name="id142?marketName" advise="1">
        <values>
          <value t="str">
            <val>KSS</val>
          </value>
        </values>
      </ddeItem>
      <ddeItem name="id142?minTick" advise="1">
        <values>
          <value>
            <val>0.01</val>
          </value>
        </values>
      </ddeItem>
      <ddeItem name="id142?multiplier" advise="1">
        <values>
          <value t="nil">
            <val>1</val>
          </value>
        </values>
      </ddeItem>
      <ddeItem name="id14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42?req?KSS_STK_SMART_USD_~/" advise="1">
        <values>
          <value t="nil">
            <val>1</val>
          </value>
        </values>
      </ddeItem>
      <ddeItem name="id142?tradingClass" advise="1">
        <values>
          <value t="str">
            <val>KSS</val>
          </value>
        </values>
      </ddeItem>
      <ddeItem name="id142?validExchanges" advise="1">
        <values>
          <value t="str">
            <val>SMART,NYSE,CBOE,ISE,CHX,ARCA,ISLAND,VWAP,DRCTEDGE,NSX,BEX,BATS,EDGEA,CSFBALGO,JEFFALGO,BYX,IEX,TPLUS2,PSX</val>
          </value>
        </values>
      </ddeItem>
      <ddeItem name="id143?conid" advise="1">
        <values>
          <value>
            <val>8908</val>
          </value>
        </values>
      </ddeItem>
      <ddeItem name="id143?marketName" advise="1">
        <values>
          <value t="str">
            <val>KR</val>
          </value>
        </values>
      </ddeItem>
      <ddeItem name="id143?minTick" advise="1">
        <values>
          <value>
            <val>0.01</val>
          </value>
        </values>
      </ddeItem>
      <ddeItem name="id143?multiplier" advise="1">
        <values>
          <value t="nil">
            <val>1</val>
          </value>
        </values>
      </ddeItem>
      <ddeItem name="id14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43?req?KR_STK_SMART_USD_~/" advise="1">
        <values>
          <value t="nil">
            <val>1</val>
          </value>
        </values>
      </ddeItem>
      <ddeItem name="id143?tradingClass" advise="1">
        <values>
          <value t="str">
            <val>KR</val>
          </value>
        </values>
      </ddeItem>
      <ddeItem name="id143?validExchanges" advise="1">
        <values>
          <value t="str">
            <val>SMART,NYSE,CBOE,ISE,CHX,ARCA,ISLAND,VWAP,DRCTEDGE,NSX,BEX,BATS,EDGEA,CSFBALGO,JEFFALGO,BYX,IEX,TPLUS2,PSX</val>
          </value>
        </values>
      </ddeItem>
      <ddeItem name="id144?conid" advise="1">
        <values>
          <value>
            <val>271308</val>
          </value>
        </values>
      </ddeItem>
      <ddeItem name="id144?marketName" advise="1">
        <values>
          <value t="str">
            <val>NMS</val>
          </value>
        </values>
      </ddeItem>
      <ddeItem name="id144?minTick" advise="1">
        <values>
          <value>
            <val>0.01</val>
          </value>
        </values>
      </ddeItem>
      <ddeItem name="id144?multiplier" advise="1">
        <values>
          <value t="nil">
            <val>1</val>
          </value>
        </values>
      </ddeItem>
      <ddeItem name="id14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44?req?LRCX_STK_SMART_USD_~/" advise="1">
        <values>
          <value t="nil">
            <val>1</val>
          </value>
        </values>
      </ddeItem>
      <ddeItem name="id144?tradingClass" advise="1">
        <values>
          <value t="str">
            <val>NMS</val>
          </value>
        </values>
      </ddeItem>
      <ddeItem name="id144?validExchanges" advise="1">
        <values>
          <value t="str">
            <val>SMART,CBOE,ISE,CHX,ARCA,ISLAND,VWAP,DRCTEDGE,NSX,BEX,BATS,EDGEA,CSFBALGO,JEFFALGO,BYX,IEX,TPLUS2,PSX</val>
          </value>
        </values>
      </ddeItem>
      <ddeItem name="id145?conid" advise="1">
        <values>
          <value>
            <val>6220356</val>
          </value>
        </values>
      </ddeItem>
      <ddeItem name="id145?marketName" advise="1">
        <values>
          <value t="str">
            <val>NMS</val>
          </value>
        </values>
      </ddeItem>
      <ddeItem name="id145?minTick" advise="1">
        <values>
          <value>
            <val>0.01</val>
          </value>
        </values>
      </ddeItem>
      <ddeItem name="id145?multiplier" advise="1">
        <values>
          <value t="nil">
            <val>1</val>
          </value>
        </values>
      </ddeItem>
      <ddeItem name="id14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45?req?AKAM_STK_SMART_USD_~/" advise="1">
        <values>
          <value t="nil">
            <val>1</val>
          </value>
        </values>
      </ddeItem>
      <ddeItem name="id145?tradingClass" advise="1">
        <values>
          <value t="str">
            <val>NMS</val>
          </value>
        </values>
      </ddeItem>
      <ddeItem name="id145?validExchanges" advise="1">
        <values>
          <value t="str">
            <val>SMART,CBOE,ISE,CHX,ARCA,ISLAND,VWAP,DRCTEDGE,NSX,BEX,BATS,EDGEA,CSFBALGO,JEFFALGO,BYX,IEX,TPLUS2,PSX</val>
          </value>
        </values>
      </ddeItem>
      <ddeItem name="id146?conid" advise="1">
        <values>
          <value>
            <val>9165</val>
          </value>
        </values>
      </ddeItem>
      <ddeItem name="id146?marketName" advise="1">
        <values>
          <value t="str">
            <val>LM</val>
          </value>
        </values>
      </ddeItem>
      <ddeItem name="id146?minTick" advise="1">
        <values>
          <value>
            <val>0.01</val>
          </value>
        </values>
      </ddeItem>
      <ddeItem name="id146?multiplier" advise="1">
        <values>
          <value t="nil">
            <val>1</val>
          </value>
        </values>
      </ddeItem>
      <ddeItem name="id14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46?req?LM_STK_SMART_USD_~/" advise="1">
        <values>
          <value t="nil">
            <val>1</val>
          </value>
        </values>
      </ddeItem>
      <ddeItem name="id146?tradingClass" advise="1">
        <values>
          <value t="str">
            <val>LM</val>
          </value>
        </values>
      </ddeItem>
      <ddeItem name="id146?validExchanges" advise="1">
        <values>
          <value t="str">
            <val>SMART,NYSE,CBOE,ISE,CHX,ARCA,ISLAND,VWAP,DRCTEDGE,NSX,BEX,BATS,EDGEA,CSFBALGO,JEFFALGO,BYX,IEX,TPLUS2,PSX</val>
          </value>
        </values>
      </ddeItem>
      <ddeItem name="id147?conid" advise="1">
        <values>
          <value>
            <val>9081</val>
          </value>
        </values>
      </ddeItem>
      <ddeItem name="id147?marketName" advise="1">
        <values>
          <value t="str">
            <val>LEG</val>
          </value>
        </values>
      </ddeItem>
      <ddeItem name="id147?minTick" advise="1">
        <values>
          <value>
            <val>0.01</val>
          </value>
        </values>
      </ddeItem>
      <ddeItem name="id147?multiplier" advise="1">
        <values>
          <value t="nil">
            <val>1</val>
          </value>
        </values>
      </ddeItem>
      <ddeItem name="id14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47?req?LEG_STK_SMART_USD_~/" advise="1">
        <values>
          <value t="nil">
            <val>1</val>
          </value>
        </values>
      </ddeItem>
      <ddeItem name="id147?tradingClass" advise="1">
        <values>
          <value t="str">
            <val>LEG</val>
          </value>
        </values>
      </ddeItem>
      <ddeItem name="id147?validExchanges" advise="1">
        <values>
          <value t="str">
            <val>SMART,NYSE,CBOE,ISE,CHX,ARCA,ISLAND,VWAP,DRCTEDGE,NSX,BEX,BATS,EDGEA,CSFBALGO,JEFFALGO,BYX,IEX,TPLUS2,PSX</val>
          </value>
        </values>
      </ddeItem>
      <ddeItem name="id148?conid" advise="1">
        <values>
          <value>
            <val>9091</val>
          </value>
        </values>
      </ddeItem>
      <ddeItem name="id148?marketName" advise="1">
        <values>
          <value t="str">
            <val>LEN</val>
          </value>
        </values>
      </ddeItem>
      <ddeItem name="id148?minTick" advise="1">
        <values>
          <value>
            <val>0.01</val>
          </value>
        </values>
      </ddeItem>
      <ddeItem name="id148?multiplier" advise="1">
        <values>
          <value t="nil">
            <val>1</val>
          </value>
        </values>
      </ddeItem>
      <ddeItem name="id14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48?req?LEN_STK_SMART_USD_~/" advise="1">
        <values>
          <value t="nil">
            <val>1</val>
          </value>
        </values>
      </ddeItem>
      <ddeItem name="id148?tradingClass" advise="1">
        <values>
          <value t="str">
            <val>LEN</val>
          </value>
        </values>
      </ddeItem>
      <ddeItem name="id148?validExchanges" advise="1">
        <values>
          <value t="str">
            <val>SMART,NYSE,CBOE,ISE,CHX,ARCA,ISLAND,VWAP,DRCTEDGE,NSX,BEX,BATS,EDGEA,CSFBALGO,JEFFALGO,BYX,IEX,TPLUS2,PSX</val>
          </value>
        </values>
      </ddeItem>
      <ddeItem name="id149?conid" advise="1">
        <values>
          <value>
            <val>9274</val>
          </value>
        </values>
      </ddeItem>
      <ddeItem name="id149?marketName" advise="1">
        <values>
          <value t="str">
            <val>LUK</val>
          </value>
        </values>
      </ddeItem>
      <ddeItem name="id149?minTick" advise="1">
        <values>
          <value>
            <val>0.01</val>
          </value>
        </values>
      </ddeItem>
      <ddeItem name="id149?multiplier" advise="1">
        <values>
          <value t="nil">
            <val>1</val>
          </value>
        </values>
      </ddeItem>
      <ddeItem name="id14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49?req?LUK_STK_SMART_USD_~/" advise="1">
        <values>
          <value t="nil">
            <val>1</val>
          </value>
        </values>
      </ddeItem>
      <ddeItem name="id149?tradingClass" advise="1">
        <values>
          <value t="str">
            <val>LUK</val>
          </value>
        </values>
      </ddeItem>
      <ddeItem name="id149?validExchanges" advise="1">
        <values>
          <value t="str">
            <val>SMART,NYSE,CBOE,ISE,CHX,ARCA,ISLAND,DRCTEDGE,NSX,BEX,BATS,EDGEA,CSFBALGO,JEFFALGO,BYX,IEX,TPLUS2,PSX</val>
          </value>
        </values>
      </ddeItem>
      <ddeItem name="id15?conid" advise="1">
        <values>
          <value>
            <val>5980</val>
          </value>
        </values>
      </ddeItem>
      <ddeItem name="id15?marketName" advise="1">
        <values>
          <value t="str">
            <val>CPB</val>
          </value>
        </values>
      </ddeItem>
      <ddeItem name="id15?minTick" advise="1">
        <values>
          <value>
            <val>0.01</val>
          </value>
        </values>
      </ddeItem>
      <ddeItem name="id15?multiplier" advise="1">
        <values>
          <value t="nil">
            <val>1</val>
          </value>
        </values>
      </ddeItem>
      <ddeItem name="id1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5?req?CPB_STK_SMART_USD_~/" advise="1">
        <values>
          <value t="nil">
            <val>1</val>
          </value>
        </values>
      </ddeItem>
      <ddeItem name="id15?tradingClass" advise="1">
        <values>
          <value t="str">
            <val>CPB</val>
          </value>
        </values>
      </ddeItem>
      <ddeItem name="id15?validExchanges" advise="1">
        <values>
          <value t="str">
            <val>SMART,NYSE,CBOE,ISE,CHX,ARCA,ISLAND,VWAP,DRCTEDGE,NSX,BEX,BATS,EDGEA,CSFBALGO,JEFFALGO,BYX,IEX,TPLUS2,PSX</val>
          </value>
        </values>
      </ddeItem>
      <ddeItem name="id150?conid" advise="1">
        <values>
          <value>
            <val>9160</val>
          </value>
        </values>
      </ddeItem>
      <ddeItem name="id150?marketName" advise="1">
        <values>
          <value t="str">
            <val>LLY</val>
          </value>
        </values>
      </ddeItem>
      <ddeItem name="id150?minTick" advise="1">
        <values>
          <value>
            <val>0.01</val>
          </value>
        </values>
      </ddeItem>
      <ddeItem name="id150?multiplier" advise="1">
        <values>
          <value t="nil">
            <val>1</val>
          </value>
        </values>
      </ddeItem>
      <ddeItem name="id15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50?req?LLY_STK_SMART_USD_~/" advise="1">
        <values>
          <value t="nil">
            <val>1</val>
          </value>
        </values>
      </ddeItem>
      <ddeItem name="id150?tradingClass" advise="1">
        <values>
          <value t="str">
            <val>LLY</val>
          </value>
        </values>
      </ddeItem>
      <ddeItem name="id150?validExchanges" advise="1">
        <values>
          <value t="str">
            <val>SMART,NYSE,CBOE,ISE,CHX,ARCA,ISLAND,VWAP,DRCTEDGE,NSX,BEX,BATS,EDGEA,CSFBALGO,JEFFALGO,BYX,IEX,TPLUS2,PSX</val>
          </value>
        </values>
      </ddeItem>
      <ddeItem name="id151?conid" advise="1">
        <values>
          <value>
            <val>9174</val>
          </value>
        </values>
      </ddeItem>
      <ddeItem name="id151?marketName" advise="1">
        <values>
          <value t="str">
            <val>LNC</val>
          </value>
        </values>
      </ddeItem>
      <ddeItem name="id151?minTick" advise="1">
        <values>
          <value>
            <val>0.01</val>
          </value>
        </values>
      </ddeItem>
      <ddeItem name="id151?multiplier" advise="1">
        <values>
          <value t="nil">
            <val>1</val>
          </value>
        </values>
      </ddeItem>
      <ddeItem name="id15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51?req?LNC_STK_SMART_USD_~/" advise="1">
        <values>
          <value t="nil">
            <val>1</val>
          </value>
        </values>
      </ddeItem>
      <ddeItem name="id151?tradingClass" advise="1">
        <values>
          <value t="str">
            <val>LNC</val>
          </value>
        </values>
      </ddeItem>
      <ddeItem name="id151?validExchanges" advise="1">
        <values>
          <value t="str">
            <val>SMART,NYSE,CBOE,ISE,CHX,ARCA,ISLAND,VWAP,DRCTEDGE,NSX,BEX,BATS,EDGEA,CSFBALGO,JEFFALGO,BYX,IEX,TPLUS2,PSX</val>
          </value>
        </values>
      </ddeItem>
      <ddeItem name="id152?conid" advise="1">
        <values>
          <value>
            <val>271245</val>
          </value>
        </values>
      </ddeItem>
      <ddeItem name="id152?marketName" advise="1">
        <values>
          <value t="str">
            <val>NMS</val>
          </value>
        </values>
      </ddeItem>
      <ddeItem name="id152?minTick" advise="1">
        <values>
          <value>
            <val>0.01</val>
          </value>
        </values>
      </ddeItem>
      <ddeItem name="id152?multiplier" advise="1">
        <values>
          <value t="nil">
            <val>1</val>
          </value>
        </values>
      </ddeItem>
      <ddeItem name="id15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52?req?LLTC_STK_SMART_USD_~/" advise="1">
        <values>
          <value t="nil">
            <val>1</val>
          </value>
        </values>
      </ddeItem>
      <ddeItem name="id152?tradingClass" advise="1">
        <values>
          <value t="str">
            <val>NMS</val>
          </value>
        </values>
      </ddeItem>
      <ddeItem name="id152?validExchanges" advise="1">
        <values>
          <value t="str">
            <val>SMART,CBOE,ISE,CHX,ARCA,ISLAND,VWAP,DRCTEDGE,NSX,BEX,BATS,EDGEA,CSFBALGO,JEFFALGO,BYX,IEX,TPLUS2,PSX</val>
          </value>
        </values>
      </ddeItem>
      <ddeItem name="id153?conid" advise="1">
        <values>
          <value>
            <val>6231002</val>
          </value>
        </values>
      </ddeItem>
      <ddeItem name="id153?marketName" advise="1">
        <values>
          <value t="str">
            <val>UPS</val>
          </value>
        </values>
      </ddeItem>
      <ddeItem name="id153?minTick" advise="1">
        <values>
          <value>
            <val>0.01</val>
          </value>
        </values>
      </ddeItem>
      <ddeItem name="id153?multiplier" advise="1">
        <values>
          <value t="nil">
            <val>1</val>
          </value>
        </values>
      </ddeItem>
      <ddeItem name="id15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53?req?UPS_STK_SMART_USD_~/" advise="1">
        <values>
          <value t="nil">
            <val>1</val>
          </value>
        </values>
      </ddeItem>
      <ddeItem name="id153?tradingClass" advise="1">
        <values>
          <value t="str">
            <val>UPS</val>
          </value>
        </values>
      </ddeItem>
      <ddeItem name="id153?validExchanges" advise="1">
        <values>
          <value t="str">
            <val>SMART,NYSE,CBOE,ISE,CHX,ARCA,ISLAND,VWAP,DRCTEDGE,NSX,BEX,BATS,EDGEA,CSFBALGO,JEFFALGO,BYX,IEX,TPLUS2,PSX</val>
          </value>
        </values>
      </ddeItem>
      <ddeItem name="id154?conid" advise="1">
        <values>
          <value>
            <val>1715006</val>
          </value>
        </values>
      </ddeItem>
      <ddeItem name="id154?marketName" advise="1">
        <values>
          <value t="str">
            <val>A</val>
          </value>
        </values>
      </ddeItem>
      <ddeItem name="id154?minTick" advise="1">
        <values>
          <value>
            <val>0.01</val>
          </value>
        </values>
      </ddeItem>
      <ddeItem name="id154?multiplier" advise="1">
        <values>
          <value t="nil">
            <val>1</val>
          </value>
        </values>
      </ddeItem>
      <ddeItem name="id15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54?req?A_STK_SMART_USD_~/" advise="1">
        <values>
          <value t="nil">
            <val>1</val>
          </value>
        </values>
      </ddeItem>
      <ddeItem name="id154?tradingClass" advise="1">
        <values>
          <value t="str">
            <val>A</val>
          </value>
        </values>
      </ddeItem>
      <ddeItem name="id154?validExchanges" advise="1">
        <values>
          <value t="str">
            <val>SMART,NYSE,CBOE,ISE,CHX,ARCA,ISLAND,VWAP,DRCTEDGE,NSX,BEX,BATS,EDGEA,CSFBALGO,JEFFALGO,BYX,IEX,TPLUS2,PSX</val>
          </value>
        </values>
      </ddeItem>
      <ddeItem name="id155?conid" advise="1">
        <values>
          <value>
            <val>611191</val>
          </value>
        </values>
      </ddeItem>
      <ddeItem name="id155?marketName" advise="1">
        <values>
          <value t="str">
            <val>LMT</val>
          </value>
        </values>
      </ddeItem>
      <ddeItem name="id155?minTick" advise="1">
        <values>
          <value>
            <val>0.01</val>
          </value>
        </values>
      </ddeItem>
      <ddeItem name="id155?multiplier" advise="1">
        <values>
          <value t="nil">
            <val>1</val>
          </value>
        </values>
      </ddeItem>
      <ddeItem name="id15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55?req?LMT_STK_SMART_USD_~/" advise="1">
        <values>
          <value t="nil">
            <val>1</val>
          </value>
        </values>
      </ddeItem>
      <ddeItem name="id155?tradingClass" advise="1">
        <values>
          <value t="str">
            <val>LMT</val>
          </value>
        </values>
      </ddeItem>
      <ddeItem name="id155?validExchanges" advise="1">
        <values>
          <value t="str">
            <val>SMART,NYSE,CBOE,ISE,CHX,ARCA,ISLAND,VWAP,DRCTEDGE,NSX,BEX,BATS,EDGEA,CSFBALGO,JEFFALGO,BYX,IEX,TPLUS2,PSX</val>
          </value>
        </values>
      </ddeItem>
      <ddeItem name="id156?conid" advise="1">
        <values>
          <value>
            <val>9252</val>
          </value>
        </values>
      </ddeItem>
      <ddeItem name="id156?marketName" advise="1">
        <values>
          <value t="str">
            <val>L</val>
          </value>
        </values>
      </ddeItem>
      <ddeItem name="id156?minTick" advise="1">
        <values>
          <value>
            <val>0.01</val>
          </value>
        </values>
      </ddeItem>
      <ddeItem name="id156?multiplier" advise="1">
        <values>
          <value t="nil">
            <val>1</val>
          </value>
        </values>
      </ddeItem>
      <ddeItem name="id15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56?req?L_STK_SMART_USD_~/" advise="1">
        <values>
          <value t="nil">
            <val>1</val>
          </value>
        </values>
      </ddeItem>
      <ddeItem name="id156?tradingClass" advise="1">
        <values>
          <value t="str">
            <val>L</val>
          </value>
        </values>
      </ddeItem>
      <ddeItem name="id156?validExchanges" advise="1">
        <values>
          <value t="str">
            <val>SMART,NYSE,CBOE,ISE,CHX,ARCA,ISLAND,VWAP,DRCTEDGE,NSX,BEX,BATS,EDGEA,CSFBALGO,JEFFALGO,BYX,IEX,TPLUS2,PSX</val>
          </value>
        </values>
      </ddeItem>
      <ddeItem name="id157?conid" advise="1">
        <values>
          <value>
            <val>5516</val>
          </value>
        </values>
      </ddeItem>
      <ddeItem name="id157?marketName" advise="1">
        <values>
          <value t="str">
            <val>CCL</val>
          </value>
        </values>
      </ddeItem>
      <ddeItem name="id157?minTick" advise="1">
        <values>
          <value>
            <val>0.01</val>
          </value>
        </values>
      </ddeItem>
      <ddeItem name="id157?multiplier" advise="1">
        <values>
          <value t="nil">
            <val>1</val>
          </value>
        </values>
      </ddeItem>
      <ddeItem name="id15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57?req?CCL_STK_SMART_USD_~/" advise="1">
        <values>
          <value t="nil">
            <val>1</val>
          </value>
        </values>
      </ddeItem>
      <ddeItem name="id157?tradingClass" advise="1">
        <values>
          <value t="str">
            <val>CCL</val>
          </value>
        </values>
      </ddeItem>
      <ddeItem name="id157?validExchanges" advise="1">
        <values>
          <value t="str">
            <val>SMART,NYSE,CBOE,ISE,CHX,ARCA,ISLAND,VWAP,DRCTEDGE,NSX,BEX,BATS,EDGEA,CSFBALGO,JEFFALGO,BYX,IEX,TPLUS2,PSX</val>
          </value>
        </values>
      </ddeItem>
      <ddeItem name="id158?conid" advise="1">
        <values>
          <value>
            <val>6608450</val>
          </value>
        </values>
      </ddeItem>
      <ddeItem name="id158?marketName" advise="1">
        <values>
          <value t="str">
            <val>RRC</val>
          </value>
        </values>
      </ddeItem>
      <ddeItem name="id158?minTick" advise="1">
        <values>
          <value>
            <val>0.01</val>
          </value>
        </values>
      </ddeItem>
      <ddeItem name="id158?multiplier" advise="1">
        <values>
          <value t="nil">
            <val>1</val>
          </value>
        </values>
      </ddeItem>
      <ddeItem name="id15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58?req?RRC_STK_SMART_USD_~/" advise="1">
        <values>
          <value t="nil">
            <val>1</val>
          </value>
        </values>
      </ddeItem>
      <ddeItem name="id158?tradingClass" advise="1">
        <values>
          <value t="str">
            <val>RRC</val>
          </value>
        </values>
      </ddeItem>
      <ddeItem name="id158?validExchanges" advise="1">
        <values>
          <value t="str">
            <val>SMART,NYSE,CBOE,ISE,CHX,ARCA,ISLAND,DRCTEDGE,NSX,BEX,BATS,EDGEA,CSFBALGO,JEFFALGO,BYX,IEX,TPLUS2,PSX</val>
          </value>
        </values>
      </ddeItem>
      <ddeItem name="id159?conid" advise="1">
        <values>
          <value>
            <val>9199</val>
          </value>
        </values>
      </ddeItem>
      <ddeItem name="id159?marketName" advise="1">
        <values>
          <value t="str">
            <val>LOW</val>
          </value>
        </values>
      </ddeItem>
      <ddeItem name="id159?minTick" advise="1">
        <values>
          <value>
            <val>0.01</val>
          </value>
        </values>
      </ddeItem>
      <ddeItem name="id159?multiplier" advise="1">
        <values>
          <value t="nil">
            <val>1</val>
          </value>
        </values>
      </ddeItem>
      <ddeItem name="id15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59?req?LOW_STK_SMART_USD_~/" advise="1">
        <values>
          <value t="nil">
            <val>1</val>
          </value>
        </values>
      </ddeItem>
      <ddeItem name="id159?tradingClass" advise="1">
        <values>
          <value t="str">
            <val>LOW</val>
          </value>
        </values>
      </ddeItem>
      <ddeItem name="id159?validExchanges" advise="1">
        <values>
          <value t="str">
            <val>SMART,NYSE,CBOE,ISE,CHX,ARCA,ISLAND,VWAP,DRCTEDGE,NSX,BEX,BATS,EDGEA,CSFBALGO,JEFFALGO,BYX,IEX,TPLUS2,PSX</val>
          </value>
        </values>
      </ddeItem>
      <ddeItem name="id16?conid" advise="1">
        <values>
          <value>
            <val>276066</val>
          </value>
        </values>
      </ddeItem>
      <ddeItem name="id16?marketName" advise="1">
        <values>
          <value t="str">
            <val>STZ</val>
          </value>
        </values>
      </ddeItem>
      <ddeItem name="id16?minTick" advise="1">
        <values>
          <value>
            <val>0.01</val>
          </value>
        </values>
      </ddeItem>
      <ddeItem name="id16?multiplier" advise="1">
        <values>
          <value t="nil">
            <val>1</val>
          </value>
        </values>
      </ddeItem>
      <ddeItem name="id1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6?req?STZ_STK_SMART_USD_~/" advise="1">
        <values>
          <value t="nil">
            <val>1</val>
          </value>
        </values>
      </ddeItem>
      <ddeItem name="id16?tradingClass" advise="1">
        <values>
          <value t="str">
            <val>STZ</val>
          </value>
        </values>
      </ddeItem>
      <ddeItem name="id16?validExchanges" advise="1">
        <values>
          <value t="str">
            <val>SMART,NYSE,CBOE,ISE,CHX,ARCA,ISLAND,VWAP,DRCTEDGE,NSX,BEX,BATS,EDGEA,CSFBALGO,JEFFALGO,BYX,IEX,TPLUS2,PSX</val>
          </value>
        </values>
      </ddeItem>
      <ddeItem name="id160?conid" advise="1">
        <values>
          <value>
            <val>6327</val>
          </value>
        </values>
      </ddeItem>
      <ddeItem name="id160?marketName" advise="1">
        <values>
          <value t="str">
            <val>D</val>
          </value>
        </values>
      </ddeItem>
      <ddeItem name="id160?minTick" advise="1">
        <values>
          <value>
            <val>0.01</val>
          </value>
        </values>
      </ddeItem>
      <ddeItem name="id160?multiplier" advise="1">
        <values>
          <value t="nil">
            <val>1</val>
          </value>
        </values>
      </ddeItem>
      <ddeItem name="id16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60?req?D_STK_SMART_USD_~/" advise="1">
        <values>
          <value t="nil">
            <val>1</val>
          </value>
        </values>
      </ddeItem>
      <ddeItem name="id160?tradingClass" advise="1">
        <values>
          <value t="str">
            <val>D</val>
          </value>
        </values>
      </ddeItem>
      <ddeItem name="id160?validExchanges" advise="1">
        <values>
          <value t="str">
            <val>SMART,NYSE,CBOE,ISE,CHX,ARCA,ISLAND,VWAP,DRCTEDGE,NSX,BEX,BATS,EDGEA,CSFBALGO,JEFFALGO,BYX,IEX,TPLUS2,PSX</val>
          </value>
        </values>
      </ddeItem>
      <ddeItem name="id161?conid" advise="1">
        <values>
          <value>
            <val>9322</val>
          </value>
        </values>
      </ddeItem>
      <ddeItem name="id161?marketName" advise="1">
        <values>
          <value t="str">
            <val>MAC</val>
          </value>
        </values>
      </ddeItem>
      <ddeItem name="id161?minTick" advise="1">
        <values>
          <value>
            <val>0.01</val>
          </value>
        </values>
      </ddeItem>
      <ddeItem name="id161?multiplier" advise="1">
        <values>
          <value t="nil">
            <val>1</val>
          </value>
        </values>
      </ddeItem>
      <ddeItem name="id16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61?req?MAC_STK_SMART_USD_~/" advise="1">
        <values>
          <value t="nil">
            <val>1</val>
          </value>
        </values>
      </ddeItem>
      <ddeItem name="id161?tradingClass" advise="1">
        <values>
          <value t="str">
            <val>MAC</val>
          </value>
        </values>
      </ddeItem>
      <ddeItem name="id161?validExchanges" advise="1">
        <values>
          <value t="str">
            <val>SMART,NYSE,CBOE,ISE,CHX,ARCA,ISLAND,DRCTEDGE,NSX,BEX,BATS,EDGEA,CSFBALGO,JEFFALGO,BYX,IEX,TPLUS2,PSX</val>
          </value>
        </values>
      </ddeItem>
      <ddeItem name="id162?conid" advise="1">
        <values>
          <value>
            <val>11902</val>
          </value>
        </values>
      </ddeItem>
      <ddeItem name="id162?marketName" advise="1">
        <values>
          <value t="str">
            <val>SCG</val>
          </value>
        </values>
      </ddeItem>
      <ddeItem name="id162?minTick" advise="1">
        <values>
          <value>
            <val>0.01</val>
          </value>
        </values>
      </ddeItem>
      <ddeItem name="id162?multiplier" advise="1">
        <values>
          <value t="nil">
            <val>1</val>
          </value>
        </values>
      </ddeItem>
      <ddeItem name="id16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62?req?SCG_STK_SMART_USD_~/" advise="1">
        <values>
          <value t="nil">
            <val>1</val>
          </value>
        </values>
      </ddeItem>
      <ddeItem name="id162?tradingClass" advise="1">
        <values>
          <value t="str">
            <val>SCG</val>
          </value>
        </values>
      </ddeItem>
      <ddeItem name="id162?validExchanges" advise="1">
        <values>
          <value t="str">
            <val>SMART,NYSE,CBOE,ISE,CHX,ARCA,ISLAND,DRCTEDGE,NSX,BEX,BATS,EDGEA,CSFBALGO,JEFFALGO,BYX,IEX,TPLUS2,PSX</val>
          </value>
        </values>
      </ddeItem>
      <ddeItem name="id163?conid" advise="1">
        <values>
          <value>
            <val>271556</val>
          </value>
        </values>
      </ddeItem>
      <ddeItem name="id163?marketName" advise="1">
        <values>
          <value t="str">
            <val>MKC</val>
          </value>
        </values>
      </ddeItem>
      <ddeItem name="id163?minTick" advise="1">
        <values>
          <value>
            <val>0.01</val>
          </value>
        </values>
      </ddeItem>
      <ddeItem name="id163?multiplier" advise="1">
        <values>
          <value t="nil">
            <val>1</val>
          </value>
        </values>
      </ddeItem>
      <ddeItem name="id16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63?req?MKC_STK_SMART_USD_~/" advise="1">
        <values>
          <value t="nil">
            <val>1</val>
          </value>
        </values>
      </ddeItem>
      <ddeItem name="id163?tradingClass" advise="1">
        <values>
          <value t="str">
            <val>MKC</val>
          </value>
        </values>
      </ddeItem>
      <ddeItem name="id163?validExchanges" advise="1">
        <values>
          <value t="str">
            <val>SMART,NYSE,CBOE,ISE,CHX,ARCA,ISLAND,VWAP,DRCTEDGE,NSX,BEX,BATS,EDGEA,CSFBALGO,JEFFALGO,BYX,IEX,TPLUS2,PSX</val>
          </value>
        </values>
      </ddeItem>
      <ddeItem name="id164?conid" advise="1">
        <values>
          <value>
            <val>9408</val>
          </value>
        </values>
      </ddeItem>
      <ddeItem name="id164?marketName" advise="1">
        <values>
          <value t="str">
            <val>MCD</val>
          </value>
        </values>
      </ddeItem>
      <ddeItem name="id164?minTick" advise="1">
        <values>
          <value>
            <val>0.01</val>
          </value>
        </values>
      </ddeItem>
      <ddeItem name="id164?multiplier" advise="1">
        <values>
          <value t="nil">
            <val>1</val>
          </value>
        </values>
      </ddeItem>
      <ddeItem name="id16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64?req?MCD_STK_SMART_USD_~/" advise="1">
        <values>
          <value t="nil">
            <val>1</val>
          </value>
        </values>
      </ddeItem>
      <ddeItem name="id164?tradingClass" advise="1">
        <values>
          <value t="str">
            <val>MCD</val>
          </value>
        </values>
      </ddeItem>
      <ddeItem name="id164?validExchanges" advise="1">
        <values>
          <value t="str">
            <val>SMART,NYSE,CBOE,ISE,CHX,ARCA,ISLAND,VWAP,DRCTEDGE,NSX,BEX,BATS,EDGEA,CSFBALGO,JEFFALGO,BYX,IEX,TPLUS2,PSX</val>
          </value>
        </values>
      </ddeItem>
      <ddeItem name="id166?conid" advise="1">
        <values>
          <value>
            <val>8101142</val>
          </value>
        </values>
      </ddeItem>
      <ddeItem name="id166?marketName" advise="1">
        <values>
          <value t="str">
            <val>EW</val>
          </value>
        </values>
      </ddeItem>
      <ddeItem name="id166?minTick" advise="1">
        <values>
          <value>
            <val>0.01</val>
          </value>
        </values>
      </ddeItem>
      <ddeItem name="id166?multiplier" advise="1">
        <values>
          <value t="nil">
            <val>1</val>
          </value>
        </values>
      </ddeItem>
      <ddeItem name="id16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66?req?EW_STK_SMART_USD_~/" advise="1">
        <values>
          <value t="nil">
            <val>1</val>
          </value>
        </values>
      </ddeItem>
      <ddeItem name="id166?tradingClass" advise="1">
        <values>
          <value t="str">
            <val>EW</val>
          </value>
        </values>
      </ddeItem>
      <ddeItem name="id166?validExchanges" advise="1">
        <values>
          <value t="str">
            <val>SMART,NYSE,CBOE,ISE,CHX,ARCA,ISLAND,DRCTEDGE,NSX,BEX,BATS,EDGEA,CSFBALGO,JEFFALGO,BYX,IEX,TPLUS2,PSX</val>
          </value>
        </values>
      </ddeItem>
      <ddeItem name="id167?conid" advise="1">
        <values>
          <value>
            <val>8057</val>
          </value>
        </values>
      </ddeItem>
      <ddeItem name="id167?marketName" advise="1">
        <values>
          <value t="str">
            <val>HST</val>
          </value>
        </values>
      </ddeItem>
      <ddeItem name="id167?minTick" advise="1">
        <values>
          <value>
            <val>0.01</val>
          </value>
        </values>
      </ddeItem>
      <ddeItem name="id167?multiplier" advise="1">
        <values>
          <value t="nil">
            <val>1</val>
          </value>
        </values>
      </ddeItem>
      <ddeItem name="id16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67?req?HST_STK_SMART_USD_~/" advise="1">
        <values>
          <value t="nil">
            <val>1</val>
          </value>
        </values>
      </ddeItem>
      <ddeItem name="id167?tradingClass" advise="1">
        <values>
          <value t="str">
            <val>HST</val>
          </value>
        </values>
      </ddeItem>
      <ddeItem name="id167?validExchanges" advise="1">
        <values>
          <value t="str">
            <val>SMART,NYSE,CBOE,ISE,CHX,ARCA,ISLAND,VWAP,DRCTEDGE,NSX,BEX,BATS,EDGEA,CSFBALGO,JEFFALGO,BYX,IEX,TPLUS2,PSX</val>
          </value>
        </values>
      </ddeItem>
      <ddeItem name="id168?conid" advise="1">
        <values>
          <value>
            <val>9705</val>
          </value>
        </values>
      </ddeItem>
      <ddeItem name="id168?marketName" advise="1">
        <values>
          <value t="str">
            <val>MMC</val>
          </value>
        </values>
      </ddeItem>
      <ddeItem name="id168?minTick" advise="1">
        <values>
          <value>
            <val>0.01</val>
          </value>
        </values>
      </ddeItem>
      <ddeItem name="id168?multiplier" advise="1">
        <values>
          <value t="nil">
            <val>1</val>
          </value>
        </values>
      </ddeItem>
      <ddeItem name="id16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68?req?MMC_STK_SMART_USD_~/" advise="1">
        <values>
          <value t="nil">
            <val>1</val>
          </value>
        </values>
      </ddeItem>
      <ddeItem name="id168?tradingClass" advise="1">
        <values>
          <value t="str">
            <val>MMC</val>
          </value>
        </values>
      </ddeItem>
      <ddeItem name="id168?validExchanges" advise="1">
        <values>
          <value t="str">
            <val>SMART,NYSE,CBOE,ISE,CHX,ARCA,ISLAND,VWAP,DRCTEDGE,NSX,BEX,BATS,EDGEA,CSFBALGO,JEFFALGO,BYX,IEX,TPLUS2,PSX</val>
          </value>
        </values>
      </ddeItem>
      <ddeItem name="id169?conid" advise="1">
        <values>
          <value>
            <val>9360</val>
          </value>
        </values>
      </ddeItem>
      <ddeItem name="id169?marketName" advise="1">
        <values>
          <value t="str">
            <val>MAS</val>
          </value>
        </values>
      </ddeItem>
      <ddeItem name="id169?minTick" advise="1">
        <values>
          <value>
            <val>0.01</val>
          </value>
        </values>
      </ddeItem>
      <ddeItem name="id169?multiplier" advise="1">
        <values>
          <value t="nil">
            <val>1</val>
          </value>
        </values>
      </ddeItem>
      <ddeItem name="id16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69?req?MAS_STK_SMART_USD_~/" advise="1">
        <values>
          <value t="nil">
            <val>1</val>
          </value>
        </values>
      </ddeItem>
      <ddeItem name="id169?tradingClass" advise="1">
        <values>
          <value t="str">
            <val>MAS</val>
          </value>
        </values>
      </ddeItem>
      <ddeItem name="id169?validExchanges" advise="1">
        <values>
          <value t="str">
            <val>SMART,NYSE,CBOE,ISE,CHX,ARCA,ISLAND,VWAP,DRCTEDGE,NSX,BEX,BATS,EDGEA,CSFBALGO,JEFFALGO,BYX,IEX,TPLUS2,PSX</val>
          </value>
        </values>
      </ddeItem>
      <ddeItem name="id17?conid" advise="1">
        <values>
          <value>
            <val>5407</val>
          </value>
        </values>
      </ddeItem>
      <ddeItem name="id17?marketName" advise="1">
        <values>
          <value t="str">
            <val>CAH</val>
          </value>
        </values>
      </ddeItem>
      <ddeItem name="id17?minTick" advise="1">
        <values>
          <value>
            <val>0.01</val>
          </value>
        </values>
      </ddeItem>
      <ddeItem name="id17?multiplier" advise="1">
        <values>
          <value t="nil">
            <val>1</val>
          </value>
        </values>
      </ddeItem>
      <ddeItem name="id1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7?req?CAH_STK_SMART_USD_~/" advise="1">
        <values>
          <value t="nil">
            <val>1</val>
          </value>
        </values>
      </ddeItem>
      <ddeItem name="id17?tradingClass" advise="1">
        <values>
          <value t="str">
            <val>CAH</val>
          </value>
        </values>
      </ddeItem>
      <ddeItem name="id17?validExchanges" advise="1">
        <values>
          <value t="str">
            <val>SMART,NYSE,CBOE,ISE,CHX,ARCA,ISLAND,VWAP,DRCTEDGE,NSX,BEX,BATS,EDGEA,CSFBALGO,JEFFALGO,BYX,IEX,TPLUS2,PSX</val>
          </value>
        </values>
      </ddeItem>
      <ddeItem name="id170?conid" advise="1">
        <values>
          <value>
            <val>272428</val>
          </value>
        </values>
      </ddeItem>
      <ddeItem name="id170?marketName" advise="1">
        <values>
          <value t="str">
            <val>JWN</val>
          </value>
        </values>
      </ddeItem>
      <ddeItem name="id170?minTick" advise="1">
        <values>
          <value>
            <val>0.01</val>
          </value>
        </values>
      </ddeItem>
      <ddeItem name="id170?multiplier" advise="1">
        <values>
          <value t="nil">
            <val>1</val>
          </value>
        </values>
      </ddeItem>
      <ddeItem name="id17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70?req?JWN_STK_SMART_USD_~/" advise="1">
        <values>
          <value t="nil">
            <val>1</val>
          </value>
        </values>
      </ddeItem>
      <ddeItem name="id170?tradingClass" advise="1">
        <values>
          <value t="str">
            <val>JWN</val>
          </value>
        </values>
      </ddeItem>
      <ddeItem name="id170?validExchanges" advise="1">
        <values>
          <value t="str">
            <val>SMART,NYSE,CBOE,ISE,CHX,ARCA,ISLAND,VWAP,DRCTEDGE,NSX,BEX,BATS,EDGEA,CSFBALGO,JEFFALGO,BYX,IEX,TPLUS2,PSX</val>
          </value>
        </values>
      </ddeItem>
      <ddeItem name="id171?conid" advise="1">
        <values>
          <value>
            <val>10497</val>
          </value>
        </values>
      </ddeItem>
      <ddeItem name="id171?marketName" advise="1">
        <values>
          <value t="str">
            <val>NSC</val>
          </value>
        </values>
      </ddeItem>
      <ddeItem name="id171?minTick" advise="1">
        <values>
          <value>
            <val>0.01</val>
          </value>
        </values>
      </ddeItem>
      <ddeItem name="id171?multiplier" advise="1">
        <values>
          <value t="nil">
            <val>1</val>
          </value>
        </values>
      </ddeItem>
      <ddeItem name="id17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71?req?NSC_STK_SMART_USD_~/" advise="1">
        <values>
          <value t="nil">
            <val>1</val>
          </value>
        </values>
      </ddeItem>
      <ddeItem name="id171?tradingClass" advise="1">
        <values>
          <value t="str">
            <val>NSC</val>
          </value>
        </values>
      </ddeItem>
      <ddeItem name="id171?validExchanges" advise="1">
        <values>
          <value t="str">
            <val>SMART,NYSE,CBOE,ISE,CHX,ARCA,ISLAND,VWAP,DRCTEDGE,NSX,BEX,BATS,EDGEA,CSFBALGO,JEFFALGO,BYX,IEX,TPLUS2,PSX</val>
          </value>
        </values>
      </ddeItem>
      <ddeItem name="id172?conid" advise="1">
        <values>
          <value>
            <val>10260</val>
          </value>
        </values>
      </ddeItem>
      <ddeItem name="id172?marketName" advise="1">
        <values>
          <value t="str">
            <val>NI</val>
          </value>
        </values>
      </ddeItem>
      <ddeItem name="id172?minTick" advise="1">
        <values>
          <value>
            <val>0.01</val>
          </value>
        </values>
      </ddeItem>
      <ddeItem name="id172?multiplier" advise="1">
        <values>
          <value t="nil">
            <val>1</val>
          </value>
        </values>
      </ddeItem>
      <ddeItem name="id17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72?req?NI_STK_SMART_USD_~/" advise="1">
        <values>
          <value t="nil">
            <val>1</val>
          </value>
        </values>
      </ddeItem>
      <ddeItem name="id172?tradingClass" advise="1">
        <values>
          <value t="str">
            <val>NI</val>
          </value>
        </values>
      </ddeItem>
      <ddeItem name="id172?validExchanges" advise="1">
        <values>
          <value t="str">
            <val>SMART,NYSE,CBOE,ISE,CHX,ARCA,ISLAND,VWAP,DRCTEDGE,NSX,BEX,BATS,EDGEA,CSFBALGO,JEFFALGO,BYX,IEX,TPLUS2,PSX</val>
          </value>
        </values>
      </ddeItem>
      <ddeItem name="id173?conid" advise="1">
        <values>
          <value>
            <val>10413985</val>
          </value>
        </values>
      </ddeItem>
      <ddeItem name="id173?marketName" advise="1">
        <values>
          <value t="str">
            <val>COH</val>
          </value>
        </values>
      </ddeItem>
      <ddeItem name="id173?minTick" advise="1">
        <values>
          <value>
            <val>0.01</val>
          </value>
        </values>
      </ddeItem>
      <ddeItem name="id173?multiplier" advise="1">
        <values>
          <value t="nil">
            <val>1</val>
          </value>
        </values>
      </ddeItem>
      <ddeItem name="id17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73?req?COH_STK_SMART_USD_~/" advise="1">
        <values>
          <value t="nil">
            <val>1</val>
          </value>
        </values>
      </ddeItem>
      <ddeItem name="id173?tradingClass" advise="1">
        <values>
          <value t="str">
            <val>COH</val>
          </value>
        </values>
      </ddeItem>
      <ddeItem name="id173?validExchanges" advise="1">
        <values>
          <value t="str">
            <val>SMART,NYSE,CBOE,ISE,CHX,ARCA,ISLAND,VWAP,DRCTEDGE,NSX,BEX,BATS,EDGEA,CSFBALGO,JEFFALGO,BYX,IEX,TPLUS2,PSX</val>
          </value>
        </values>
      </ddeItem>
      <ddeItem name="id174?conid" advise="1">
        <values>
          <value>
            <val>272565</val>
          </value>
        </values>
      </ddeItem>
      <ddeItem name="id174?marketName" advise="1">
        <values>
          <value t="str">
            <val>NMS</val>
          </value>
        </values>
      </ddeItem>
      <ddeItem name="id174?minTick" advise="1">
        <values>
          <value>
            <val>0.01</val>
          </value>
        </values>
      </ddeItem>
      <ddeItem name="id174?multiplier" advise="1">
        <values>
          <value t="nil">
            <val>1</val>
          </value>
        </values>
      </ddeItem>
      <ddeItem name="id17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74?req?NTRS_STK_SMART_USD_~/" advise="1">
        <values>
          <value t="nil">
            <val>1</val>
          </value>
        </values>
      </ddeItem>
      <ddeItem name="id174?tradingClass" advise="1">
        <values>
          <value t="str">
            <val>NMS</val>
          </value>
        </values>
      </ddeItem>
      <ddeItem name="id174?validExchanges" advise="1">
        <values>
          <value t="str">
            <val>SMART,CBOE,ISE,CHX,ARCA,ISLAND,VWAP,DRCTEDGE,NSX,BEX,BATS,EDGEA,CSFBALGO,JEFFALGO,BYX,IEX,TPLUS2,PSX</val>
          </value>
        </values>
      </ddeItem>
      <ddeItem name="id175?conid" advise="1">
        <values>
          <value>
            <val>10376</val>
          </value>
        </values>
      </ddeItem>
      <ddeItem name="id175?marketName" advise="1">
        <values>
          <value t="str">
            <val>NOC</val>
          </value>
        </values>
      </ddeItem>
      <ddeItem name="id175?minTick" advise="1">
        <values>
          <value>
            <val>0.01</val>
          </value>
        </values>
      </ddeItem>
      <ddeItem name="id175?multiplier" advise="1">
        <values>
          <value t="nil">
            <val>1</val>
          </value>
        </values>
      </ddeItem>
      <ddeItem name="id17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75?req?NOC_STK_SMART_USD_~/" advise="1">
        <values>
          <value t="nil">
            <val>1</val>
          </value>
        </values>
      </ddeItem>
      <ddeItem name="id175?tradingClass" advise="1">
        <values>
          <value t="str">
            <val>NOC</val>
          </value>
        </values>
      </ddeItem>
      <ddeItem name="id175?validExchanges" advise="1">
        <values>
          <value t="str">
            <val>SMART,NYSE,CBOE,ISE,CHX,ARCA,ISLAND,VWAP,DRCTEDGE,NSX,BEX,BATS,EDGEA,CSFBALGO,JEFFALGO,BYX,IEX,TPLUS2,PSX</val>
          </value>
        </values>
      </ddeItem>
      <ddeItem name="id176?conid" advise="1">
        <values>
          <value>
            <val>10375</val>
          </value>
        </values>
      </ddeItem>
      <ddeItem name="id176?marketName" advise="1">
        <values>
          <value t="str">
            <val>WFC</val>
          </value>
        </values>
      </ddeItem>
      <ddeItem name="id176?minTick" advise="1">
        <values>
          <value>
            <val>0.01</val>
          </value>
        </values>
      </ddeItem>
      <ddeItem name="id176?multiplier" advise="1">
        <values>
          <value t="nil">
            <val>1</val>
          </value>
        </values>
      </ddeItem>
      <ddeItem name="id17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76?req?WFC_STK_SMART_USD_~/" advise="1">
        <values>
          <value t="nil">
            <val>1</val>
          </value>
        </values>
      </ddeItem>
      <ddeItem name="id176?tradingClass" advise="1">
        <values>
          <value t="str">
            <val>WFC</val>
          </value>
        </values>
      </ddeItem>
      <ddeItem name="id176?validExchanges" advise="1">
        <values>
          <value t="str">
            <val>SMART,NYSE,CBOE,ISE,CHX,ARCA,ISLAND,VWAP,DRCTEDGE,NSX,BEX,BATS,EDGEA,CSFBALGO,JEFFALGO,BYX,IEX,TPLUS2,PSX</val>
          </value>
        </values>
      </ddeItem>
      <ddeItem name="id177?conid" advise="1">
        <values>
          <value>
            <val>10557</val>
          </value>
        </values>
      </ddeItem>
      <ddeItem name="id177?marketName" advise="1">
        <values>
          <value t="str">
            <val>NUE</val>
          </value>
        </values>
      </ddeItem>
      <ddeItem name="id177?minTick" advise="1">
        <values>
          <value>
            <val>0.01</val>
          </value>
        </values>
      </ddeItem>
      <ddeItem name="id177?multiplier" advise="1">
        <values>
          <value t="nil">
            <val>1</val>
          </value>
        </values>
      </ddeItem>
      <ddeItem name="id17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77?req?NUE_STK_SMART_USD_~/" advise="1">
        <values>
          <value t="nil">
            <val>1</val>
          </value>
        </values>
      </ddeItem>
      <ddeItem name="id177?tradingClass" advise="1">
        <values>
          <value t="str">
            <val>NUE</val>
          </value>
        </values>
      </ddeItem>
      <ddeItem name="id177?validExchanges" advise="1">
        <values>
          <value t="str">
            <val>SMART,NYSE,CBOE,ISE,CHX,ARCA,ISLAND,VWAP,DRCTEDGE,NSX,BEX,BATS,EDGEA,CSFBALGO,JEFFALGO,BYX,IEX,TPLUS2,PSX</val>
          </value>
        </values>
      </ddeItem>
      <ddeItem name="id178?conid" advise="1">
        <values>
          <value>
            <val>10523297</val>
          </value>
        </values>
      </ddeItem>
      <ddeItem name="id178?marketName" advise="1">
        <values>
          <value t="str">
            <val>MON</val>
          </value>
        </values>
      </ddeItem>
      <ddeItem name="id178?minTick" advise="1">
        <values>
          <value>
            <val>0.01</val>
          </value>
        </values>
      </ddeItem>
      <ddeItem name="id178?multiplier" advise="1">
        <values>
          <value t="nil">
            <val>1</val>
          </value>
        </values>
      </ddeItem>
      <ddeItem name="id17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78?req?MON_STK_SMART_USD_~/" advise="1">
        <values>
          <value t="nil">
            <val>1</val>
          </value>
        </values>
      </ddeItem>
      <ddeItem name="id178?tradingClass" advise="1">
        <values>
          <value t="str">
            <val>MON</val>
          </value>
        </values>
      </ddeItem>
      <ddeItem name="id178?validExchanges" advise="1">
        <values>
          <value t="str">
            <val>SMART,NYSE,CBOE,ISE,CHX,ARCA,ISLAND,VWAP,DRCTEDGE,NSX,BEX,BATS,EDGEA,CSFBALGO,JEFFALGO,BYX,IEX,TPLUS2,PSX</val>
          </value>
        </values>
      </ddeItem>
      <ddeItem name="id179?conid" advise="1">
        <values>
          <value>
            <val>5941</val>
          </value>
        </values>
      </ddeItem>
      <ddeItem name="id179?marketName" advise="1">
        <values>
          <value t="str">
            <val>COF</val>
          </value>
        </values>
      </ddeItem>
      <ddeItem name="id179?minTick" advise="1">
        <values>
          <value>
            <val>0.01</val>
          </value>
        </values>
      </ddeItem>
      <ddeItem name="id179?multiplier" advise="1">
        <values>
          <value t="nil">
            <val>1</val>
          </value>
        </values>
      </ddeItem>
      <ddeItem name="id17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79?req?COF_STK_SMART_USD_~/" advise="1">
        <values>
          <value t="nil">
            <val>1</val>
          </value>
        </values>
      </ddeItem>
      <ddeItem name="id179?tradingClass" advise="1">
        <values>
          <value t="str">
            <val>COF</val>
          </value>
        </values>
      </ddeItem>
      <ddeItem name="id179?validExchanges" advise="1">
        <values>
          <value t="str">
            <val>SMART,NYSE,CBOE,ISE,CHX,ARCA,ISLAND,VWAP,DRCTEDGE,NSX,BEX,BATS,EDGEA,CSFBALGO,JEFFALGO,BYX,IEX,TPLUS2,PSX</val>
          </value>
        </values>
      </ddeItem>
      <ddeItem name="id18?conid" advise="1">
        <values>
          <value>
            <val>5437</val>
          </value>
        </values>
      </ddeItem>
      <ddeItem name="id18?marketName" advise="1">
        <values>
          <value t="str">
            <val>CAT</val>
          </value>
        </values>
      </ddeItem>
      <ddeItem name="id18?minTick" advise="1">
        <values>
          <value>
            <val>0.01</val>
          </value>
        </values>
      </ddeItem>
      <ddeItem name="id18?multiplier" advise="1">
        <values>
          <value t="nil">
            <val>1</val>
          </value>
        </values>
      </ddeItem>
      <ddeItem name="id1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8?req?CAT_STK_SMART_USD_~/" advise="1">
        <values>
          <value t="nil">
            <val>1</val>
          </value>
        </values>
      </ddeItem>
      <ddeItem name="id18?tradingClass" advise="1">
        <values>
          <value t="str">
            <val>CAT</val>
          </value>
        </values>
      </ddeItem>
      <ddeItem name="id18?validExchanges" advise="1">
        <values>
          <value t="str">
            <val>SMART,NYSE,CBOE,ISE,CHX,ARCA,ISLAND,VWAP,DRCTEDGE,NSX,BEX,BATS,EDGEA,CSFBALGO,JEFFALGO,BYX,IEX,TPLUS2,PSX</val>
          </value>
        </values>
      </ddeItem>
      <ddeItem name="id180?conid" advise="1">
        <values>
          <value>
            <val>10880</val>
          </value>
        </values>
      </ddeItem>
      <ddeItem name="id180?marketName" advise="1">
        <values>
          <value t="str">
            <val>OXY</val>
          </value>
        </values>
      </ddeItem>
      <ddeItem name="id180?minTick" advise="1">
        <values>
          <value>
            <val>0.01</val>
          </value>
        </values>
      </ddeItem>
      <ddeItem name="id180?multiplier" advise="1">
        <values>
          <value t="nil">
            <val>1</val>
          </value>
        </values>
      </ddeItem>
      <ddeItem name="id18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80?req?OXY_STK_SMART_USD_~/" advise="1">
        <values>
          <value t="nil">
            <val>1</val>
          </value>
        </values>
      </ddeItem>
      <ddeItem name="id180?tradingClass" advise="1">
        <values>
          <value t="str">
            <val>OXY</val>
          </value>
        </values>
      </ddeItem>
      <ddeItem name="id180?validExchanges" advise="1">
        <values>
          <value t="str">
            <val>SMART,NYSE,CBOE,ISE,CHX,ARCA,ISLAND,VWAP,DRCTEDGE,NSX,BEX,BATS,EDGEA,CSFBALGO,JEFFALGO,BYX,IEX,TPLUS2,PSX</val>
          </value>
        </values>
      </ddeItem>
      <ddeItem name="id181?conid" advise="1">
        <values>
          <value>
            <val>272800</val>
          </value>
        </values>
      </ddeItem>
      <ddeItem name="id181?marketName" advise="1">
        <values>
          <value t="str">
            <val>ORCL</val>
          </value>
        </values>
      </ddeItem>
      <ddeItem name="id181?minTick" advise="1">
        <values>
          <value>
            <val>0.01</val>
          </value>
        </values>
      </ddeItem>
      <ddeItem name="id181?multiplier" advise="1">
        <values>
          <value t="nil">
            <val>1</val>
          </value>
        </values>
      </ddeItem>
      <ddeItem name="id18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81?req?ORCL_STK_SMART_USD_~/" advise="1">
        <values>
          <value t="nil">
            <val>1</val>
          </value>
        </values>
      </ddeItem>
      <ddeItem name="id181?tradingClass" advise="1">
        <values>
          <value t="str">
            <val>ORCL</val>
          </value>
        </values>
      </ddeItem>
      <ddeItem name="id181?validExchanges" advise="1">
        <values>
          <value t="str">
            <val>SMART,NYSE,CBOE,ISE,CHX,ARCA,ISLAND,VWAP,DRCTEDGE,NSX,BEX,BATS,EDGEA,CSFBALGO,JEFFALGO,BYX,IEX,TPLUS2,PSX</val>
          </value>
        </values>
      </ddeItem>
      <ddeItem name="id182?conid" advise="1">
        <values>
          <value>
            <val>10760</val>
          </value>
        </values>
      </ddeItem>
      <ddeItem name="id182?marketName" advise="1">
        <values>
          <value t="str">
            <val>OI</val>
          </value>
        </values>
      </ddeItem>
      <ddeItem name="id182?minTick" advise="1">
        <values>
          <value>
            <val>0.01</val>
          </value>
        </values>
      </ddeItem>
      <ddeItem name="id182?multiplier" advise="1">
        <values>
          <value t="nil">
            <val>1</val>
          </value>
        </values>
      </ddeItem>
      <ddeItem name="id18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82?req?OI_STK_SMART_USD_~/" advise="1">
        <values>
          <value t="nil">
            <val>1</val>
          </value>
        </values>
      </ddeItem>
      <ddeItem name="id182?tradingClass" advise="1">
        <values>
          <value t="str">
            <val>OI</val>
          </value>
        </values>
      </ddeItem>
      <ddeItem name="id182?validExchanges" advise="1">
        <values>
          <value t="str">
            <val>SMART,NYSE,CBOE,ISE,CHX,ARCA,ISLAND,DRCTEDGE,NSX,BEX,BATS,EDGEA,CSFBALGO,JEFFALGO,BYX,IEX,TPLUS2,PSX</val>
          </value>
        </values>
      </ddeItem>
      <ddeItem name="id183?conid" advise="1">
        <values>
          <value>
            <val>272992</val>
          </value>
        </values>
      </ddeItem>
      <ddeItem name="id183?marketName" advise="1">
        <values>
          <value t="str">
            <val>NMS</val>
          </value>
        </values>
      </ddeItem>
      <ddeItem name="id183?minTick" advise="1">
        <values>
          <value>
            <val>0.01</val>
          </value>
        </values>
      </ddeItem>
      <ddeItem name="id183?multiplier" advise="1">
        <values>
          <value t="nil">
            <val>1</val>
          </value>
        </values>
      </ddeItem>
      <ddeItem name="id18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83?req?PCAR_STK_SMART_USD_~/" advise="1">
        <values>
          <value t="nil">
            <val>1</val>
          </value>
        </values>
      </ddeItem>
      <ddeItem name="id183?tradingClass" advise="1">
        <values>
          <value t="str">
            <val>NMS</val>
          </value>
        </values>
      </ddeItem>
      <ddeItem name="id183?validExchanges" advise="1">
        <values>
          <value t="str">
            <val>SMART,CBOE,ISE,CHX,ARCA,ISLAND,VWAP,DRCTEDGE,NSX,BEX,BATS,EDGEA,CSFBALGO,JEFFALGO,BYX,IEX,TPLUS2,PSX</val>
          </value>
        </values>
      </ddeItem>
      <ddeItem name="id184?conid" advise="1">
        <values>
          <value>
            <val>11000</val>
          </value>
        </values>
      </ddeItem>
      <ddeItem name="id184?marketName" advise="1">
        <values>
          <value t="str">
            <val>EXC</val>
          </value>
        </values>
      </ddeItem>
      <ddeItem name="id184?minTick" advise="1">
        <values>
          <value>
            <val>0.01</val>
          </value>
        </values>
      </ddeItem>
      <ddeItem name="id184?multiplier" advise="1">
        <values>
          <value t="nil">
            <val>1</val>
          </value>
        </values>
      </ddeItem>
      <ddeItem name="id18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84?req?EXC_STK_SMART_USD_~/" advise="1">
        <values>
          <value t="nil">
            <val>1</val>
          </value>
        </values>
      </ddeItem>
      <ddeItem name="id184?tradingClass" advise="1">
        <values>
          <value t="str">
            <val>EXC</val>
          </value>
        </values>
      </ddeItem>
      <ddeItem name="id184?validExchanges" advise="1">
        <values>
          <value t="str">
            <val>SMART,NYSE,CBOE,ISE,CHX,ARCA,ISLAND,VWAP,DRCTEDGE,NSX,BEX,BATS,EDGEA,CSFBALGO,JEFFALGO,BYX,IEX,TPLUS2,PSX</val>
          </value>
        </values>
      </ddeItem>
      <ddeItem name="id185?conid" advise="1">
        <values>
          <value>
            <val>11094</val>
          </value>
        </values>
      </ddeItem>
      <ddeItem name="id185?marketName" advise="1">
        <values>
          <value t="str">
            <val>PH</val>
          </value>
        </values>
      </ddeItem>
      <ddeItem name="id185?minTick" advise="1">
        <values>
          <value>
            <val>0.01</val>
          </value>
        </values>
      </ddeItem>
      <ddeItem name="id185?multiplier" advise="1">
        <values>
          <value t="nil">
            <val>1</val>
          </value>
        </values>
      </ddeItem>
      <ddeItem name="id18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85?req?PH_STK_SMART_USD_~/" advise="1">
        <values>
          <value t="nil">
            <val>1</val>
          </value>
        </values>
      </ddeItem>
      <ddeItem name="id185?tradingClass" advise="1">
        <values>
          <value t="str">
            <val>PH</val>
          </value>
        </values>
      </ddeItem>
      <ddeItem name="id185?validExchanges" advise="1">
        <values>
          <value t="str">
            <val>SMART,NYSE,CBOE,ISE,CHX,ARCA,ISLAND,VWAP,DRCTEDGE,NSX,BEX,BATS,EDGEA,CSFBALGO,JEFFALGO,BYX,IEX,TPLUS2,PSX</val>
          </value>
        </values>
      </ddeItem>
      <ddeItem name="id186?conid" advise="1">
        <values>
          <value>
            <val>273035</val>
          </value>
        </values>
      </ddeItem>
      <ddeItem name="id186?marketName" advise="1">
        <values>
          <value t="str">
            <val>NMS</val>
          </value>
        </values>
      </ddeItem>
      <ddeItem name="id186?minTick" advise="1">
        <values>
          <value>
            <val>0.01</val>
          </value>
        </values>
      </ddeItem>
      <ddeItem name="id186?multiplier" advise="1">
        <values>
          <value t="nil">
            <val>1</val>
          </value>
        </values>
      </ddeItem>
      <ddeItem name="id18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86?req?PDCO_STK_SMART_USD_~/" advise="1">
        <values>
          <value t="nil">
            <val>1</val>
          </value>
        </values>
      </ddeItem>
      <ddeItem name="id186?tradingClass" advise="1">
        <values>
          <value t="str">
            <val>NMS</val>
          </value>
        </values>
      </ddeItem>
      <ddeItem name="id186?validExchanges" advise="1">
        <values>
          <value t="str">
            <val>SMART,CBOE,ISE,CHX,ARCA,ISLAND,VWAP,DRCTEDGE,NSX,BEX,BATS,EDGEA,CSFBALGO,JEFFALGO,BYX,IEX,TPLUS2,PSX</val>
          </value>
        </values>
      </ddeItem>
      <ddeItem name="id187?conid" advise="1">
        <values>
          <value>
            <val>272942</val>
          </value>
        </values>
      </ddeItem>
      <ddeItem name="id187?marketName" advise="1">
        <values>
          <value t="str">
            <val>NMS</val>
          </value>
        </values>
      </ddeItem>
      <ddeItem name="id187?minTick" advise="1">
        <values>
          <value>
            <val>0.01</val>
          </value>
        </values>
      </ddeItem>
      <ddeItem name="id187?multiplier" advise="1">
        <values>
          <value t="nil">
            <val>1</val>
          </value>
        </values>
      </ddeItem>
      <ddeItem name="id18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87?req?PAYX_STK_SMART_USD_~/" advise="1">
        <values>
          <value t="nil">
            <val>1</val>
          </value>
        </values>
      </ddeItem>
      <ddeItem name="id187?tradingClass" advise="1">
        <values>
          <value t="str">
            <val>NMS</val>
          </value>
        </values>
      </ddeItem>
      <ddeItem name="id187?validExchanges" advise="1">
        <values>
          <value t="str">
            <val>SMART,CBOE,ISE,CHX,ARCA,ISLAND,VWAP,DRCTEDGE,NSX,BEX,BATS,EDGEA,CSFBALGO,JEFFALGO,BYX,IEX,TPLUS2,PSX</val>
          </value>
        </values>
      </ddeItem>
      <ddeItem name="id188?conid" advise="1">
        <values>
          <value>
            <val>661547</val>
          </value>
        </values>
      </ddeItem>
      <ddeItem name="id188?marketName" advise="1">
        <values>
          <value t="str">
            <val>PPL</val>
          </value>
        </values>
      </ddeItem>
      <ddeItem name="id188?minTick" advise="1">
        <values>
          <value>
            <val>0.01</val>
          </value>
        </values>
      </ddeItem>
      <ddeItem name="id188?multiplier" advise="1">
        <values>
          <value t="nil">
            <val>1</val>
          </value>
        </values>
      </ddeItem>
      <ddeItem name="id18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88?req?PPL_STK_SMART_USD_~/" advise="1">
        <values>
          <value t="nil">
            <val>1</val>
          </value>
        </values>
      </ddeItem>
      <ddeItem name="id188?tradingClass" advise="1">
        <values>
          <value t="str">
            <val>PPL</val>
          </value>
        </values>
      </ddeItem>
      <ddeItem name="id188?validExchanges" advise="1">
        <values>
          <value t="str">
            <val>SMART,NYSE,CBOE,ISE,CHX,ARCA,ISLAND,VWAP,DRCTEDGE,NSX,BEX,BATS,EDGEA,CSFBALGO,JEFFALGO,BYX,IEX,TPLUS2,PSX</val>
          </value>
        </values>
      </ddeItem>
      <ddeItem name="id189?conid" advise="1">
        <values>
          <value>
            <val>11017</val>
          </value>
        </values>
      </ddeItem>
      <ddeItem name="id189?marketName" advise="1">
        <values>
          <value t="str">
            <val>PEP</val>
          </value>
        </values>
      </ddeItem>
      <ddeItem name="id189?minTick" advise="1">
        <values>
          <value>
            <val>0.01</val>
          </value>
        </values>
      </ddeItem>
      <ddeItem name="id189?multiplier" advise="1">
        <values>
          <value t="nil">
            <val>1</val>
          </value>
        </values>
      </ddeItem>
      <ddeItem name="id18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89?req?PEP_STK_SMART_USD_~/" advise="1">
        <values>
          <value t="nil">
            <val>1</val>
          </value>
        </values>
      </ddeItem>
      <ddeItem name="id189?tradingClass" advise="1">
        <values>
          <value t="str">
            <val>PEP</val>
          </value>
        </values>
      </ddeItem>
      <ddeItem name="id189?validExchanges" advise="1">
        <values>
          <value t="str">
            <val>SMART,NYSE,CBOE,ISE,CHX,ARCA,ISLAND,VWAP,DRCTEDGE,NSX,BEX,BATS,EDGEA,CSFBALGO,JEFFALGO,BYX,IEX,TPLUS2,PSX</val>
          </value>
        </values>
      </ddeItem>
      <ddeItem name="id19?conid" advise="1">
        <values>
          <value>
            <val>267455</val>
          </value>
        </values>
      </ddeItem>
      <ddeItem name="id19?marketName" advise="1">
        <values>
          <value t="str">
            <val>NMS</val>
          </value>
        </values>
      </ddeItem>
      <ddeItem name="id19?minTick" advise="1">
        <values>
          <value>
            <val>0.01</val>
          </value>
        </values>
      </ddeItem>
      <ddeItem name="id19?multiplier" advise="1">
        <values>
          <value t="nil">
            <val>1</val>
          </value>
        </values>
      </ddeItem>
      <ddeItem name="id1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9?req?CELG_STK_SMART_USD_~/" advise="1">
        <values>
          <value t="nil">
            <val>1</val>
          </value>
        </values>
      </ddeItem>
      <ddeItem name="id19?tradingClass" advise="1">
        <values>
          <value t="str">
            <val>NMS</val>
          </value>
        </values>
      </ddeItem>
      <ddeItem name="id19?validExchanges" advise="1">
        <values>
          <value t="str">
            <val>SMART,CBOE,ISE,CHX,ARCA,ISLAND,VWAP,DRCTEDGE,NSX,BEX,BATS,EDGEA,CSFBALGO,JEFFALGO,BYX,IEX,TPLUS2,PSX</val>
          </value>
        </values>
      </ddeItem>
      <ddeItem name="id190?conid" advise="1">
        <values>
          <value>
            <val>11031</val>
          </value>
        </values>
      </ddeItem>
      <ddeItem name="id190?marketName" advise="1">
        <values>
          <value t="str">
            <val>PFE</val>
          </value>
        </values>
      </ddeItem>
      <ddeItem name="id190?minTick" advise="1">
        <values>
          <value>
            <val>0.01</val>
          </value>
        </values>
      </ddeItem>
      <ddeItem name="id190?multiplier" advise="1">
        <values>
          <value t="nil">
            <val>1</val>
          </value>
        </values>
      </ddeItem>
      <ddeItem name="id19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90?req?PFE_STK_SMART_USD_~/" advise="1">
        <values>
          <value t="nil">
            <val>1</val>
          </value>
        </values>
      </ddeItem>
      <ddeItem name="id190?tradingClass" advise="1">
        <values>
          <value t="str">
            <val>PFE</val>
          </value>
        </values>
      </ddeItem>
      <ddeItem name="id190?validExchanges" advise="1">
        <values>
          <value t="str">
            <val>SMART,NYSE,CBOE,ISE,CHX,ARCA,ISLAND,DRCTEDGE,NSX,BEX,BATS,EDGEA,CSFBALGO,JEFFALGO,BYX,IEX,TPLUS2,PSX</val>
          </value>
        </values>
      </ddeItem>
      <ddeItem name="id191?conid" advise="1">
        <values>
          <value>
            <val>10885</val>
          </value>
        </values>
      </ddeItem>
      <ddeItem name="id191?marketName" advise="1">
        <values>
          <value t="str">
            <val>COP</val>
          </value>
        </values>
      </ddeItem>
      <ddeItem name="id191?minTick" advise="1">
        <values>
          <value>
            <val>0.01</val>
          </value>
        </values>
      </ddeItem>
      <ddeItem name="id191?multiplier" advise="1">
        <values>
          <value t="nil">
            <val>1</val>
          </value>
        </values>
      </ddeItem>
      <ddeItem name="id19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91?req?COP_STK_SMART_USD_~/" advise="1">
        <values>
          <value t="nil">
            <val>1</val>
          </value>
        </values>
      </ddeItem>
      <ddeItem name="id191?tradingClass" advise="1">
        <values>
          <value t="str">
            <val>COP</val>
          </value>
        </values>
      </ddeItem>
      <ddeItem name="id191?validExchanges" advise="1">
        <values>
          <value t="str">
            <val>SMART,NYSE,CBOE,ISE,CHX,ARCA,ISLAND,VWAP,DRCTEDGE,NSX,BEX,BATS,EDGEA,CSFBALGO,JEFFALGO,BYX,IEX,TPLUS2,PSX</val>
          </value>
        </values>
      </ddeItem>
      <ddeItem name="id192?conid" advise="1">
        <values>
          <value>
            <val>2586035</val>
          </value>
        </values>
      </ddeItem>
      <ddeItem name="id192?marketName" advise="1">
        <values>
          <value t="str">
            <val>PCG</val>
          </value>
        </values>
      </ddeItem>
      <ddeItem name="id192?minTick" advise="1">
        <values>
          <value>
            <val>0.01</val>
          </value>
        </values>
      </ddeItem>
      <ddeItem name="id192?multiplier" advise="1">
        <values>
          <value t="nil">
            <val>1</val>
          </value>
        </values>
      </ddeItem>
      <ddeItem name="id19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92?req?PCG_STK_SMART_USD_~/" advise="1">
        <values>
          <value t="nil">
            <val>1</val>
          </value>
        </values>
      </ddeItem>
      <ddeItem name="id192?tradingClass" advise="1">
        <values>
          <value t="str">
            <val>PCG</val>
          </value>
        </values>
      </ddeItem>
      <ddeItem name="id192?validExchanges" advise="1">
        <values>
          <value t="str">
            <val>SMART,NYSE,CBOE,ISE,CHX,ARCA,ISLAND,VWAP,DRCTEDGE,NSX,BEX,BATS,EDGEA,CSFBALGO,JEFFALGO,BYX,IEX,TPLUS2,PSX</val>
          </value>
        </values>
      </ddeItem>
      <ddeItem name="id193?conid" advise="1">
        <values>
          <value>
            <val>10920</val>
          </value>
        </values>
      </ddeItem>
      <ddeItem name="id193?marketName" advise="1">
        <values>
          <value t="str">
            <val>PBI</val>
          </value>
        </values>
      </ddeItem>
      <ddeItem name="id193?minTick" advise="1">
        <values>
          <value>
            <val>0.01</val>
          </value>
        </values>
      </ddeItem>
      <ddeItem name="id193?multiplier" advise="1">
        <values>
          <value t="nil">
            <val>1</val>
          </value>
        </values>
      </ddeItem>
      <ddeItem name="id19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93?req?PBI_STK_SMART_USD_~/" advise="1">
        <values>
          <value t="nil">
            <val>1</val>
          </value>
        </values>
      </ddeItem>
      <ddeItem name="id193?tradingClass" advise="1">
        <values>
          <value t="str">
            <val>PBI</val>
          </value>
        </values>
      </ddeItem>
      <ddeItem name="id193?validExchanges" advise="1">
        <values>
          <value t="str">
            <val>SMART,NYSE,CBOE,ISE,CHX,ARCA,ISLAND,VWAP,DRCTEDGE,NSX,BEX,BATS,EDGEA,CSFBALGO,JEFFALGO,BYX,IEX,TPLUS2,PSX</val>
          </value>
        </values>
      </ddeItem>
      <ddeItem name="id194?conid" advise="1">
        <values>
          <value>
            <val>3142097</val>
          </value>
        </values>
      </ddeItem>
      <ddeItem name="id194?marketName" advise="1">
        <values>
          <value t="str">
            <val>PXD</val>
          </value>
        </values>
      </ddeItem>
      <ddeItem name="id194?minTick" advise="1">
        <values>
          <value>
            <val>0.01</val>
          </value>
        </values>
      </ddeItem>
      <ddeItem name="id194?multiplier" advise="1">
        <values>
          <value t="nil">
            <val>1</val>
          </value>
        </values>
      </ddeItem>
      <ddeItem name="id19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94?req?PXD_STK_SMART_USD_~/" advise="1">
        <values>
          <value t="nil">
            <val>1</val>
          </value>
        </values>
      </ddeItem>
      <ddeItem name="id194?tradingClass" advise="1">
        <values>
          <value t="str">
            <val>PXD</val>
          </value>
        </values>
      </ddeItem>
      <ddeItem name="id194?validExchanges" advise="1">
        <values>
          <value t="str">
            <val>SMART,NYSE,CBOE,ISE,CHX,ARCA,ISLAND,DRCTEDGE,NSX,BEX,BATS,EDGEA,CSFBALGO,JEFFALGO,BYX,IEX,TPLUS2,PSX</val>
          </value>
        </values>
      </ddeItem>
      <ddeItem name="id195?conid" advise="1">
        <values>
          <value>
            <val>9769</val>
          </value>
        </values>
      </ddeItem>
      <ddeItem name="id195?marketName" advise="1">
        <values>
          <value t="str">
            <val>MO</val>
          </value>
        </values>
      </ddeItem>
      <ddeItem name="id195?minTick" advise="1">
        <values>
          <value>
            <val>0.01</val>
          </value>
        </values>
      </ddeItem>
      <ddeItem name="id195?multiplier" advise="1">
        <values>
          <value t="nil">
            <val>1</val>
          </value>
        </values>
      </ddeItem>
      <ddeItem name="id19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95?req?MO_STK_SMART_USD_~/" advise="1">
        <values>
          <value t="nil">
            <val>1</val>
          </value>
        </values>
      </ddeItem>
      <ddeItem name="id195?tradingClass" advise="1">
        <values>
          <value t="str">
            <val>MO</val>
          </value>
        </values>
      </ddeItem>
      <ddeItem name="id195?validExchanges" advise="1">
        <values>
          <value t="str">
            <val>SMART,NYSE,CBOE,ISE,CHX,ARCA,ISLAND,VWAP,DRCTEDGE,NSX,BEX,BATS,EDGEA,CSFBALGO,JEFFALGO,BYX,IEX,TPLUS2,PSX</val>
          </value>
        </values>
      </ddeItem>
      <ddeItem name="id196?conid" advise="1">
        <values>
          <value>
            <val>11240</val>
          </value>
        </values>
      </ddeItem>
      <ddeItem name="id196?marketName" advise="1">
        <values>
          <value t="str">
            <val>PNC</val>
          </value>
        </values>
      </ddeItem>
      <ddeItem name="id196?minTick" advise="1">
        <values>
          <value>
            <val>0.01</val>
          </value>
        </values>
      </ddeItem>
      <ddeItem name="id196?multiplier" advise="1">
        <values>
          <value t="nil">
            <val>1</val>
          </value>
        </values>
      </ddeItem>
      <ddeItem name="id19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96?req?PNC_STK_SMART_USD_~/" advise="1">
        <values>
          <value t="nil">
            <val>1</val>
          </value>
        </values>
      </ddeItem>
      <ddeItem name="id196?tradingClass" advise="1">
        <values>
          <value t="str">
            <val>PNC</val>
          </value>
        </values>
      </ddeItem>
      <ddeItem name="id196?validExchanges" advise="1">
        <values>
          <value t="str">
            <val>SMART,NYSE,CBOE,ISE,CHX,ARCA,ISLAND,VWAP,DRCTEDGE,NSX,BEX,BATS,EDGEA,CSFBALGO,JEFFALGO,BYX,IEX,TPLUS2,PSX</val>
          </value>
        </values>
      </ddeItem>
      <ddeItem name="id197?conid" advise="1">
        <values>
          <value>
            <val>11070844</val>
          </value>
        </values>
      </ddeItem>
      <ddeItem name="id197?marketName" advise="1">
        <values>
          <value t="str">
            <val>AET</val>
          </value>
        </values>
      </ddeItem>
      <ddeItem name="id197?minTick" advise="1">
        <values>
          <value>
            <val>0.01</val>
          </value>
        </values>
      </ddeItem>
      <ddeItem name="id197?multiplier" advise="1">
        <values>
          <value t="nil">
            <val>1</val>
          </value>
        </values>
      </ddeItem>
      <ddeItem name="id19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97?req?AET_STK_SMART_USD_~/" advise="1">
        <values>
          <value t="nil">
            <val>1</val>
          </value>
        </values>
      </ddeItem>
      <ddeItem name="id197?tradingClass" advise="1">
        <values>
          <value t="str">
            <val>AET</val>
          </value>
        </values>
      </ddeItem>
      <ddeItem name="id197?validExchanges" advise="1">
        <values>
          <value t="str">
            <val>SMART,NYSE,CBOE,ISE,CHX,ARCA,ISLAND,VWAP,DRCTEDGE,NSX,BEX,BATS,EDGEA,CSFBALGO,JEFFALGO,BYX,IEX,TPLUS2,PSX</val>
          </value>
        </values>
      </ddeItem>
      <ddeItem name="id198?conid" advise="1">
        <values>
          <value>
            <val>11218575</val>
          </value>
        </values>
      </ddeItem>
      <ddeItem name="id198?marketName" advise="1">
        <values>
          <value t="str">
            <val>FLR</val>
          </value>
        </values>
      </ddeItem>
      <ddeItem name="id198?minTick" advise="1">
        <values>
          <value>
            <val>0.01</val>
          </value>
        </values>
      </ddeItem>
      <ddeItem name="id198?multiplier" advise="1">
        <values>
          <value t="nil">
            <val>1</val>
          </value>
        </values>
      </ddeItem>
      <ddeItem name="id19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98?req?FLR_STK_SMART_USD_~/" advise="1">
        <values>
          <value t="nil">
            <val>1</val>
          </value>
        </values>
      </ddeItem>
      <ddeItem name="id198?tradingClass" advise="1">
        <values>
          <value t="str">
            <val>FLR</val>
          </value>
        </values>
      </ddeItem>
      <ddeItem name="id198?validExchanges" advise="1">
        <values>
          <value t="str">
            <val>SMART,NYSE,CBOE,ISE,CHX,ARCA,ISLAND,VWAP,DRCTEDGE,NSX,BEX,BATS,EDGEA,CSFBALGO,JEFFALGO,BYX,IEX,TPLUS2,PSX</val>
          </value>
        </values>
      </ddeItem>
      <ddeItem name="id199?conid" advise="1">
        <values>
          <value>
            <val>11295</val>
          </value>
        </values>
      </ddeItem>
      <ddeItem name="id199?marketName" advise="1">
        <values>
          <value t="str">
            <val>PPG</val>
          </value>
        </values>
      </ddeItem>
      <ddeItem name="id199?minTick" advise="1">
        <values>
          <value>
            <val>0.01</val>
          </value>
        </values>
      </ddeItem>
      <ddeItem name="id199?multiplier" advise="1">
        <values>
          <value t="nil">
            <val>1</val>
          </value>
        </values>
      </ddeItem>
      <ddeItem name="id19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199?req?PPG_STK_SMART_USD_~/" advise="1">
        <values>
          <value t="nil">
            <val>1</val>
          </value>
        </values>
      </ddeItem>
      <ddeItem name="id199?tradingClass" advise="1">
        <values>
          <value t="str">
            <val>PPG</val>
          </value>
        </values>
      </ddeItem>
      <ddeItem name="id199?validExchanges" advise="1">
        <values>
          <value t="str">
            <val>SMART,NYSE,CBOE,ISE,CHX,ARCA,ISLAND,VWAP,DRCTEDGE,NSX,BEX,BATS,EDGEA,CSFBALGO,JEFFALGO,BYX,IEX,TPLUS2,PSX</val>
          </value>
        </values>
      </ddeItem>
      <ddeItem name="id2?conid" advise="1">
        <values>
          <value>
            <val>5111</val>
          </value>
        </values>
      </ddeItem>
      <ddeItem name="id2?marketName" advise="1">
        <values>
          <value t="str">
            <val>BMY</val>
          </value>
        </values>
      </ddeItem>
      <ddeItem name="id2?minTick" advise="1">
        <values>
          <value>
            <val>0.01</val>
          </value>
        </values>
      </ddeItem>
      <ddeItem name="id2?multiplier" advise="1">
        <values>
          <value t="nil">
            <val>1</val>
          </value>
        </values>
      </ddeItem>
      <ddeItem name="id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req?BMY_STK_SMART_USD_~/" advise="1">
        <values>
          <value t="nil">
            <val>1</val>
          </value>
        </values>
      </ddeItem>
      <ddeItem name="id2?req?YHOO_STK_SMART_USD_~/" advise="1">
        <values>
          <value t="nil">
            <val>1</val>
          </value>
        </values>
      </ddeItem>
      <ddeItem name="id2?tradingClass" advise="1">
        <values>
          <value t="str">
            <val>BMY</val>
          </value>
        </values>
      </ddeItem>
      <ddeItem name="id2?validExchanges" advise="1">
        <values>
          <value t="str">
            <val>SMART,NYSE,CBOE,ISE,CHX,ARCA,ISLAND,VWAP,DRCTEDGE,NSX,BEX,BATS,EDGEA,CSFBALGO,JEFFALGO,BYX,IEX,TPLUS2,PSX</val>
          </value>
        </values>
      </ddeItem>
      <ddeItem name="id20?conid" advise="1">
        <values>
          <value>
            <val>1767080</val>
          </value>
        </values>
      </ddeItem>
      <ddeItem name="id20?marketName" advise="1">
        <values>
          <value t="str">
            <val>NMS</val>
          </value>
        </values>
      </ddeItem>
      <ddeItem name="id20?minTick" advise="1">
        <values>
          <value>
            <val>0.01</val>
          </value>
        </values>
      </ddeItem>
      <ddeItem name="id20?multiplier" advise="1">
        <values>
          <value t="nil">
            <val>1</val>
          </value>
        </values>
      </ddeItem>
      <ddeItem name="id2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0?req?CTXS_STK_SMART_USD_~/" advise="1">
        <values>
          <value t="nil">
            <val>1</val>
          </value>
        </values>
      </ddeItem>
      <ddeItem name="id20?tradingClass" advise="1">
        <values>
          <value t="str">
            <val>NMS</val>
          </value>
        </values>
      </ddeItem>
      <ddeItem name="id20?validExchanges" advise="1">
        <values>
          <value t="str">
            <val>SMART,CBOE,ISE,CHX,ARCA,ISLAND,VWAP,DRCTEDGE,NSX,BEX,BATS,EDGEA,CSFBALGO,JEFFALGO,BYX,IEX,TPLUS2,PSX</val>
          </value>
        </values>
      </ddeItem>
      <ddeItem name="id200?conid" advise="1">
        <values>
          <value>
            <val>11450</val>
          </value>
        </values>
      </ddeItem>
      <ddeItem name="id200?marketName" advise="1">
        <values>
          <value t="str">
            <val>PX</val>
          </value>
        </values>
      </ddeItem>
      <ddeItem name="id200?minTick" advise="1">
        <values>
          <value>
            <val>0.01</val>
          </value>
        </values>
      </ddeItem>
      <ddeItem name="id200?multiplier" advise="1">
        <values>
          <value t="nil">
            <val>1</val>
          </value>
        </values>
      </ddeItem>
      <ddeItem name="id20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00?req?PX_STK_SMART_USD_~/" advise="1">
        <values>
          <value t="nil">
            <val>1</val>
          </value>
        </values>
      </ddeItem>
      <ddeItem name="id200?tradingClass" advise="1">
        <values>
          <value t="str">
            <val>PX</val>
          </value>
        </values>
      </ddeItem>
      <ddeItem name="id200?validExchanges" advise="1">
        <values>
          <value t="str">
            <val>SMART,NYSE,CBOE,ISE,CHX,ARCA,ISLAND,VWAP,DRCTEDGE,NSX,BEX,BATS,EDGEA,CSFBALGO,JEFFALGO,BYX,IEX,TPLUS2,PSX</val>
          </value>
        </values>
      </ddeItem>
      <ddeItem name="id201?conid" advise="1">
        <values>
          <value>
            <val>272997</val>
          </value>
        </values>
      </ddeItem>
      <ddeItem name="id201?marketName" advise="1">
        <values>
          <value t="str">
            <val>NMS</val>
          </value>
        </values>
      </ddeItem>
      <ddeItem name="id201?minTick" advise="1">
        <values>
          <value>
            <val>0.01</val>
          </value>
        </values>
      </ddeItem>
      <ddeItem name="id201?multiplier" advise="1">
        <values>
          <value t="nil">
            <val>1</val>
          </value>
        </values>
      </ddeItem>
      <ddeItem name="id20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01?req?COST_STK_SMART_USD_~/" advise="1">
        <values>
          <value t="nil">
            <val>1</val>
          </value>
        </values>
      </ddeItem>
      <ddeItem name="id201?tradingClass" advise="1">
        <values>
          <value t="str">
            <val>NMS</val>
          </value>
        </values>
      </ddeItem>
      <ddeItem name="id201?validExchanges" advise="1">
        <values>
          <value t="str">
            <val>SMART,CBOE,ISE,CHX,ARCA,ISLAND,VWAP,DRCTEDGE,NSX,BEX,BATS,EDGEA,CSFBALGO,JEFFALGO,BYX,IEX,TPLUS2,PSX</val>
          </value>
        </values>
      </ddeItem>
      <ddeItem name="id202?conid" advise="1">
        <values>
          <value>
            <val>275321</val>
          </value>
        </values>
      </ddeItem>
      <ddeItem name="id202?marketName" advise="1">
        <values>
          <value t="str">
            <val>NMS</val>
          </value>
        </values>
      </ddeItem>
      <ddeItem name="id202?minTick" advise="1">
        <values>
          <value>
            <val>0.01</val>
          </value>
        </values>
      </ddeItem>
      <ddeItem name="id202?multiplier" advise="1">
        <values>
          <value t="nil">
            <val>1</val>
          </value>
        </values>
      </ddeItem>
      <ddeItem name="id20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02?req?TROW_STK_SMART_USD_~/" advise="1">
        <values>
          <value t="nil">
            <val>1</val>
          </value>
        </values>
      </ddeItem>
      <ddeItem name="id202?tradingClass" advise="1">
        <values>
          <value t="str">
            <val>NMS</val>
          </value>
        </values>
      </ddeItem>
      <ddeItem name="id202?validExchanges" advise="1">
        <values>
          <value t="str">
            <val>SMART,CBOE,ISE,CHX,ARCA,ISLAND,VWAP,DRCTEDGE,NSX,BEX,BATS,EDGEA,CSFBALGO,JEFFALGO,BYX,IEX,TPLUS2,PSX</val>
          </value>
        </values>
      </ddeItem>
      <ddeItem name="id203?conid" advise="1">
        <values>
          <value>
            <val>2459465</val>
          </value>
        </values>
      </ddeItem>
      <ddeItem name="id203?marketName" advise="1">
        <values>
          <value t="str">
            <val>DGX</val>
          </value>
        </values>
      </ddeItem>
      <ddeItem name="id203?minTick" advise="1">
        <values>
          <value>
            <val>0.01</val>
          </value>
        </values>
      </ddeItem>
      <ddeItem name="id203?multiplier" advise="1">
        <values>
          <value t="nil">
            <val>1</val>
          </value>
        </values>
      </ddeItem>
      <ddeItem name="id20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03?req?DGX_STK_SMART_USD_~/" advise="1">
        <values>
          <value t="nil">
            <val>1</val>
          </value>
        </values>
      </ddeItem>
      <ddeItem name="id203?tradingClass" advise="1">
        <values>
          <value t="str">
            <val>DGX</val>
          </value>
        </values>
      </ddeItem>
      <ddeItem name="id203?validExchanges" advise="1">
        <values>
          <value t="str">
            <val>SMART,NYSE,CBOE,ISE,CHX,ARCA,ISLAND,VWAP,DRCTEDGE,NSX,BEX,BATS,EDGEA,CSFBALGO,JEFFALGO,BYX,IEX,TPLUS2,PSX</val>
          </value>
        </values>
      </ddeItem>
      <ddeItem name="id204?conid" advise="1">
        <values>
          <value>
            <val>11054</val>
          </value>
        </values>
      </ddeItem>
      <ddeItem name="id204?marketName" advise="1">
        <values>
          <value t="str">
            <val>PG</val>
          </value>
        </values>
      </ddeItem>
      <ddeItem name="id204?minTick" advise="1">
        <values>
          <value>
            <val>0.01</val>
          </value>
        </values>
      </ddeItem>
      <ddeItem name="id204?multiplier" advise="1">
        <values>
          <value t="nil">
            <val>1</val>
          </value>
        </values>
      </ddeItem>
      <ddeItem name="id20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04?req?PG_STK_SMART_USD_~/" advise="1">
        <values>
          <value t="nil">
            <val>1</val>
          </value>
        </values>
      </ddeItem>
      <ddeItem name="id204?tradingClass" advise="1">
        <values>
          <value t="str">
            <val>PG</val>
          </value>
        </values>
      </ddeItem>
      <ddeItem name="id204?validExchanges" advise="1">
        <values>
          <value t="str">
            <val>SMART,NYSE,CBOE,ISE,CHX,ARCA,ISLAND,VWAP,DRCTEDGE,NSX,BEX,BATS,EDGEA,CSFBALGO,JEFFALGO,BYX,IEX,TPLUS2,PSX</val>
          </value>
        </values>
      </ddeItem>
      <ddeItem name="id205?conid" advise="1">
        <values>
          <value>
            <val>11080</val>
          </value>
        </values>
      </ddeItem>
      <ddeItem name="id205?marketName" advise="1">
        <values>
          <value t="str">
            <val>PGR</val>
          </value>
        </values>
      </ddeItem>
      <ddeItem name="id205?minTick" advise="1">
        <values>
          <value>
            <val>0.01</val>
          </value>
        </values>
      </ddeItem>
      <ddeItem name="id205?multiplier" advise="1">
        <values>
          <value t="nil">
            <val>1</val>
          </value>
        </values>
      </ddeItem>
      <ddeItem name="id20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05?req?PGR_STK_SMART_USD_~/" advise="1">
        <values>
          <value t="nil">
            <val>1</val>
          </value>
        </values>
      </ddeItem>
      <ddeItem name="id205?tradingClass" advise="1">
        <values>
          <value t="str">
            <val>PGR</val>
          </value>
        </values>
      </ddeItem>
      <ddeItem name="id205?validExchanges" advise="1">
        <values>
          <value t="str">
            <val>SMART,NYSE,CBOE,ISE,CHX,ARCA,ISLAND,VWAP,DRCTEDGE,NSX,BEX,BATS,EDGEA,CSFBALGO,JEFFALGO,BYX,IEX,TPLUS2,PSX</val>
          </value>
        </values>
      </ddeItem>
      <ddeItem name="id206?conid" advise="1">
        <values>
          <value>
            <val>11005</val>
          </value>
        </values>
      </ddeItem>
      <ddeItem name="id206?marketName" advise="1">
        <values>
          <value t="str">
            <val>PEG</val>
          </value>
        </values>
      </ddeItem>
      <ddeItem name="id206?minTick" advise="1">
        <values>
          <value>
            <val>0.01</val>
          </value>
        </values>
      </ddeItem>
      <ddeItem name="id206?multiplier" advise="1">
        <values>
          <value t="nil">
            <val>1</val>
          </value>
        </values>
      </ddeItem>
      <ddeItem name="id20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06?req?PEG_STK_SMART_USD_~/" advise="1">
        <values>
          <value t="nil">
            <val>1</val>
          </value>
        </values>
      </ddeItem>
      <ddeItem name="id206?tradingClass" advise="1">
        <values>
          <value t="str">
            <val>PEG</val>
          </value>
        </values>
      </ddeItem>
      <ddeItem name="id206?validExchanges" advise="1">
        <values>
          <value t="str">
            <val>SMART,NYSE,CBOE,ISE,CHX,ARCA,ISLAND,VWAP,DRCTEDGE,NSX,BEX,BATS,EDGEA,CSFBALGO,JEFFALGO,BYX,IEX,TPLUS2,PSX</val>
          </value>
        </values>
      </ddeItem>
      <ddeItem name="id207?conid" advise="1">
        <values>
          <value>
            <val>11109</val>
          </value>
        </values>
      </ddeItem>
      <ddeItem name="id207?marketName" advise="1">
        <values>
          <value t="str">
            <val>PHM</val>
          </value>
        </values>
      </ddeItem>
      <ddeItem name="id207?minTick" advise="1">
        <values>
          <value>
            <val>0.01</val>
          </value>
        </values>
      </ddeItem>
      <ddeItem name="id207?multiplier" advise="1">
        <values>
          <value t="nil">
            <val>1</val>
          </value>
        </values>
      </ddeItem>
      <ddeItem name="id20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07?req?PHM_STK_SMART_USD_~/" advise="1">
        <values>
          <value t="nil">
            <val>1</val>
          </value>
        </values>
      </ddeItem>
      <ddeItem name="id207?tradingClass" advise="1">
        <values>
          <value t="str">
            <val>PHM</val>
          </value>
        </values>
      </ddeItem>
      <ddeItem name="id207?validExchanges" advise="1">
        <values>
          <value t="str">
            <val>SMART,NYSE,CBOE,ISE,CHX,ARCA,ISLAND,VWAP,DRCTEDGE,NSX,BEX,BATS,EDGEA,CSFBALGO,JEFFALGO,BYX,IEX,TPLUS2,PSX</val>
          </value>
        </values>
      </ddeItem>
      <ddeItem name="id208?conid" advise="1">
        <values>
          <value>
            <val>273544</val>
          </value>
        </values>
      </ddeItem>
      <ddeItem name="id208?marketName" advise="1">
        <values>
          <value t="str">
            <val>NMS</val>
          </value>
        </values>
      </ddeItem>
      <ddeItem name="id208?minTick" advise="1">
        <values>
          <value>
            <val>0.01</val>
          </value>
        </values>
      </ddeItem>
      <ddeItem name="id208?multiplier" advise="1">
        <values>
          <value t="nil">
            <val>1</val>
          </value>
        </values>
      </ddeItem>
      <ddeItem name="id20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08?req?QCOM_STK_SMART_USD_~/" advise="1">
        <values>
          <value t="nil">
            <val>1</val>
          </value>
        </values>
      </ddeItem>
      <ddeItem name="id208?tradingClass" advise="1">
        <values>
          <value t="str">
            <val>NMS</val>
          </value>
        </values>
      </ddeItem>
      <ddeItem name="id208?validExchanges" advise="1">
        <values>
          <value t="str">
            <val>SMART,CBOE,ISE,CHX,ARCA,ISLAND,VWAP,DRCTEDGE,NSX,BEX,BATS,EDGEA,CSFBALGO,JEFFALGO,BYX,IEX,TPLUS2,PSX</val>
          </value>
        </values>
      </ddeItem>
      <ddeItem name="id209?conid" advise="1">
        <values>
          <value>
            <val>10672</val>
          </value>
        </values>
      </ddeItem>
      <ddeItem name="id209?marketName" advise="1">
        <values>
          <value t="str">
            <val>O</val>
          </value>
        </values>
      </ddeItem>
      <ddeItem name="id209?minTick" advise="1">
        <values>
          <value>
            <val>0.01</val>
          </value>
        </values>
      </ddeItem>
      <ddeItem name="id209?multiplier" advise="1">
        <values>
          <value t="nil">
            <val>1</val>
          </value>
        </values>
      </ddeItem>
      <ddeItem name="id20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09?req?O_STK_SMART_USD_~/" advise="1">
        <values>
          <value t="nil">
            <val>1</val>
          </value>
        </values>
      </ddeItem>
      <ddeItem name="id209?tradingClass" advise="1">
        <values>
          <value t="str">
            <val>O</val>
          </value>
        </values>
      </ddeItem>
      <ddeItem name="id209?validExchanges" advise="1">
        <values>
          <value t="str">
            <val>SMART,NYSE,CBOE,ISE,CHX,ARCA,ISLAND,DRCTEDGE,NSX,BEX,BATS,EDGEA,CSFBALGO,JEFFALGO,BYX,IEX,TPLUS2,PSX</val>
          </value>
        </values>
      </ddeItem>
      <ddeItem name="id21?conid" advise="1">
        <values>
          <value>
            <val>6180</val>
          </value>
        </values>
      </ddeItem>
      <ddeItem name="id21?marketName" advise="1">
        <values>
          <value t="str">
            <val>CTL</val>
          </value>
        </values>
      </ddeItem>
      <ddeItem name="id21?minTick" advise="1">
        <values>
          <value>
            <val>0.01</val>
          </value>
        </values>
      </ddeItem>
      <ddeItem name="id21?multiplier" advise="1">
        <values>
          <value t="nil">
            <val>1</val>
          </value>
        </values>
      </ddeItem>
      <ddeItem name="id2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1?req?CTL_STK_SMART_USD_~/" advise="1">
        <values>
          <value t="nil">
            <val>1</val>
          </value>
        </values>
      </ddeItem>
      <ddeItem name="id21?tradingClass" advise="1">
        <values>
          <value t="str">
            <val>CTL</val>
          </value>
        </values>
      </ddeItem>
      <ddeItem name="id21?validExchanges" advise="1">
        <values>
          <value t="str">
            <val>SMART,NYSE,CBOE,ISE,CHX,ARCA,ISLAND,VWAP,DRCTEDGE,NSX,BEX,BATS,EDGEA,CSFBALGO,JEFFALGO,BYX,IEX,TPLUS2,PSX</val>
          </value>
        </values>
      </ddeItem>
      <ddeItem name="id210?conid" advise="1">
        <values>
          <value>
            <val>273733</val>
          </value>
        </values>
      </ddeItem>
      <ddeItem name="id210?marketName" advise="1">
        <values>
          <value t="str">
            <val>NMS</val>
          </value>
        </values>
      </ddeItem>
      <ddeItem name="id210?minTick" advise="1">
        <values>
          <value>
            <val>0.01</val>
          </value>
        </values>
      </ddeItem>
      <ddeItem name="id210?multiplier" advise="1">
        <values>
          <value t="nil">
            <val>1</val>
          </value>
        </values>
      </ddeItem>
      <ddeItem name="id21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10?req?REGN_STK_SMART_USD_~/" advise="1">
        <values>
          <value t="nil">
            <val>1</val>
          </value>
        </values>
      </ddeItem>
      <ddeItem name="id210?tradingClass" advise="1">
        <values>
          <value t="str">
            <val>NMS</val>
          </value>
        </values>
      </ddeItem>
      <ddeItem name="id210?validExchanges" advise="1">
        <values>
          <value t="str">
            <val>SMART,CBOE,ISE,CHX,ARCA,ISLAND,DRCTEDGE,NSX,BEX,BATS,EDGEA,CSFBALGO,JEFFALGO,BYX,IEX,TPLUS2,PSX</val>
          </value>
        </values>
      </ddeItem>
      <ddeItem name="id211?conid" advise="1">
        <values>
          <value>
            <val>4528615</val>
          </value>
        </values>
      </ddeItem>
      <ddeItem name="id211?marketName" advise="1">
        <values>
          <value t="str">
            <val>AN</val>
          </value>
        </values>
      </ddeItem>
      <ddeItem name="id211?minTick" advise="1">
        <values>
          <value>
            <val>0.01</val>
          </value>
        </values>
      </ddeItem>
      <ddeItem name="id211?multiplier" advise="1">
        <values>
          <value t="nil">
            <val>1</val>
          </value>
        </values>
      </ddeItem>
      <ddeItem name="id21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11?req?AN_STK_SMART_USD_~/" advise="1">
        <values>
          <value t="nil">
            <val>1</val>
          </value>
        </values>
      </ddeItem>
      <ddeItem name="id211?tradingClass" advise="1">
        <values>
          <value t="str">
            <val>AN</val>
          </value>
        </values>
      </ddeItem>
      <ddeItem name="id211?validExchanges" advise="1">
        <values>
          <value t="str">
            <val>SMART,NYSE,CBOE,ISE,CHX,ARCA,ISLAND,VWAP,DRCTEDGE,NSX,BEX,BATS,EDGEA,CSFBALGO,JEFFALGO,BYX,IEX,TPLUS2,PSX</val>
          </value>
        </values>
      </ddeItem>
      <ddeItem name="id212?conid" advise="1">
        <values>
          <value>
            <val>11669769</val>
          </value>
        </values>
      </ddeItem>
      <ddeItem name="id212?marketName" advise="1">
        <values>
          <value t="str">
            <val>USB</val>
          </value>
        </values>
      </ddeItem>
      <ddeItem name="id212?minTick" advise="1">
        <values>
          <value>
            <val>0.01</val>
          </value>
        </values>
      </ddeItem>
      <ddeItem name="id212?multiplier" advise="1">
        <values>
          <value t="nil">
            <val>1</val>
          </value>
        </values>
      </ddeItem>
      <ddeItem name="id21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12?req?USB_STK_SMART_USD_~/" advise="1">
        <values>
          <value t="nil">
            <val>1</val>
          </value>
        </values>
      </ddeItem>
      <ddeItem name="id212?tradingClass" advise="1">
        <values>
          <value t="str">
            <val>USB</val>
          </value>
        </values>
      </ddeItem>
      <ddeItem name="id212?validExchanges" advise="1">
        <values>
          <value t="str">
            <val>SMART,NYSE,CBOE,ISE,CHX,ARCA,ISLAND,VWAP,DRCTEDGE,NSX,BEX,BATS,EDGEA,CSFBALGO,JEFFALGO,BYX,IEX,TPLUS2,PSX</val>
          </value>
        </values>
      </ddeItem>
      <ddeItem name="id213?conid" advise="1">
        <values>
          <value>
            <val>273939</val>
          </value>
        </values>
      </ddeItem>
      <ddeItem name="id213?marketName" advise="1">
        <values>
          <value t="str">
            <val>NMS</val>
          </value>
        </values>
      </ddeItem>
      <ddeItem name="id213?minTick" advise="1">
        <values>
          <value>
            <val>0.01</val>
          </value>
        </values>
      </ddeItem>
      <ddeItem name="id213?multiplier" advise="1">
        <values>
          <value t="nil">
            <val>1</val>
          </value>
        </values>
      </ddeItem>
      <ddeItem name="id21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13?req?ROST_STK_SMART_USD_~/" advise="1">
        <values>
          <value t="nil">
            <val>1</val>
          </value>
        </values>
      </ddeItem>
      <ddeItem name="id213?tradingClass" advise="1">
        <values>
          <value t="str">
            <val>NMS</val>
          </value>
        </values>
      </ddeItem>
      <ddeItem name="id213?validExchanges" advise="1">
        <values>
          <value t="str">
            <val>SMART,CBOE,ISE,CHX,ARCA,ISLAND,VWAP,DRCTEDGE,NSX,BEX,BATS,EDGEA,CSFBALGO,JEFFALGO,BYX,IEX,TPLUS2,PSX</val>
          </value>
        </values>
      </ddeItem>
      <ddeItem name="id214?conid" advise="1">
        <values>
          <value>
            <val>2585629</val>
          </value>
        </values>
      </ddeItem>
      <ddeItem name="id214?marketName" advise="1">
        <values>
          <value t="str">
            <val>ROP</val>
          </value>
        </values>
      </ddeItem>
      <ddeItem name="id214?minTick" advise="1">
        <values>
          <value>
            <val>0.01</val>
          </value>
        </values>
      </ddeItem>
      <ddeItem name="id214?multiplier" advise="1">
        <values>
          <value t="nil">
            <val>1</val>
          </value>
        </values>
      </ddeItem>
      <ddeItem name="id21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14?req?ROP_STK_SMART_USD_~/" advise="1">
        <values>
          <value t="nil">
            <val>1</val>
          </value>
        </values>
      </ddeItem>
      <ddeItem name="id214?tradingClass" advise="1">
        <values>
          <value t="str">
            <val>ROP</val>
          </value>
        </values>
      </ddeItem>
      <ddeItem name="id214?validExchanges" advise="1">
        <values>
          <value t="str">
            <val>SMART,NYSE,CBOE,ISE,CHX,ARCA,ISLAND,DRCTEDGE,NSX,BEX,BATS,EDGEA,CSFBALGO,JEFFALGO,BYX,IEX,TPLUS2,PSX</val>
          </value>
        </values>
      </ddeItem>
      <ddeItem name="id215?conid" advise="1">
        <values>
          <value>
            <val>11697</val>
          </value>
        </values>
      </ddeItem>
      <ddeItem name="id215?marketName" advise="1">
        <values>
          <value t="str">
            <val>ROK</val>
          </value>
        </values>
      </ddeItem>
      <ddeItem name="id215?minTick" advise="1">
        <values>
          <value>
            <val>0.01</val>
          </value>
        </values>
      </ddeItem>
      <ddeItem name="id215?multiplier" advise="1">
        <values>
          <value t="nil">
            <val>1</val>
          </value>
        </values>
      </ddeItem>
      <ddeItem name="id21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15?req?ROK_STK_SMART_USD_~/" advise="1">
        <values>
          <value t="nil">
            <val>1</val>
          </value>
        </values>
      </ddeItem>
      <ddeItem name="id215?tradingClass" advise="1">
        <values>
          <value t="str">
            <val>ROK</val>
          </value>
        </values>
      </ddeItem>
      <ddeItem name="id215?validExchanges" advise="1">
        <values>
          <value t="str">
            <val>SMART,NYSE,CBOE,ISE,CHX,ARCA,ISLAND,VWAP,DRCTEDGE,NSX,BEX,BATS,EDGEA,CSFBALGO,JEFFALGO,BYX,IEX,TPLUS2,PSX</val>
          </value>
        </values>
      </ddeItem>
      <ddeItem name="id216?conid" advise="1">
        <values>
          <value>
            <val>11520</val>
          </value>
        </values>
      </ddeItem>
      <ddeItem name="id216?marketName" advise="1">
        <values>
          <value t="str">
            <val>RCL</val>
          </value>
        </values>
      </ddeItem>
      <ddeItem name="id216?minTick" advise="1">
        <values>
          <value>
            <val>0.01</val>
          </value>
        </values>
      </ddeItem>
      <ddeItem name="id216?multiplier" advise="1">
        <values>
          <value t="nil">
            <val>1</val>
          </value>
        </values>
      </ddeItem>
      <ddeItem name="id21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16?req?RCL_STK_SMART_USD_~/" advise="1">
        <values>
          <value t="nil">
            <val>1</val>
          </value>
        </values>
      </ddeItem>
      <ddeItem name="id216?tradingClass" advise="1">
        <values>
          <value t="str">
            <val>RCL</val>
          </value>
        </values>
      </ddeItem>
      <ddeItem name="id216?validExchanges" advise="1">
        <values>
          <value t="str">
            <val>SMART,NYSE,CBOE,ISE,CHX,ARCA,ISLAND,DRCTEDGE,NSX,BEX,BATS,EDGEA,CSFBALGO,JEFFALGO,BYX,IEX,TPLUS2,PSX</val>
          </value>
        </values>
      </ddeItem>
      <ddeItem name="id217?conid" advise="1">
        <values>
          <value>
            <val>11758</val>
          </value>
        </values>
      </ddeItem>
      <ddeItem name="id217?marketName" advise="1">
        <values>
          <value t="str">
            <val>RTN</val>
          </value>
        </values>
      </ddeItem>
      <ddeItem name="id217?minTick" advise="1">
        <values>
          <value>
            <val>0.01</val>
          </value>
        </values>
      </ddeItem>
      <ddeItem name="id217?multiplier" advise="1">
        <values>
          <value t="nil">
            <val>1</val>
          </value>
        </values>
      </ddeItem>
      <ddeItem name="id21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17?req?RTN_STK_SMART_USD_~/" advise="1">
        <values>
          <value t="nil">
            <val>1</val>
          </value>
        </values>
      </ddeItem>
      <ddeItem name="id217?tradingClass" advise="1">
        <values>
          <value t="str">
            <val>RTN</val>
          </value>
        </values>
      </ddeItem>
      <ddeItem name="id217?validExchanges" advise="1">
        <values>
          <value t="str">
            <val>SMART,NYSE,CBOE,ISE,CHX,ARCA,ISLAND,VWAP,DRCTEDGE,NSX,BEX,BATS,EDGEA,CSFBALGO,JEFFALGO,BYX,IEX,TPLUS2,PSX</val>
          </value>
        </values>
      </ddeItem>
      <ddeItem name="id218?conid" advise="1">
        <values>
          <value>
            <val>11478</val>
          </value>
        </values>
      </ddeItem>
      <ddeItem name="id218?marketName" advise="1">
        <values>
          <value t="str">
            <val>R</val>
          </value>
        </values>
      </ddeItem>
      <ddeItem name="id218?minTick" advise="1">
        <values>
          <value>
            <val>0.01</val>
          </value>
        </values>
      </ddeItem>
      <ddeItem name="id218?multiplier" advise="1">
        <values>
          <value t="nil">
            <val>1</val>
          </value>
        </values>
      </ddeItem>
      <ddeItem name="id21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18?req?R_STK_SMART_USD_~/" advise="1">
        <values>
          <value t="nil">
            <val>1</val>
          </value>
        </values>
      </ddeItem>
      <ddeItem name="id218?tradingClass" advise="1">
        <values>
          <value t="str">
            <val>R</val>
          </value>
        </values>
      </ddeItem>
      <ddeItem name="id218?validExchanges" advise="1">
        <values>
          <value t="str">
            <val>SMART,NYSE,CBOE,ISE,CHX,ARCA,ISLAND,VWAP,DRCTEDGE,NSX,BEX,BATS,EDGEA,CSFBALGO,JEFFALGO,BYX,IEX,TPLUS2,PSX</val>
          </value>
        </values>
      </ddeItem>
      <ddeItem name="id219?conid" advise="1">
        <values>
          <value>
            <val>12362013</val>
          </value>
        </values>
      </ddeItem>
      <ddeItem name="id219?marketName" advise="1">
        <values>
          <value t="str">
            <val>ADS</val>
          </value>
        </values>
      </ddeItem>
      <ddeItem name="id219?minTick" advise="1">
        <values>
          <value>
            <val>0.01</val>
          </value>
        </values>
      </ddeItem>
      <ddeItem name="id219?multiplier" advise="1">
        <values>
          <value t="nil">
            <val>1</val>
          </value>
        </values>
      </ddeItem>
      <ddeItem name="id21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19?req?ADS_STK_SMART_USD_~/" advise="1">
        <values>
          <value t="nil">
            <val>1</val>
          </value>
        </values>
      </ddeItem>
      <ddeItem name="id219?tradingClass" advise="1">
        <values>
          <value t="str">
            <val>ADS</val>
          </value>
        </values>
      </ddeItem>
      <ddeItem name="id219?validExchanges" advise="1">
        <values>
          <value t="str">
            <val>SMART,NYSE,CBOE,ISE,CHX,ARCA,ISLAND,DRCTEDGE,NSX,BEX,BATS,EDGEA,CSFBALGO,JEFFALGO,BYX,IEX,TPLUS2,PSX</val>
          </value>
        </values>
      </ddeItem>
      <ddeItem name="id22?conid" advise="1">
        <values>
          <value>
            <val>267475</val>
          </value>
        </values>
      </ddeItem>
      <ddeItem name="id22?marketName" advise="1">
        <values>
          <value t="str">
            <val>NMS</val>
          </value>
        </values>
      </ddeItem>
      <ddeItem name="id22?minTick" advise="1">
        <values>
          <value>
            <val>0.01</val>
          </value>
        </values>
      </ddeItem>
      <ddeItem name="id22?multiplier" advise="1">
        <values>
          <value t="nil">
            <val>1</val>
          </value>
        </values>
      </ddeItem>
      <ddeItem name="id2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2?req?CERN_STK_SMART_USD_~/" advise="1">
        <values>
          <value t="nil">
            <val>1</val>
          </value>
        </values>
      </ddeItem>
      <ddeItem name="id22?tradingClass" advise="1">
        <values>
          <value t="str">
            <val>NMS</val>
          </value>
        </values>
      </ddeItem>
      <ddeItem name="id22?validExchanges" advise="1">
        <values>
          <value t="str">
            <val>SMART,CBOE,ISE,CHX,ARCA,ISLAND,VWAP,DRCTEDGE,NSX,BEX,BATS,EDGEA,CSFBALGO,JEFFALGO,BYX,IEX,TPLUS2,PSX</val>
          </value>
        </values>
      </ddeItem>
      <ddeItem name="id220?conid" advise="1">
        <values>
          <value>
            <val>12379601</val>
          </value>
        </values>
      </ddeItem>
      <ddeItem name="id220?marketName" advise="1">
        <values>
          <value t="str">
            <val>FTI</val>
          </value>
        </values>
      </ddeItem>
      <ddeItem name="id220?minTick" advise="1">
        <values>
          <value>
            <val>0.01</val>
          </value>
        </values>
      </ddeItem>
      <ddeItem name="id220?multiplier" advise="1">
        <values>
          <value t="nil">
            <val>1</val>
          </value>
        </values>
      </ddeItem>
      <ddeItem name="id22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20?req?FTI_STK_SMART_USD_~/" advise="1">
        <values>
          <value t="nil">
            <val>1</val>
          </value>
        </values>
      </ddeItem>
      <ddeItem name="id220?tradingClass" advise="1">
        <values>
          <value t="str">
            <val>FTI</val>
          </value>
        </values>
      </ddeItem>
      <ddeItem name="id220?validExchanges" advise="1">
        <values>
          <value t="str">
            <val>SMART,NYSE,CBOE,ISE,CHX,ARCA,ISLAND,VWAP,DRCTEDGE,NSX,BEX,BATS,EDGEA,CSFBALGO,JEFFALGO,BYX,IEX,TPLUS2,PSX</val>
          </value>
        </values>
      </ddeItem>
      <ddeItem name="id221?conid" advise="1">
        <values>
          <value>
            <val>12588744</val>
          </value>
        </values>
      </ddeItem>
      <ddeItem name="id221?marketName" advise="1">
        <values>
          <value t="str">
            <val>COL</val>
          </value>
        </values>
      </ddeItem>
      <ddeItem name="id221?minTick" advise="1">
        <values>
          <value>
            <val>0.01</val>
          </value>
        </values>
      </ddeItem>
      <ddeItem name="id221?multiplier" advise="1">
        <values>
          <value t="nil">
            <val>1</val>
          </value>
        </values>
      </ddeItem>
      <ddeItem name="id22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21?req?COL_STK_SMART_USD_~/" advise="1">
        <values>
          <value t="nil">
            <val>1</val>
          </value>
        </values>
      </ddeItem>
      <ddeItem name="id221?tradingClass" advise="1">
        <values>
          <value t="str">
            <val>COL</val>
          </value>
        </values>
      </ddeItem>
      <ddeItem name="id221?validExchanges" advise="1">
        <values>
          <value t="str">
            <val>SMART,NYSE,CBOE,ISE,CHX,ARCA,ISLAND,VWAP,DRCTEDGE,NSX,BEX,BATS,EDGEA,CSFBALGO,JEFFALGO,BYX,IEX,TPLUS2,PSX</val>
          </value>
        </values>
      </ddeItem>
      <ddeItem name="id222?conid" advise="1">
        <values>
          <value>
            <val>2467215</val>
          </value>
        </values>
      </ddeItem>
      <ddeItem name="id222?marketName" advise="1">
        <values>
          <value t="str">
            <val>STJ</val>
          </value>
        </values>
      </ddeItem>
      <ddeItem name="id222?minTick" advise="1">
        <values>
          <value>
            <val>0.01</val>
          </value>
        </values>
      </ddeItem>
      <ddeItem name="id222?multiplier" advise="1">
        <values>
          <value t="nil">
            <val>1</val>
          </value>
        </values>
      </ddeItem>
      <ddeItem name="id22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22?req?STJ_STK_SMART_USD_~/" advise="1">
        <values>
          <value t="nil">
            <val>1</val>
          </value>
        </values>
      </ddeItem>
      <ddeItem name="id222?tradingClass" advise="1">
        <values>
          <value t="str">
            <val>STJ</val>
          </value>
        </values>
      </ddeItem>
      <ddeItem name="id222?validExchanges" advise="1">
        <values>
          <value t="str">
            <val>SMART,NYSE,CBOE,ISE,CHX,ARCA,ISLAND,VWAP,DRCTEDGE,NSX,BEX,BATS,EDGEA,CSFBALGO,JEFFALGO,BYX,IEX,TPLUS2,PSX</val>
          </value>
        </values>
      </ddeItem>
      <ddeItem name="id223?conid" advise="1">
        <values>
          <value>
            <val>43150617</val>
          </value>
        </values>
      </ddeItem>
      <ddeItem name="id223?marketName" advise="1">
        <values>
          <value t="str">
            <val>TRV</val>
          </value>
        </values>
      </ddeItem>
      <ddeItem name="id223?minTick" advise="1">
        <values>
          <value>
            <val>0.01</val>
          </value>
        </values>
      </ddeItem>
      <ddeItem name="id223?multiplier" advise="1">
        <values>
          <value t="nil">
            <val>1</val>
          </value>
        </values>
      </ddeItem>
      <ddeItem name="id22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23?req?TRV_STK_SMART_USD_~/" advise="1">
        <values>
          <value t="nil">
            <val>1</val>
          </value>
        </values>
      </ddeItem>
      <ddeItem name="id223?tradingClass" advise="1">
        <values>
          <value t="str">
            <val>TRV</val>
          </value>
        </values>
      </ddeItem>
      <ddeItem name="id223?validExchanges" advise="1">
        <values>
          <value t="str">
            <val>SMART,NYSE,CBOE,ISE,CHX,ARCA,ISLAND,DRCTEDGE,NSX,BEX,BATS,EDGEA,CSFBALGO,JEFFALGO,BYX,IEX,TPLUS2,PSX</val>
          </value>
        </values>
      </ddeItem>
      <ddeItem name="id224?conid" advise="1">
        <values>
          <value>
            <val>37866641</val>
          </value>
        </values>
      </ddeItem>
      <ddeItem name="id224?marketName" advise="1">
        <values>
          <value t="str">
            <val>FIS</val>
          </value>
        </values>
      </ddeItem>
      <ddeItem name="id224?minTick" advise="1">
        <values>
          <value>
            <val>0.01</val>
          </value>
        </values>
      </ddeItem>
      <ddeItem name="id224?multiplier" advise="1">
        <values>
          <value t="nil">
            <val>1</val>
          </value>
        </values>
      </ddeItem>
      <ddeItem name="id22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24?req?FIS_STK_SMART_USD_~/" advise="1">
        <values>
          <value t="nil">
            <val>1</val>
          </value>
        </values>
      </ddeItem>
      <ddeItem name="id224?tradingClass" advise="1">
        <values>
          <value t="str">
            <val>FIS</val>
          </value>
        </values>
      </ddeItem>
      <ddeItem name="id224?validExchanges" advise="1">
        <values>
          <value t="str">
            <val>SMART,NYSE,CBOE,ISE,CHX,ARCA,ISLAND,VWAP,DRCTEDGE,NSX,BEX,BATS,EDGEA,CSFBALGO,JEFFALGO,BYX,IEX,TPLUS2,PSX</val>
          </value>
        </values>
      </ddeItem>
      <ddeItem name="id225?conid" advise="1">
        <values>
          <value>
            <val>70101545</val>
          </value>
        </values>
      </ddeItem>
      <ddeItem name="id225?marketName" advise="1">
        <values>
          <value t="str">
            <val>MRK</val>
          </value>
        </values>
      </ddeItem>
      <ddeItem name="id225?minTick" advise="1">
        <values>
          <value>
            <val>0.01</val>
          </value>
        </values>
      </ddeItem>
      <ddeItem name="id225?multiplier" advise="1">
        <values>
          <value t="nil">
            <val>1</val>
          </value>
        </values>
      </ddeItem>
      <ddeItem name="id22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25?req?MRK_STK_SMART_USD_~/" advise="1">
        <values>
          <value t="nil">
            <val>1</val>
          </value>
        </values>
      </ddeItem>
      <ddeItem name="id225?tradingClass" advise="1">
        <values>
          <value t="str">
            <val>MRK</val>
          </value>
        </values>
      </ddeItem>
      <ddeItem name="id225?validExchanges" advise="1">
        <values>
          <value t="str">
            <val>SMART,NYSE,CBOE,ISE,CHX,ARCA,ISLAND,VWAP,DRCTEDGE,NSX,BEX,BATS,EDGEA,CSFBALGO,JEFFALGO,BYX,IEX,TPLUS2,PSX</val>
          </value>
        </values>
      </ddeItem>
      <ddeItem name="id226?conid" advise="1">
        <values>
          <value>
            <val>4651842</val>
          </value>
        </values>
      </ddeItem>
      <ddeItem name="id226?marketName" advise="1">
        <values>
          <value t="str">
            <val>NMS</val>
          </value>
        </values>
      </ddeItem>
      <ddeItem name="id226?minTick" advise="1">
        <values>
          <value>
            <val>0.01</val>
          </value>
        </values>
      </ddeItem>
      <ddeItem name="id226?multiplier" advise="1">
        <values>
          <value t="nil">
            <val>1</val>
          </value>
        </values>
      </ddeItem>
      <ddeItem name="id22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26?req?PCLN_STK_SMART_USD_~/" advise="1">
        <values>
          <value t="nil">
            <val>1</val>
          </value>
        </values>
      </ddeItem>
      <ddeItem name="id226?tradingClass" advise="1">
        <values>
          <value t="str">
            <val>NMS</val>
          </value>
        </values>
      </ddeItem>
      <ddeItem name="id226?validExchanges" advise="1">
        <values>
          <value t="str">
            <val>SMART,CBOE,ISE,CHX,ARCA,ISLAND,DRCTEDGE,NSX,BEX,BATS,EDGEA,CSFBALGO,JEFFALGO,BYX,IEX,TPLUS2,PSX</val>
          </value>
        </values>
      </ddeItem>
      <ddeItem name="id227?conid" advise="1">
        <values>
          <value>
            <val>12200</val>
          </value>
        </values>
      </ddeItem>
      <ddeItem name="id227?marketName" advise="1">
        <values>
          <value t="str">
            <val>SLB</val>
          </value>
        </values>
      </ddeItem>
      <ddeItem name="id227?minTick" advise="1">
        <values>
          <value>
            <val>0.01</val>
          </value>
        </values>
      </ddeItem>
      <ddeItem name="id227?multiplier" advise="1">
        <values>
          <value t="nil">
            <val>1</val>
          </value>
        </values>
      </ddeItem>
      <ddeItem name="id22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27?req?SLB_STK_SMART_USD_~/" advise="1">
        <values>
          <value t="nil">
            <val>1</val>
          </value>
        </values>
      </ddeItem>
      <ddeItem name="id227?tradingClass" advise="1">
        <values>
          <value t="str">
            <val>SLB</val>
          </value>
        </values>
      </ddeItem>
      <ddeItem name="id227?validExchanges" advise="1">
        <values>
          <value t="str">
            <val>SMART,NYSE,CBOE,ISE,CHX,ARCA,ISLAND,VWAP,DRCTEDGE,NSX,BEX,BATS,EDGEA,CSFBALGO,JEFFALGO,BYX,IEX,TPLUS2,PSX</val>
          </value>
        </values>
      </ddeItem>
      <ddeItem name="id228?conid" advise="1">
        <values>
          <value>
            <val>11905</val>
          </value>
        </values>
      </ddeItem>
      <ddeItem name="id228?marketName" advise="1">
        <values>
          <value t="str">
            <val>SCHW</val>
          </value>
        </values>
      </ddeItem>
      <ddeItem name="id228?minTick" advise="1">
        <values>
          <value>
            <val>0.01</val>
          </value>
        </values>
      </ddeItem>
      <ddeItem name="id228?multiplier" advise="1">
        <values>
          <value t="nil">
            <val>1</val>
          </value>
        </values>
      </ddeItem>
      <ddeItem name="id22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28?req?SCHW_STK_SMART_USD_~/" advise="1">
        <values>
          <value t="nil">
            <val>1</val>
          </value>
        </values>
      </ddeItem>
      <ddeItem name="id228?tradingClass" advise="1">
        <values>
          <value t="str">
            <val>SCHW</val>
          </value>
        </values>
      </ddeItem>
      <ddeItem name="id228?validExchanges" advise="1">
        <values>
          <value t="str">
            <val>SMART,NYSE,CBOE,ISE,CHX,ARCA,ISLAND,VWAP,DRCTEDGE,NSX,BEX,BATS,EDGEA,CSFBALGO,JEFFALGO,BYX,IEX,TPLUS2,PSX</val>
          </value>
        </values>
      </ddeItem>
      <ddeItem name="id229?conid" advise="1">
        <values>
          <value>
            <val>12851783</val>
          </value>
        </values>
      </ddeItem>
      <ddeItem name="id229?marketName" advise="1">
        <values>
          <value t="str">
            <val>ZBH</val>
          </value>
        </values>
      </ddeItem>
      <ddeItem name="id229?minTick" advise="1">
        <values>
          <value>
            <val>0.01</val>
          </value>
        </values>
      </ddeItem>
      <ddeItem name="id229?multiplier" advise="1">
        <values>
          <value t="nil">
            <val>1</val>
          </value>
        </values>
      </ddeItem>
      <ddeItem name="id22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29?req?ZBH_STK_SMART_USD_~/" advise="1">
        <values>
          <value t="nil">
            <val>1</val>
          </value>
        </values>
      </ddeItem>
      <ddeItem name="id229?tradingClass" advise="1">
        <values>
          <value t="str">
            <val>ZBH</val>
          </value>
        </values>
      </ddeItem>
      <ddeItem name="id229?validExchanges" advise="1">
        <values>
          <value t="str">
            <val>SMART,NYSE,CBOE,ISE,CHX,ARCA,ISLAND,VWAP,DRCTEDGE,NSX,BEX,BATS,EDGEA,CSFBALGO,JEFFALGO,BYX,IEX,TPLUS2,PSX</val>
          </value>
        </values>
      </ddeItem>
      <ddeItem name="id23?conid" advise="1">
        <values>
          <value>
            <val>1520593</val>
          </value>
        </values>
      </ddeItem>
      <ddeItem name="id23?marketName" advise="1">
        <values>
          <value t="str">
            <val>JPM</val>
          </value>
        </values>
      </ddeItem>
      <ddeItem name="id23?minTick" advise="1">
        <values>
          <value>
            <val>0.01</val>
          </value>
        </values>
      </ddeItem>
      <ddeItem name="id23?multiplier" advise="1">
        <values>
          <value t="nil">
            <val>1</val>
          </value>
        </values>
      </ddeItem>
      <ddeItem name="id2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3?req?JPM_STK_SMART_USD_~/" advise="1">
        <values>
          <value t="nil">
            <val>1</val>
          </value>
        </values>
      </ddeItem>
      <ddeItem name="id23?tradingClass" advise="1">
        <values>
          <value t="str">
            <val>JPM</val>
          </value>
        </values>
      </ddeItem>
      <ddeItem name="id23?validExchanges" advise="1">
        <values>
          <value t="str">
            <val>SMART,NYSE,CBOE,ISE,CHX,ARCA,ISLAND,VWAP,DRCTEDGE,NSX,BEX,BATS,EDGEA,CSFBALGO,JEFFALGO,BYX,IEX,TPLUS2,PSX</val>
          </value>
        </values>
      </ddeItem>
      <ddeItem name="id230?conid" advise="1">
        <values>
          <value>
            <val>1714996</val>
          </value>
        </values>
      </ddeItem>
      <ddeItem name="id230?marketName" advise="1">
        <values>
          <value t="str">
            <val>ABC</val>
          </value>
        </values>
      </ddeItem>
      <ddeItem name="id230?minTick" advise="1">
        <values>
          <value>
            <val>0.01</val>
          </value>
        </values>
      </ddeItem>
      <ddeItem name="id230?multiplier" advise="1">
        <values>
          <value t="nil">
            <val>1</val>
          </value>
        </values>
      </ddeItem>
      <ddeItem name="id23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30?req?ABC_STK_SMART_USD_~/" advise="1">
        <values>
          <value t="nil">
            <val>1</val>
          </value>
        </values>
      </ddeItem>
      <ddeItem name="id230?tradingClass" advise="1">
        <values>
          <value t="str">
            <val>ABC</val>
          </value>
        </values>
      </ddeItem>
      <ddeItem name="id230?validExchanges" advise="1">
        <values>
          <value t="str">
            <val>SMART,NYSE,CBOE,ISE,CHX,ARCA,ISLAND,VWAP,DRCTEDGE,NSX,BEX,BATS,EDGEA,CSFBALGO,JEFFALGO,BYX,IEX,TPLUS2,PSX</val>
          </value>
        </values>
      </ddeItem>
      <ddeItem name="id231?conid" advise="1">
        <values>
          <value>
            <val>11032</val>
          </value>
        </values>
      </ddeItem>
      <ddeItem name="id231?marketName" advise="1">
        <values>
          <value t="str">
            <val>PFG</val>
          </value>
        </values>
      </ddeItem>
      <ddeItem name="id231?minTick" advise="1">
        <values>
          <value>
            <val>0.01</val>
          </value>
        </values>
      </ddeItem>
      <ddeItem name="id231?multiplier" advise="1">
        <values>
          <value t="nil">
            <val>1</val>
          </value>
        </values>
      </ddeItem>
      <ddeItem name="id23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31?req?PFG_STK_SMART_USD_~/" advise="1">
        <values>
          <value t="nil">
            <val>1</val>
          </value>
        </values>
      </ddeItem>
      <ddeItem name="id231?tradingClass" advise="1">
        <values>
          <value t="str">
            <val>PFG</val>
          </value>
        </values>
      </ddeItem>
      <ddeItem name="id231?validExchanges" advise="1">
        <values>
          <value t="str">
            <val>SMART,NYSE,CBOE,ISE,CHX,ARCA,ISLAND,VWAP,DRCTEDGE,NSX,BEX,BATS,EDGEA,CSFBALGO,JEFFALGO,BYX,IEX,TPLUS2,PSX</val>
          </value>
        </values>
      </ddeItem>
      <ddeItem name="id232?conid" advise="1">
        <values>
          <value>
            <val>12120</val>
          </value>
        </values>
      </ddeItem>
      <ddeItem name="id232?marketName" advise="1">
        <values>
          <value t="str">
            <val>SHW</val>
          </value>
        </values>
      </ddeItem>
      <ddeItem name="id232?minTick" advise="1">
        <values>
          <value>
            <val>0.01</val>
          </value>
        </values>
      </ddeItem>
      <ddeItem name="id232?multiplier" advise="1">
        <values>
          <value t="nil">
            <val>1</val>
          </value>
        </values>
      </ddeItem>
      <ddeItem name="id23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32?req?SHW_STK_SMART_USD_~/" advise="1">
        <values>
          <value t="nil">
            <val>1</val>
          </value>
        </values>
      </ddeItem>
      <ddeItem name="id232?tradingClass" advise="1">
        <values>
          <value t="str">
            <val>SHW</val>
          </value>
        </values>
      </ddeItem>
      <ddeItem name="id232?validExchanges" advise="1">
        <values>
          <value t="str">
            <val>SMART,NYSE,CBOE,ISE,CHX,ARCA,ISLAND,VWAP,DRCTEDGE,NSX,BEX,BATS,EDGEA,CSFBALGO,JEFFALGO,BYX,IEX,TPLUS2,PSX</val>
          </value>
        </values>
      </ddeItem>
      <ddeItem name="id233?conid" advise="1">
        <values>
          <value>
            <val>2009113</val>
          </value>
        </values>
      </ddeItem>
      <ddeItem name="id233?marketName" advise="1">
        <values>
          <value t="str">
            <val>SPG</val>
          </value>
        </values>
      </ddeItem>
      <ddeItem name="id233?minTick" advise="1">
        <values>
          <value>
            <val>0.01</val>
          </value>
        </values>
      </ddeItem>
      <ddeItem name="id233?multiplier" advise="1">
        <values>
          <value t="nil">
            <val>1</val>
          </value>
        </values>
      </ddeItem>
      <ddeItem name="id23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33?req?SPG_STK_SMART_USD_~/" advise="1">
        <values>
          <value t="nil">
            <val>1</val>
          </value>
        </values>
      </ddeItem>
      <ddeItem name="id233?tradingClass" advise="1">
        <values>
          <value t="str">
            <val>SPG</val>
          </value>
        </values>
      </ddeItem>
      <ddeItem name="id233?validExchanges" advise="1">
        <values>
          <value t="str">
            <val>SMART,NYSE,CBOE,ISE,CHX,ARCA,ISLAND,VWAP,DRCTEDGE,NSX,BEX,BATS,EDGEA,CSFBALGO,JEFFALGO,BYX,IEX,TPLUS2,PSX</val>
          </value>
        </values>
      </ddeItem>
      <ddeItem name="id234?conid" advise="1">
        <values>
          <value>
            <val>12259</val>
          </value>
        </values>
      </ddeItem>
      <ddeItem name="id234?marketName" advise="1">
        <values>
          <value t="str">
            <val>SNA</val>
          </value>
        </values>
      </ddeItem>
      <ddeItem name="id234?minTick" advise="1">
        <values>
          <value>
            <val>0.01</val>
          </value>
        </values>
      </ddeItem>
      <ddeItem name="id234?multiplier" advise="1">
        <values>
          <value t="nil">
            <val>1</val>
          </value>
        </values>
      </ddeItem>
      <ddeItem name="id23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34?req?SNA_STK_SMART_USD_~/" advise="1">
        <values>
          <value t="nil">
            <val>1</val>
          </value>
        </values>
      </ddeItem>
      <ddeItem name="id234?tradingClass" advise="1">
        <values>
          <value t="str">
            <val>SNA</val>
          </value>
        </values>
      </ddeItem>
      <ddeItem name="id234?validExchanges" advise="1">
        <values>
          <value t="str">
            <val>SMART,NYSE,CBOE,ISE,CHX,ARCA,ISLAND,VWAP,DRCTEDGE,NSX,BEX,BATS,EDGEA,CSFBALGO,JEFFALGO,BYX,IEX,TPLUS2,PSX</val>
          </value>
        </values>
      </ddeItem>
      <ddeItem name="id235?conid" advise="1">
        <values>
          <value>
            <val>13865082</val>
          </value>
        </values>
      </ddeItem>
      <ddeItem name="id235?marketName" advise="1">
        <values>
          <value t="str">
            <val>PRU</val>
          </value>
        </values>
      </ddeItem>
      <ddeItem name="id235?minTick" advise="1">
        <values>
          <value>
            <val>0.01</val>
          </value>
        </values>
      </ddeItem>
      <ddeItem name="id235?multiplier" advise="1">
        <values>
          <value t="nil">
            <val>1</val>
          </value>
        </values>
      </ddeItem>
      <ddeItem name="id23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35?req?PRU_STK_SMART_USD_~/" advise="1">
        <values>
          <value t="nil">
            <val>1</val>
          </value>
        </values>
      </ddeItem>
      <ddeItem name="id235?tradingClass" advise="1">
        <values>
          <value t="str">
            <val>PRU</val>
          </value>
        </values>
      </ddeItem>
      <ddeItem name="id235?validExchanges" advise="1">
        <values>
          <value t="str">
            <val>SMART,NYSE,CBOE,ISE,CHX,ARCA,ISLAND,VWAP,DRCTEDGE,NSX,BEX,BATS,EDGEA,CSFBALGO,JEFFALGO,BYX,IEX,TPLUS2,PSX</val>
          </value>
        </values>
      </ddeItem>
      <ddeItem name="id236?conid" advise="1">
        <values>
          <value>
            <val>4027</val>
          </value>
        </values>
      </ddeItem>
      <ddeItem name="id236?marketName" advise="1">
        <values>
          <value t="str">
            <val>AAP</val>
          </value>
        </values>
      </ddeItem>
      <ddeItem name="id236?minTick" advise="1">
        <values>
          <value>
            <val>0.01</val>
          </value>
        </values>
      </ddeItem>
      <ddeItem name="id236?multiplier" advise="1">
        <values>
          <value t="nil">
            <val>1</val>
          </value>
        </values>
      </ddeItem>
      <ddeItem name="id23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36?req?AAP_STK_SMART_USD_~/" advise="1">
        <values>
          <value t="nil">
            <val>1</val>
          </value>
        </values>
      </ddeItem>
      <ddeItem name="id236?tradingClass" advise="1">
        <values>
          <value t="str">
            <val>AAP</val>
          </value>
        </values>
      </ddeItem>
      <ddeItem name="id236?validExchanges" advise="1">
        <values>
          <value t="str">
            <val>SMART,NYSE,CBOE,ISE,CHX,ARCA,ISLAND,DRCTEDGE,NSX,BEX,BATS,EDGEA,CSFBALGO,JEFFALGO,BYX,IEX,TPLUS2,PSX</val>
          </value>
        </values>
      </ddeItem>
      <ddeItem name="id237?conid" advise="1">
        <values>
          <value>
            <val>12531</val>
          </value>
        </values>
      </ddeItem>
      <ddeItem name="id237?marketName" advise="1">
        <values>
          <value t="str">
            <val>SWN</val>
          </value>
        </values>
      </ddeItem>
      <ddeItem name="id237?minTick" advise="1">
        <values>
          <value>
            <val>0.01</val>
          </value>
        </values>
      </ddeItem>
      <ddeItem name="id237?multiplier" advise="1">
        <values>
          <value t="nil">
            <val>1</val>
          </value>
        </values>
      </ddeItem>
      <ddeItem name="id23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37?req?SWN_STK_SMART_USD_~/" advise="1">
        <values>
          <value t="nil">
            <val>1</val>
          </value>
        </values>
      </ddeItem>
      <ddeItem name="id237?tradingClass" advise="1">
        <values>
          <value t="str">
            <val>SWN</val>
          </value>
        </values>
      </ddeItem>
      <ddeItem name="id237?validExchanges" advise="1">
        <values>
          <value t="str">
            <val>SMART,NYSE,CBOE,ISE,CHX,ARCA,ISLAND,DRCTEDGE,NSX,BEX,BATS,EDGEA,CSFBALGO,JEFFALGO,BYX,IEX,TPLUS2,PSX</val>
          </value>
        </values>
      </ddeItem>
      <ddeItem name="id238?conid" advise="1">
        <values>
          <value>
            <val>11899</val>
          </value>
        </values>
      </ddeItem>
      <ddeItem name="id238?marketName" advise="1">
        <values>
          <value t="str">
            <val>EIX</val>
          </value>
        </values>
      </ddeItem>
      <ddeItem name="id238?minTick" advise="1">
        <values>
          <value>
            <val>0.01</val>
          </value>
        </values>
      </ddeItem>
      <ddeItem name="id238?multiplier" advise="1">
        <values>
          <value t="nil">
            <val>1</val>
          </value>
        </values>
      </ddeItem>
      <ddeItem name="id23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38?req?EIX_STK_SMART_USD_~/" advise="1">
        <values>
          <value t="nil">
            <val>1</val>
          </value>
        </values>
      </ddeItem>
      <ddeItem name="id238?tradingClass" advise="1">
        <values>
          <value t="str">
            <val>EIX</val>
          </value>
        </values>
      </ddeItem>
      <ddeItem name="id238?validExchanges" advise="1">
        <values>
          <value t="str">
            <val>SMART,NYSE,CBOE,ISE,CHX,ARCA,ISLAND,VWAP,DRCTEDGE,NSX,BEX,BATS,EDGEA,CSFBALGO,JEFFALGO,BYX,IEX,TPLUS2,PSX</val>
          </value>
        </values>
      </ddeItem>
      <ddeItem name="id239?conid" advise="1">
        <values>
          <value>
            <val>12300</val>
          </value>
        </values>
      </ddeItem>
      <ddeItem name="id239?marketName" advise="1">
        <values>
          <value t="str">
            <val>SO</val>
          </value>
        </values>
      </ddeItem>
      <ddeItem name="id239?minTick" advise="1">
        <values>
          <value>
            <val>0.01</val>
          </value>
        </values>
      </ddeItem>
      <ddeItem name="id239?multiplier" advise="1">
        <values>
          <value t="nil">
            <val>1</val>
          </value>
        </values>
      </ddeItem>
      <ddeItem name="id23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39?req?SO_STK_SMART_USD_~/" advise="1">
        <values>
          <value t="nil">
            <val>1</val>
          </value>
        </values>
      </ddeItem>
      <ddeItem name="id239?tradingClass" advise="1">
        <values>
          <value t="str">
            <val>SO</val>
          </value>
        </values>
      </ddeItem>
      <ddeItem name="id239?validExchanges" advise="1">
        <values>
          <value t="str">
            <val>SMART,NYSE,CBOE,ISE,CHX,ARCA,ISLAND,VWAP,DRCTEDGE,NSX,BEX,BATS,EDGEA,CSFBALGO,JEFFALGO,BYX,IEX,TPLUS2,PSX</val>
          </value>
        </values>
      </ddeItem>
      <ddeItem name="id24?conid" advise="1">
        <values>
          <value>
            <val>5651</val>
          </value>
        </values>
      </ddeItem>
      <ddeItem name="id24?marketName" advise="1">
        <values>
          <value t="str">
            <val>CHD</val>
          </value>
        </values>
      </ddeItem>
      <ddeItem name="id24?minTick" advise="1">
        <values>
          <value>
            <val>0.01</val>
          </value>
        </values>
      </ddeItem>
      <ddeItem name="id24?multiplier" advise="1">
        <values>
          <value t="nil">
            <val>1</val>
          </value>
        </values>
      </ddeItem>
      <ddeItem name="id2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4?req?CHD_STK_SMART_USD_~/" advise="1">
        <values>
          <value t="nil">
            <val>1</val>
          </value>
        </values>
      </ddeItem>
      <ddeItem name="id24?tradingClass" advise="1">
        <values>
          <value t="str">
            <val>CHD</val>
          </value>
        </values>
      </ddeItem>
      <ddeItem name="id24?validExchanges" advise="1">
        <values>
          <value t="str">
            <val>SMART,NYSE,CBOE,ISE,CHX,ARCA,ISLAND,DRCTEDGE,NSX,BEX,BATS,EDGEA,CSFBALGO,JEFFALGO,BYX,IEX,TPLUS2,PSX</val>
          </value>
        </values>
      </ddeItem>
      <ddeItem name="id240?conid" advise="1">
        <values>
          <value>
            <val>2806100</val>
          </value>
        </values>
      </ddeItem>
      <ddeItem name="id240?marketName" advise="1">
        <values>
          <value t="str">
            <val>BBT</val>
          </value>
        </values>
      </ddeItem>
      <ddeItem name="id240?minTick" advise="1">
        <values>
          <value>
            <val>0.01</val>
          </value>
        </values>
      </ddeItem>
      <ddeItem name="id240?multiplier" advise="1">
        <values>
          <value t="nil">
            <val>1</val>
          </value>
        </values>
      </ddeItem>
      <ddeItem name="id24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40?req?BBT_STK_SMART_USD_~/" advise="1">
        <values>
          <value t="nil">
            <val>1</val>
          </value>
        </values>
      </ddeItem>
      <ddeItem name="id240?tradingClass" advise="1">
        <values>
          <value t="str">
            <val>BBT</val>
          </value>
        </values>
      </ddeItem>
      <ddeItem name="id240?validExchanges" advise="1">
        <values>
          <value t="str">
            <val>SMART,NYSE,CBOE,ISE,CHX,ARCA,ISLAND,VWAP,DRCTEDGE,NSX,BEX,BATS,EDGEA,CSFBALGO,JEFFALGO,BYX,IEX,TPLUS2,PSX</val>
          </value>
        </values>
      </ddeItem>
      <ddeItem name="id241?conid" advise="1">
        <values>
          <value>
            <val>9282</val>
          </value>
        </values>
      </ddeItem>
      <ddeItem name="id241?marketName" advise="1">
        <values>
          <value t="str">
            <val>LUV</val>
          </value>
        </values>
      </ddeItem>
      <ddeItem name="id241?minTick" advise="1">
        <values>
          <value>
            <val>0.01</val>
          </value>
        </values>
      </ddeItem>
      <ddeItem name="id241?multiplier" advise="1">
        <values>
          <value t="nil">
            <val>1</val>
          </value>
        </values>
      </ddeItem>
      <ddeItem name="id24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41?req?LUV_STK_SMART_USD_~/" advise="1">
        <values>
          <value t="nil">
            <val>1</val>
          </value>
        </values>
      </ddeItem>
      <ddeItem name="id241?tradingClass" advise="1">
        <values>
          <value t="str">
            <val>LUV</val>
          </value>
        </values>
      </ddeItem>
      <ddeItem name="id241?validExchanges" advise="1">
        <values>
          <value t="str">
            <val>SMART,NYSE,CBOE,ISE,CHX,ARCA,ISLAND,VWAP,DRCTEDGE,NSX,BEX,BATS,EDGEA,CSFBALGO,JEFFALGO,BYX,IEX,TPLUS2,PSX</val>
          </value>
        </values>
      </ddeItem>
      <ddeItem name="id242?conid" advise="1">
        <values>
          <value>
            <val>37018770</val>
          </value>
        </values>
      </ddeItem>
      <ddeItem name="id242?marketName" advise="1">
        <values>
          <value t="str">
            <val>T</val>
          </value>
        </values>
      </ddeItem>
      <ddeItem name="id242?minTick" advise="1">
        <values>
          <value>
            <val>0.01</val>
          </value>
        </values>
      </ddeItem>
      <ddeItem name="id242?multiplier" advise="1">
        <values>
          <value t="nil">
            <val>1</val>
          </value>
        </values>
      </ddeItem>
      <ddeItem name="id24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42?req?T_STK_SMART_USD_~/" advise="1">
        <values>
          <value t="nil">
            <val>1</val>
          </value>
        </values>
      </ddeItem>
      <ddeItem name="id242?tradingClass" advise="1">
        <values>
          <value t="str">
            <val>T</val>
          </value>
        </values>
      </ddeItem>
      <ddeItem name="id242?validExchanges" advise="1">
        <values>
          <value t="str">
            <val>SMART,NYSE,CBOE,ISE,CHX,ARCA,ISLAND,VWAP,DRCTEDGE,NSX,BEX,BATS,EDGEA,CSFBALGO,JEFFALGO,BYX,IEX,TPLUS2,PSX</val>
          </value>
        </values>
      </ddeItem>
      <ddeItem name="id243?conid" advise="1">
        <values>
          <value>
            <val>5684</val>
          </value>
        </values>
      </ddeItem>
      <ddeItem name="id243?marketName" advise="1">
        <values>
          <value t="str">
            <val>CVX</val>
          </value>
        </values>
      </ddeItem>
      <ddeItem name="id243?minTick" advise="1">
        <values>
          <value>
            <val>0.01</val>
          </value>
        </values>
      </ddeItem>
      <ddeItem name="id243?multiplier" advise="1">
        <values>
          <value t="nil">
            <val>1</val>
          </value>
        </values>
      </ddeItem>
      <ddeItem name="id24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43?req?CVX_STK_SMART_USD_~/" advise="1">
        <values>
          <value t="nil">
            <val>1</val>
          </value>
        </values>
      </ddeItem>
      <ddeItem name="id243?tradingClass" advise="1">
        <values>
          <value t="str">
            <val>CVX</val>
          </value>
        </values>
      </ddeItem>
      <ddeItem name="id243?validExchanges" advise="1">
        <values>
          <value t="str">
            <val>SMART,NYSE,CBOE,ISE,CHX,ARCA,ISLAND,VWAP,DRCTEDGE,NSX,BEX,BATS,EDGEA,CSFBALGO,JEFFALGO,BYX,IEX,TPLUS2,PSX</val>
          </value>
        </values>
      </ddeItem>
      <ddeItem name="id244?conid" advise="1">
        <values>
          <value>
            <val>274599</val>
          </value>
        </values>
      </ddeItem>
      <ddeItem name="id244?marketName" advise="1">
        <values>
          <value t="str">
            <val>NMS</val>
          </value>
        </values>
      </ddeItem>
      <ddeItem name="id244?minTick" advise="1">
        <values>
          <value>
            <val>0.01</val>
          </value>
        </values>
      </ddeItem>
      <ddeItem name="id244?multiplier" advise="1">
        <values>
          <value t="nil">
            <val>1</val>
          </value>
        </values>
      </ddeItem>
      <ddeItem name="id24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44?req?SPLS_STK_SMART_USD_~/" advise="1">
        <values>
          <value t="nil">
            <val>1</val>
          </value>
        </values>
      </ddeItem>
      <ddeItem name="id244?tradingClass" advise="1">
        <values>
          <value t="str">
            <val>NMS</val>
          </value>
        </values>
      </ddeItem>
      <ddeItem name="id244?validExchanges" advise="1">
        <values>
          <value t="str">
            <val>SMART,CBOE,ISE,CHX,ARCA,ISLAND,VWAP,DRCTEDGE,NSX,BEX,BATS,EDGEA,CSFBALGO,JEFFALGO,BYX,IEX,TPLUS2,PSX</val>
          </value>
        </values>
      </ddeItem>
      <ddeItem name="id245?conid" advise="1">
        <values>
          <value>
            <val>2730980</val>
          </value>
        </values>
      </ddeItem>
      <ddeItem name="id245?marketName" advise="1">
        <values>
          <value t="str">
            <val>STT</val>
          </value>
        </values>
      </ddeItem>
      <ddeItem name="id245?minTick" advise="1">
        <values>
          <value>
            <val>0.01</val>
          </value>
        </values>
      </ddeItem>
      <ddeItem name="id245?multiplier" advise="1">
        <values>
          <value t="nil">
            <val>1</val>
          </value>
        </values>
      </ddeItem>
      <ddeItem name="id24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45?req?STT_STK_SMART_USD_~/" advise="1">
        <values>
          <value t="nil">
            <val>1</val>
          </value>
        </values>
      </ddeItem>
      <ddeItem name="id245?tradingClass" advise="1">
        <values>
          <value t="str">
            <val>STT</val>
          </value>
        </values>
      </ddeItem>
      <ddeItem name="id245?validExchanges" advise="1">
        <values>
          <value t="str">
            <val>SMART,NYSE,CBOE,ISE,CHX,ARCA,ISLAND,VWAP,DRCTEDGE,NSX,BEX,BATS,EDGEA,CSFBALGO,JEFFALGO,BYX,IEX,TPLUS2,PSX</val>
          </value>
        </values>
      </ddeItem>
      <ddeItem name="id246?conid" advise="1">
        <values>
          <value>
            <val>274105</val>
          </value>
        </values>
      </ddeItem>
      <ddeItem name="id246?marketName" advise="1">
        <values>
          <value t="str">
            <val>NMS</val>
          </value>
        </values>
      </ddeItem>
      <ddeItem name="id246?minTick" advise="1">
        <values>
          <value>
            <val>0.01</val>
          </value>
        </values>
      </ddeItem>
      <ddeItem name="id246?multiplier" advise="1">
        <values>
          <value t="nil">
            <val>1</val>
          </value>
        </values>
      </ddeItem>
      <ddeItem name="id24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46?req?SBUX_STK_SMART_USD_~/" advise="1">
        <values>
          <value t="nil">
            <val>1</val>
          </value>
        </values>
      </ddeItem>
      <ddeItem name="id246?tradingClass" advise="1">
        <values>
          <value t="str">
            <val>NMS</val>
          </value>
        </values>
      </ddeItem>
      <ddeItem name="id246?validExchanges" advise="1">
        <values>
          <value t="str">
            <val>SMART,CBOE,ISE,CHX,ARCA,ISLAND,VWAP,DRCTEDGE,NSX,BEX,BATS,EDGEA,CSFBALGO,JEFFALGO,BYX,IEX,TPLUS2,PSX</val>
          </value>
        </values>
      </ddeItem>
      <ddeItem name="id247?conid" advise="1">
        <values>
          <value>
            <val>12002</val>
          </value>
        </values>
      </ddeItem>
      <ddeItem name="id247?marketName" advise="1">
        <values>
          <value t="str">
            <val>PSA</val>
          </value>
        </values>
      </ddeItem>
      <ddeItem name="id247?minTick" advise="1">
        <values>
          <value>
            <val>0.01</val>
          </value>
        </values>
      </ddeItem>
      <ddeItem name="id247?multiplier" advise="1">
        <values>
          <value t="nil">
            <val>1</val>
          </value>
        </values>
      </ddeItem>
      <ddeItem name="id24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47?req?PSA_STK_SMART_USD_~/" advise="1">
        <values>
          <value t="nil">
            <val>1</val>
          </value>
        </values>
      </ddeItem>
      <ddeItem name="id247?tradingClass" advise="1">
        <values>
          <value t="str">
            <val>PSA</val>
          </value>
        </values>
      </ddeItem>
      <ddeItem name="id247?validExchanges" advise="1">
        <values>
          <value t="str">
            <val>SMART,NYSE,CBOE,ISE,CHX,ARCA,ISLAND,VWAP,DRCTEDGE,NSX,BEX,BATS,EDGEA,CSFBALGO,JEFFALGO,BYX,IEX,TPLUS2,PSX</val>
          </value>
        </values>
      </ddeItem>
      <ddeItem name="id248?conid" advise="1">
        <values>
          <value>
            <val>4430948</val>
          </value>
        </values>
      </ddeItem>
      <ddeItem name="id248?marketName" advise="1">
        <values>
          <value t="str">
            <val>SYK</val>
          </value>
        </values>
      </ddeItem>
      <ddeItem name="id248?minTick" advise="1">
        <values>
          <value>
            <val>0.01</val>
          </value>
        </values>
      </ddeItem>
      <ddeItem name="id248?multiplier" advise="1">
        <values>
          <value t="nil">
            <val>1</val>
          </value>
        </values>
      </ddeItem>
      <ddeItem name="id24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48?req?SYK_STK_SMART_USD_~/" advise="1">
        <values>
          <value t="nil">
            <val>1</val>
          </value>
        </values>
      </ddeItem>
      <ddeItem name="id248?tradingClass" advise="1">
        <values>
          <value t="str">
            <val>SYK</val>
          </value>
        </values>
      </ddeItem>
      <ddeItem name="id248?validExchanges" advise="1">
        <values>
          <value t="str">
            <val>SMART,NYSE,CBOE,ISE,CHX,ARCA,ISLAND,VWAP,DRCTEDGE,NSX,BEX,BATS,EDGEA,CSFBALGO,JEFFALGO,BYX,IEX,TPLUS2,PSX</val>
          </value>
        </values>
      </ddeItem>
      <ddeItem name="id249?conid" advise="1">
        <values>
          <value>
            <val>15124833</val>
          </value>
        </values>
      </ddeItem>
      <ddeItem name="id249?marketName" advise="1">
        <values>
          <value t="str">
            <val>NMS</val>
          </value>
        </values>
      </ddeItem>
      <ddeItem name="id249?minTick" advise="1">
        <values>
          <value>
            <val>0.01</val>
          </value>
        </values>
      </ddeItem>
      <ddeItem name="id249?multiplier" advise="1">
        <values>
          <value t="nil">
            <val>1</val>
          </value>
        </values>
      </ddeItem>
      <ddeItem name="id24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49?req?NFLX_STK_SMART_USD_~/" advise="1">
        <values>
          <value t="nil">
            <val>1</val>
          </value>
        </values>
      </ddeItem>
      <ddeItem name="id249?tradingClass" advise="1">
        <values>
          <value t="str">
            <val>NMS</val>
          </value>
        </values>
      </ddeItem>
      <ddeItem name="id249?validExchanges" advise="1">
        <values>
          <value t="str">
            <val>SMART,CBOE,ISE,CHX,ARCA,ISLAND,DRCTEDGE,NSX,BEX,BATS,EDGEA,CSFBALGO,JEFFALGO,BYX,IEX,TPLUS2,PSX</val>
          </value>
        </values>
      </ddeItem>
      <ddeItem name="id25?conid" advise="1">
        <values>
          <value>
            <val>5702</val>
          </value>
        </values>
      </ddeItem>
      <ddeItem name="id25?marketName" advise="1">
        <values>
          <value t="str">
            <val>CI</val>
          </value>
        </values>
      </ddeItem>
      <ddeItem name="id25?minTick" advise="1">
        <values>
          <value>
            <val>0.01</val>
          </value>
        </values>
      </ddeItem>
      <ddeItem name="id25?multiplier" advise="1">
        <values>
          <value t="nil">
            <val>1</val>
          </value>
        </values>
      </ddeItem>
      <ddeItem name="id2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5?req?CI_STK_SMART_USD_~/" advise="1">
        <values>
          <value t="nil">
            <val>1</val>
          </value>
        </values>
      </ddeItem>
      <ddeItem name="id25?tradingClass" advise="1">
        <values>
          <value t="str">
            <val>CI</val>
          </value>
        </values>
      </ddeItem>
      <ddeItem name="id25?validExchanges" advise="1">
        <values>
          <value t="str">
            <val>SMART,NYSE,CBOE,ISE,CHX,ARCA,ISLAND,VWAP,DRCTEDGE,NSX,BEX,BATS,EDGEA,CSFBALGO,JEFFALGO,BYX,IEX,TPLUS2,PSX</val>
          </value>
        </values>
      </ddeItem>
      <ddeItem name="id250?conid" advise="1">
        <values>
          <value>
            <val>6478100</val>
          </value>
        </values>
      </ddeItem>
      <ddeItem name="id250?marketName" advise="1">
        <values>
          <value t="str">
            <val>NMS</val>
          </value>
        </values>
      </ddeItem>
      <ddeItem name="id250?minTick" advise="1">
        <values>
          <value>
            <val>0.01</val>
          </value>
        </values>
      </ddeItem>
      <ddeItem name="id250?multiplier" advise="1">
        <values>
          <value t="nil">
            <val>1</val>
          </value>
        </values>
      </ddeItem>
      <ddeItem name="id25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50?req?SRCL_STK_SMART_USD_~/" advise="1">
        <values>
          <value t="nil">
            <val>1</val>
          </value>
        </values>
      </ddeItem>
      <ddeItem name="id250?tradingClass" advise="1">
        <values>
          <value t="str">
            <val>NMS</val>
          </value>
        </values>
      </ddeItem>
      <ddeItem name="id250?validExchanges" advise="1">
        <values>
          <value t="str">
            <val>SMART,CBOE,ISE,CHX,ARCA,ISLAND,DRCTEDGE,NSX,BEX,BATS,EDGEA,CSFBALGO,JEFFALGO,BYX,IEX,TPLUS2,PSX</val>
          </value>
        </values>
      </ddeItem>
      <ddeItem name="id251?conid" advise="1">
        <values>
          <value>
            <val>12451</val>
          </value>
        </values>
      </ddeItem>
      <ddeItem name="id251?marketName" advise="1">
        <values>
          <value t="str">
            <val>STI</val>
          </value>
        </values>
      </ddeItem>
      <ddeItem name="id251?minTick" advise="1">
        <values>
          <value>
            <val>0.01</val>
          </value>
        </values>
      </ddeItem>
      <ddeItem name="id251?multiplier" advise="1">
        <values>
          <value t="nil">
            <val>1</val>
          </value>
        </values>
      </ddeItem>
      <ddeItem name="id25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51?req?STI_STK_SMART_USD_~/" advise="1">
        <values>
          <value t="nil">
            <val>1</val>
          </value>
        </values>
      </ddeItem>
      <ddeItem name="id251?tradingClass" advise="1">
        <values>
          <value t="str">
            <val>STI</val>
          </value>
        </values>
      </ddeItem>
      <ddeItem name="id251?validExchanges" advise="1">
        <values>
          <value t="str">
            <val>SMART,NYSE,CBOE,ISE,CHX,ARCA,ISLAND,VWAP,DRCTEDGE,NSX,BEX,BATS,EDGEA,CSFBALGO,JEFFALGO,BYX,IEX,TPLUS2,PSX</val>
          </value>
        </values>
      </ddeItem>
      <ddeItem name="id252?conid" advise="1">
        <values>
          <value>
            <val>274925</val>
          </value>
        </values>
      </ddeItem>
      <ddeItem name="id252?marketName" advise="1">
        <values>
          <value t="str">
            <val>NMS</val>
          </value>
        </values>
      </ddeItem>
      <ddeItem name="id252?minTick" advise="1">
        <values>
          <value>
            <val>0.01</val>
          </value>
        </values>
      </ddeItem>
      <ddeItem name="id252?multiplier" advise="1">
        <values>
          <value t="nil">
            <val>1</val>
          </value>
        </values>
      </ddeItem>
      <ddeItem name="id25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52?req?SYMC_STK_SMART_USD_~/" advise="1">
        <values>
          <value t="nil">
            <val>1</val>
          </value>
        </values>
      </ddeItem>
      <ddeItem name="id252?tradingClass" advise="1">
        <values>
          <value t="str">
            <val>NMS</val>
          </value>
        </values>
      </ddeItem>
      <ddeItem name="id252?validExchanges" advise="1">
        <values>
          <value t="str">
            <val>SMART,CBOE,ISE,CHX,ARCA,ISLAND,VWAP,DRCTEDGE,NSX,BEX,BATS,EDGEA,CSFBALGO,JEFFALGO,BYX,IEX,TPLUS2,PSX</val>
          </value>
        </values>
      </ddeItem>
      <ddeItem name="id253?conid" advise="1">
        <values>
          <value>
            <val>12581</val>
          </value>
        </values>
      </ddeItem>
      <ddeItem name="id253?marketName" advise="1">
        <values>
          <value t="str">
            <val>SYY</val>
          </value>
        </values>
      </ddeItem>
      <ddeItem name="id253?minTick" advise="1">
        <values>
          <value>
            <val>0.01</val>
          </value>
        </values>
      </ddeItem>
      <ddeItem name="id253?multiplier" advise="1">
        <values>
          <value t="nil">
            <val>1</val>
          </value>
        </values>
      </ddeItem>
      <ddeItem name="id25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53?req?SYY_STK_SMART_USD_~/" advise="1">
        <values>
          <value t="nil">
            <val>1</val>
          </value>
        </values>
      </ddeItem>
      <ddeItem name="id253?tradingClass" advise="1">
        <values>
          <value t="str">
            <val>SYY</val>
          </value>
        </values>
      </ddeItem>
      <ddeItem name="id253?validExchanges" advise="1">
        <values>
          <value t="str">
            <val>SMART,NYSE,CBOE,ISE,CHX,ARCA,ISLAND,VWAP,DRCTEDGE,NSX,BEX,BATS,EDGEA,CSFBALGO,JEFFALGO,BYX,IEX,TPLUS2,PSX</val>
          </value>
        </values>
      </ddeItem>
      <ddeItem name="id254?conid" advise="1">
        <values>
          <value>
            <val>9063285</val>
          </value>
        </values>
      </ddeItem>
      <ddeItem name="id254?marketName" advise="1">
        <values>
          <value t="str">
            <val>NMS</val>
          </value>
        </values>
      </ddeItem>
      <ddeItem name="id254?minTick" advise="1">
        <values>
          <value>
            <val>0.01</val>
          </value>
        </values>
      </ddeItem>
      <ddeItem name="id254?multiplier" advise="1">
        <values>
          <value t="nil">
            <val>1</val>
          </value>
        </values>
      </ddeItem>
      <ddeItem name="id25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54?req?ISRG_STK_SMART_USD_~/" advise="1">
        <values>
          <value t="nil">
            <val>1</val>
          </value>
        </values>
      </ddeItem>
      <ddeItem name="id254?tradingClass" advise="1">
        <values>
          <value t="str">
            <val>NMS</val>
          </value>
        </values>
      </ddeItem>
      <ddeItem name="id254?validExchanges" advise="1">
        <values>
          <value t="str">
            <val>SMART,CBOE,ISE,CHX,ARCA,ISLAND,DRCTEDGE,NSX,BEX,BATS,EDGEA,CSFBALGO,JEFFALGO,BYX,IEX,TPLUS2,PSX</val>
          </value>
        </values>
      </ddeItem>
      <ddeItem name="id256?conid" advise="1">
        <values>
          <value>
            <val>13011</val>
          </value>
        </values>
      </ddeItem>
      <ddeItem name="id256?marketName" advise="1">
        <values>
          <value t="str">
            <val>TSO</val>
          </value>
        </values>
      </ddeItem>
      <ddeItem name="id256?minTick" advise="1">
        <values>
          <value>
            <val>0.01</val>
          </value>
        </values>
      </ddeItem>
      <ddeItem name="id256?multiplier" advise="1">
        <values>
          <value t="nil">
            <val>1</val>
          </value>
        </values>
      </ddeItem>
      <ddeItem name="id25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56?req?TSO_STK_SMART_USD_~/" advise="1">
        <values>
          <value t="nil">
            <val>1</val>
          </value>
        </values>
      </ddeItem>
      <ddeItem name="id256?tradingClass" advise="1">
        <values>
          <value t="str">
            <val>TSO</val>
          </value>
        </values>
      </ddeItem>
      <ddeItem name="id256?validExchanges" advise="1">
        <values>
          <value t="str">
            <val>SMART,NYSE,CBOE,ISE,CHX,ARCA,ISLAND,DRCTEDGE,NSX,BEX,BATS,EDGEA,CSFBALGO,JEFFALGO,BYX,IEX,TPLUS2,PSX</val>
          </value>
        </values>
      </ddeItem>
      <ddeItem name="id257?conid" advise="1">
        <values>
          <value>
            <val>13096</val>
          </value>
        </values>
      </ddeItem>
      <ddeItem name="id257?marketName" advise="1">
        <values>
          <value t="str">
            <val>NMS</val>
          </value>
        </values>
      </ddeItem>
      <ddeItem name="id257?minTick" advise="1">
        <values>
          <value>
            <val>0.01</val>
          </value>
        </values>
      </ddeItem>
      <ddeItem name="id257?multiplier" advise="1">
        <values>
          <value t="nil">
            <val>1</val>
          </value>
        </values>
      </ddeItem>
      <ddeItem name="id25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57?req?TXN_STK_SMART_USD_~/" advise="1">
        <values>
          <value t="nil">
            <val>1</val>
          </value>
        </values>
      </ddeItem>
      <ddeItem name="id257?tradingClass" advise="1">
        <values>
          <value t="str">
            <val>NMS</val>
          </value>
        </values>
      </ddeItem>
      <ddeItem name="id257?validExchanges" advise="1">
        <values>
          <value t="str">
            <val>SMART,CBOE,ISE,CHX,ARCA,ISLAND,VWAP,DRCTEDGE,NSX,BEX,BATS,EDGEA,CSFBALGO,JEFFALGO,BYX,IEX,TPLUS2,PSX</val>
          </value>
        </values>
      </ddeItem>
      <ddeItem name="id258?conid" advise="1">
        <values>
          <value>
            <val>13101</val>
          </value>
        </values>
      </ddeItem>
      <ddeItem name="id258?marketName" advise="1">
        <values>
          <value t="str">
            <val>TXT</val>
          </value>
        </values>
      </ddeItem>
      <ddeItem name="id258?minTick" advise="1">
        <values>
          <value>
            <val>0.01</val>
          </value>
        </values>
      </ddeItem>
      <ddeItem name="id258?multiplier" advise="1">
        <values>
          <value t="nil">
            <val>1</val>
          </value>
        </values>
      </ddeItem>
      <ddeItem name="id25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58?req?TXT_STK_SMART_USD_~/" advise="1">
        <values>
          <value t="nil">
            <val>1</val>
          </value>
        </values>
      </ddeItem>
      <ddeItem name="id258?tradingClass" advise="1">
        <values>
          <value t="str">
            <val>TXT</val>
          </value>
        </values>
      </ddeItem>
      <ddeItem name="id258?validExchanges" advise="1">
        <values>
          <value t="str">
            <val>SMART,NYSE,CBOE,ISE,CHX,ARCA,ISLAND,VWAP,DRCTEDGE,NSX,BEX,BATS,EDGEA,CSFBALGO,JEFFALGO,BYX,IEX,TPLUS2,PSX</val>
          </value>
        </values>
      </ddeItem>
      <ddeItem name="id259?conid" advise="1">
        <values>
          <value>
            <val>12869</val>
          </value>
        </values>
      </ddeItem>
      <ddeItem name="id259?marketName" advise="1">
        <values>
          <value t="str">
            <val>TMO</val>
          </value>
        </values>
      </ddeItem>
      <ddeItem name="id259?minTick" advise="1">
        <values>
          <value>
            <val>0.01</val>
          </value>
        </values>
      </ddeItem>
      <ddeItem name="id259?multiplier" advise="1">
        <values>
          <value t="nil">
            <val>1</val>
          </value>
        </values>
      </ddeItem>
      <ddeItem name="id25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59?req?TMO_STK_SMART_USD_~/" advise="1">
        <values>
          <value t="nil">
            <val>1</val>
          </value>
        </values>
      </ddeItem>
      <ddeItem name="id259?tradingClass" advise="1">
        <values>
          <value t="str">
            <val>TMO</val>
          </value>
        </values>
      </ddeItem>
      <ddeItem name="id259?validExchanges" advise="1">
        <values>
          <value t="str">
            <val>SMART,NYSE,CBOE,ISE,CHX,ARCA,ISLAND,VWAP,DRCTEDGE,NSX,BEX,BATS,EDGEA,CSFBALGO,JEFFALGO,BYX,IEX,TPLUS2,PSX</val>
          </value>
        </values>
      </ddeItem>
      <ddeItem name="id26?conid" advise="1">
        <values>
          <value>
            <val>267661</val>
          </value>
        </values>
      </ddeItem>
      <ddeItem name="id26?marketName" advise="1">
        <values>
          <value t="str">
            <val>NMS</val>
          </value>
        </values>
      </ddeItem>
      <ddeItem name="id26?minTick" advise="1">
        <values>
          <value>
            <val>0.01</val>
          </value>
        </values>
      </ddeItem>
      <ddeItem name="id26?multiplier" advise="1">
        <values>
          <value t="nil">
            <val>1</val>
          </value>
        </values>
      </ddeItem>
      <ddeItem name="id2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6?req?CINF_STK_SMART_USD_~/" advise="1">
        <values>
          <value t="nil">
            <val>1</val>
          </value>
        </values>
      </ddeItem>
      <ddeItem name="id26?tradingClass" advise="1">
        <values>
          <value t="str">
            <val>NMS</val>
          </value>
        </values>
      </ddeItem>
      <ddeItem name="id26?validExchanges" advise="1">
        <values>
          <value t="str">
            <val>SMART,CBOE,ISE,CHX,ARCA,ISLAND,VWAP,DRCTEDGE,NSX,BEX,BATS,EDGEA,CSFBALGO,JEFFALGO,BYX,IEX,TPLUS2,PSX</val>
          </value>
        </values>
      </ddeItem>
      <ddeItem name="id260?conid" advise="1">
        <values>
          <value>
            <val>12791</val>
          </value>
        </values>
      </ddeItem>
      <ddeItem name="id260?marketName" advise="1">
        <values>
          <value t="str">
            <val>TIF</val>
          </value>
        </values>
      </ddeItem>
      <ddeItem name="id260?minTick" advise="1">
        <values>
          <value>
            <val>0.01</val>
          </value>
        </values>
      </ddeItem>
      <ddeItem name="id260?multiplier" advise="1">
        <values>
          <value t="nil">
            <val>1</val>
          </value>
        </values>
      </ddeItem>
      <ddeItem name="id26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60?req?TIF_STK_SMART_USD_~/" advise="1">
        <values>
          <value t="nil">
            <val>1</val>
          </value>
        </values>
      </ddeItem>
      <ddeItem name="id260?tradingClass" advise="1">
        <values>
          <value t="str">
            <val>TIF</val>
          </value>
        </values>
      </ddeItem>
      <ddeItem name="id260?validExchanges" advise="1">
        <values>
          <value t="str">
            <val>SMART,NYSE,CBOE,ISE,CHX,ARCA,ISLAND,VWAP,DRCTEDGE,NSX,BEX,BATS,EDGEA,CSFBALGO,JEFFALGO,BYX,IEX,TPLUS2,PSX</val>
          </value>
        </values>
      </ddeItem>
      <ddeItem name="id261?conid" advise="1">
        <values>
          <value>
            <val>12856</val>
          </value>
        </values>
      </ddeItem>
      <ddeItem name="id261?marketName" advise="1">
        <values>
          <value t="str">
            <val>TMK</val>
          </value>
        </values>
      </ddeItem>
      <ddeItem name="id261?minTick" advise="1">
        <values>
          <value>
            <val>0.01</val>
          </value>
        </values>
      </ddeItem>
      <ddeItem name="id261?multiplier" advise="1">
        <values>
          <value t="nil">
            <val>1</val>
          </value>
        </values>
      </ddeItem>
      <ddeItem name="id26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61?req?TMK_STK_SMART_USD_~/" advise="1">
        <values>
          <value t="nil">
            <val>1</val>
          </value>
        </values>
      </ddeItem>
      <ddeItem name="id261?tradingClass" advise="1">
        <values>
          <value t="str">
            <val>TMK</val>
          </value>
        </values>
      </ddeItem>
      <ddeItem name="id261?validExchanges" advise="1">
        <values>
          <value t="str">
            <val>SMART,NYSE,CBOE,ISE,CHX,ARCA,ISLAND,VWAP,DRCTEDGE,NSX,BEX,BATS,EDGEA,CSFBALGO,JEFFALGO,BYX,IEX,TPLUS2,PSX</val>
          </value>
        </values>
      </ddeItem>
      <ddeItem name="id262?conid" advise="1">
        <values>
          <value>
            <val>13014</val>
          </value>
        </values>
      </ddeItem>
      <ddeItem name="id262?marketName" advise="1">
        <values>
          <value t="str">
            <val>TSS</val>
          </value>
        </values>
      </ddeItem>
      <ddeItem name="id262?minTick" advise="1">
        <values>
          <value>
            <val>0.01</val>
          </value>
        </values>
      </ddeItem>
      <ddeItem name="id262?multiplier" advise="1">
        <values>
          <value t="nil">
            <val>1</val>
          </value>
        </values>
      </ddeItem>
      <ddeItem name="id26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62?req?TSS_STK_SMART_USD_~/" advise="1">
        <values>
          <value t="nil">
            <val>1</val>
          </value>
        </values>
      </ddeItem>
      <ddeItem name="id262?tradingClass" advise="1">
        <values>
          <value t="str">
            <val>TSS</val>
          </value>
        </values>
      </ddeItem>
      <ddeItem name="id262?validExchanges" advise="1">
        <values>
          <value t="str">
            <val>SMART,NYSE,CBOE,ISE,CHX,ARCA,ISLAND,DRCTEDGE,NSX,BEX,BATS,EDGEA,CSFBALGO,JEFFALGO,BYX,IEX,TPLUS2,PSX</val>
          </value>
        </values>
      </ddeItem>
      <ddeItem name="id263?conid" advise="1">
        <values>
          <value>
            <val>1035459</val>
          </value>
        </values>
      </ddeItem>
      <ddeItem name="id263?marketName" advise="1">
        <values>
          <value t="str">
            <val>DVA</val>
          </value>
        </values>
      </ddeItem>
      <ddeItem name="id263?minTick" advise="1">
        <values>
          <value>
            <val>0.01</val>
          </value>
        </values>
      </ddeItem>
      <ddeItem name="id263?multiplier" advise="1">
        <values>
          <value t="nil">
            <val>1</val>
          </value>
        </values>
      </ddeItem>
      <ddeItem name="id26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63?req?DVA_STK_SMART_USD_~/" advise="1">
        <values>
          <value t="nil">
            <val>1</val>
          </value>
        </values>
      </ddeItem>
      <ddeItem name="id263?tradingClass" advise="1">
        <values>
          <value t="str">
            <val>DVA</val>
          </value>
        </values>
      </ddeItem>
      <ddeItem name="id263?validExchanges" advise="1">
        <values>
          <value t="str">
            <val>SMART,NYSE,CBOE,ISE,CHX,ARCA,ISLAND,DRCTEDGE,NSX,BEX,BATS,EDGEA,CSFBALGO,JEFFALGO,BYX,IEX,TPLUS2,PSX</val>
          </value>
        </values>
      </ddeItem>
      <ddeItem name="id264?conid" advise="1">
        <values>
          <value>
            <val>6858322</val>
          </value>
        </values>
      </ddeItem>
      <ddeItem name="id264?marketName" advise="1">
        <values>
          <value t="str">
            <val>NMS</val>
          </value>
        </values>
      </ddeItem>
      <ddeItem name="id264?minTick" advise="1">
        <values>
          <value>
            <val>0.01</val>
          </value>
        </values>
      </ddeItem>
      <ddeItem name="id264?multiplier" advise="1">
        <values>
          <value t="nil">
            <val>1</val>
          </value>
        </values>
      </ddeItem>
      <ddeItem name="id26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64?req?TSCO_STK_SMART_USD_~/" advise="1">
        <values>
          <value t="nil">
            <val>1</val>
          </value>
        </values>
      </ddeItem>
      <ddeItem name="id264?tradingClass" advise="1">
        <values>
          <value t="str">
            <val>NMS</val>
          </value>
        </values>
      </ddeItem>
      <ddeItem name="id264?validExchanges" advise="1">
        <values>
          <value t="str">
            <val>SMART,CBOE,ISE,CHX,ARCA,ISLAND,DRCTEDGE,NSX,BEX,BATS,EDGEA,CSFBALGO,JEFFALGO,BYX,IEX,TPLUS2,PSX</val>
          </value>
        </values>
      </ddeItem>
      <ddeItem name="id265?conid" advise="1">
        <values>
          <value>
            <val>275405</val>
          </value>
        </values>
      </ddeItem>
      <ddeItem name="id265?marketName" advise="1">
        <values>
          <value t="str">
            <val>TSN</val>
          </value>
        </values>
      </ddeItem>
      <ddeItem name="id265?minTick" advise="1">
        <values>
          <value>
            <val>0.01</val>
          </value>
        </values>
      </ddeItem>
      <ddeItem name="id265?multiplier" advise="1">
        <values>
          <value t="nil">
            <val>1</val>
          </value>
        </values>
      </ddeItem>
      <ddeItem name="id26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65?req?TSN_STK_SMART_USD_~/" advise="1">
        <values>
          <value t="nil">
            <val>1</val>
          </value>
        </values>
      </ddeItem>
      <ddeItem name="id265?tradingClass" advise="1">
        <values>
          <value t="str">
            <val>TSN</val>
          </value>
        </values>
      </ddeItem>
      <ddeItem name="id265?validExchanges" advise="1">
        <values>
          <value t="str">
            <val>SMART,NYSE,CBOE,ISE,CHX,ARCA,ISLAND,VWAP,DRCTEDGE,NSX,BEX,BATS,EDGEA,CSFBALGO,JEFFALGO,BYX,IEX,TPLUS2,PSX</val>
          </value>
        </values>
      </ddeItem>
      <ddeItem name="id266?conid" advise="1">
        <values>
          <value>
            <val>9831</val>
          </value>
        </values>
      </ddeItem>
      <ddeItem name="id266?marketName" advise="1">
        <values>
          <value t="str">
            <val>MRO</val>
          </value>
        </values>
      </ddeItem>
      <ddeItem name="id266?minTick" advise="1">
        <values>
          <value>
            <val>0.01</val>
          </value>
        </values>
      </ddeItem>
      <ddeItem name="id266?multiplier" advise="1">
        <values>
          <value t="nil">
            <val>1</val>
          </value>
        </values>
      </ddeItem>
      <ddeItem name="id26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66?req?MRO_STK_SMART_USD_~/" advise="1">
        <values>
          <value t="nil">
            <val>1</val>
          </value>
        </values>
      </ddeItem>
      <ddeItem name="id266?tradingClass" advise="1">
        <values>
          <value t="str">
            <val>MRO</val>
          </value>
        </values>
      </ddeItem>
      <ddeItem name="id266?validExchanges" advise="1">
        <values>
          <value t="str">
            <val>SMART,NYSE,CBOE,ISE,CHX,ARCA,ISLAND,VWAP,DRCTEDGE,NSX,BEX,BATS,EDGEA,CSFBALGO,JEFFALGO,BYX,IEX,TPLUS2,PSX</val>
          </value>
        </values>
      </ddeItem>
      <ddeItem name="id267?conid" advise="1">
        <values>
          <value>
            <val>13284</val>
          </value>
        </values>
      </ddeItem>
      <ddeItem name="id267?marketName" advise="1">
        <values>
          <value t="str">
            <val>UNP</val>
          </value>
        </values>
      </ddeItem>
      <ddeItem name="id267?minTick" advise="1">
        <values>
          <value>
            <val>0.01</val>
          </value>
        </values>
      </ddeItem>
      <ddeItem name="id267?multiplier" advise="1">
        <values>
          <value t="nil">
            <val>1</val>
          </value>
        </values>
      </ddeItem>
      <ddeItem name="id26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67?req?UNP_STK_SMART_USD_~/" advise="1">
        <values>
          <value t="nil">
            <val>1</val>
          </value>
        </values>
      </ddeItem>
      <ddeItem name="id267?tradingClass" advise="1">
        <values>
          <value t="str">
            <val>UNP</val>
          </value>
        </values>
      </ddeItem>
      <ddeItem name="id267?validExchanges" advise="1">
        <values>
          <value t="str">
            <val>SMART,NYSE,CBOE,ISE,CHX,ARCA,ISLAND,VWAP,DRCTEDGE,NSX,BEX,BATS,EDGEA,CSFBALGO,JEFFALGO,BYX,IEX,TPLUS2,PSX</val>
          </value>
        </values>
      </ddeItem>
      <ddeItem name="id268?conid" advise="1">
        <values>
          <value>
            <val>13364</val>
          </value>
        </values>
      </ddeItem>
      <ddeItem name="id268?marketName" advise="1">
        <values>
          <value t="str">
            <val>UTX</val>
          </value>
        </values>
      </ddeItem>
      <ddeItem name="id268?minTick" advise="1">
        <values>
          <value>
            <val>0.01</val>
          </value>
        </values>
      </ddeItem>
      <ddeItem name="id268?multiplier" advise="1">
        <values>
          <value t="nil">
            <val>1</val>
          </value>
        </values>
      </ddeItem>
      <ddeItem name="id26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68?req?UTX_STK_SMART_USD_~/" advise="1">
        <values>
          <value t="nil">
            <val>1</val>
          </value>
        </values>
      </ddeItem>
      <ddeItem name="id268?tradingClass" advise="1">
        <values>
          <value t="str">
            <val>UTX</val>
          </value>
        </values>
      </ddeItem>
      <ddeItem name="id268?validExchanges" advise="1">
        <values>
          <value t="str">
            <val>SMART,NYSE,CBOE,ISE,CHX,ARCA,ISLAND,VWAP,DRCTEDGE,NSX,BEX,BATS,EDGEA,CSFBALGO,JEFFALGO,BYX,IEX,TPLUS2,PSX</val>
          </value>
        </values>
      </ddeItem>
      <ddeItem name="id269?conid" advise="1">
        <values>
          <value>
            <val>13272</val>
          </value>
        </values>
      </ddeItem>
      <ddeItem name="id269?marketName" advise="1">
        <values>
          <value t="str">
            <val>UNH</val>
          </value>
        </values>
      </ddeItem>
      <ddeItem name="id269?minTick" advise="1">
        <values>
          <value>
            <val>0.01</val>
          </value>
        </values>
      </ddeItem>
      <ddeItem name="id269?multiplier" advise="1">
        <values>
          <value t="nil">
            <val>1</val>
          </value>
        </values>
      </ddeItem>
      <ddeItem name="id26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69?req?UNH_STK_SMART_USD_~/" advise="1">
        <values>
          <value t="nil">
            <val>1</val>
          </value>
        </values>
      </ddeItem>
      <ddeItem name="id269?tradingClass" advise="1">
        <values>
          <value t="str">
            <val>UNH</val>
          </value>
        </values>
      </ddeItem>
      <ddeItem name="id269?validExchanges" advise="1">
        <values>
          <value t="str">
            <val>SMART,NYSE,CBOE,ISE,CHX,ARCA,ISLAND,VWAP,DRCTEDGE,NSX,BEX,BATS,EDGEA,CSFBALGO,JEFFALGO,BYX,IEX,TPLUS2,PSX</val>
          </value>
        </values>
      </ddeItem>
      <ddeItem name="id27?conid" advise="1">
        <values>
          <value>
            <val>268149</val>
          </value>
        </values>
      </ddeItem>
      <ddeItem name="id27?marketName" advise="1">
        <values>
          <value t="str">
            <val>NMS</val>
          </value>
        </values>
      </ddeItem>
      <ddeItem name="id27?minTick" advise="1">
        <values>
          <value>
            <val>0.01</val>
          </value>
        </values>
      </ddeItem>
      <ddeItem name="id27?multiplier" advise="1">
        <values>
          <value t="nil">
            <val>1</val>
          </value>
        </values>
      </ddeItem>
      <ddeItem name="id2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7?req?CTAS_STK_SMART_USD_~/" advise="1">
        <values>
          <value t="nil">
            <val>1</val>
          </value>
        </values>
      </ddeItem>
      <ddeItem name="id27?tradingClass" advise="1">
        <values>
          <value t="str">
            <val>NMS</val>
          </value>
        </values>
      </ddeItem>
      <ddeItem name="id27?validExchanges" advise="1">
        <values>
          <value t="str">
            <val>SMART,CBOE,ISE,CHX,ARCA,ISLAND,VWAP,DRCTEDGE,NSX,BEX,BATS,EDGEA,CSFBALGO,JEFFALGO,BYX,IEX,TPLUS2,PSX</val>
          </value>
        </values>
      </ddeItem>
      <ddeItem name="id270?conid" advise="1">
        <values>
          <value>
            <val>13206</val>
          </value>
        </values>
      </ddeItem>
      <ddeItem name="id270?marketName" advise="1">
        <values>
          <value t="str">
            <val>UHS</val>
          </value>
        </values>
      </ddeItem>
      <ddeItem name="id270?minTick" advise="1">
        <values>
          <value>
            <val>0.01</val>
          </value>
        </values>
      </ddeItem>
      <ddeItem name="id270?multiplier" advise="1">
        <values>
          <value t="nil">
            <val>1</val>
          </value>
        </values>
      </ddeItem>
      <ddeItem name="id27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70?req?UHS_STK_SMART_USD_~/" advise="1">
        <values>
          <value t="nil">
            <val>1</val>
          </value>
        </values>
      </ddeItem>
      <ddeItem name="id270?tradingClass" advise="1">
        <values>
          <value t="str">
            <val>UHS</val>
          </value>
        </values>
      </ddeItem>
      <ddeItem name="id270?validExchanges" advise="1">
        <values>
          <value t="str">
            <val>SMART,NYSE,CBOE,ISE,CHX,ARCA,ISLAND,DRCTEDGE,NSX,BEX,BATS,EDGEA,CSFBALGO,JEFFALGO,BYX,IEX,TPLUS2,PSX</val>
          </value>
        </values>
      </ddeItem>
      <ddeItem name="id271?conid" advise="1">
        <values>
          <value>
            <val>13400</val>
          </value>
        </values>
      </ddeItem>
      <ddeItem name="id271?marketName" advise="1">
        <values>
          <value t="str">
            <val>VAR</val>
          </value>
        </values>
      </ddeItem>
      <ddeItem name="id271?minTick" advise="1">
        <values>
          <value>
            <val>0.01</val>
          </value>
        </values>
      </ddeItem>
      <ddeItem name="id271?multiplier" advise="1">
        <values>
          <value t="nil">
            <val>1</val>
          </value>
        </values>
      </ddeItem>
      <ddeItem name="id27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71?req?VAR_STK_SMART_USD_~/" advise="1">
        <values>
          <value t="nil">
            <val>1</val>
          </value>
        </values>
      </ddeItem>
      <ddeItem name="id271?tradingClass" advise="1">
        <values>
          <value t="str">
            <val>VAR</val>
          </value>
        </values>
      </ddeItem>
      <ddeItem name="id271?validExchanges" advise="1">
        <values>
          <value t="str">
            <val>SMART,NYSE,CBOE,ISE,CHX,ARCA,ISLAND,DRCTEDGE,NSX,BEX,BATS,EDGEA,CSFBALGO,JEFFALGO,BYX,IEX,TPLUS2,PSX</val>
          </value>
        </values>
      </ddeItem>
      <ddeItem name="id272?conid" advise="1">
        <values>
          <value>
            <val>4044062</val>
          </value>
        </values>
      </ddeItem>
      <ddeItem name="id272?marketName" advise="1">
        <values>
          <value t="str">
            <val>VTR</val>
          </value>
        </values>
      </ddeItem>
      <ddeItem name="id272?minTick" advise="1">
        <values>
          <value>
            <val>0.01</val>
          </value>
        </values>
      </ddeItem>
      <ddeItem name="id272?multiplier" advise="1">
        <values>
          <value t="nil">
            <val>1</val>
          </value>
        </values>
      </ddeItem>
      <ddeItem name="id27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72?req?VTR_STK_SMART_USD_~/" advise="1">
        <values>
          <value t="nil">
            <val>1</val>
          </value>
        </values>
      </ddeItem>
      <ddeItem name="id272?tradingClass" advise="1">
        <values>
          <value t="str">
            <val>VTR</val>
          </value>
        </values>
      </ddeItem>
      <ddeItem name="id272?validExchanges" advise="1">
        <values>
          <value t="str">
            <val>SMART,NYSE,CBOE,ISE,CHX,ARCA,ISLAND,DRCTEDGE,NSX,BEX,BATS,EDGEA,CSFBALGO,JEFFALGO,BYX,IEX,TPLUS2,PSX</val>
          </value>
        </values>
      </ddeItem>
      <ddeItem name="id273?conid" advise="1">
        <values>
          <value>
            <val>13440</val>
          </value>
        </values>
      </ddeItem>
      <ddeItem name="id273?marketName" advise="1">
        <values>
          <value t="str">
            <val>VFC</val>
          </value>
        </values>
      </ddeItem>
      <ddeItem name="id273?minTick" advise="1">
        <values>
          <value>
            <val>0.01</val>
          </value>
        </values>
      </ddeItem>
      <ddeItem name="id273?multiplier" advise="1">
        <values>
          <value t="nil">
            <val>1</val>
          </value>
        </values>
      </ddeItem>
      <ddeItem name="id27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73?req?VFC_STK_SMART_USD_~/" advise="1">
        <values>
          <value t="nil">
            <val>1</val>
          </value>
        </values>
      </ddeItem>
      <ddeItem name="id273?tradingClass" advise="1">
        <values>
          <value t="str">
            <val>VFC</val>
          </value>
        </values>
      </ddeItem>
      <ddeItem name="id273?validExchanges" advise="1">
        <values>
          <value t="str">
            <val>SMART,NYSE,CBOE,ISE,CHX,ARCA,ISLAND,VWAP,DRCTEDGE,NSX,BEX,BATS,EDGEA,CSFBALGO,JEFFALGO,BYX,IEX,TPLUS2,PSX</val>
          </value>
        </values>
      </ddeItem>
      <ddeItem name="id274?conid" advise="1">
        <values>
          <value>
            <val>275850</val>
          </value>
        </values>
      </ddeItem>
      <ddeItem name="id274?marketName" advise="1">
        <values>
          <value t="str">
            <val>NMS</val>
          </value>
        </values>
      </ddeItem>
      <ddeItem name="id274?minTick" advise="1">
        <values>
          <value>
            <val>0.01</val>
          </value>
        </values>
      </ddeItem>
      <ddeItem name="id274?multiplier" advise="1">
        <values>
          <value t="nil">
            <val>1</val>
          </value>
        </values>
      </ddeItem>
      <ddeItem name="id27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74?req?VRTX_STK_SMART_USD_~/" advise="1">
        <values>
          <value t="nil">
            <val>1</val>
          </value>
        </values>
      </ddeItem>
      <ddeItem name="id274?tradingClass" advise="1">
        <values>
          <value t="str">
            <val>NMS</val>
          </value>
        </values>
      </ddeItem>
      <ddeItem name="id274?validExchanges" advise="1">
        <values>
          <value t="str">
            <val>SMART,CBOE,ISE,CHX,ARCA,ISLAND,DRCTEDGE,NSX,BEX,BATS,EDGEA,CSFBALGO,JEFFALGO,BYX,IEX,TPLUS2,PSX</val>
          </value>
        </values>
      </ddeItem>
      <ddeItem name="id275?conid" advise="1">
        <values>
          <value>
            <val>13515</val>
          </value>
        </values>
      </ddeItem>
      <ddeItem name="id275?marketName" advise="1">
        <values>
          <value t="str">
            <val>VMC</val>
          </value>
        </values>
      </ddeItem>
      <ddeItem name="id275?minTick" advise="1">
        <values>
          <value>
            <val>0.01</val>
          </value>
        </values>
      </ddeItem>
      <ddeItem name="id275?multiplier" advise="1">
        <values>
          <value t="nil">
            <val>1</val>
          </value>
        </values>
      </ddeItem>
      <ddeItem name="id27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75?req?VMC_STK_SMART_USD_~/" advise="1">
        <values>
          <value t="nil">
            <val>1</val>
          </value>
        </values>
      </ddeItem>
      <ddeItem name="id275?tradingClass" advise="1">
        <values>
          <value t="str">
            <val>VMC</val>
          </value>
        </values>
      </ddeItem>
      <ddeItem name="id275?validExchanges" advise="1">
        <values>
          <value t="str">
            <val>SMART,NYSE,CBOE,ISE,CHX,ARCA,ISLAND,VWAP,DRCTEDGE,NSX,BEX,BATS,EDGEA,CSFBALGO,JEFFALGO,BYX,IEX,TPLUS2,PSX</val>
          </value>
        </values>
      </ddeItem>
      <ddeItem name="id276?conid" advise="1">
        <values>
          <value>
            <val>275527</val>
          </value>
        </values>
      </ddeItem>
      <ddeItem name="id276?marketName" advise="1">
        <values>
          <value t="str">
            <val>NMS</val>
          </value>
        </values>
      </ddeItem>
      <ddeItem name="id276?minTick" advise="1">
        <values>
          <value>
            <val>0.01</val>
          </value>
        </values>
      </ddeItem>
      <ddeItem name="id276?multiplier" advise="1">
        <values>
          <value t="nil">
            <val>1</val>
          </value>
        </values>
      </ddeItem>
      <ddeItem name="id27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76?req?URBN_STK_SMART_USD_~/" advise="1">
        <values>
          <value t="nil">
            <val>1</val>
          </value>
        </values>
      </ddeItem>
      <ddeItem name="id276?tradingClass" advise="1">
        <values>
          <value t="str">
            <val>NMS</val>
          </value>
        </values>
      </ddeItem>
      <ddeItem name="id276?validExchanges" advise="1">
        <values>
          <value t="str">
            <val>SMART,CBOE,ISE,CHX,ARCA,ISLAND,DRCTEDGE,NSX,BEX,BATS,EDGEA,CSFBALGO,JEFFALGO,BYX,IEX,TPLUS2,PSX</val>
          </value>
        </values>
      </ddeItem>
      <ddeItem name="id277?conid" advise="1">
        <values>
          <value>
            <val>13535</val>
          </value>
        </values>
      </ddeItem>
      <ddeItem name="id277?marketName" advise="1">
        <values>
          <value t="str">
            <val>VNO</val>
          </value>
        </values>
      </ddeItem>
      <ddeItem name="id277?minTick" advise="1">
        <values>
          <value>
            <val>0.01</val>
          </value>
        </values>
      </ddeItem>
      <ddeItem name="id277?multiplier" advise="1">
        <values>
          <value t="nil">
            <val>1</val>
          </value>
        </values>
      </ddeItem>
      <ddeItem name="id27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77?req?VNO_STK_SMART_USD_~/" advise="1">
        <values>
          <value t="nil">
            <val>1</val>
          </value>
        </values>
      </ddeItem>
      <ddeItem name="id277?tradingClass" advise="1">
        <values>
          <value t="str">
            <val>VNO</val>
          </value>
        </values>
      </ddeItem>
      <ddeItem name="id277?validExchanges" advise="1">
        <values>
          <value t="str">
            <val>SMART,NYSE,CBOE,ISE,CHX,ARCA,ISLAND,VWAP,DRCTEDGE,NSX,BEX,BATS,EDGEA,CSFBALGO,JEFFALGO,BYX,IEX,TPLUS2,PSX</val>
          </value>
        </values>
      </ddeItem>
      <ddeItem name="id278?conid" advise="1">
        <values>
          <value>
            <val>13824</val>
          </value>
        </values>
      </ddeItem>
      <ddeItem name="id278?marketName" advise="1">
        <values>
          <value t="str">
            <val>WMT</val>
          </value>
        </values>
      </ddeItem>
      <ddeItem name="id278?minTick" advise="1">
        <values>
          <value>
            <val>0.01</val>
          </value>
        </values>
      </ddeItem>
      <ddeItem name="id278?multiplier" advise="1">
        <values>
          <value t="nil">
            <val>1</val>
          </value>
        </values>
      </ddeItem>
      <ddeItem name="id27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78?req?WMT_STK_SMART_USD_~/" advise="1">
        <values>
          <value t="nil">
            <val>1</val>
          </value>
        </values>
      </ddeItem>
      <ddeItem name="id278?tradingClass" advise="1">
        <values>
          <value t="str">
            <val>WMT</val>
          </value>
        </values>
      </ddeItem>
      <ddeItem name="id278?validExchanges" advise="1">
        <values>
          <value t="str">
            <val>SMART,NYSE,CBOE,ISE,CHX,ARCA,ISLAND,VWAP,DRCTEDGE,NSX,BEX,BATS,EDGEA,CSFBALGO,JEFFALGO,BYX,IEX,TPLUS2,PSX</val>
          </value>
        </values>
      </ddeItem>
      <ddeItem name="id279?conid" advise="1">
        <values>
          <value>
            <val>13379</val>
          </value>
        </values>
      </ddeItem>
      <ddeItem name="id279?marketName" advise="1">
        <values>
          <value t="str">
            <val>WM</val>
          </value>
        </values>
      </ddeItem>
      <ddeItem name="id279?minTick" advise="1">
        <values>
          <value>
            <val>0.01</val>
          </value>
        </values>
      </ddeItem>
      <ddeItem name="id279?multiplier" advise="1">
        <values>
          <value t="nil">
            <val>1</val>
          </value>
        </values>
      </ddeItem>
      <ddeItem name="id27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79?req?WM_STK_SMART_USD_~/" advise="1">
        <values>
          <value t="nil">
            <val>1</val>
          </value>
        </values>
      </ddeItem>
      <ddeItem name="id279?tradingClass" advise="1">
        <values>
          <value t="str">
            <val>WM</val>
          </value>
        </values>
      </ddeItem>
      <ddeItem name="id279?validExchanges" advise="1">
        <values>
          <value t="str">
            <val>SMART,NYSE,CBOE,ISE,CHX,ARCA,ISLAND,VWAP,DRCTEDGE,NSX,BEX,BATS,EDGEA,CSFBALGO,JEFFALGO,BYX,IEX,TPLUS2,PSX</val>
          </value>
        </values>
      </ddeItem>
      <ddeItem name="id28?conid" advise="1">
        <values>
          <value>
            <val>51575076</val>
          </value>
        </values>
      </ddeItem>
      <ddeItem name="id28?marketName" advise="1">
        <values>
          <value t="str">
            <val>NMS</val>
          </value>
        </values>
      </ddeItem>
      <ddeItem name="id28?minTick" advise="1">
        <values>
          <value>
            <val>0.01</val>
          </value>
        </values>
      </ddeItem>
      <ddeItem name="id28?multiplier" advise="1">
        <values>
          <value t="nil">
            <val>1</val>
          </value>
        </values>
      </ddeItem>
      <ddeItem name="id2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8?req?FTR_STK_SMART_USD_~/" advise="1">
        <values>
          <value t="nil">
            <val>1</val>
          </value>
        </values>
      </ddeItem>
      <ddeItem name="id28?tradingClass" advise="1">
        <values>
          <value t="str">
            <val>NMS</val>
          </value>
        </values>
      </ddeItem>
      <ddeItem name="id28?validExchanges" advise="1">
        <values>
          <value t="str">
            <val>SMART,CBOE,ISE,CHX,ARCA,ISLAND,DRCTEDGE,NSX,BEX,BATS,EDGEA,CSFBALGO,JEFFALGO,BYX,IEX,TPLUS2,PSX</val>
          </value>
        </values>
      </ddeItem>
      <ddeItem name="id280?conid" advise="1">
        <values>
          <value>
            <val>1448494</val>
          </value>
        </values>
      </ddeItem>
      <ddeItem name="id280?marketName" advise="1">
        <values>
          <value t="str">
            <val>WAT</val>
          </value>
        </values>
      </ddeItem>
      <ddeItem name="id280?minTick" advise="1">
        <values>
          <value>
            <val>0.01</val>
          </value>
        </values>
      </ddeItem>
      <ddeItem name="id280?multiplier" advise="1">
        <values>
          <value t="nil">
            <val>1</val>
          </value>
        </values>
      </ddeItem>
      <ddeItem name="id28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80?req?WAT_STK_SMART_USD_~/" advise="1">
        <values>
          <value t="nil">
            <val>1</val>
          </value>
        </values>
      </ddeItem>
      <ddeItem name="id280?tradingClass" advise="1">
        <values>
          <value t="str">
            <val>WAT</val>
          </value>
        </values>
      </ddeItem>
      <ddeItem name="id280?validExchanges" advise="1">
        <values>
          <value t="str">
            <val>SMART,NYSE,CBOE,ISE,CHX,ARCA,ISLAND,VWAP,DRCTEDGE,NSX,BEX,BATS,EDGEA,CSFBALGO,JEFFALGO,BYX,IEX,TPLUS2,PSX</val>
          </value>
        </values>
      </ddeItem>
      <ddeItem name="id281?conid" advise="1">
        <values>
          <value>
            <val>15130038</val>
          </value>
        </values>
      </ddeItem>
      <ddeItem name="id281?marketName" advise="1">
        <values>
          <value t="str">
            <val>SJM</val>
          </value>
        </values>
      </ddeItem>
      <ddeItem name="id281?minTick" advise="1">
        <values>
          <value>
            <val>0.01</val>
          </value>
        </values>
      </ddeItem>
      <ddeItem name="id281?multiplier" advise="1">
        <values>
          <value t="nil">
            <val>1</val>
          </value>
        </values>
      </ddeItem>
      <ddeItem name="id28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81?req?SJM_STK_SMART_USD_~/" advise="1">
        <values>
          <value t="nil">
            <val>1</val>
          </value>
        </values>
      </ddeItem>
      <ddeItem name="id281?tradingClass" advise="1">
        <values>
          <value t="str">
            <val>SJM</val>
          </value>
        </values>
      </ddeItem>
      <ddeItem name="id281?validExchanges" advise="1">
        <values>
          <value t="str">
            <val>SMART,NYSE,CBOE,ISE,CHX,ARCA,ISLAND,VWAP,DRCTEDGE,NSX,BEX,BATS,EDGEA,CSFBALGO,JEFFALGO,BYX,IEX,TPLUS2,PSX</val>
          </value>
        </values>
      </ddeItem>
      <ddeItem name="id282?conid" advise="1">
        <values>
          <value>
            <val>13681</val>
          </value>
        </values>
      </ddeItem>
      <ddeItem name="id282?marketName" advise="1">
        <values>
          <value t="str">
            <val>NMS</val>
          </value>
        </values>
      </ddeItem>
      <ddeItem name="id282?minTick" advise="1">
        <values>
          <value>
            <val>0.01</val>
          </value>
        </values>
      </ddeItem>
      <ddeItem name="id282?multiplier" advise="1">
        <values>
          <value t="nil">
            <val>1</val>
          </value>
        </values>
      </ddeItem>
      <ddeItem name="id28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82?req?WDC_STK_SMART_USD_~/" advise="1">
        <values>
          <value t="nil">
            <val>1</val>
          </value>
        </values>
      </ddeItem>
      <ddeItem name="id282?tradingClass" advise="1">
        <values>
          <value t="str">
            <val>NMS</val>
          </value>
        </values>
      </ddeItem>
      <ddeItem name="id282?validExchanges" advise="1">
        <values>
          <value t="str">
            <val>SMART,CBOE,ISE,CHX,ARCA,ISLAND,DRCTEDGE,NSX,BEX,BATS,EDGEA,CSFBALGO,JEFFALGO,BYX,IEX,TPLUS2,PSX</val>
          </value>
        </values>
      </ddeItem>
      <ddeItem name="id283?conid" advise="1">
        <values>
          <value>
            <val>13949</val>
          </value>
        </values>
      </ddeItem>
      <ddeItem name="id283?marketName" advise="1">
        <values>
          <value t="str">
            <val>WY</val>
          </value>
        </values>
      </ddeItem>
      <ddeItem name="id283?minTick" advise="1">
        <values>
          <value>
            <val>0.01</val>
          </value>
        </values>
      </ddeItem>
      <ddeItem name="id283?multiplier" advise="1">
        <values>
          <value t="nil">
            <val>1</val>
          </value>
        </values>
      </ddeItem>
      <ddeItem name="id28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83?req?WY_STK_SMART_USD_~/" advise="1">
        <values>
          <value t="nil">
            <val>1</val>
          </value>
        </values>
      </ddeItem>
      <ddeItem name="id283?tradingClass" advise="1">
        <values>
          <value t="str">
            <val>WY</val>
          </value>
        </values>
      </ddeItem>
      <ddeItem name="id283?validExchanges" advise="1">
        <values>
          <value t="str">
            <val>SMART,NYSE,CBOE,ISE,CHX,ARCA,ISLAND,VWAP,DRCTEDGE,NSX,BEX,BATS,EDGEA,CSFBALGO,JEFFALGO,BYX,IEX,TPLUS2,PSX</val>
          </value>
        </values>
      </ddeItem>
      <ddeItem name="id284?conid" advise="1">
        <values>
          <value>
            <val>13751</val>
          </value>
        </values>
      </ddeItem>
      <ddeItem name="id284?marketName" advise="1">
        <values>
          <value t="str">
            <val>WHR</val>
          </value>
        </values>
      </ddeItem>
      <ddeItem name="id284?minTick" advise="1">
        <values>
          <value>
            <val>0.01</val>
          </value>
        </values>
      </ddeItem>
      <ddeItem name="id284?multiplier" advise="1">
        <values>
          <value t="nil">
            <val>1</val>
          </value>
        </values>
      </ddeItem>
      <ddeItem name="id28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84?req?WHR_STK_SMART_USD_~/" advise="1">
        <values>
          <value t="nil">
            <val>1</val>
          </value>
        </values>
      </ddeItem>
      <ddeItem name="id284?tradingClass" advise="1">
        <values>
          <value t="str">
            <val>WHR</val>
          </value>
        </values>
      </ddeItem>
      <ddeItem name="id284?validExchanges" advise="1">
        <values>
          <value t="str">
            <val>SMART,NYSE,CBOE,ISE,CHX,ARCA,ISLAND,VWAP,DRCTEDGE,NSX,BEX,BATS,EDGEA,CSFBALGO,JEFFALGO,BYX,IEX,TPLUS2,PSX</val>
          </value>
        </values>
      </ddeItem>
      <ddeItem name="id285?conid" advise="1">
        <values>
          <value>
            <val>4726021</val>
          </value>
        </values>
      </ddeItem>
      <ddeItem name="id285?marketName" advise="1">
        <values>
          <value t="str">
            <val>NMS</val>
          </value>
        </values>
      </ddeItem>
      <ddeItem name="id285?minTick" advise="1">
        <values>
          <value>
            <val>0.01</val>
          </value>
        </values>
      </ddeItem>
      <ddeItem name="id285?multiplier" advise="1">
        <values>
          <value t="nil">
            <val>1</val>
          </value>
        </values>
      </ddeItem>
      <ddeItem name="id28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85?req?SWKS_STK_SMART_USD_~/" advise="1">
        <values>
          <value t="nil">
            <val>1</val>
          </value>
        </values>
      </ddeItem>
      <ddeItem name="id285?tradingClass" advise="1">
        <values>
          <value t="str">
            <val>NMS</val>
          </value>
        </values>
      </ddeItem>
      <ddeItem name="id285?validExchanges" advise="1">
        <values>
          <value t="str">
            <val>SMART,CBOE,ISE,CHX,ARCA,ISLAND,VWAP,DRCTEDGE,NSX,BEX,BATS,EDGEA,CSFBALGO,JEFFALGO,BYX,IEX,TPLUS2,PSX</val>
          </value>
        </values>
      </ddeItem>
      <ddeItem name="id286?conid" advise="1">
        <values>
          <value>
            <val>16454492</val>
          </value>
        </values>
      </ddeItem>
      <ddeItem name="id286?marketName" advise="1">
        <values>
          <value t="str">
            <val>NMS</val>
          </value>
        </values>
      </ddeItem>
      <ddeItem name="id286?minTick" advise="1">
        <values>
          <value>
            <val>0.01</val>
          </value>
        </values>
      </ddeItem>
      <ddeItem name="id286?multiplier" advise="1">
        <values>
          <value t="nil">
            <val>1</val>
          </value>
        </values>
      </ddeItem>
      <ddeItem name="id28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86?req?WYNN_STK_SMART_USD_~/" advise="1">
        <values>
          <value t="nil">
            <val>1</val>
          </value>
        </values>
      </ddeItem>
      <ddeItem name="id286?tradingClass" advise="1">
        <values>
          <value t="str">
            <val>NMS</val>
          </value>
        </values>
      </ddeItem>
      <ddeItem name="id286?validExchanges" advise="1">
        <values>
          <value t="str">
            <val>SMART,CBOE,ISE,CHX,ARCA,ISLAND,DRCTEDGE,NSX,BEX,BATS,EDGEA,CSFBALGO,JEFFALGO,BYX,IEX,TPLUS2,PSX</val>
          </value>
        </values>
      </ddeItem>
      <ddeItem name="id287?conid" advise="1">
        <values>
          <value>
            <val>276024</val>
          </value>
        </values>
      </ddeItem>
      <ddeItem name="id287?marketName" advise="1">
        <values>
          <value t="str">
            <val>NMS</val>
          </value>
        </values>
      </ddeItem>
      <ddeItem name="id287?minTick" advise="1">
        <values>
          <value>
            <val>0.01</val>
          </value>
        </values>
      </ddeItem>
      <ddeItem name="id287?multiplier" advise="1">
        <values>
          <value t="nil">
            <val>1</val>
          </value>
        </values>
      </ddeItem>
      <ddeItem name="id28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87?req?WFM_STK_SMART_USD_~/" advise="1">
        <values>
          <value t="nil">
            <val>1</val>
          </value>
        </values>
      </ddeItem>
      <ddeItem name="id287?tradingClass" advise="1">
        <values>
          <value t="str">
            <val>NMS</val>
          </value>
        </values>
      </ddeItem>
      <ddeItem name="id287?validExchanges" advise="1">
        <values>
          <value t="str">
            <val>SMART,CBOE,ISE,CHX,ARCA,ISLAND,VWAP,DRCTEDGE,NSX,BEX,BATS,EDGEA,CSFBALGO,JEFFALGO,BYX,IEX,TPLUS2,PSX</val>
          </value>
        </values>
      </ddeItem>
      <ddeItem name="id288?conid" advise="1">
        <values>
          <value>
            <val>29380756</val>
          </value>
        </values>
      </ddeItem>
      <ddeItem name="id288?marketName" advise="1">
        <values>
          <value t="str">
            <val>NMS</val>
          </value>
        </values>
      </ddeItem>
      <ddeItem name="id288?minTick" advise="1">
        <values>
          <value>
            <val>0.01</val>
          </value>
        </values>
      </ddeItem>
      <ddeItem name="id288?multiplier" advise="1">
        <values>
          <value t="nil">
            <val>1</val>
          </value>
        </values>
      </ddeItem>
      <ddeItem name="id28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88?req?NDAQ_STK_SMART_USD_~/" advise="1">
        <values>
          <value t="nil">
            <val>1</val>
          </value>
        </values>
      </ddeItem>
      <ddeItem name="id288?tradingClass" advise="1">
        <values>
          <value t="str">
            <val>NMS</val>
          </value>
        </values>
      </ddeItem>
      <ddeItem name="id288?validExchanges" advise="1">
        <values>
          <value t="str">
            <val>SMART,CBOE,ISE,CHX,ARCA,ISLAND,DRCTEDGE,NSX,BEX,BATS,EDGEA,CSFBALGO,JEFFALGO,BYX,IEX,TPLUS2,PSX</val>
          </value>
        </values>
      </ddeItem>
      <ddeItem name="id289?conid" advise="1">
        <values>
          <value>
            <val>45127739</val>
          </value>
        </values>
      </ddeItem>
      <ddeItem name="id289?marketName" advise="1">
        <values>
          <value t="str">
            <val>NMS</val>
          </value>
        </values>
      </ddeItem>
      <ddeItem name="id289?minTick" advise="1">
        <values>
          <value>
            <val>0.01</val>
          </value>
        </values>
      </ddeItem>
      <ddeItem name="id289?multiplier" advise="1">
        <values>
          <value t="nil">
            <val>1</val>
          </value>
        </values>
      </ddeItem>
      <ddeItem name="id28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89?req?CME_STK_SMART_USD_~/" advise="1">
        <values>
          <value t="nil">
            <val>1</val>
          </value>
        </values>
      </ddeItem>
      <ddeItem name="id289?tradingClass" advise="1">
        <values>
          <value t="str">
            <val>NMS</val>
          </value>
        </values>
      </ddeItem>
      <ddeItem name="id289?validExchanges" advise="1">
        <values>
          <value t="str">
            <val>SMART,CBOE,ISE,CHX,ARCA,ISLAND,DRCTEDGE,NSX,BEX,BATS,EDGEA,CSFBALGO,JEFFALGO,BYX,IEX,TPLUS2,PSX</val>
          </value>
        </values>
      </ddeItem>
      <ddeItem name="id29?conid" advise="1">
        <values>
          <value>
            <val>268084</val>
          </value>
        </values>
      </ddeItem>
      <ddeItem name="id29?marketName" advise="1">
        <values>
          <value t="str">
            <val>NMS</val>
          </value>
        </values>
      </ddeItem>
      <ddeItem name="id29?minTick" advise="1">
        <values>
          <value>
            <val>0.01</val>
          </value>
        </values>
      </ddeItem>
      <ddeItem name="id29?multiplier" advise="1">
        <values>
          <value t="nil">
            <val>1</val>
          </value>
        </values>
      </ddeItem>
      <ddeItem name="id2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9?req?CSCO_STK_SMART_USD_~/" advise="1">
        <values>
          <value t="nil">
            <val>1</val>
          </value>
        </values>
      </ddeItem>
      <ddeItem name="id29?tradingClass" advise="1">
        <values>
          <value t="str">
            <val>NMS</val>
          </value>
        </values>
      </ddeItem>
      <ddeItem name="id29?validExchanges" advise="1">
        <values>
          <value t="str">
            <val>SMART,CBOE,ISE,CHX,ARCA,ISLAND,VWAP,DRCTEDGE,NSX,BEX,BATS,EDGEA,CSFBALGO,JEFFALGO,BYX,IEX,TPLUS2,PSX</val>
          </value>
        </values>
      </ddeItem>
      <ddeItem name="id290?conid" advise="1">
        <values>
          <value>
            <val>13805</val>
          </value>
        </values>
      </ddeItem>
      <ddeItem name="id290?marketName" advise="1">
        <values>
          <value t="str">
            <val>WMB</val>
          </value>
        </values>
      </ddeItem>
      <ddeItem name="id290?minTick" advise="1">
        <values>
          <value>
            <val>0.01</val>
          </value>
        </values>
      </ddeItem>
      <ddeItem name="id290?multiplier" advise="1">
        <values>
          <value t="nil">
            <val>1</val>
          </value>
        </values>
      </ddeItem>
      <ddeItem name="id29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90?req?WMB_STK_SMART_USD_~/" advise="1">
        <values>
          <value t="nil">
            <val>1</val>
          </value>
        </values>
      </ddeItem>
      <ddeItem name="id290?tradingClass" advise="1">
        <values>
          <value t="str">
            <val>WMB</val>
          </value>
        </values>
      </ddeItem>
      <ddeItem name="id290?validExchanges" advise="1">
        <values>
          <value t="str">
            <val>SMART,NYSE,CBOE,ISE,CHX,ARCA,ISLAND,VWAP,DRCTEDGE,NSX,BEX,BATS,EDGEA,CSFBALGO,JEFFALGO,BYX,IEX,TPLUS2,PSX</val>
          </value>
        </values>
      </ddeItem>
      <ddeItem name="id291?conid" advise="1">
        <values>
          <value>
            <val>2586156</val>
          </value>
        </values>
      </ddeItem>
      <ddeItem name="id291?marketName" advise="1">
        <values>
          <value t="str">
            <val>KMX</val>
          </value>
        </values>
      </ddeItem>
      <ddeItem name="id291?minTick" advise="1">
        <values>
          <value>
            <val>0.01</val>
          </value>
        </values>
      </ddeItem>
      <ddeItem name="id291?multiplier" advise="1">
        <values>
          <value t="nil">
            <val>1</val>
          </value>
        </values>
      </ddeItem>
      <ddeItem name="id29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91?req?KMX_STK_SMART_USD_~/" advise="1">
        <values>
          <value t="nil">
            <val>1</val>
          </value>
        </values>
      </ddeItem>
      <ddeItem name="id291?tradingClass" advise="1">
        <values>
          <value t="str">
            <val>KMX</val>
          </value>
        </values>
      </ddeItem>
      <ddeItem name="id291?validExchanges" advise="1">
        <values>
          <value t="str">
            <val>SMART,NYSE,CBOE,ISE,CHX,ARCA,ISLAND,DRCTEDGE,NSX,BEX,BATS,EDGEA,CSFBALGO,JEFFALGO,BYX,IEX,TPLUS2,PSX</val>
          </value>
        </values>
      </ddeItem>
      <ddeItem name="id292?conid" advise="1">
        <values>
          <value>
            <val>13980</val>
          </value>
        </values>
      </ddeItem>
      <ddeItem name="id292?marketName" advise="1">
        <values>
          <value t="str">
            <val>XRX</val>
          </value>
        </values>
      </ddeItem>
      <ddeItem name="id292?minTick" advise="1">
        <values>
          <value>
            <val>0.01</val>
          </value>
        </values>
      </ddeItem>
      <ddeItem name="id292?multiplier" advise="1">
        <values>
          <value t="nil">
            <val>1</val>
          </value>
        </values>
      </ddeItem>
      <ddeItem name="id29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92?req?XRX_STK_SMART_USD_~/" advise="1">
        <values>
          <value t="nil">
            <val>1</val>
          </value>
        </values>
      </ddeItem>
      <ddeItem name="id292?tradingClass" advise="1">
        <values>
          <value t="str">
            <val>XRX</val>
          </value>
        </values>
      </ddeItem>
      <ddeItem name="id292?validExchanges" advise="1">
        <values>
          <value t="str">
            <val>SMART,NYSE,CBOE,ISE,CHX,ARCA,ISLAND,VWAP,DRCTEDGE,NSX,BEX,BATS,EDGEA,CSFBALGO,JEFFALGO,BYX,IEX,TPLUS2,PSX</val>
          </value>
        </values>
      </ddeItem>
      <ddeItem name="id293?conid" advise="1">
        <values>
          <value>
            <val>276222</val>
          </value>
        </values>
      </ddeItem>
      <ddeItem name="id293?marketName" advise="1">
        <values>
          <value t="str">
            <val>NMS</val>
          </value>
        </values>
      </ddeItem>
      <ddeItem name="id293?minTick" advise="1">
        <values>
          <value>
            <val>0.01</val>
          </value>
        </values>
      </ddeItem>
      <ddeItem name="id293?multiplier" advise="1">
        <values>
          <value t="nil">
            <val>1</val>
          </value>
        </values>
      </ddeItem>
      <ddeItem name="id29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93?req?XLNX_STK_SMART_USD_~/" advise="1">
        <values>
          <value t="nil">
            <val>1</val>
          </value>
        </values>
      </ddeItem>
      <ddeItem name="id293?tradingClass" advise="1">
        <values>
          <value t="str">
            <val>NMS</val>
          </value>
        </values>
      </ddeItem>
      <ddeItem name="id293?validExchanges" advise="1">
        <values>
          <value t="str">
            <val>SMART,CBOE,ISE,CHX,ARCA,ISLAND,VWAP,DRCTEDGE,NSX,BEX,BATS,EDGEA,CSFBALGO,JEFFALGO,BYX,IEX,TPLUS2,PSX</val>
          </value>
        </values>
      </ddeItem>
      <ddeItem name="id294?conid" advise="1">
        <values>
          <value>
            <val>3312890</val>
          </value>
        </values>
      </ddeItem>
      <ddeItem name="id294?marketName" advise="1">
        <values>
          <value t="str">
            <val>NMS</val>
          </value>
        </values>
      </ddeItem>
      <ddeItem name="id294?minTick" advise="1">
        <values>
          <value>
            <val>0.01</val>
          </value>
        </values>
      </ddeItem>
      <ddeItem name="id294?multiplier" advise="1">
        <values>
          <value t="nil">
            <val>1</val>
          </value>
        </values>
      </ddeItem>
      <ddeItem name="id29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94?req?YHOO_STK_SMART_USD_~/" advise="1">
        <values>
          <value t="nil">
            <val>1</val>
          </value>
        </values>
      </ddeItem>
      <ddeItem name="id294?tradingClass" advise="1">
        <values>
          <value t="str">
            <val>NMS</val>
          </value>
        </values>
      </ddeItem>
      <ddeItem name="id294?validExchanges" advise="1">
        <values>
          <value t="str">
            <val>SMART,CBOE,ISE,CHX,ARCA,ISLAND,VWAP,DRCTEDGE,NSX,BEX,BATS,EDGEA,CSFBALGO,JEFFALGO,BYX,IEX,TPLUS2,PSX</val>
          </value>
        </values>
      </ddeItem>
      <ddeItem name="id295?conid" advise="1">
        <values>
          <value>
            <val>16191746</val>
          </value>
        </values>
      </ddeItem>
      <ddeItem name="id295?marketName" advise="1">
        <values>
          <value t="str">
            <val>XEC</val>
          </value>
        </values>
      </ddeItem>
      <ddeItem name="id295?minTick" advise="1">
        <values>
          <value>
            <val>0.01</val>
          </value>
        </values>
      </ddeItem>
      <ddeItem name="id295?multiplier" advise="1">
        <values>
          <value t="nil">
            <val>1</val>
          </value>
        </values>
      </ddeItem>
      <ddeItem name="id29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95?req?XEC_STK_SMART_USD_~/" advise="1">
        <values>
          <value t="nil">
            <val>1</val>
          </value>
        </values>
      </ddeItem>
      <ddeItem name="id295?tradingClass" advise="1">
        <values>
          <value t="str">
            <val>XEC</val>
          </value>
        </values>
      </ddeItem>
      <ddeItem name="id295?validExchanges" advise="1">
        <values>
          <value t="str">
            <val>SMART,NYSE,CBOE,ISE,CHX,ARCA,ISLAND,DRCTEDGE,NSX,BEX,BATS,EDGEA,CSFBALGO,JEFFALGO,BYX,IEX,TPLUS2,PSX</val>
          </value>
        </values>
      </ddeItem>
      <ddeItem name="id296?conid" advise="1">
        <values>
          <value>
            <val>12814</val>
          </value>
        </values>
      </ddeItem>
      <ddeItem name="id296?marketName" advise="1">
        <values>
          <value t="str">
            <val>TJX</val>
          </value>
        </values>
      </ddeItem>
      <ddeItem name="id296?minTick" advise="1">
        <values>
          <value>
            <val>0.01</val>
          </value>
        </values>
      </ddeItem>
      <ddeItem name="id296?multiplier" advise="1">
        <values>
          <value t="nil">
            <val>1</val>
          </value>
        </values>
      </ddeItem>
      <ddeItem name="id29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96?req?TJX_STK_SMART_USD_~/" advise="1">
        <values>
          <value t="nil">
            <val>1</val>
          </value>
        </values>
      </ddeItem>
      <ddeItem name="id296?tradingClass" advise="1">
        <values>
          <value t="str">
            <val>TJX</val>
          </value>
        </values>
      </ddeItem>
      <ddeItem name="id296?validExchanges" advise="1">
        <values>
          <value t="str">
            <val>SMART,NYSE,CBOE,ISE,CHX,ARCA,ISLAND,VWAP,DRCTEDGE,NSX,BEX,BATS,EDGEA,CSFBALGO,JEFFALGO,BYX,IEX,TPLUS2,PSX</val>
          </value>
        </values>
      </ddeItem>
      <ddeItem name="id297?conid" advise="1">
        <values>
          <value>
            <val>276329</val>
          </value>
        </values>
      </ddeItem>
      <ddeItem name="id297?marketName" advise="1">
        <values>
          <value t="str">
            <val>NMS</val>
          </value>
        </values>
      </ddeItem>
      <ddeItem name="id297?minTick" advise="1">
        <values>
          <value>
            <val>0.01</val>
          </value>
        </values>
      </ddeItem>
      <ddeItem name="id297?multiplier" advise="1">
        <values>
          <value t="nil">
            <val>1</val>
          </value>
        </values>
      </ddeItem>
      <ddeItem name="id29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97?req?ZION_STK_SMART_USD_~/" advise="1">
        <values>
          <value t="nil">
            <val>1</val>
          </value>
        </values>
      </ddeItem>
      <ddeItem name="id297?tradingClass" advise="1">
        <values>
          <value t="str">
            <val>NMS</val>
          </value>
        </values>
      </ddeItem>
      <ddeItem name="id297?validExchanges" advise="1">
        <values>
          <value t="str">
            <val>SMART,CBOE,ISE,CHX,ARCA,ISLAND,VWAP,DRCTEDGE,NSX,BEX,BATS,EDGEA,CSFBALGO,JEFFALGO,BYX,IEX,TPLUS2,PSX</val>
          </value>
        </values>
      </ddeItem>
      <ddeItem name="id298?conid" advise="1">
        <values>
          <value>
            <val>273815</val>
          </value>
        </values>
      </ddeItem>
      <ddeItem name="id298?marketName" advise="1">
        <values>
          <value t="str">
            <val>RF</val>
          </value>
        </values>
      </ddeItem>
      <ddeItem name="id298?minTick" advise="1">
        <values>
          <value>
            <val>0.01</val>
          </value>
        </values>
      </ddeItem>
      <ddeItem name="id298?multiplier" advise="1">
        <values>
          <value t="nil">
            <val>1</val>
          </value>
        </values>
      </ddeItem>
      <ddeItem name="id29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98?req?RF_STK_SMART_USD_~/" advise="1">
        <values>
          <value t="nil">
            <val>1</val>
          </value>
        </values>
      </ddeItem>
      <ddeItem name="id298?tradingClass" advise="1">
        <values>
          <value t="str">
            <val>RF</val>
          </value>
        </values>
      </ddeItem>
      <ddeItem name="id298?validExchanges" advise="1">
        <values>
          <value t="str">
            <val>SMART,NYSE,CBOE,ISE,CHX,ARCA,ISLAND,VWAP,DRCTEDGE,NSX,BEX,BATS,EDGEA,CSFBALGO,JEFFALGO,BYX,IEX,TPLUS2,PSX</val>
          </value>
        </values>
      </ddeItem>
      <ddeItem name="id299?conid" advise="1">
        <values>
          <value>
            <val>33191300</val>
          </value>
        </values>
      </ddeItem>
      <ddeItem name="id299?marketName" advise="1">
        <values>
          <value t="str">
            <val>TAP</val>
          </value>
        </values>
      </ddeItem>
      <ddeItem name="id299?minTick" advise="1">
        <values>
          <value>
            <val>0.01</val>
          </value>
        </values>
      </ddeItem>
      <ddeItem name="id299?multiplier" advise="1">
        <values>
          <value t="nil">
            <val>1</val>
          </value>
        </values>
      </ddeItem>
      <ddeItem name="id29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299?req?TAP_STK_SMART_USD_~/" advise="1">
        <values>
          <value t="nil">
            <val>1</val>
          </value>
        </values>
      </ddeItem>
      <ddeItem name="id299?tradingClass" advise="1">
        <values>
          <value t="str">
            <val>TAP</val>
          </value>
        </values>
      </ddeItem>
      <ddeItem name="id299?validExchanges" advise="1">
        <values>
          <value t="str">
            <val>SMART,NYSE,CBOE,ISE,CHX,ARCA,ISLAND,VWAP,DRCTEDGE,NSX,BEX,BATS,EDGEA,CSFBALGO,JEFFALGO,BYX,IEX,TPLUS2,PSX</val>
          </value>
        </values>
      </ddeItem>
      <ddeItem name="id3?conid" advise="1">
        <values>
          <value>
            <val>6607470</val>
          </value>
        </values>
      </ddeItem>
      <ddeItem name="id3?marketName" advise="1">
        <values>
          <value t="str">
            <val>AMG</val>
          </value>
        </values>
      </ddeItem>
      <ddeItem name="id3?minTick" advise="1">
        <values>
          <value>
            <val>0.01</val>
          </value>
        </values>
      </ddeItem>
      <ddeItem name="id3?multiplier" advise="1">
        <values>
          <value t="nil">
            <val>1</val>
          </value>
        </values>
      </ddeItem>
      <ddeItem name="id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req?AMG_STK_SMART_USD_~/" advise="1">
        <values>
          <value t="nil">
            <val>1</val>
          </value>
        </values>
      </ddeItem>
      <ddeItem name="id3?tradingClass" advise="1">
        <values>
          <value t="str">
            <val>AMG</val>
          </value>
        </values>
      </ddeItem>
      <ddeItem name="id3?validExchanges" advise="1">
        <values>
          <value t="str">
            <val>SMART,NYSE,CBOE,ISE,CHX,ARCA,ISLAND,DRCTEDGE,NSX,BEX,BATS,EDGEA,CSFBALGO,JEFFALGO,BYX,IEX,TPLUS2,PSX</val>
          </value>
        </values>
      </ddeItem>
      <ddeItem name="id30?conid" advise="1">
        <values>
          <value>
            <val>5794</val>
          </value>
        </values>
      </ddeItem>
      <ddeItem name="id30?marketName" advise="1">
        <values>
          <value t="str">
            <val>CLX</val>
          </value>
        </values>
      </ddeItem>
      <ddeItem name="id30?minTick" advise="1">
        <values>
          <value>
            <val>0.01</val>
          </value>
        </values>
      </ddeItem>
      <ddeItem name="id30?multiplier" advise="1">
        <values>
          <value t="nil">
            <val>1</val>
          </value>
        </values>
      </ddeItem>
      <ddeItem name="id3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0?req?CLX_STK_SMART_USD_~/" advise="1">
        <values>
          <value t="nil">
            <val>1</val>
          </value>
        </values>
      </ddeItem>
      <ddeItem name="id30?tradingClass" advise="1">
        <values>
          <value t="str">
            <val>CLX</val>
          </value>
        </values>
      </ddeItem>
      <ddeItem name="id30?validExchanges" advise="1">
        <values>
          <value t="str">
            <val>SMART,NYSE,CBOE,ISE,CHX,ARCA,ISLAND,VWAP,DRCTEDGE,NSX,BEX,BATS,EDGEA,CSFBALGO,JEFFALGO,BYX,IEX,TPLUS2,PSX</val>
          </value>
        </values>
      </ddeItem>
      <ddeItem name="id300?conid" advise="1">
        <values>
          <value>
            <val>35447205</val>
          </value>
        </values>
      </ddeItem>
      <ddeItem name="id300?marketName" advise="1">
        <values>
          <value t="str">
            <val>CF</val>
          </value>
        </values>
      </ddeItem>
      <ddeItem name="id300?minTick" advise="1">
        <values>
          <value>
            <val>0.01</val>
          </value>
        </values>
      </ddeItem>
      <ddeItem name="id300?multiplier" advise="1">
        <values>
          <value t="nil">
            <val>1</val>
          </value>
        </values>
      </ddeItem>
      <ddeItem name="id30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00?req?CF_STK_SMART_USD_~/" advise="1">
        <values>
          <value t="nil">
            <val>1</val>
          </value>
        </values>
      </ddeItem>
      <ddeItem name="id300?tradingClass" advise="1">
        <values>
          <value t="str">
            <val>CF</val>
          </value>
        </values>
      </ddeItem>
      <ddeItem name="id300?validExchanges" advise="1">
        <values>
          <value t="str">
            <val>SMART,NYSE,CBOE,ISE,CHX,ARCA,ISLAND,DRCTEDGE,NSX,BEX,BATS,EDGEA,CSFBALGO,JEFFALGO,BYX,IEX,TPLUS2,PSX</val>
          </value>
        </values>
      </ddeItem>
      <ddeItem name="id301?conid" advise="1">
        <values>
          <value>
            <val>35970258</val>
          </value>
        </values>
      </ddeItem>
      <ddeItem name="id301?marketName" advise="1">
        <values>
          <value t="str">
            <val>AMP</val>
          </value>
        </values>
      </ddeItem>
      <ddeItem name="id301?minTick" advise="1">
        <values>
          <value>
            <val>0.01</val>
          </value>
        </values>
      </ddeItem>
      <ddeItem name="id301?multiplier" advise="1">
        <values>
          <value t="nil">
            <val>1</val>
          </value>
        </values>
      </ddeItem>
      <ddeItem name="id30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01?req?AMP_STK_SMART_USD_~/" advise="1">
        <values>
          <value t="nil">
            <val>1</val>
          </value>
        </values>
      </ddeItem>
      <ddeItem name="id301?tradingClass" advise="1">
        <values>
          <value t="str">
            <val>AMP</val>
          </value>
        </values>
      </ddeItem>
      <ddeItem name="id301?validExchanges" advise="1">
        <values>
          <value t="str">
            <val>SMART,NYSE,CBOE,ISE,CHX,ARCA,ISLAND,VWAP,DRCTEDGE,NSX,BEX,BATS,EDGEA,CSFBALGO,JEFFALGO,BYX,IEX,TPLUS2,PSX</val>
          </value>
        </values>
      </ddeItem>
      <ddeItem name="id302?conid" advise="1">
        <values>
          <value>
            <val>36285627</val>
          </value>
        </values>
      </ddeItem>
      <ddeItem name="id302?marketName" advise="1">
        <values>
          <value t="str">
            <val>GME</val>
          </value>
        </values>
      </ddeItem>
      <ddeItem name="id302?minTick" advise="1">
        <values>
          <value>
            <val>0.01</val>
          </value>
        </values>
      </ddeItem>
      <ddeItem name="id302?multiplier" advise="1">
        <values>
          <value t="nil">
            <val>1</val>
          </value>
        </values>
      </ddeItem>
      <ddeItem name="id30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02?req?GME_STK_SMART_USD_~/" advise="1">
        <values>
          <value t="nil">
            <val>1</val>
          </value>
        </values>
      </ddeItem>
      <ddeItem name="id302?tradingClass" advise="1">
        <values>
          <value t="str">
            <val>GME</val>
          </value>
        </values>
      </ddeItem>
      <ddeItem name="id302?validExchanges" advise="1">
        <values>
          <value t="str">
            <val>SMART,NYSE,CBOE,ISE,CHX,ARCA,ISLAND,VWAP,DRCTEDGE,NSX,BEX,BATS,EDGEA,CSFBALGO,JEFFALGO,BYX,IEX,TPLUS2,PSX</val>
          </value>
        </values>
      </ddeItem>
      <ddeItem name="id303?conid" advise="1">
        <values>
          <value>
            <val>36786278</val>
          </value>
        </values>
      </ddeItem>
      <ddeItem name="id303?marketName" advise="1">
        <values>
          <value t="str">
            <val>UA</val>
          </value>
        </values>
      </ddeItem>
      <ddeItem name="id303?minTick" advise="1">
        <values>
          <value>
            <val>0.01</val>
          </value>
        </values>
      </ddeItem>
      <ddeItem name="id303?multiplier" advise="1">
        <values>
          <value t="nil">
            <val>1</val>
          </value>
        </values>
      </ddeItem>
      <ddeItem name="id30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03?req?UA_STK_SMART_USD_~/" advise="1">
        <values>
          <value t="nil">
            <val>1</val>
          </value>
        </values>
      </ddeItem>
      <ddeItem name="id303?tradingClass" advise="1">
        <values>
          <value t="str">
            <val>UA</val>
          </value>
        </values>
      </ddeItem>
      <ddeItem name="id303?validExchanges" advise="1">
        <values>
          <value t="str">
            <val>SMART,NYSE,CBOE,ISE,CHX,ARCA,ISLAND,DRCTEDGE,NSX,BEX,BATS,EDGEA,CSFBALGO,JEFFALGO,BYX,IEX,TPLUS2,PSX</val>
          </value>
        </values>
      </ddeItem>
      <ddeItem name="id304?conid" advise="1">
        <values>
          <value>
            <val>37083557</val>
          </value>
        </values>
      </ddeItem>
      <ddeItem name="id304?marketName" advise="1">
        <values>
          <value t="str">
            <val>NMS</val>
          </value>
        </values>
      </ddeItem>
      <ddeItem name="id304?minTick" advise="1">
        <values>
          <value>
            <val>0.01</val>
          </value>
        </values>
      </ddeItem>
      <ddeItem name="id304?multiplier" advise="1">
        <values>
          <value t="nil">
            <val>1</val>
          </value>
        </values>
      </ddeItem>
      <ddeItem name="id30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04?req?VIAB_STK_SMART_USD_~/" advise="1">
        <values>
          <value t="nil">
            <val>1</val>
          </value>
        </values>
      </ddeItem>
      <ddeItem name="id304?tradingClass" advise="1">
        <values>
          <value t="str">
            <val>NMS</val>
          </value>
        </values>
      </ddeItem>
      <ddeItem name="id304?validExchanges" advise="1">
        <values>
          <value t="str">
            <val>SMART,CBOE,ISE,CHX,ARCA,ISLAND,VWAP,DRCTEDGE,NSX,BEX,BATS,EDGEA,CSFBALGO,JEFFALGO,BYX,IEX,TPLUS2,PSX</val>
          </value>
        </values>
      </ddeItem>
      <ddeItem name="id305?conid" advise="1">
        <values>
          <value>
            <val>37083548</val>
          </value>
        </values>
      </ddeItem>
      <ddeItem name="id305?marketName" advise="1">
        <values>
          <value t="str">
            <val>CBS</val>
          </value>
        </values>
      </ddeItem>
      <ddeItem name="id305?minTick" advise="1">
        <values>
          <value>
            <val>0.01</val>
          </value>
        </values>
      </ddeItem>
      <ddeItem name="id305?multiplier" advise="1">
        <values>
          <value t="nil">
            <val>1</val>
          </value>
        </values>
      </ddeItem>
      <ddeItem name="id30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05?req?CBS_STK_SMART_USD_~/" advise="1">
        <values>
          <value t="nil">
            <val>1</val>
          </value>
        </values>
      </ddeItem>
      <ddeItem name="id305?tradingClass" advise="1">
        <values>
          <value t="str">
            <val>CBS</val>
          </value>
        </values>
      </ddeItem>
      <ddeItem name="id305?validExchanges" advise="1">
        <values>
          <value t="str">
            <val>SMART,NYSE,CBOE,ISE,CHX,ARCA,ISLAND,VWAP,DRCTEDGE,NSX,BEX,BATS,EDGEA,CSFBALGO,JEFFALGO,BYX,IEX,TPLUS2,PSX</val>
          </value>
        </values>
      </ddeItem>
      <ddeItem name="id306?conid" advise="1">
        <values>
          <value>
            <val>37655664</val>
          </value>
        </values>
      </ddeItem>
      <ddeItem name="id306?marketName" advise="1">
        <values>
          <value t="str">
            <val>CMG</val>
          </value>
        </values>
      </ddeItem>
      <ddeItem name="id306?minTick" advise="1">
        <values>
          <value>
            <val>0.01</val>
          </value>
        </values>
      </ddeItem>
      <ddeItem name="id306?multiplier" advise="1">
        <values>
          <value t="nil">
            <val>1</val>
          </value>
        </values>
      </ddeItem>
      <ddeItem name="id30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06?req?CMG_STK_SMART_USD_~/" advise="1">
        <values>
          <value t="nil">
            <val>1</val>
          </value>
        </values>
      </ddeItem>
      <ddeItem name="id306?tradingClass" advise="1">
        <values>
          <value t="str">
            <val>CMG</val>
          </value>
        </values>
      </ddeItem>
      <ddeItem name="id306?validExchanges" advise="1">
        <values>
          <value t="str">
            <val>SMART,NYSE,CBOE,ISE,CHX,ARCA,ISLAND,DRCTEDGE,NSX,BEX,BATS,EDGEA,CSFBALGO,JEFFALGO,BYX,IEX,TPLUS2,PSX</val>
          </value>
        </values>
      </ddeItem>
      <ddeItem name="id307?conid" advise="1">
        <values>
          <value>
            <val>38685693</val>
          </value>
        </values>
      </ddeItem>
      <ddeItem name="id307?marketName" advise="1">
        <values>
          <value t="str">
            <val>MA</val>
          </value>
        </values>
      </ddeItem>
      <ddeItem name="id307?minTick" advise="1">
        <values>
          <value>
            <val>0.01</val>
          </value>
        </values>
      </ddeItem>
      <ddeItem name="id307?multiplier" advise="1">
        <values>
          <value t="nil">
            <val>1</val>
          </value>
        </values>
      </ddeItem>
      <ddeItem name="id30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07?req?MA_STK_SMART_USD_~/" advise="1">
        <values>
          <value t="nil">
            <val>1</val>
          </value>
        </values>
      </ddeItem>
      <ddeItem name="id307?tradingClass" advise="1">
        <values>
          <value t="str">
            <val>MA</val>
          </value>
        </values>
      </ddeItem>
      <ddeItem name="id307?validExchanges" advise="1">
        <values>
          <value t="str">
            <val>SMART,NYSE,CBOE,ISE,CHX,ARCA,ISLAND,DRCTEDGE,NSX,BEX,BATS,EDGEA,CSFBALGO,JEFFALGO,BYX,IEX,TPLUS2,PSX</val>
          </value>
        </values>
      </ddeItem>
      <ddeItem name="id308?conid" advise="1">
        <values>
          <value>
            <val>38734858</val>
          </value>
        </values>
      </ddeItem>
      <ddeItem name="id308?marketName" advise="1">
        <values>
          <value t="str">
            <val>HOT</val>
          </value>
        </values>
      </ddeItem>
      <ddeItem name="id308?minTick" advise="1">
        <values>
          <value>
            <val>0.01</val>
          </value>
        </values>
      </ddeItem>
      <ddeItem name="id308?multiplier" advise="1">
        <values>
          <value t="nil">
            <val>1</val>
          </value>
        </values>
      </ddeItem>
      <ddeItem name="id30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08?req?HOT_STK_SMART_USD_~/" advise="1">
        <values>
          <value t="nil">
            <val>1</val>
          </value>
        </values>
      </ddeItem>
      <ddeItem name="id308?tradingClass" advise="1">
        <values>
          <value t="str">
            <val>HOT</val>
          </value>
        </values>
      </ddeItem>
      <ddeItem name="id308?validExchanges" advise="1">
        <values>
          <value t="str">
            <val>SMART,NYSE,CBOE,ISE,CHX,ARCA,ISLAND,VWAP,DRCTEDGE,NSX,BEX,BATS,EDGEA,CSFBALGO,JEFFALGO,BYX,IEX,TPLUS2,PSX</val>
          </value>
        </values>
      </ddeItem>
      <ddeItem name="id309?conid" advise="1">
        <values>
          <value>
            <val>40021002</val>
          </value>
        </values>
      </ddeItem>
      <ddeItem name="id309?marketName" advise="1">
        <values>
          <value t="str">
            <val>WYN</val>
          </value>
        </values>
      </ddeItem>
      <ddeItem name="id309?minTick" advise="1">
        <values>
          <value>
            <val>0.01</val>
          </value>
        </values>
      </ddeItem>
      <ddeItem name="id309?multiplier" advise="1">
        <values>
          <value t="nil">
            <val>1</val>
          </value>
        </values>
      </ddeItem>
      <ddeItem name="id30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09?req?WYN_STK_SMART_USD_~/" advise="1">
        <values>
          <value t="nil">
            <val>1</val>
          </value>
        </values>
      </ddeItem>
      <ddeItem name="id309?tradingClass" advise="1">
        <values>
          <value t="str">
            <val>WYN</val>
          </value>
        </values>
      </ddeItem>
      <ddeItem name="id309?validExchanges" advise="1">
        <values>
          <value t="str">
            <val>SMART,NYSE,CBOE,ISE,CHX,ARCA,ISLAND,VWAP,DRCTEDGE,NSX,BEX,BATS,EDGEA,CSFBALGO,JEFFALGO,BYX,IEX,TPLUS2,PSX</val>
          </value>
        </values>
      </ddeItem>
      <ddeItem name="id31?conid" advise="1">
        <values>
          <value>
            <val>8894</val>
          </value>
        </values>
      </ddeItem>
      <ddeItem name="id31?marketName" advise="1">
        <values>
          <value t="str">
            <val>KO</val>
          </value>
        </values>
      </ddeItem>
      <ddeItem name="id31?minTick" advise="1">
        <values>
          <value>
            <val>0.01</val>
          </value>
        </values>
      </ddeItem>
      <ddeItem name="id31?multiplier" advise="1">
        <values>
          <value t="nil">
            <val>1</val>
          </value>
        </values>
      </ddeItem>
      <ddeItem name="id3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1?req?KO_STK_SMART_USD_~/" advise="1">
        <values>
          <value t="nil">
            <val>1</val>
          </value>
        </values>
      </ddeItem>
      <ddeItem name="id31?tradingClass" advise="1">
        <values>
          <value t="str">
            <val>KO</val>
          </value>
        </values>
      </ddeItem>
      <ddeItem name="id31?validExchanges" advise="1">
        <values>
          <value t="str">
            <val>SMART,NYSE,CBOE,ISE,CHX,ARCA,ISLAND,VWAP,DRCTEDGE,NSX,BEX,BATS,EDGEA,CSFBALGO,JEFFALGO,BYX,IEX,TPLUS2,PSX</val>
          </value>
        </values>
      </ddeItem>
      <ddeItem name="id310?conid" advise="1">
        <values>
          <value>
            <val>40369429</val>
          </value>
        </values>
      </ddeItem>
      <ddeItem name="id310?marketName" advise="1">
        <values>
          <value t="str">
            <val>HBI</val>
          </value>
        </values>
      </ddeItem>
      <ddeItem name="id310?minTick" advise="1">
        <values>
          <value>
            <val>0.01</val>
          </value>
        </values>
      </ddeItem>
      <ddeItem name="id310?multiplier" advise="1">
        <values>
          <value t="nil">
            <val>1</val>
          </value>
        </values>
      </ddeItem>
      <ddeItem name="id31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10?req?HBI_STK_SMART_USD_~/" advise="1">
        <values>
          <value t="nil">
            <val>1</val>
          </value>
        </values>
      </ddeItem>
      <ddeItem name="id310?tradingClass" advise="1">
        <values>
          <value t="str">
            <val>HBI</val>
          </value>
        </values>
      </ddeItem>
      <ddeItem name="id310?validExchanges" advise="1">
        <values>
          <value t="str">
            <val>SMART,NYSE,CBOE,ISE,CHX,ARCA,ISLAND,DRCTEDGE,NSX,BEX,BATS,EDGEA,CSFBALGO,JEFFALGO,BYX,IEX,TPLUS2,PSX</val>
          </value>
        </values>
      </ddeItem>
      <ddeItem name="id311?conid" advise="1">
        <values>
          <value>
            <val>40773257</val>
          </value>
        </values>
      </ddeItem>
      <ddeItem name="id311?marketName" advise="1">
        <values>
          <value t="str">
            <val>WU</val>
          </value>
        </values>
      </ddeItem>
      <ddeItem name="id311?minTick" advise="1">
        <values>
          <value>
            <val>0.01</val>
          </value>
        </values>
      </ddeItem>
      <ddeItem name="id311?multiplier" advise="1">
        <values>
          <value t="nil">
            <val>1</val>
          </value>
        </values>
      </ddeItem>
      <ddeItem name="id31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11?req?WU_STK_SMART_USD_~/" advise="1">
        <values>
          <value t="nil">
            <val>1</val>
          </value>
        </values>
      </ddeItem>
      <ddeItem name="id311?tradingClass" advise="1">
        <values>
          <value t="str">
            <val>WU</val>
          </value>
        </values>
      </ddeItem>
      <ddeItem name="id311?validExchanges" advise="1">
        <values>
          <value t="str">
            <val>SMART,NYSE,CBOE,ISE,CHX,ARCA,ISLAND,VWAP,DRCTEDGE,NSX,BEX,BATS,EDGEA,CSFBALGO,JEFFALGO,BYX,IEX,TPLUS2,PSX</val>
          </value>
        </values>
      </ddeItem>
      <ddeItem name="id312?conid" advise="1">
        <values>
          <value>
            <val>41622169</val>
          </value>
        </values>
      </ddeItem>
      <ddeItem name="id312?marketName" advise="1">
        <values>
          <value t="str">
            <val>NMS</val>
          </value>
        </values>
      </ddeItem>
      <ddeItem name="id312?minTick" advise="1">
        <values>
          <value>
            <val>0.01</val>
          </value>
        </values>
      </ddeItem>
      <ddeItem name="id312?multiplier" advise="1">
        <values>
          <value t="nil">
            <val>1</val>
          </value>
        </values>
      </ddeItem>
      <ddeItem name="id31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12?req?FSLR_STK_SMART_USD_~/" advise="1">
        <values>
          <value t="nil">
            <val>1</val>
          </value>
        </values>
      </ddeItem>
      <ddeItem name="id312?tradingClass" advise="1">
        <values>
          <value t="str">
            <val>NMS</val>
          </value>
        </values>
      </ddeItem>
      <ddeItem name="id312?validExchanges" advise="1">
        <values>
          <value t="str">
            <val>SMART,CBOE,ISE,CHX,ARCA,ISLAND,DRCTEDGE,NSX,BEX,BATS,EDGEA,CSFBALGO,JEFFALGO,BYX,IEX,TPLUS2,PSX</val>
          </value>
        </values>
      </ddeItem>
      <ddeItem name="id313?conid" advise="1">
        <values>
          <value>
            <val>41993017</val>
          </value>
        </values>
      </ddeItem>
      <ddeItem name="id313?marketName" advise="1">
        <values>
          <value t="str">
            <val>SE</val>
          </value>
        </values>
      </ddeItem>
      <ddeItem name="id313?minTick" advise="1">
        <values>
          <value>
            <val>0.01</val>
          </value>
        </values>
      </ddeItem>
      <ddeItem name="id313?multiplier" advise="1">
        <values>
          <value t="nil">
            <val>1</val>
          </value>
        </values>
      </ddeItem>
      <ddeItem name="id31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13?req?SE_STK_SMART_USD_~/" advise="1">
        <values>
          <value t="nil">
            <val>1</val>
          </value>
        </values>
      </ddeItem>
      <ddeItem name="id313?tradingClass" advise="1">
        <values>
          <value t="str">
            <val>SE</val>
          </value>
        </values>
      </ddeItem>
      <ddeItem name="id313?validExchanges" advise="1">
        <values>
          <value t="str">
            <val>SMART,NYSE,CBOE,ISE,CHX,ARCA,ISLAND,VWAP,DRCTEDGE,NSX,BEX,BATS,EDGEA,CSFBALGO,JEFFALGO,BYX,IEX,TPLUS2,PSX</val>
          </value>
        </values>
      </ddeItem>
      <ddeItem name="id314?conid" advise="1">
        <values>
          <value>
            <val>43670008</val>
          </value>
        </values>
      </ddeItem>
      <ddeItem name="id314?marketName" advise="1">
        <values>
          <value t="str">
            <val>NMS</val>
          </value>
        </values>
      </ddeItem>
      <ddeItem name="id314?minTick" advise="1">
        <values>
          <value>
            <val>0.01</val>
          </value>
        </values>
      </ddeItem>
      <ddeItem name="id314?multiplier" advise="1">
        <values>
          <value t="nil">
            <val>1</val>
          </value>
        </values>
      </ddeItem>
      <ddeItem name="id31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14?req?PBCT_STK_SMART_USD_~/" advise="1">
        <values>
          <value t="nil">
            <val>1</val>
          </value>
        </values>
      </ddeItem>
      <ddeItem name="id314?tradingClass" advise="1">
        <values>
          <value t="str">
            <val>NMS</val>
          </value>
        </values>
      </ddeItem>
      <ddeItem name="id314?validExchanges" advise="1">
        <values>
          <value t="str">
            <val>SMART,CBOE,ISE,CHX,ARCA,ISLAND,DRCTEDGE,NSX,BEX,BATS,EDGEA,CSFBALGO,JEFFALGO,BYX,IEX,TPLUS2,PSX</val>
          </value>
        </values>
      </ddeItem>
      <ddeItem name="id315?conid" advise="1">
        <values>
          <value>
            <val>44001820</val>
          </value>
        </values>
      </ddeItem>
      <ddeItem name="id315?marketName" advise="1">
        <values>
          <value t="str">
            <val>DAL</val>
          </value>
        </values>
      </ddeItem>
      <ddeItem name="id315?minTick" advise="1">
        <values>
          <value>
            <val>0.01</val>
          </value>
        </values>
      </ddeItem>
      <ddeItem name="id315?multiplier" advise="1">
        <values>
          <value t="nil">
            <val>1</val>
          </value>
        </values>
      </ddeItem>
      <ddeItem name="id31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15?req?DAL_STK_SMART_USD_~/" advise="1">
        <values>
          <value t="nil">
            <val>1</val>
          </value>
        </values>
      </ddeItem>
      <ddeItem name="id315?tradingClass" advise="1">
        <values>
          <value t="str">
            <val>DAL</val>
          </value>
        </values>
      </ddeItem>
      <ddeItem name="id315?validExchanges" advise="1">
        <values>
          <value t="str">
            <val>SMART,NYSE,CBOE,ISE,CHX,ARCA,ISLAND,DRCTEDGE,NSX,BEX,BATS,EDGEA,CSFBALGO,JEFFALGO,BYX,IEX,TPLUS2,PSX</val>
          </value>
        </values>
      </ddeItem>
      <ddeItem name="id316?conid" advise="1">
        <values>
          <value>
            <val>44652220</val>
          </value>
        </values>
      </ddeItem>
      <ddeItem name="id316?marketName" advise="1">
        <values>
          <value t="str">
            <val>DFS</val>
          </value>
        </values>
      </ddeItem>
      <ddeItem name="id316?minTick" advise="1">
        <values>
          <value>
            <val>0.01</val>
          </value>
        </values>
      </ddeItem>
      <ddeItem name="id316?multiplier" advise="1">
        <values>
          <value t="nil">
            <val>1</val>
          </value>
        </values>
      </ddeItem>
      <ddeItem name="id31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16?req?DFS_STK_SMART_USD_~/" advise="1">
        <values>
          <value t="nil">
            <val>1</val>
          </value>
        </values>
      </ddeItem>
      <ddeItem name="id316?tradingClass" advise="1">
        <values>
          <value t="str">
            <val>DFS</val>
          </value>
        </values>
      </ddeItem>
      <ddeItem name="id316?validExchanges" advise="1">
        <values>
          <value t="str">
            <val>SMART,NYSE,CBOE,ISE,CHX,ARCA,ISLAND,DRCTEDGE,NSX,BEX,BATS,EDGEA,CSFBALGO,JEFFALGO,BYX,IEX,TPLUS2,PSX</val>
          </value>
        </values>
      </ddeItem>
      <ddeItem name="id317?conid" advise="1">
        <values>
          <value>
            <val>44986804</val>
          </value>
        </values>
      </ddeItem>
      <ddeItem name="id317?marketName" advise="1">
        <values>
          <value t="str">
            <val>BK</val>
          </value>
        </values>
      </ddeItem>
      <ddeItem name="id317?minTick" advise="1">
        <values>
          <value>
            <val>0.01</val>
          </value>
        </values>
      </ddeItem>
      <ddeItem name="id317?multiplier" advise="1">
        <values>
          <value t="nil">
            <val>1</val>
          </value>
        </values>
      </ddeItem>
      <ddeItem name="id31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17?req?BK_STK_SMART_USD_~/" advise="1">
        <values>
          <value t="nil">
            <val>1</val>
          </value>
        </values>
      </ddeItem>
      <ddeItem name="id317?tradingClass" advise="1">
        <values>
          <value t="str">
            <val>BK</val>
          </value>
        </values>
      </ddeItem>
      <ddeItem name="id317?validExchanges" advise="1">
        <values>
          <value t="str">
            <val>SMART,NYSE,CBOE,ISE,CHX,ARCA,ISLAND,VWAP,DRCTEDGE,NSX,BEX,BATS,EDGEA,CSFBALGO,JEFFALGO,BYX,IEX,TPLUS2,PSX</val>
          </value>
        </values>
      </ddeItem>
      <ddeItem name="id318?conid" advise="1">
        <values>
          <value>
            <val>46128760</val>
          </value>
        </values>
      </ddeItem>
      <ddeItem name="id318?marketName" advise="1">
        <values>
          <value t="str">
            <val>TDC</val>
          </value>
        </values>
      </ddeItem>
      <ddeItem name="id318?minTick" advise="1">
        <values>
          <value>
            <val>0.01</val>
          </value>
        </values>
      </ddeItem>
      <ddeItem name="id318?multiplier" advise="1">
        <values>
          <value t="nil">
            <val>1</val>
          </value>
        </values>
      </ddeItem>
      <ddeItem name="id31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18?req?TDC_STK_SMART_USD_~/" advise="1">
        <values>
          <value t="nil">
            <val>1</val>
          </value>
        </values>
      </ddeItem>
      <ddeItem name="id318?tradingClass" advise="1">
        <values>
          <value t="str">
            <val>TDC</val>
          </value>
        </values>
      </ddeItem>
      <ddeItem name="id318?validExchanges" advise="1">
        <values>
          <value t="str">
            <val>SMART,NYSE,CBOE,ISE,CHX,ARCA,ISLAND,DRCTEDGE,NSX,BEX,BATS,EDGEA,CSFBALGO,JEFFALGO,BYX,IEX,TPLUS2,PSX</val>
          </value>
        </values>
      </ddeItem>
      <ddeItem name="id319?conid" advise="1">
        <values>
          <value>
            <val>47550606</val>
          </value>
        </values>
      </ddeItem>
      <ddeItem name="id319?marketName" advise="1">
        <values>
          <value t="str">
            <val>IVZ</val>
          </value>
        </values>
      </ddeItem>
      <ddeItem name="id319?minTick" advise="1">
        <values>
          <value>
            <val>0.01</val>
          </value>
        </values>
      </ddeItem>
      <ddeItem name="id319?multiplier" advise="1">
        <values>
          <value t="nil">
            <val>1</val>
          </value>
        </values>
      </ddeItem>
      <ddeItem name="id31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19?req?IVZ_STK_SMART_USD_~/" advise="1">
        <values>
          <value t="nil">
            <val>1</val>
          </value>
        </values>
      </ddeItem>
      <ddeItem name="id319?tradingClass" advise="1">
        <values>
          <value t="str">
            <val>IVZ</val>
          </value>
        </values>
      </ddeItem>
      <ddeItem name="id319?validExchanges" advise="1">
        <values>
          <value t="str">
            <val>SMART,NYSE,CBOE,ISE,CHX,ARCA,ISLAND,DRCTEDGE,NSX,BEX,BATS,EDGEA,CSFBALGO,JEFFALGO,BYX,IEX,TPLUS2,PSX</val>
          </value>
        </values>
      </ddeItem>
      <ddeItem name="id32?conid" advise="1">
        <values>
          <value>
            <val>5749</val>
          </value>
        </values>
      </ddeItem>
      <ddeItem name="id32?marketName" advise="1">
        <values>
          <value t="str">
            <val>CL</val>
          </value>
        </values>
      </ddeItem>
      <ddeItem name="id32?minTick" advise="1">
        <values>
          <value>
            <val>0.01</val>
          </value>
        </values>
      </ddeItem>
      <ddeItem name="id32?multiplier" advise="1">
        <values>
          <value t="nil">
            <val>1</val>
          </value>
        </values>
      </ddeItem>
      <ddeItem name="id3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2?req?CL_STK_SMART_USD_~/" advise="1">
        <values>
          <value t="nil">
            <val>1</val>
          </value>
        </values>
      </ddeItem>
      <ddeItem name="id32?tradingClass" advise="1">
        <values>
          <value t="str">
            <val>CL</val>
          </value>
        </values>
      </ddeItem>
      <ddeItem name="id32?validExchanges" advise="1">
        <values>
          <value t="str">
            <val>SMART,NYSE,CBOE,ISE,CHX,ARCA,ISLAND,VWAP,DRCTEDGE,NSX,BEX,BATS,EDGEA,CSFBALGO,JEFFALGO,BYX,IEX,TPLUS2,PSX</val>
          </value>
        </values>
      </ddeItem>
      <ddeItem name="id320?conid" advise="1">
        <values>
          <value>
            <val>49588376</val>
          </value>
        </values>
      </ddeItem>
      <ddeItem name="id320?marketName" advise="1">
        <values>
          <value t="str">
            <val>PM</val>
          </value>
        </values>
      </ddeItem>
      <ddeItem name="id320?minTick" advise="1">
        <values>
          <value>
            <val>0.01</val>
          </value>
        </values>
      </ddeItem>
      <ddeItem name="id320?multiplier" advise="1">
        <values>
          <value t="nil">
            <val>1</val>
          </value>
        </values>
      </ddeItem>
      <ddeItem name="id32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20?req?PM_STK_SMART_USD_~/" advise="1">
        <values>
          <value t="nil">
            <val>1</val>
          </value>
        </values>
      </ddeItem>
      <ddeItem name="id320?tradingClass" advise="1">
        <values>
          <value t="str">
            <val>PM</val>
          </value>
        </values>
      </ddeItem>
      <ddeItem name="id320?validExchanges" advise="1">
        <values>
          <value t="str">
            <val>SMART,NYSE,CBOE,ISE,CHX,ARCA,ISLAND,DRCTEDGE,NSX,BEX,BATS,EDGEA,CSFBALGO,JEFFALGO,BYX,IEX,TPLUS2,PSX</val>
          </value>
        </values>
      </ddeItem>
      <ddeItem name="id321?conid" advise="1">
        <values>
          <value>
            <val>49462172</val>
          </value>
        </values>
      </ddeItem>
      <ddeItem name="id321?marketName" advise="1">
        <values>
          <value t="str">
            <val>V</val>
          </value>
        </values>
      </ddeItem>
      <ddeItem name="id321?minTick" advise="1">
        <values>
          <value>
            <val>0.01</val>
          </value>
        </values>
      </ddeItem>
      <ddeItem name="id321?multiplier" advise="1">
        <values>
          <value t="nil">
            <val>1</val>
          </value>
        </values>
      </ddeItem>
      <ddeItem name="id32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21?req?V_STK_SMART_USD_~/" advise="1">
        <values>
          <value t="nil">
            <val>1</val>
          </value>
        </values>
      </ddeItem>
      <ddeItem name="id321?tradingClass" advise="1">
        <values>
          <value t="str">
            <val>V</val>
          </value>
        </values>
      </ddeItem>
      <ddeItem name="id321?validExchanges" advise="1">
        <values>
          <value t="str">
            <val>SMART,NYSE,CBOE,ISE,CHX,ARCA,ISLAND,DRCTEDGE,NSX,BEX,BATS,EDGEA,CSFBALGO,JEFFALGO,BYX,IEX,TPLUS2,PSX</val>
          </value>
        </values>
      </ddeItem>
      <ddeItem name="id322?conid" advise="1">
        <values>
          <value>
            <val>50860546</val>
          </value>
        </values>
      </ddeItem>
      <ddeItem name="id322?marketName" advise="1">
        <values>
          <value t="str">
            <val>DPS</val>
          </value>
        </values>
      </ddeItem>
      <ddeItem name="id322?minTick" advise="1">
        <values>
          <value>
            <val>0.01</val>
          </value>
        </values>
      </ddeItem>
      <ddeItem name="id322?multiplier" advise="1">
        <values>
          <value t="nil">
            <val>1</val>
          </value>
        </values>
      </ddeItem>
      <ddeItem name="id32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22?req?DPS_STK_SMART_USD_~/" advise="1">
        <values>
          <value t="nil">
            <val>1</val>
          </value>
        </values>
      </ddeItem>
      <ddeItem name="id322?tradingClass" advise="1">
        <values>
          <value t="str">
            <val>DPS</val>
          </value>
        </values>
      </ddeItem>
      <ddeItem name="id322?validExchanges" advise="1">
        <values>
          <value t="str">
            <val>SMART,NYSE,CBOE,ISE,CHX,ARCA,ISLAND,DRCTEDGE,NSX,BEX,BATS,EDGEA,CSFBALGO,JEFFALGO,BYX,IEX,TPLUS2,PSX</val>
          </value>
        </values>
      </ddeItem>
      <ddeItem name="id323?conid" advise="1">
        <values>
          <value>
            <val>51782225</val>
          </value>
        </values>
      </ddeItem>
      <ddeItem name="id323?marketName" advise="1">
        <values>
          <value t="str">
            <val>NMS</val>
          </value>
        </values>
      </ddeItem>
      <ddeItem name="id323?minTick" advise="1">
        <values>
          <value>
            <val>0.01</val>
          </value>
        </values>
      </ddeItem>
      <ddeItem name="id323?multiplier" advise="1">
        <values>
          <value t="nil">
            <val>1</val>
          </value>
        </values>
      </ddeItem>
      <ddeItem name="id32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23?req?SNI_STK_SMART_USD_~/" advise="1">
        <values>
          <value t="nil">
            <val>1</val>
          </value>
        </values>
      </ddeItem>
      <ddeItem name="id323?tradingClass" advise="1">
        <values>
          <value t="str">
            <val>NMS</val>
          </value>
        </values>
      </ddeItem>
      <ddeItem name="id323?validExchanges" advise="1">
        <values>
          <value t="str">
            <val>SMART,CBOE,ISE,CHX,ARCA,ISLAND,DRCTEDGE,NSX,BEX,BATS,EDGEA,CSFBALGO,JEFFALGO,BYX,IEX,TPLUS2,PSX</val>
          </value>
        </values>
      </ddeItem>
      <ddeItem name="id324?conid" advise="1">
        <values>
          <value>
            <val>53747825</val>
          </value>
        </values>
      </ddeItem>
      <ddeItem name="id324?marketName" advise="1">
        <values>
          <value t="str">
            <val>SIG</val>
          </value>
        </values>
      </ddeItem>
      <ddeItem name="id324?minTick" advise="1">
        <values>
          <value>
            <val>0.01</val>
          </value>
        </values>
      </ddeItem>
      <ddeItem name="id324?multiplier" advise="1">
        <values>
          <value t="nil">
            <val>1</val>
          </value>
        </values>
      </ddeItem>
      <ddeItem name="id32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24?req?SIG_STK_SMART_USD_~/" advise="1">
        <values>
          <value t="nil">
            <val>1</val>
          </value>
        </values>
      </ddeItem>
      <ddeItem name="id324?tradingClass" advise="1">
        <values>
          <value t="str">
            <val>SIG</val>
          </value>
        </values>
      </ddeItem>
      <ddeItem name="id324?validExchanges" advise="1">
        <values>
          <value t="str">
            <val>SMART,NYSE,CBOE,ISE,CHX,ARCA,ISLAND,DRCTEDGE,NSX,BEX,BATS,EDGEA,CSFBALGO,JEFFALGO,BYX,IEX,TPLUS2,PSX</val>
          </value>
        </values>
      </ddeItem>
      <ddeItem name="id325?conid" advise="1">
        <values>
          <value>
            <val>53855036</val>
          </value>
        </values>
      </ddeItem>
      <ddeItem name="id325?marketName" advise="1">
        <values>
          <value t="str">
            <val>NMS</val>
          </value>
        </values>
      </ddeItem>
      <ddeItem name="id325?minTick" advise="1">
        <values>
          <value>
            <val>0.01</val>
          </value>
        </values>
      </ddeItem>
      <ddeItem name="id325?multiplier" advise="1">
        <values>
          <value t="nil">
            <val>1</val>
          </value>
        </values>
      </ddeItem>
      <ddeItem name="id32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25?req?DISCA_STK_SMART_USD_~/" advise="1">
        <values>
          <value t="nil">
            <val>1</val>
          </value>
        </values>
      </ddeItem>
      <ddeItem name="id325?tradingClass" advise="1">
        <values>
          <value t="str">
            <val>NMS</val>
          </value>
        </values>
      </ddeItem>
      <ddeItem name="id325?validExchanges" advise="1">
        <values>
          <value t="str">
            <val>SMART,CBOE,ISE,CHX,ARCA,ISLAND,DRCTEDGE,NSX,BEX,BATS,EDGEA,CSFBALGO,JEFFALGO,BYX,IEX,TPLUS2,PSX</val>
          </value>
        </values>
      </ddeItem>
      <ddeItem name="id326?conid" advise="1">
        <values>
          <value>
            <val>89495776</val>
          </value>
        </values>
      </ddeItem>
      <ddeItem name="id326?marketName" advise="1">
        <values>
          <value t="str">
            <val>MPC</val>
          </value>
        </values>
      </ddeItem>
      <ddeItem name="id326?minTick" advise="1">
        <values>
          <value>
            <val>0.01</val>
          </value>
        </values>
      </ddeItem>
      <ddeItem name="id326?multiplier" advise="1">
        <values>
          <value t="nil">
            <val>1</val>
          </value>
        </values>
      </ddeItem>
      <ddeItem name="id32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26?req?MPC_STK_SMART_USD_~/" advise="1">
        <values>
          <value t="nil">
            <val>1</val>
          </value>
        </values>
      </ddeItem>
      <ddeItem name="id326?tradingClass" advise="1">
        <values>
          <value t="str">
            <val>MPC</val>
          </value>
        </values>
      </ddeItem>
      <ddeItem name="id326?validExchanges" advise="1">
        <values>
          <value t="str">
            <val>SMART,NYSE,CBOE,ISE,CHX,ARCA,ISLAND,DRCTEDGE,NSX,BEX,BATS,EDGEA,CSFBALGO,JEFFALGO,BYX,IEX,TPLUS2,PSX</val>
          </value>
        </values>
      </ddeItem>
      <ddeItem name="id327?conid" advise="1">
        <values>
          <value>
            <val>56505491</val>
          </value>
        </values>
      </ddeItem>
      <ddeItem name="id327?marketName" advise="1">
        <values>
          <value t="str">
            <val>RIG</val>
          </value>
        </values>
      </ddeItem>
      <ddeItem name="id327?minTick" advise="1">
        <values>
          <value>
            <val>0.01</val>
          </value>
        </values>
      </ddeItem>
      <ddeItem name="id327?multiplier" advise="1">
        <values>
          <value t="nil">
            <val>1</val>
          </value>
        </values>
      </ddeItem>
      <ddeItem name="id32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27?req?RIG_STK_SMART_USD_~/" advise="1">
        <values>
          <value t="nil">
            <val>1</val>
          </value>
        </values>
      </ddeItem>
      <ddeItem name="id327?tradingClass" advise="1">
        <values>
          <value t="str">
            <val>RIG</val>
          </value>
        </values>
      </ddeItem>
      <ddeItem name="id327?validExchanges" advise="1">
        <values>
          <value t="str">
            <val>SMART,NYSE,CBOE,ISE,CHX,ARCA,ISLAND,DRCTEDGE,NSX,BEX,BATS,EDGEA,CSFBALGO,JEFFALGO,BYX,IEX,TPLUS2,PSX</val>
          </value>
        </values>
      </ddeItem>
      <ddeItem name="id328?conid" advise="1">
        <values>
          <value>
            <val>88292752</val>
          </value>
        </values>
      </ddeItem>
      <ddeItem name="id328?marketName" advise="1">
        <values>
          <value t="str">
            <val>MOS</val>
          </value>
        </values>
      </ddeItem>
      <ddeItem name="id328?minTick" advise="1">
        <values>
          <value>
            <val>0.01</val>
          </value>
        </values>
      </ddeItem>
      <ddeItem name="id328?multiplier" advise="1">
        <values>
          <value t="nil">
            <val>1</val>
          </value>
        </values>
      </ddeItem>
      <ddeItem name="id32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28?req?MOS_STK_SMART_USD_~/" advise="1">
        <values>
          <value t="nil">
            <val>1</val>
          </value>
        </values>
      </ddeItem>
      <ddeItem name="id328?tradingClass" advise="1">
        <values>
          <value t="str">
            <val>MOS</val>
          </value>
        </values>
      </ddeItem>
      <ddeItem name="id328?validExchanges" advise="1">
        <values>
          <value t="str">
            <val>SMART,NYSE,CBOE,ISE,CHX,ARCA,ISLAND,DRCTEDGE,NSX,BEX,BATS,EDGEA,CSFBALGO,JEFFALGO,BYX,IEX,TPLUS2,PSX</val>
          </value>
        </values>
      </ddeItem>
      <ddeItem name="id329?conid" advise="1">
        <values>
          <value>
            <val>83975037</val>
          </value>
        </values>
      </ddeItem>
      <ddeItem name="id329?marketName" advise="1">
        <values>
          <value t="str">
            <val>KMI</val>
          </value>
        </values>
      </ddeItem>
      <ddeItem name="id329?minTick" advise="1">
        <values>
          <value>
            <val>0.01</val>
          </value>
        </values>
      </ddeItem>
      <ddeItem name="id329?multiplier" advise="1">
        <values>
          <value t="nil">
            <val>1</val>
          </value>
        </values>
      </ddeItem>
      <ddeItem name="id32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29?req?KMI_STK_SMART_USD_~/" advise="1">
        <values>
          <value t="nil">
            <val>1</val>
          </value>
        </values>
      </ddeItem>
      <ddeItem name="id329?tradingClass" advise="1">
        <values>
          <value t="str">
            <val>KMI</val>
          </value>
        </values>
      </ddeItem>
      <ddeItem name="id329?validExchanges" advise="1">
        <values>
          <value t="str">
            <val>SMART,NYSE,CBOE,ISE,CHX,ARCA,ISLAND,DRCTEDGE,NSX,BEX,BATS,EDGEA,CSFBALGO,JEFFALGO,BYX,IEX,TPLUS2,PSX</val>
          </value>
        </values>
      </ddeItem>
      <ddeItem name="id33?conid" advise="1">
        <values>
          <value>
            <val>9358</val>
          </value>
        </values>
      </ddeItem>
      <ddeItem name="id33?marketName" advise="1">
        <values>
          <value t="str">
            <val>NMS</val>
          </value>
        </values>
      </ddeItem>
      <ddeItem name="id33?minTick" advise="1">
        <values>
          <value>
            <val>0.01</val>
          </value>
        </values>
      </ddeItem>
      <ddeItem name="id33?multiplier" advise="1">
        <values>
          <value t="nil">
            <val>1</val>
          </value>
        </values>
      </ddeItem>
      <ddeItem name="id3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3?req?MAR_STK_SMART_USD_~/" advise="1">
        <values>
          <value t="nil">
            <val>1</val>
          </value>
        </values>
      </ddeItem>
      <ddeItem name="id33?tradingClass" advise="1">
        <values>
          <value t="str">
            <val>NMS</val>
          </value>
        </values>
      </ddeItem>
      <ddeItem name="id33?validExchanges" advise="1">
        <values>
          <value t="str">
            <val>SMART,CBOE,ISE,CHX,ARCA,ISLAND,VWAP,DRCTEDGE,NSX,BEX,BATS,EDGEA,CSFBALGO,JEFFALGO,BYX,IEX,TPLUS2,PSX</val>
          </value>
        </values>
      </ddeItem>
      <ddeItem name="id330?conid" advise="1">
        <values>
          <value>
            <val>95703740</val>
          </value>
        </values>
      </ddeItem>
      <ddeItem name="id330?marketName" advise="1">
        <values>
          <value t="str">
            <val>XYL</val>
          </value>
        </values>
      </ddeItem>
      <ddeItem name="id330?minTick" advise="1">
        <values>
          <value>
            <val>0.01</val>
          </value>
        </values>
      </ddeItem>
      <ddeItem name="id330?multiplier" advise="1">
        <values>
          <value t="nil">
            <val>1</val>
          </value>
        </values>
      </ddeItem>
      <ddeItem name="id33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30?req?XYL_STK_SMART_USD_~/" advise="1">
        <values>
          <value t="nil">
            <val>1</val>
          </value>
        </values>
      </ddeItem>
      <ddeItem name="id330?tradingClass" advise="1">
        <values>
          <value t="str">
            <val>XYL</val>
          </value>
        </values>
      </ddeItem>
      <ddeItem name="id330?validExchanges" advise="1">
        <values>
          <value t="str">
            <val>SMART,NYSE,CBOE,ISE,CHX,ARCA,ISLAND,DRCTEDGE,NSX,BEX,BATS,EDGEA,CSFBALGO,JEFFALGO,BYX,IEX,TPLUS2,PSX</val>
          </value>
        </values>
      </ddeItem>
      <ddeItem name="id331?conid" advise="1">
        <values>
          <value>
            <val>73354293</val>
          </value>
        </values>
      </ddeItem>
      <ddeItem name="id331?marketName" advise="1">
        <values>
          <value t="str">
            <val>SWK</val>
          </value>
        </values>
      </ddeItem>
      <ddeItem name="id331?minTick" advise="1">
        <values>
          <value>
            <val>0.01</val>
          </value>
        </values>
      </ddeItem>
      <ddeItem name="id331?multiplier" advise="1">
        <values>
          <value t="nil">
            <val>1</val>
          </value>
        </values>
      </ddeItem>
      <ddeItem name="id33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31?req?SWK_STK_SMART_USD_~/" advise="1">
        <values>
          <value t="nil">
            <val>1</val>
          </value>
        </values>
      </ddeItem>
      <ddeItem name="id331?tradingClass" advise="1">
        <values>
          <value t="str">
            <val>SWK</val>
          </value>
        </values>
      </ddeItem>
      <ddeItem name="id331?validExchanges" advise="1">
        <values>
          <value t="str">
            <val>SMART,NYSE,CBOE,ISE,CHX,ARCA,ISLAND,VWAP,DRCTEDGE,NSX,BEX,BATS,EDGEA,CSFBALGO,JEFFALGO,BYX,IEX,TPLUS2,PSX</val>
          </value>
        </values>
      </ddeItem>
      <ddeItem name="id332?conid" advise="1">
        <values>
          <value>
            <val>74866700</val>
          </value>
        </values>
      </ddeItem>
      <ddeItem name="id332?marketName" advise="1">
        <values>
          <value t="str">
            <val>LYB</val>
          </value>
        </values>
      </ddeItem>
      <ddeItem name="id332?minTick" advise="1">
        <values>
          <value>
            <val>0.01</val>
          </value>
        </values>
      </ddeItem>
      <ddeItem name="id332?multiplier" advise="1">
        <values>
          <value t="nil">
            <val>1</val>
          </value>
        </values>
      </ddeItem>
      <ddeItem name="id33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32?req?LYB_STK_SMART_USD_~/" advise="1">
        <values>
          <value t="nil">
            <val>1</val>
          </value>
        </values>
      </ddeItem>
      <ddeItem name="id332?tradingClass" advise="1">
        <values>
          <value t="str">
            <val>LYB</val>
          </value>
        </values>
      </ddeItem>
      <ddeItem name="id332?validExchanges" advise="1">
        <values>
          <value t="str">
            <val>SMART,NYSE,CBOE,ISE,CHX,ARCA,ISLAND,DRCTEDGE,NSX,BEX,BATS,EDGEA,CSFBALGO,JEFFALGO,BYX,IEX,TPLUS2,PSX</val>
          </value>
        </values>
      </ddeItem>
      <ddeItem name="id333?conid" advise="1">
        <values>
          <value>
            <val>90794895</val>
          </value>
        </values>
      </ddeItem>
      <ddeItem name="id333?marketName" advise="1">
        <values>
          <value t="str">
            <val>PVH</val>
          </value>
        </values>
      </ddeItem>
      <ddeItem name="id333?minTick" advise="1">
        <values>
          <value>
            <val>0.01</val>
          </value>
        </values>
      </ddeItem>
      <ddeItem name="id333?multiplier" advise="1">
        <values>
          <value t="nil">
            <val>1</val>
          </value>
        </values>
      </ddeItem>
      <ddeItem name="id33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33?req?PVH_STK_SMART_USD_~/" advise="1">
        <values>
          <value t="nil">
            <val>1</val>
          </value>
        </values>
      </ddeItem>
      <ddeItem name="id333?tradingClass" advise="1">
        <values>
          <value t="str">
            <val>PVH</val>
          </value>
        </values>
      </ddeItem>
      <ddeItem name="id333?validExchanges" advise="1">
        <values>
          <value t="str">
            <val>SMART,NYSE,CBOE,ISE,CHX,ARCA,ISLAND,DRCTEDGE,NSX,BEX,BATS,EDGEA,CSFBALGO,JEFFALGO,BYX,IEX,TPLUS2,PSX</val>
          </value>
        </values>
      </ddeItem>
      <ddeItem name="id334?conid" advise="1">
        <values>
          <value>
            <val>221033377</val>
          </value>
        </values>
      </ddeItem>
      <ddeItem name="id334?marketName" advise="1">
        <values>
          <value t="str">
            <val>NMS</val>
          </value>
        </values>
      </ddeItem>
      <ddeItem name="id334?minTick" advise="1">
        <values>
          <value>
            <val>0.01</val>
          </value>
        </values>
      </ddeItem>
      <ddeItem name="id334?multiplier" advise="1">
        <values>
          <value t="nil">
            <val>1</val>
          </value>
        </values>
      </ddeItem>
      <ddeItem name="id33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34?req?AVGO_STK_SMART_USD_~/" advise="1">
        <values>
          <value t="nil">
            <val>1</val>
          </value>
        </values>
      </ddeItem>
      <ddeItem name="id334?tradingClass" advise="1">
        <values>
          <value t="str">
            <val>NMS</val>
          </value>
        </values>
      </ddeItem>
      <ddeItem name="id334?validExchanges" advise="1">
        <values>
          <value t="str">
            <val>SMART,CBOE,ISE,CHX,ARCA,ISLAND,DRCTEDGE,NSX,BEX,BATS,EDGEA,CSFBALGO,JEFFALGO,BYX,IEX,TPLUS2,PSX</val>
          </value>
        </values>
      </ddeItem>
      <ddeItem name="id335?conid" advise="1">
        <values>
          <value>
            <val>76791198</val>
          </value>
        </values>
      </ddeItem>
      <ddeItem name="id335?marketName" advise="1">
        <values>
          <value t="str">
            <val>NMS</val>
          </value>
        </values>
      </ddeItem>
      <ddeItem name="id335?minTick" advise="1">
        <values>
          <value>
            <val>0.01</val>
          </value>
        </values>
      </ddeItem>
      <ddeItem name="id335?multiplier" advise="1">
        <values>
          <value t="nil">
            <val>1</val>
          </value>
        </values>
      </ddeItem>
      <ddeItem name="id33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35?req?GRMN_STK_SMART_USD_~/" advise="1">
        <values>
          <value t="nil">
            <val>1</val>
          </value>
        </values>
      </ddeItem>
      <ddeItem name="id335?tradingClass" advise="1">
        <values>
          <value t="str">
            <val>NMS</val>
          </value>
        </values>
      </ddeItem>
      <ddeItem name="id335?validExchanges" advise="1">
        <values>
          <value t="str">
            <val>SMART,CBOE,ISE,CHX,ARCA,ISLAND,DRCTEDGE,NSX,BEX,BATS,EDGEA,CSFBALGO,JEFFALGO,BYX,IEX,TPLUS2,PSX</val>
          </value>
        </values>
      </ddeItem>
      <ddeItem name="id337?conid" advise="1">
        <values>
          <value>
            <val>88819288</val>
          </value>
        </values>
      </ddeItem>
      <ddeItem name="id337?marketName" advise="1">
        <values>
          <value t="str">
            <val>PLD</val>
          </value>
        </values>
      </ddeItem>
      <ddeItem name="id337?minTick" advise="1">
        <values>
          <value>
            <val>0.01</val>
          </value>
        </values>
      </ddeItem>
      <ddeItem name="id337?multiplier" advise="1">
        <values>
          <value t="nil">
            <val>1</val>
          </value>
        </values>
      </ddeItem>
      <ddeItem name="id33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37?req?PLD_STK_SMART_USD_~/" advise="1">
        <values>
          <value t="nil">
            <val>1</val>
          </value>
        </values>
      </ddeItem>
      <ddeItem name="id337?tradingClass" advise="1">
        <values>
          <value t="str">
            <val>PLD</val>
          </value>
        </values>
      </ddeItem>
      <ddeItem name="id337?validExchanges" advise="1">
        <values>
          <value t="str">
            <val>SMART,NYSE,CBOE,ISE,CHX,ARCA,ISLAND,DRCTEDGE,NSX,BEX,BATS,EDGEA,CSFBALGO,JEFFALGO,BYX,IEX,TPLUS2,PSX</val>
          </value>
        </values>
      </ddeItem>
      <ddeItem name="id338?conid" advise="1">
        <values>
          <value>
            <val>67889930</val>
          </value>
        </values>
      </ddeItem>
      <ddeItem name="id338?marketName" advise="1">
        <values>
          <value t="str">
            <val>ACN</val>
          </value>
        </values>
      </ddeItem>
      <ddeItem name="id338?minTick" advise="1">
        <values>
          <value>
            <val>0.01</val>
          </value>
        </values>
      </ddeItem>
      <ddeItem name="id338?multiplier" advise="1">
        <values>
          <value t="nil">
            <val>1</val>
          </value>
        </values>
      </ddeItem>
      <ddeItem name="id33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38?req?ACN_STK_SMART_USD_~/" advise="1">
        <values>
          <value t="nil">
            <val>1</val>
          </value>
        </values>
      </ddeItem>
      <ddeItem name="id338?tradingClass" advise="1">
        <values>
          <value t="str">
            <val>ACN</val>
          </value>
        </values>
      </ddeItem>
      <ddeItem name="id338?validExchanges" advise="1">
        <values>
          <value t="str">
            <val>SMART,NYSE,CBOE,ISE,CHX,ARCA,ISLAND,VWAP,DRCTEDGE,NSX,BEX,BATS,EDGEA,CSFBALGO,JEFFALGO,BYX,IEX,TPLUS2,PSX</val>
          </value>
        </values>
      </ddeItem>
      <ddeItem name="id339?conid" advise="1">
        <values>
          <value>
            <val>85076790</val>
          </value>
        </values>
      </ddeItem>
      <ddeItem name="id339?marketName" advise="1">
        <values>
          <value t="str">
            <val>HCA</val>
          </value>
        </values>
      </ddeItem>
      <ddeItem name="id339?minTick" advise="1">
        <values>
          <value>
            <val>0.01</val>
          </value>
        </values>
      </ddeItem>
      <ddeItem name="id339?multiplier" advise="1">
        <values>
          <value t="nil">
            <val>1</val>
          </value>
        </values>
      </ddeItem>
      <ddeItem name="id33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39?req?HCA_STK_SMART_USD_~/" advise="1">
        <values>
          <value t="nil">
            <val>1</val>
          </value>
        </values>
      </ddeItem>
      <ddeItem name="id339?tradingClass" advise="1">
        <values>
          <value t="str">
            <val>HCA</val>
          </value>
        </values>
      </ddeItem>
      <ddeItem name="id339?validExchanges" advise="1">
        <values>
          <value t="str">
            <val>SMART,NYSE,CBOE,ISE,CHX,ARCA,ISLAND,DRCTEDGE,NSX,BEX,BATS,EDGEA,CSFBALGO,JEFFALGO,BYX,IEX,TPLUS2,PSX</val>
          </value>
        </values>
      </ddeItem>
      <ddeItem name="id34?conid" advise="1">
        <values>
          <value>
            <val>5800</val>
          </value>
        </values>
      </ddeItem>
      <ddeItem name="id34?marketName" advise="1">
        <values>
          <value t="str">
            <val>CMA</val>
          </value>
        </values>
      </ddeItem>
      <ddeItem name="id34?minTick" advise="1">
        <values>
          <value>
            <val>0.01</val>
          </value>
        </values>
      </ddeItem>
      <ddeItem name="id34?multiplier" advise="1">
        <values>
          <value t="nil">
            <val>1</val>
          </value>
        </values>
      </ddeItem>
      <ddeItem name="id3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4?req?CMA_STK_SMART_USD_~/" advise="1">
        <values>
          <value t="nil">
            <val>1</val>
          </value>
        </values>
      </ddeItem>
      <ddeItem name="id34?tradingClass" advise="1">
        <values>
          <value t="str">
            <val>CMA</val>
          </value>
        </values>
      </ddeItem>
      <ddeItem name="id34?validExchanges" advise="1">
        <values>
          <value t="str">
            <val>SMART,NYSE,CBOE,ISE,CHX,ARCA,ISLAND,VWAP,DRCTEDGE,NSX,BEX,BATS,EDGEA,CSFBALGO,JEFFALGO,BYX,IEX,TPLUS2,PSX</val>
          </value>
        </values>
      </ddeItem>
      <ddeItem name="id340?conid" advise="1">
        <values>
          <value>
            <val>69293559</val>
          </value>
        </values>
      </ddeItem>
      <ddeItem name="id340?marketName" advise="1">
        <values>
          <value t="str">
            <val>NMS</val>
          </value>
        </values>
      </ddeItem>
      <ddeItem name="id340?minTick" advise="1">
        <values>
          <value>
            <val>0.01</val>
          </value>
        </values>
      </ddeItem>
      <ddeItem name="id340?multiplier" advise="1">
        <values>
          <value t="nil">
            <val>1</val>
          </value>
        </values>
      </ddeItem>
      <ddeItem name="id34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40?req?VRSK_STK_SMART_USD_~/" advise="1">
        <values>
          <value t="nil">
            <val>1</val>
          </value>
        </values>
      </ddeItem>
      <ddeItem name="id340?tradingClass" advise="1">
        <values>
          <value t="str">
            <val>NMS</val>
          </value>
        </values>
      </ddeItem>
      <ddeItem name="id340?validExchanges" advise="1">
        <values>
          <value t="str">
            <val>SMART,CBOE,ISE,CHX,ARCA,ISLAND,DRCTEDGE,NSX,BEX,BATS,EDGEA,CSFBALGO,JEFFALGO,BYX,IEX,TPLUS2,PSX</val>
          </value>
        </values>
      </ddeItem>
      <ddeItem name="id341?conid" advise="1">
        <values>
          <value>
            <val>79498203</val>
          </value>
        </values>
      </ddeItem>
      <ddeItem name="id341?marketName" advise="1">
        <values>
          <value t="str">
            <val>UAL</val>
          </value>
        </values>
      </ddeItem>
      <ddeItem name="id341?minTick" advise="1">
        <values>
          <value>
            <val>0.01</val>
          </value>
        </values>
      </ddeItem>
      <ddeItem name="id341?multiplier" advise="1">
        <values>
          <value t="nil">
            <val>1</val>
          </value>
        </values>
      </ddeItem>
      <ddeItem name="id34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41?req?UAL_STK_SMART_USD_~/" advise="1">
        <values>
          <value t="nil">
            <val>1</val>
          </value>
        </values>
      </ddeItem>
      <ddeItem name="id341?tradingClass" advise="1">
        <values>
          <value t="str">
            <val>UAL</val>
          </value>
        </values>
      </ddeItem>
      <ddeItem name="id341?validExchanges" advise="1">
        <values>
          <value t="str">
            <val>SMART,NYSE,CBOE,ISE,CHX,ARCA,ISLAND,DRCTEDGE,NSX,BEX,BATS,EDGEA,CSFBALGO,JEFFALGO,BYX,IEX,TPLUS2,PSX</val>
          </value>
        </values>
      </ddeItem>
      <ddeItem name="id342?conid" advise="1">
        <values>
          <value>
            <val>92306678</val>
          </value>
        </values>
      </ddeItem>
      <ddeItem name="id342?marketName" advise="1">
        <values>
          <value t="str">
            <val>RL</val>
          </value>
        </values>
      </ddeItem>
      <ddeItem name="id342?minTick" advise="1">
        <values>
          <value>
            <val>0.01</val>
          </value>
        </values>
      </ddeItem>
      <ddeItem name="id342?multiplier" advise="1">
        <values>
          <value t="nil">
            <val>1</val>
          </value>
        </values>
      </ddeItem>
      <ddeItem name="id34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42?req?RL_STK_SMART_USD_~/" advise="1">
        <values>
          <value t="nil">
            <val>1</val>
          </value>
        </values>
      </ddeItem>
      <ddeItem name="id342?tradingClass" advise="1">
        <values>
          <value t="str">
            <val>RL</val>
          </value>
        </values>
      </ddeItem>
      <ddeItem name="id342?validExchanges" advise="1">
        <values>
          <value t="str">
            <val>SMART,NYSE,CBOE,ISE,CHX,ARCA,ISLAND,DRCTEDGE,NSX,BEX,BATS,EDGEA,CSFBALGO,JEFFALGO,BYX,IEX,TPLUS2,PSX</val>
          </value>
        </values>
      </ddeItem>
      <ddeItem name="id343?conid" advise="1">
        <values>
          <value>
            <val>57755168</val>
          </value>
        </values>
      </ddeItem>
      <ddeItem name="id343?marketName" advise="1">
        <values>
          <value t="str">
            <val>MJN</val>
          </value>
        </values>
      </ddeItem>
      <ddeItem name="id343?minTick" advise="1">
        <values>
          <value>
            <val>0.01</val>
          </value>
        </values>
      </ddeItem>
      <ddeItem name="id343?multiplier" advise="1">
        <values>
          <value t="nil">
            <val>1</val>
          </value>
        </values>
      </ddeItem>
      <ddeItem name="id34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43?req?MJN_STK_SMART_USD_~/" advise="1">
        <values>
          <value t="nil">
            <val>1</val>
          </value>
        </values>
      </ddeItem>
      <ddeItem name="id343?tradingClass" advise="1">
        <values>
          <value t="str">
            <val>MJN</val>
          </value>
        </values>
      </ddeItem>
      <ddeItem name="id343?validExchanges" advise="1">
        <values>
          <value t="str">
            <val>SMART,NYSE,CBOE,ISE,CHX,ARCA,ISLAND,DRCTEDGE,NSX,BEX,BATS,EDGEA,CSFBALGO,JEFFALGO,BYX,IEX,TPLUS2,PSX</val>
          </value>
        </values>
      </ddeItem>
      <ddeItem name="id344?conid" advise="1">
        <values>
          <value>
            <val>80664970</val>
          </value>
        </values>
      </ddeItem>
      <ddeItem name="id344?marketName" advise="1">
        <values>
          <value t="str">
            <val>GGP</val>
          </value>
        </values>
      </ddeItem>
      <ddeItem name="id344?minTick" advise="1">
        <values>
          <value>
            <val>0.01</val>
          </value>
        </values>
      </ddeItem>
      <ddeItem name="id344?multiplier" advise="1">
        <values>
          <value t="nil">
            <val>1</val>
          </value>
        </values>
      </ddeItem>
      <ddeItem name="id34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44?req?GGP_STK_SMART_USD_~/" advise="1">
        <values>
          <value t="nil">
            <val>1</val>
          </value>
        </values>
      </ddeItem>
      <ddeItem name="id344?tradingClass" advise="1">
        <values>
          <value t="str">
            <val>GGP</val>
          </value>
        </values>
      </ddeItem>
      <ddeItem name="id344?validExchanges" advise="1">
        <values>
          <value t="str">
            <val>SMART,NYSE,CBOE,ISE,CHX,ARCA,ISLAND,DRCTEDGE,NSX,BEX,BATS,EDGEA,CSFBALGO,JEFFALGO,BYX,IEX,TPLUS2,PSX</val>
          </value>
        </values>
      </ddeItem>
      <ddeItem name="id345?conid" advise="1">
        <values>
          <value>
            <val>76915240</val>
          </value>
        </values>
      </ddeItem>
      <ddeItem name="id345?marketName" advise="1">
        <values>
          <value t="str">
            <val>NMS</val>
          </value>
        </values>
      </ddeItem>
      <ddeItem name="id345?minTick" advise="1">
        <values>
          <value>
            <val>0.01</val>
          </value>
        </values>
      </ddeItem>
      <ddeItem name="id345?multiplier" advise="1">
        <values>
          <value t="nil">
            <val>1</val>
          </value>
        </values>
      </ddeItem>
      <ddeItem name="id34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45?req?STX_STK_SMART_USD_~/" advise="1">
        <values>
          <value t="nil">
            <val>1</val>
          </value>
        </values>
      </ddeItem>
      <ddeItem name="id345?tradingClass" advise="1">
        <values>
          <value t="str">
            <val>NMS</val>
          </value>
        </values>
      </ddeItem>
      <ddeItem name="id345?validExchanges" advise="1">
        <values>
          <value t="str">
            <val>SMART,CBOE,ISE,CHX,ARCA,ISLAND,DRCTEDGE,NSX,BEX,BATS,EDGEA,CSFBALGO,JEFFALGO,BYX,IEX,TPLUS2,PSX</val>
          </value>
        </values>
      </ddeItem>
      <ddeItem name="id346?conid" advise="1">
        <values>
          <value>
            <val>70212228</val>
          </value>
        </values>
      </ddeItem>
      <ddeItem name="id346?marketName" advise="1">
        <values>
          <value t="str">
            <val>DG</val>
          </value>
        </values>
      </ddeItem>
      <ddeItem name="id346?minTick" advise="1">
        <values>
          <value>
            <val>0.01</val>
          </value>
        </values>
      </ddeItem>
      <ddeItem name="id346?multiplier" advise="1">
        <values>
          <value t="nil">
            <val>1</val>
          </value>
        </values>
      </ddeItem>
      <ddeItem name="id34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46?req?DG_STK_SMART_USD_~/" advise="1">
        <values>
          <value t="nil">
            <val>1</val>
          </value>
        </values>
      </ddeItem>
      <ddeItem name="id346?tradingClass" advise="1">
        <values>
          <value t="str">
            <val>DG</val>
          </value>
        </values>
      </ddeItem>
      <ddeItem name="id346?validExchanges" advise="1">
        <values>
          <value t="str">
            <val>SMART,NYSE,CBOE,ISE,CHX,ARCA,ISLAND,DRCTEDGE,NSX,BEX,BATS,EDGEA,CSFBALGO,JEFFALGO,BYX,IEX,TPLUS2,PSX</val>
          </value>
        </values>
      </ddeItem>
      <ddeItem name="id347?conid" advise="1">
        <values>
          <value>
            <val>81581011</val>
          </value>
        </values>
      </ddeItem>
      <ddeItem name="id347?marketName" advise="1">
        <values>
          <value t="str">
            <val>MSI</val>
          </value>
        </values>
      </ddeItem>
      <ddeItem name="id347?minTick" advise="1">
        <values>
          <value>
            <val>0.01</val>
          </value>
        </values>
      </ddeItem>
      <ddeItem name="id347?multiplier" advise="1">
        <values>
          <value t="nil">
            <val>1</val>
          </value>
        </values>
      </ddeItem>
      <ddeItem name="id34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47?req?MSI_STK_SMART_USD_~/" advise="1">
        <values>
          <value t="nil">
            <val>1</val>
          </value>
        </values>
      </ddeItem>
      <ddeItem name="id347?tradingClass" advise="1">
        <values>
          <value t="str">
            <val>MSI</val>
          </value>
        </values>
      </ddeItem>
      <ddeItem name="id347?validExchanges" advise="1">
        <values>
          <value t="str">
            <val>SMART,NYSE,CBOE,ISE,CHX,ARCA,ISLAND,VWAP,DRCTEDGE,NSX,BEX,BATS,EDGEA,CSFBALGO,JEFFALGO,BYX,IEX,TPLUS2,PSX</val>
          </value>
        </values>
      </ddeItem>
      <ddeItem name="id348?conid" advise="1">
        <values>
          <value>
            <val>105316759</val>
          </value>
        </values>
      </ddeItem>
      <ddeItem name="id348?marketName" advise="1">
        <values>
          <value t="str">
            <val>AON</val>
          </value>
        </values>
      </ddeItem>
      <ddeItem name="id348?minTick" advise="1">
        <values>
          <value>
            <val>0.01</val>
          </value>
        </values>
      </ddeItem>
      <ddeItem name="id348?multiplier" advise="1">
        <values>
          <value t="nil">
            <val>1</val>
          </value>
        </values>
      </ddeItem>
      <ddeItem name="id34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48?req?AON_STK_SMART_USD_~/" advise="1">
        <values>
          <value t="nil">
            <val>1</val>
          </value>
        </values>
      </ddeItem>
      <ddeItem name="id348?tradingClass" advise="1">
        <values>
          <value t="str">
            <val>AON</val>
          </value>
        </values>
      </ddeItem>
      <ddeItem name="id348?validExchanges" advise="1">
        <values>
          <value t="str">
            <val>SMART,NYSE,CBOE,ISE,CHX,ARCA,ISLAND,VWAP,DRCTEDGE,NSX,BEX,BATS,EDGEA,CSFBALGO,JEFFALGO,BYX,IEX,TPLUS2,PSX</val>
          </value>
        </values>
      </ddeItem>
      <ddeItem name="id349?conid" advise="1">
        <values>
          <value>
            <val>96079833</val>
          </value>
        </values>
      </ddeItem>
      <ddeItem name="id349?marketName" advise="1">
        <values>
          <value t="str">
            <val>LVLT</val>
          </value>
        </values>
      </ddeItem>
      <ddeItem name="id349?minTick" advise="1">
        <values>
          <value>
            <val>0.01</val>
          </value>
        </values>
      </ddeItem>
      <ddeItem name="id349?multiplier" advise="1">
        <values>
          <value t="nil">
            <val>1</val>
          </value>
        </values>
      </ddeItem>
      <ddeItem name="id34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49?req?LVLT_STK_SMART_USD_~/" advise="1">
        <values>
          <value t="nil">
            <val>1</val>
          </value>
        </values>
      </ddeItem>
      <ddeItem name="id349?tradingClass" advise="1">
        <values>
          <value t="str">
            <val>LVLT</val>
          </value>
        </values>
      </ddeItem>
      <ddeItem name="id349?validExchanges" advise="1">
        <values>
          <value t="str">
            <val>SMART,NYSE,CBOE,ISE,CHX,ARCA,ISLAND,VWAP,DRCTEDGE,NSX,BEX,BATS,EDGEA,CSFBALGO,JEFFALGO,BYX,IEX,TPLUS2,PSX</val>
          </value>
        </values>
      </ddeItem>
      <ddeItem name="id35?conid" advise="1">
        <values>
          <value>
            <val>10188791</val>
          </value>
        </values>
      </ddeItem>
      <ddeItem name="id35?marketName" advise="1">
        <values>
          <value t="str">
            <val>NRG</val>
          </value>
        </values>
      </ddeItem>
      <ddeItem name="id35?minTick" advise="1">
        <values>
          <value>
            <val>0.01</val>
          </value>
        </values>
      </ddeItem>
      <ddeItem name="id35?multiplier" advise="1">
        <values>
          <value t="nil">
            <val>1</val>
          </value>
        </values>
      </ddeItem>
      <ddeItem name="id3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5?req?NRG_STK_SMART_USD_~/" advise="1">
        <values>
          <value t="nil">
            <val>1</val>
          </value>
        </values>
      </ddeItem>
      <ddeItem name="id35?tradingClass" advise="1">
        <values>
          <value t="str">
            <val>NRG</val>
          </value>
        </values>
      </ddeItem>
      <ddeItem name="id35?validExchanges" advise="1">
        <values>
          <value t="str">
            <val>SMART,NYSE,CBOE,ISE,CHX,ARCA,ISLAND,DRCTEDGE,NSX,BEX,BATS,EDGEA,CSFBALGO,JEFFALGO,BYX,IEX,TPLUS2,PSX</val>
          </value>
        </values>
      </ddeItem>
      <ddeItem name="id350?conid" advise="1">
        <values>
          <value>
            <val>240495576</val>
          </value>
        </values>
      </ddeItem>
      <ddeItem name="id350?marketName" advise="1">
        <values>
          <value t="str">
            <val>XL</val>
          </value>
        </values>
      </ddeItem>
      <ddeItem name="id350?minTick" advise="1">
        <values>
          <value>
            <val>0.01</val>
          </value>
        </values>
      </ddeItem>
      <ddeItem name="id350?multiplier" advise="1">
        <values>
          <value t="nil">
            <val>1</val>
          </value>
        </values>
      </ddeItem>
      <ddeItem name="id35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50?req?XL_STK_SMART_USD_~/" advise="1">
        <values>
          <value t="nil">
            <val>1</val>
          </value>
        </values>
      </ddeItem>
      <ddeItem name="id350?tradingClass" advise="1">
        <values>
          <value t="str">
            <val>XL</val>
          </value>
        </values>
      </ddeItem>
      <ddeItem name="id350?validExchanges" advise="1">
        <values>
          <value t="str">
            <val>SMART,NYSE,CBOE,ISE,CHX,ARCA,ISLAND,DRCTEDGE,NSX,BEX,BATS,EDGEA,CSFBALGO,JEFFALGO,BYX,IEX,TPLUS2,PSX</val>
          </value>
        </values>
      </ddeItem>
      <ddeItem name="id351?conid" advise="1">
        <values>
          <value>
            <val>85548741</val>
          </value>
        </values>
      </ddeItem>
      <ddeItem name="id351?marketName" advise="1">
        <values>
          <value t="str">
            <val>TEL</val>
          </value>
        </values>
      </ddeItem>
      <ddeItem name="id351?minTick" advise="1">
        <values>
          <value>
            <val>0.01</val>
          </value>
        </values>
      </ddeItem>
      <ddeItem name="id351?multiplier" advise="1">
        <values>
          <value t="nil">
            <val>1</val>
          </value>
        </values>
      </ddeItem>
      <ddeItem name="id35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51?req?TEL_STK_SMART_USD_~/" advise="1">
        <values>
          <value t="nil">
            <val>1</val>
          </value>
        </values>
      </ddeItem>
      <ddeItem name="id351?tradingClass" advise="1">
        <values>
          <value t="str">
            <val>TEL</val>
          </value>
        </values>
      </ddeItem>
      <ddeItem name="id351?validExchanges" advise="1">
        <values>
          <value t="str">
            <val>SMART,NYSE,CBOE,ISE,CHX,ARCA,ISLAND,DRCTEDGE,NSX,BEX,BATS,EDGEA,CSFBALGO,JEFFALGO,BYX,IEX,TPLUS2,PSX</val>
          </value>
        </values>
      </ddeItem>
      <ddeItem name="id352?conid" advise="1">
        <values>
          <value>
            <val>61440265</val>
          </value>
        </values>
      </ddeItem>
      <ddeItem name="id352?marketName" advise="1">
        <values>
          <value t="str">
            <val>IR</val>
          </value>
        </values>
      </ddeItem>
      <ddeItem name="id352?minTick" advise="1">
        <values>
          <value>
            <val>0.01</val>
          </value>
        </values>
      </ddeItem>
      <ddeItem name="id352?multiplier" advise="1">
        <values>
          <value t="nil">
            <val>1</val>
          </value>
        </values>
      </ddeItem>
      <ddeItem name="id35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52?req?IR_STK_SMART_USD_~/" advise="1">
        <values>
          <value t="nil">
            <val>1</val>
          </value>
        </values>
      </ddeItem>
      <ddeItem name="id352?tradingClass" advise="1">
        <values>
          <value t="str">
            <val>IR</val>
          </value>
        </values>
      </ddeItem>
      <ddeItem name="id352?validExchanges" advise="1">
        <values>
          <value t="str">
            <val>SMART,NYSE,CBOE,ISE,CHX,ARCA,ISLAND,DRCTEDGE,NSX,BEX,BATS,EDGEA,CSFBALGO,JEFFALGO,BYX,IEX,TPLUS2,PSX</val>
          </value>
        </values>
      </ddeItem>
      <ddeItem name="id353?conid" advise="1">
        <values>
          <value>
            <val>59085966</val>
          </value>
        </values>
      </ddeItem>
      <ddeItem name="id353?marketName" advise="1">
        <values>
          <value t="str">
            <val>TWX</val>
          </value>
        </values>
      </ddeItem>
      <ddeItem name="id353?minTick" advise="1">
        <values>
          <value>
            <val>0.01</val>
          </value>
        </values>
      </ddeItem>
      <ddeItem name="id353?multiplier" advise="1">
        <values>
          <value t="nil">
            <val>1</val>
          </value>
        </values>
      </ddeItem>
      <ddeItem name="id35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53?req?TWX_STK_SMART_USD_~/" advise="1">
        <values>
          <value t="nil">
            <val>1</val>
          </value>
        </values>
      </ddeItem>
      <ddeItem name="id353?tradingClass" advise="1">
        <values>
          <value t="str">
            <val>TWX</val>
          </value>
        </values>
      </ddeItem>
      <ddeItem name="id353?validExchanges" advise="1">
        <values>
          <value t="str">
            <val>SMART,NYSE,CBOE,ISE,CHX,ARCA,ISLAND,VWAP,DRCTEDGE,NSX,BEX,BATS,EDGEA,CSFBALGO,JEFFALGO,BYX,IEX,TPLUS2,PSX</val>
          </value>
        </values>
      </ddeItem>
      <ddeItem name="id354?conid" advise="1">
        <values>
          <value>
            <val>82457808</val>
          </value>
        </values>
      </ddeItem>
      <ddeItem name="id354?marketName" advise="1">
        <values>
          <value t="str">
            <val>NMS</val>
          </value>
        </values>
      </ddeItem>
      <ddeItem name="id354?minTick" advise="1">
        <values>
          <value>
            <val>0.01</val>
          </value>
        </values>
      </ddeItem>
      <ddeItem name="id354?multiplier" advise="1">
        <values>
          <value t="nil">
            <val>1</val>
          </value>
        </values>
      </ddeItem>
      <ddeItem name="id35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54?req?ORLY_STK_SMART_USD_~/" advise="1">
        <values>
          <value t="nil">
            <val>1</val>
          </value>
        </values>
      </ddeItem>
      <ddeItem name="id354?tradingClass" advise="1">
        <values>
          <value t="str">
            <val>NMS</val>
          </value>
        </values>
      </ddeItem>
      <ddeItem name="id354?validExchanges" advise="1">
        <values>
          <value t="str">
            <val>SMART,CBOE,ISE,CHX,ARCA,ISLAND,DRCTEDGE,NSX,BEX,BATS,EDGEA,CSFBALGO,JEFFALGO,BYX,IEX,TPLUS2,PSX</val>
          </value>
        </values>
      </ddeItem>
      <ddeItem name="id355?conid" advise="1">
        <values>
          <value>
            <val>80986742</val>
          </value>
        </values>
      </ddeItem>
      <ddeItem name="id355?marketName" advise="1">
        <values>
          <value t="str">
            <val>GM</val>
          </value>
        </values>
      </ddeItem>
      <ddeItem name="id355?minTick" advise="1">
        <values>
          <value>
            <val>0.01</val>
          </value>
        </values>
      </ddeItem>
      <ddeItem name="id355?multiplier" advise="1">
        <values>
          <value t="nil">
            <val>1</val>
          </value>
        </values>
      </ddeItem>
      <ddeItem name="id35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55?req?GM_STK_SMART_USD_~/" advise="1">
        <values>
          <value t="nil">
            <val>1</val>
          </value>
        </values>
      </ddeItem>
      <ddeItem name="id355?tradingClass" advise="1">
        <values>
          <value t="str">
            <val>GM</val>
          </value>
        </values>
      </ddeItem>
      <ddeItem name="id355?validExchanges" advise="1">
        <values>
          <value t="str">
            <val>SMART,NYSE,CBOE,ISE,CHX,ARCA,ISLAND,DRCTEDGE,NSX,BEX,BATS,EDGEA,CSFBALGO,JEFFALGO,BYX,IEX,TPLUS2,PSX</val>
          </value>
        </values>
      </ddeItem>
      <ddeItem name="id356?conid" advise="1">
        <values>
          <value>
            <val>95514904</val>
          </value>
        </values>
      </ddeItem>
      <ddeItem name="id356?marketName" advise="1">
        <values>
          <value t="str">
            <val>CBG</val>
          </value>
        </values>
      </ddeItem>
      <ddeItem name="id356?minTick" advise="1">
        <values>
          <value>
            <val>0.01</val>
          </value>
        </values>
      </ddeItem>
      <ddeItem name="id356?multiplier" advise="1">
        <values>
          <value t="nil">
            <val>1</val>
          </value>
        </values>
      </ddeItem>
      <ddeItem name="id35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56?req?CBG_STK_SMART_USD_~/" advise="1">
        <values>
          <value t="nil">
            <val>1</val>
          </value>
        </values>
      </ddeItem>
      <ddeItem name="id356?tradingClass" advise="1">
        <values>
          <value t="str">
            <val>CBG</val>
          </value>
        </values>
      </ddeItem>
      <ddeItem name="id356?validExchanges" advise="1">
        <values>
          <value t="str">
            <val>SMART,NYSE,CBOE,ISE,CHX,ARCA,ISLAND,VWAP,DRCTEDGE,NSX,BEX,BATS,EDGEA,CSFBALGO,JEFFALGO,BYX,IEX,TPLUS2,PSX</val>
          </value>
        </values>
      </ddeItem>
      <ddeItem name="id357?conid" advise="1">
        <values>
          <value>
            <val>98542026</val>
          </value>
        </values>
      </ddeItem>
      <ddeItem name="id357?marketName" advise="1">
        <values>
          <value t="str">
            <val>NMS</val>
          </value>
        </values>
      </ddeItem>
      <ddeItem name="id357?minTick" advise="1">
        <values>
          <value>
            <val>0.01</val>
          </value>
        </values>
      </ddeItem>
      <ddeItem name="id357?multiplier" advise="1">
        <values>
          <value t="nil">
            <val>1</val>
          </value>
        </values>
      </ddeItem>
      <ddeItem name="id35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57?req?TRIP_STK_SMART_USD_~/" advise="1">
        <values>
          <value t="nil">
            <val>1</val>
          </value>
        </values>
      </ddeItem>
      <ddeItem name="id357?tradingClass" advise="1">
        <values>
          <value t="str">
            <val>NMS</val>
          </value>
        </values>
      </ddeItem>
      <ddeItem name="id357?validExchanges" advise="1">
        <values>
          <value t="str">
            <val>SMART,CBOE,ISE,CHX,ARCA,ISLAND,DRCTEDGE,NSX,BEX,BATS,EDGEA,CSFBALGO,JEFFALGO,BYX,IEX,TPLUS2,PSX</val>
          </value>
        </values>
      </ddeItem>
      <ddeItem name="id358?conid" advise="1">
        <values>
          <value>
            <val>98606948</val>
          </value>
        </values>
      </ddeItem>
      <ddeItem name="id358?marketName" advise="1">
        <values>
          <value t="str">
            <val>KORS</val>
          </value>
        </values>
      </ddeItem>
      <ddeItem name="id358?minTick" advise="1">
        <values>
          <value>
            <val>0.01</val>
          </value>
        </values>
      </ddeItem>
      <ddeItem name="id358?multiplier" advise="1">
        <values>
          <value t="nil">
            <val>1</val>
          </value>
        </values>
      </ddeItem>
      <ddeItem name="id35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58?req?KORS_STK_SMART_USD_~/" advise="1">
        <values>
          <value t="nil">
            <val>1</val>
          </value>
        </values>
      </ddeItem>
      <ddeItem name="id358?tradingClass" advise="1">
        <values>
          <value t="str">
            <val>KORS</val>
          </value>
        </values>
      </ddeItem>
      <ddeItem name="id358?validExchanges" advise="1">
        <values>
          <value t="str">
            <val>SMART,NYSE,CBOE,ISE,CHX,ARCA,ISLAND,DRCTEDGE,NSX,BEX,BATS,EDGEA,CSFBALGO,JEFFALGO,BYX,IEX,TPLUS2,PSX</val>
          </value>
        </values>
      </ddeItem>
      <ddeItem name="id359?conid" advise="1">
        <values>
          <value>
            <val>98542021</val>
          </value>
        </values>
      </ddeItem>
      <ddeItem name="id359?marketName" advise="1">
        <values>
          <value t="str">
            <val>NMS</val>
          </value>
        </values>
      </ddeItem>
      <ddeItem name="id359?minTick" advise="1">
        <values>
          <value>
            <val>0.01</val>
          </value>
        </values>
      </ddeItem>
      <ddeItem name="id359?multiplier" advise="1">
        <values>
          <value t="nil">
            <val>1</val>
          </value>
        </values>
      </ddeItem>
      <ddeItem name="id35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59?req?EXPE_STK_SMART_USD_~/" advise="1">
        <values>
          <value t="nil">
            <val>1</val>
          </value>
        </values>
      </ddeItem>
      <ddeItem name="id359?tradingClass" advise="1">
        <values>
          <value t="str">
            <val>NMS</val>
          </value>
        </values>
      </ddeItem>
      <ddeItem name="id359?validExchanges" advise="1">
        <values>
          <value t="str">
            <val>SMART,CBOE,ISE,CHX,ARCA,ISLAND,DRCTEDGE,NSX,BEX,BATS,EDGEA,CSFBALGO,JEFFALGO,BYX,IEX,TPLUS2,PSX</val>
          </value>
        </values>
      </ddeItem>
      <ddeItem name="id36?conid" advise="1">
        <values>
          <value>
            <val>37875225</val>
          </value>
        </values>
      </ddeItem>
      <ddeItem name="id36?marketName" advise="1">
        <values>
          <value t="str">
            <val>NMS</val>
          </value>
        </values>
      </ddeItem>
      <ddeItem name="id36?minTick" advise="1">
        <values>
          <value>
            <val>0.01</val>
          </value>
        </values>
      </ddeItem>
      <ddeItem name="id36?multiplier" advise="1">
        <values>
          <value t="nil">
            <val>1</val>
          </value>
        </values>
      </ddeItem>
      <ddeItem name="id3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6?req?CA_STK_SMART_USD_~/" advise="1">
        <values>
          <value t="nil">
            <val>1</val>
          </value>
        </values>
      </ddeItem>
      <ddeItem name="id36?tradingClass" advise="1">
        <values>
          <value t="str">
            <val>NMS</val>
          </value>
        </values>
      </ddeItem>
      <ddeItem name="id36?validExchanges" advise="1">
        <values>
          <value t="str">
            <val>SMART,CBOE,ISE,CHX,ARCA,ISLAND,VWAP,DRCTEDGE,NSX,BEX,BATS,EDGEA,CSFBALGO,JEFFALGO,BYX,IEX,TPLUS2,PSX</val>
          </value>
        </values>
      </ddeItem>
      <ddeItem name="id360?conid" advise="1">
        <values>
          <value>
            <val>97478493</val>
          </value>
        </values>
      </ddeItem>
      <ddeItem name="id360?marketName" advise="1">
        <values>
          <value t="str">
            <val>DLPH</val>
          </value>
        </values>
      </ddeItem>
      <ddeItem name="id360?minTick" advise="1">
        <values>
          <value>
            <val>0.01</val>
          </value>
        </values>
      </ddeItem>
      <ddeItem name="id360?multiplier" advise="1">
        <values>
          <value t="nil">
            <val>1</val>
          </value>
        </values>
      </ddeItem>
      <ddeItem name="id36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60?req?DLPH_STK_SMART_USD_~/" advise="1">
        <values>
          <value t="nil">
            <val>1</val>
          </value>
        </values>
      </ddeItem>
      <ddeItem name="id360?tradingClass" advise="1">
        <values>
          <value t="str">
            <val>DLPH</val>
          </value>
        </values>
      </ddeItem>
      <ddeItem name="id360?validExchanges" advise="1">
        <values>
          <value t="str">
            <val>SMART,NYSE,CBOE,ISE,CHX,ARCA,ISLAND,DRCTEDGE,NSX,BEX,BATS,EDGEA,CSFBALGO,JEFFALGO,BYX,IEX,TPLUS2,PSX</val>
          </value>
        </values>
      </ddeItem>
      <ddeItem name="id361?conid" advise="1">
        <values>
          <value>
            <val>105669270</val>
          </value>
        </values>
      </ddeItem>
      <ddeItem name="id361?marketName" advise="1">
        <values>
          <value t="str">
            <val>PSX</val>
          </value>
        </values>
      </ddeItem>
      <ddeItem name="id361?minTick" advise="1">
        <values>
          <value>
            <val>0.01</val>
          </value>
        </values>
      </ddeItem>
      <ddeItem name="id361?multiplier" advise="1">
        <values>
          <value t="nil">
            <val>1</val>
          </value>
        </values>
      </ddeItem>
      <ddeItem name="id36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61?req?PSX_STK_SMART_USD_~/" advise="1">
        <values>
          <value t="nil">
            <val>1</val>
          </value>
        </values>
      </ddeItem>
      <ddeItem name="id361?tradingClass" advise="1">
        <values>
          <value t="str">
            <val>PSX</val>
          </value>
        </values>
      </ddeItem>
      <ddeItem name="id361?validExchanges" advise="1">
        <values>
          <value t="str">
            <val>SMART,NYSE,CBOE,ISE,CHX,ARCA,ISLAND,DRCTEDGE,NSX,BEX,BATS,EDGEA,CSFBALGO,JEFFALGO,BYX,IEX,TPLUS2,PSX</val>
          </value>
        </values>
      </ddeItem>
      <ddeItem name="id362?conid" advise="1">
        <values>
          <value>
            <val>99831145</val>
          </value>
        </values>
      </ddeItem>
      <ddeItem name="id362?marketName" advise="1">
        <values>
          <value t="str">
            <val>AMT</val>
          </value>
        </values>
      </ddeItem>
      <ddeItem name="id362?minTick" advise="1">
        <values>
          <value>
            <val>0.01</val>
          </value>
        </values>
      </ddeItem>
      <ddeItem name="id362?multiplier" advise="1">
        <values>
          <value t="nil">
            <val>1</val>
          </value>
        </values>
      </ddeItem>
      <ddeItem name="id36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62?req?AMT_STK_SMART_USD_~/" advise="1">
        <values>
          <value t="nil">
            <val>1</val>
          </value>
        </values>
      </ddeItem>
      <ddeItem name="id362?tradingClass" advise="1">
        <values>
          <value t="str">
            <val>AMT</val>
          </value>
        </values>
      </ddeItem>
      <ddeItem name="id362?validExchanges" advise="1">
        <values>
          <value t="str">
            <val>SMART,NYSE,CBOE,ISE,CHX,ARCA,ISLAND,VWAP,DRCTEDGE,NSX,BEX,BATS,EDGEA,CSFBALGO,JEFFALGO,BYX,IEX,TPLUS2,PSX</val>
          </value>
        </values>
      </ddeItem>
      <ddeItem name="id363?conid" advise="1">
        <values>
          <value>
            <val>105430010</val>
          </value>
        </values>
      </ddeItem>
      <ddeItem name="id363?marketName" advise="1">
        <values>
          <value t="str">
            <val>NMS</val>
          </value>
        </values>
      </ddeItem>
      <ddeItem name="id363?minTick" advise="1">
        <values>
          <value>
            <val>0.01</val>
          </value>
        </values>
      </ddeItem>
      <ddeItem name="id363?multiplier" advise="1">
        <values>
          <value t="nil">
            <val>1</val>
          </value>
        </values>
      </ddeItem>
      <ddeItem name="id36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63?req?ESRX_STK_SMART_USD_~/" advise="1">
        <values>
          <value t="nil">
            <val>1</val>
          </value>
        </values>
      </ddeItem>
      <ddeItem name="id363?tradingClass" advise="1">
        <values>
          <value t="str">
            <val>NMS</val>
          </value>
        </values>
      </ddeItem>
      <ddeItem name="id363?validExchanges" advise="1">
        <values>
          <value t="str">
            <val>SMART,CBOE,ISE,CHX,ARCA,ISLAND,VWAP,DRCTEDGE,NSX,BEX,BATS,EDGEA,CSFBALGO,JEFFALGO,BYX,IEX,TPLUS2,PSX</val>
          </value>
        </values>
      </ddeItem>
      <ddeItem name="id364?conid" advise="1">
        <values>
          <value>
            <val>107113386</val>
          </value>
        </values>
      </ddeItem>
      <ddeItem name="id364?marketName" advise="1">
        <values>
          <value t="str">
            <val>NMS</val>
          </value>
        </values>
      </ddeItem>
      <ddeItem name="id364?minTick" advise="1">
        <values>
          <value>
            <val>0.01</val>
          </value>
        </values>
      </ddeItem>
      <ddeItem name="id364?multiplier" advise="1">
        <values>
          <value t="nil">
            <val>1</val>
          </value>
        </values>
      </ddeItem>
      <ddeItem name="id36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64?req?FB_STK_SMART_USD_~/" advise="1">
        <values>
          <value t="nil">
            <val>1</val>
          </value>
        </values>
      </ddeItem>
      <ddeItem name="id364?tradingClass" advise="1">
        <values>
          <value t="str">
            <val>NMS</val>
          </value>
        </values>
      </ddeItem>
      <ddeItem name="id364?validExchanges" advise="1">
        <values>
          <value t="str">
            <val>SMART,CBOE,ISE,CHX,ARCA,ISLAND,DRCTEDGE,NSX,BEX,BATS,EDGEA,CSFBALGO,JEFFALGO,BYX,IEX,TPLUS2,PSX</val>
          </value>
        </values>
      </ddeItem>
      <ddeItem name="id365?conid" advise="1">
        <values>
          <value>
            <val>110176011</val>
          </value>
        </values>
      </ddeItem>
      <ddeItem name="id365?marketName" advise="1">
        <values>
          <value t="str">
            <val>DUK</val>
          </value>
        </values>
      </ddeItem>
      <ddeItem name="id365?minTick" advise="1">
        <values>
          <value>
            <val>0.01</val>
          </value>
        </values>
      </ddeItem>
      <ddeItem name="id365?multiplier" advise="1">
        <values>
          <value t="nil">
            <val>1</val>
          </value>
        </values>
      </ddeItem>
      <ddeItem name="id36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65?req?DUK_STK_SMART_USD_~/" advise="1">
        <values>
          <value t="nil">
            <val>1</val>
          </value>
        </values>
      </ddeItem>
      <ddeItem name="id365?tradingClass" advise="1">
        <values>
          <value t="str">
            <val>DUK</val>
          </value>
        </values>
      </ddeItem>
      <ddeItem name="id365?validExchanges" advise="1">
        <values>
          <value t="str">
            <val>SMART,NYSE,CBOE,ISE,CHX,ARCA,ISLAND,VWAP,DRCTEDGE,NSX,BEX,BATS,EDGEA,CSFBALGO,JEFFALGO,BYX,IEX,TPLUS2,PSX</val>
          </value>
        </values>
      </ddeItem>
      <ddeItem name="id366?conid" advise="1">
        <values>
          <value>
            <val>113599091</val>
          </value>
        </values>
      </ddeItem>
      <ddeItem name="id366?marketName" advise="1">
        <values>
          <value t="str">
            <val>NMS</val>
          </value>
        </values>
      </ddeItem>
      <ddeItem name="id366?minTick" advise="1">
        <values>
          <value>
            <val>0.01</val>
          </value>
        </values>
      </ddeItem>
      <ddeItem name="id366?multiplier" advise="1">
        <values>
          <value t="nil">
            <val>1</val>
          </value>
        </values>
      </ddeItem>
      <ddeItem name="id36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66?req?MDLZ_STK_SMART_USD_~/" advise="1">
        <values>
          <value t="nil">
            <val>1</val>
          </value>
        </values>
      </ddeItem>
      <ddeItem name="id366?tradingClass" advise="1">
        <values>
          <value t="str">
            <val>NMS</val>
          </value>
        </values>
      </ddeItem>
      <ddeItem name="id366?validExchanges" advise="1">
        <values>
          <value t="str">
            <val>SMART,CBOE,ISE,CHX,ARCA,ISLAND,VWAP,DRCTEDGE,NSX,BEX,BATS,EDGEA,CSFBALGO,JEFFALGO,BYX,IEX,TPLUS2,PSX</val>
          </value>
        </values>
      </ddeItem>
      <ddeItem name="id367?conid" advise="1">
        <values>
          <value>
            <val>118017869</val>
          </value>
        </values>
      </ddeItem>
      <ddeItem name="id367?marketName" advise="1">
        <values>
          <value t="str">
            <val>ETN</val>
          </value>
        </values>
      </ddeItem>
      <ddeItem name="id367?minTick" advise="1">
        <values>
          <value>
            <val>0.01</val>
          </value>
        </values>
      </ddeItem>
      <ddeItem name="id367?multiplier" advise="1">
        <values>
          <value t="nil">
            <val>1</val>
          </value>
        </values>
      </ddeItem>
      <ddeItem name="id36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67?req?ETN_STK_SMART_USD_~/" advise="1">
        <values>
          <value t="nil">
            <val>1</val>
          </value>
        </values>
      </ddeItem>
      <ddeItem name="id367?tradingClass" advise="1">
        <values>
          <value t="str">
            <val>ETN</val>
          </value>
        </values>
      </ddeItem>
      <ddeItem name="id367?validExchanges" advise="1">
        <values>
          <value t="str">
            <val>SMART,NYSE,CBOE,ISE,CHX,ARCA,ISLAND,VWAP,DRCTEDGE,NSX,BEX,BATS,EDGEA,CSFBALGO,JEFFALGO,BYX,IEX,TPLUS2,PSX</val>
          </value>
        </values>
      </ddeItem>
      <ddeItem name="id368?conid" advise="1">
        <values>
          <value>
            <val>118089500</val>
          </value>
        </values>
      </ddeItem>
      <ddeItem name="id368?marketName" advise="1">
        <values>
          <value t="str">
            <val>ABBV</val>
          </value>
        </values>
      </ddeItem>
      <ddeItem name="id368?minTick" advise="1">
        <values>
          <value>
            <val>0.01</val>
          </value>
        </values>
      </ddeItem>
      <ddeItem name="id368?multiplier" advise="1">
        <values>
          <value t="nil">
            <val>1</val>
          </value>
        </values>
      </ddeItem>
      <ddeItem name="id36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68?req?ABBV_STK_SMART_USD_~/" advise="1">
        <values>
          <value t="nil">
            <val>1</val>
          </value>
        </values>
      </ddeItem>
      <ddeItem name="id368?tradingClass" advise="1">
        <values>
          <value t="str">
            <val>ABBV</val>
          </value>
        </values>
      </ddeItem>
      <ddeItem name="id368?validExchanges" advise="1">
        <values>
          <value t="str">
            <val>SMART,NYSE,CBOE,ISE,CHX,ARCA,ISLAND,VWAP,DRCTEDGE,NSX,BEX,BATS,EDGEA,CSFBALGO,JEFFALGO,BYX,IEX,TPLUS2,PSX</val>
          </value>
        </values>
      </ddeItem>
      <ddeItem name="id369?conid" advise="1">
        <values>
          <value>
            <val>121665622</val>
          </value>
        </values>
      </ddeItem>
      <ddeItem name="id369?marketName" advise="1">
        <values>
          <value t="str">
            <val>ZTS</val>
          </value>
        </values>
      </ddeItem>
      <ddeItem name="id369?minTick" advise="1">
        <values>
          <value>
            <val>0.01</val>
          </value>
        </values>
      </ddeItem>
      <ddeItem name="id369?multiplier" advise="1">
        <values>
          <value t="nil">
            <val>1</val>
          </value>
        </values>
      </ddeItem>
      <ddeItem name="id36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69?req?ZTS_STK_SMART_USD_~/" advise="1">
        <values>
          <value t="nil">
            <val>1</val>
          </value>
        </values>
      </ddeItem>
      <ddeItem name="id369?tradingClass" advise="1">
        <values>
          <value t="str">
            <val>ZTS</val>
          </value>
        </values>
      </ddeItem>
      <ddeItem name="id369?validExchanges" advise="1">
        <values>
          <value t="str">
            <val>SMART,NYSE,CBOE,ISE,CHX,ARCA,ISLAND,DRCTEDGE,NSX,BEX,BATS,EDGEA,CSFBALGO,JEFFALGO,BYX,IEX,TPLUS2,PSX</val>
          </value>
        </values>
      </ddeItem>
      <ddeItem name="id37?conid" advise="1">
        <values>
          <value>
            <val>5402</val>
          </value>
        </values>
      </ddeItem>
      <ddeItem name="id37?marketName" advise="1">
        <values>
          <value t="str">
            <val>CAG</val>
          </value>
        </values>
      </ddeItem>
      <ddeItem name="id37?minTick" advise="1">
        <values>
          <value>
            <val>0.01</val>
          </value>
        </values>
      </ddeItem>
      <ddeItem name="id37?multiplier" advise="1">
        <values>
          <value t="nil">
            <val>1</val>
          </value>
        </values>
      </ddeItem>
      <ddeItem name="id3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7?req?CAG_STK_SMART_USD_~/" advise="1">
        <values>
          <value t="nil">
            <val>1</val>
          </value>
        </values>
      </ddeItem>
      <ddeItem name="id37?tradingClass" advise="1">
        <values>
          <value t="str">
            <val>CAG</val>
          </value>
        </values>
      </ddeItem>
      <ddeItem name="id37?validExchanges" advise="1">
        <values>
          <value t="str">
            <val>SMART,NYSE,CBOE,ISE,CHX,ARCA,ISLAND,VWAP,DRCTEDGE,NSX,BEX,BATS,EDGEA,CSFBALGO,JEFFALGO,BYX,IEX,TPLUS2,PSX</val>
          </value>
        </values>
      </ddeItem>
      <ddeItem name="id370?conid" advise="1">
        <values>
          <value>
            <val>125005718</val>
          </value>
        </values>
      </ddeItem>
      <ddeItem name="id370?marketName" advise="1">
        <values>
          <value t="str">
            <val>LB</val>
          </value>
        </values>
      </ddeItem>
      <ddeItem name="id370?minTick" advise="1">
        <values>
          <value>
            <val>0.01</val>
          </value>
        </values>
      </ddeItem>
      <ddeItem name="id370?multiplier" advise="1">
        <values>
          <value t="nil">
            <val>1</val>
          </value>
        </values>
      </ddeItem>
      <ddeItem name="id37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70?req?LB_STK_SMART_USD_~/" advise="1">
        <values>
          <value t="nil">
            <val>1</val>
          </value>
        </values>
      </ddeItem>
      <ddeItem name="id370?tradingClass" advise="1">
        <values>
          <value t="str">
            <val>LB</val>
          </value>
        </values>
      </ddeItem>
      <ddeItem name="id370?validExchanges" advise="1">
        <values>
          <value t="str">
            <val>SMART,NYSE,CBOE,ISE,CHX,ARCA,ISLAND,VWAP,DRCTEDGE,NSX,BEX,BATS,EDGEA,CSFBALGO,JEFFALGO,BYX,IEX,TPLUS2,PSX</val>
          </value>
        </values>
      </ddeItem>
      <ddeItem name="id371?conid" advise="1">
        <values>
          <value>
            <val>129348130</val>
          </value>
        </values>
      </ddeItem>
      <ddeItem name="id371?marketName" advise="1">
        <values>
          <value t="str">
            <val>NMS</val>
          </value>
        </values>
      </ddeItem>
      <ddeItem name="id371?minTick" advise="1">
        <values>
          <value>
            <val>0.01</val>
          </value>
        </values>
      </ddeItem>
      <ddeItem name="id371?multiplier" advise="1">
        <values>
          <value t="nil">
            <val>1</val>
          </value>
        </values>
      </ddeItem>
      <ddeItem name="id37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71?req?NWS_STK_SMART_USD_~/" advise="1">
        <values>
          <value t="nil">
            <val>1</val>
          </value>
        </values>
      </ddeItem>
      <ddeItem name="id371?tradingClass" advise="1">
        <values>
          <value t="str">
            <val>NMS</val>
          </value>
        </values>
      </ddeItem>
      <ddeItem name="id371?validExchanges" advise="1">
        <values>
          <value t="str">
            <val>SMART,CBOE,ISE,CHX,ARCA,ISLAND,DRCTEDGE,NSX,BEX,BATS,EDGEA,CSFBALGO,JEFFALGO,BYX,IEX,TPLUS2,PSX</val>
          </value>
        </values>
      </ddeItem>
      <ddeItem name="id372?conid" advise="1">
        <values>
          <value>
            <val>129166805</val>
          </value>
        </values>
      </ddeItem>
      <ddeItem name="id372?marketName" advise="1">
        <values>
          <value t="str">
            <val>MNK</val>
          </value>
        </values>
      </ddeItem>
      <ddeItem name="id372?minTick" advise="1">
        <values>
          <value>
            <val>0.01</val>
          </value>
        </values>
      </ddeItem>
      <ddeItem name="id372?multiplier" advise="1">
        <values>
          <value t="nil">
            <val>1</val>
          </value>
        </values>
      </ddeItem>
      <ddeItem name="id37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72?req?MNK_STK_SMART_USD_~/" advise="1">
        <values>
          <value t="nil">
            <val>1</val>
          </value>
        </values>
      </ddeItem>
      <ddeItem name="id372?tradingClass" advise="1">
        <values>
          <value t="str">
            <val>MNK</val>
          </value>
        </values>
      </ddeItem>
      <ddeItem name="id372?validExchanges" advise="1">
        <values>
          <value t="str">
            <val>SMART,NYSE,CBOE,ISE,CHX,ARCA,ISLAND,DRCTEDGE,NSX,BEX,BATS,EDGEA,CSFBALGO,JEFFALGO,BYX,IEX,TPLUS2,PSX</val>
          </value>
        </values>
      </ddeItem>
      <ddeItem name="id373?conid" advise="1">
        <values>
          <value>
            <val>139673266</val>
          </value>
        </values>
      </ddeItem>
      <ddeItem name="id373?marketName" advise="1">
        <values>
          <value t="str">
            <val>NMS</val>
          </value>
        </values>
      </ddeItem>
      <ddeItem name="id373?minTick" advise="1">
        <values>
          <value>
            <val>0.01</val>
          </value>
        </values>
      </ddeItem>
      <ddeItem name="id373?multiplier" advise="1">
        <values>
          <value t="nil">
            <val>1</val>
          </value>
        </values>
      </ddeItem>
      <ddeItem name="id37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73?req?AAL_STK_SMART_USD_~/" advise="1">
        <values>
          <value t="nil">
            <val>1</val>
          </value>
        </values>
      </ddeItem>
      <ddeItem name="id373?tradingClass" advise="1">
        <values>
          <value t="str">
            <val>NMS</val>
          </value>
        </values>
      </ddeItem>
      <ddeItem name="id373?validExchanges" advise="1">
        <values>
          <value t="str">
            <val>SMART,CBOE,ISE,CHX,ARCA,ISLAND,DRCTEDGE,NSX,BEX,BATS,EDGEA,CSFBALGO,JEFFALGO,BYX,IEX,TPLUS2,PSX</val>
          </value>
        </values>
      </ddeItem>
      <ddeItem name="id374?conid" advise="1">
        <values>
          <value>
            <val>217947855</val>
          </value>
        </values>
      </ddeItem>
      <ddeItem name="id374?marketName" advise="1">
        <values>
          <value t="str">
            <val>NMS</val>
          </value>
        </values>
      </ddeItem>
      <ddeItem name="id374?minTick" advise="1">
        <values>
          <value>
            <val>0.01</val>
          </value>
        </values>
      </ddeItem>
      <ddeItem name="id374?multiplier" advise="1">
        <values>
          <value t="nil">
            <val>1</val>
          </value>
        </values>
      </ddeItem>
      <ddeItem name="id37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74?req?WLTW_STK_SMART_USD_~/" advise="1">
        <values>
          <value t="nil">
            <val>1</val>
          </value>
        </values>
      </ddeItem>
      <ddeItem name="id374?tradingClass" advise="1">
        <values>
          <value t="str">
            <val>NMS</val>
          </value>
        </values>
      </ddeItem>
      <ddeItem name="id374?validExchanges" advise="1">
        <values>
          <value t="str">
            <val>SMART,CBOE,ISE,CHX,ARCA,ISLAND,DRCTEDGE,NSX,BEX,BATS,EDGEA,CSFBALGO,JEFFALGO,BYX,IEX,TPLUS2,PSX</val>
          </value>
        </values>
      </ddeItem>
      <ddeItem name="id375?conid" advise="1">
        <values>
          <value>
            <val>138438437</val>
          </value>
        </values>
      </ddeItem>
      <ddeItem name="id375?marketName" advise="1">
        <values>
          <value t="str">
            <val>ALLE</val>
          </value>
        </values>
      </ddeItem>
      <ddeItem name="id375?minTick" advise="1">
        <values>
          <value>
            <val>0.01</val>
          </value>
        </values>
      </ddeItem>
      <ddeItem name="id375?multiplier" advise="1">
        <values>
          <value t="nil">
            <val>1</val>
          </value>
        </values>
      </ddeItem>
      <ddeItem name="id37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75?req?ALLE_STK_SMART_USD_~/" advise="1">
        <values>
          <value t="nil">
            <val>1</val>
          </value>
        </values>
      </ddeItem>
      <ddeItem name="id375?tradingClass" advise="1">
        <values>
          <value t="str">
            <val>ALLE</val>
          </value>
        </values>
      </ddeItem>
      <ddeItem name="id375?validExchanges" advise="1">
        <values>
          <value t="str">
            <val>SMART,NYSE,CBOE,ISE,CHX,ARCA,ISLAND,DRCTEDGE,NSX,BEX,BATS,EDGEA,CSFBALGO,JEFFALGO,BYX,IEX,TPLUS2,PSX</val>
          </value>
        </values>
      </ddeItem>
      <ddeItem name="id376?conid" advise="1">
        <values>
          <value>
            <val>136370275</val>
          </value>
        </values>
      </ddeItem>
      <ddeItem name="id376?marketName" advise="1">
        <values>
          <value t="str">
            <val>ICE</val>
          </value>
        </values>
      </ddeItem>
      <ddeItem name="id376?minTick" advise="1">
        <values>
          <value>
            <val>0.01</val>
          </value>
        </values>
      </ddeItem>
      <ddeItem name="id376?multiplier" advise="1">
        <values>
          <value t="nil">
            <val>1</val>
          </value>
        </values>
      </ddeItem>
      <ddeItem name="id37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76?req?ICE_STK_SMART_USD_~/" advise="1">
        <values>
          <value t="nil">
            <val>1</val>
          </value>
        </values>
      </ddeItem>
      <ddeItem name="id376?tradingClass" advise="1">
        <values>
          <value t="str">
            <val>ICE</val>
          </value>
        </values>
      </ddeItem>
      <ddeItem name="id376?validExchanges" advise="1">
        <values>
          <value t="str">
            <val>SMART,NYSE,CBOE,ISE,CHX,ARCA,ISLAND,DRCTEDGE,NSX,BEX,BATS,EDGEA,CSFBALGO,JEFFALGO,BYX,IEX,TPLUS2,PSX</val>
          </value>
        </values>
      </ddeItem>
      <ddeItem name="id377?conid" advise="1">
        <values>
          <value>
            <val>140067524</val>
          </value>
        </values>
      </ddeItem>
      <ddeItem name="id377?marketName" advise="1">
        <values>
          <value t="str">
            <val>PRGO</val>
          </value>
        </values>
      </ddeItem>
      <ddeItem name="id377?minTick" advise="1">
        <values>
          <value>
            <val>0.01</val>
          </value>
        </values>
      </ddeItem>
      <ddeItem name="id377?multiplier" advise="1">
        <values>
          <value t="nil">
            <val>1</val>
          </value>
        </values>
      </ddeItem>
      <ddeItem name="id37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77?req?PRGO_STK_SMART_USD_~/" advise="1">
        <values>
          <value t="nil">
            <val>1</val>
          </value>
        </values>
      </ddeItem>
      <ddeItem name="id377?tradingClass" advise="1">
        <values>
          <value t="str">
            <val>PRGO</val>
          </value>
        </values>
      </ddeItem>
      <ddeItem name="id377?validExchanges" advise="1">
        <values>
          <value t="str">
            <val>SMART,NYSE,CBOE,ISE,CHX,ARCA,ISLAND,VWAP,DRCTEDGE,NSX,BEX,BATS,EDGEA,CSFBALGO,JEFFALGO,BYX,IEX,TPLUS2,PSX</val>
          </value>
        </values>
      </ddeItem>
      <ddeItem name="id378?conid" advise="1">
        <values>
          <value>
            <val>145588883</val>
          </value>
        </values>
      </ddeItem>
      <ddeItem name="id378?marketName" advise="1">
        <values>
          <value t="str">
            <val>NMS</val>
          </value>
        </values>
      </ddeItem>
      <ddeItem name="id378?minTick" advise="1">
        <values>
          <value>
            <val>0.01</val>
          </value>
        </values>
      </ddeItem>
      <ddeItem name="id378?multiplier" advise="1">
        <values>
          <value t="nil">
            <val>1</val>
          </value>
        </values>
      </ddeItem>
      <ddeItem name="id37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78?req?ENDP_STK_SMART_USD_~/" advise="1">
        <values>
          <value t="nil">
            <val>1</val>
          </value>
        </values>
      </ddeItem>
      <ddeItem name="id378?tradingClass" advise="1">
        <values>
          <value t="str">
            <val>NMS</val>
          </value>
        </values>
      </ddeItem>
      <ddeItem name="id378?validExchanges" advise="1">
        <values>
          <value t="str">
            <val>SMART,CBOE,ISE,CHX,ARCA,ISLAND,DRCTEDGE,NSX,BEX,BATS,EDGEA,CSFBALGO,JEFFALGO,BYX,IEX,TPLUS2,PSX</val>
          </value>
        </values>
      </ddeItem>
      <ddeItem name="id379?conid" advise="1">
        <values>
          <value>
            <val>148782986</val>
          </value>
        </values>
      </ddeItem>
      <ddeItem name="id379?marketName" advise="1">
        <values>
          <value t="str">
            <val>NMS</val>
          </value>
        </values>
      </ddeItem>
      <ddeItem name="id379?minTick" advise="1">
        <values>
          <value>
            <val>0.01</val>
          </value>
        </values>
      </ddeItem>
      <ddeItem name="id379?multiplier" advise="1">
        <values>
          <value t="nil">
            <val>1</val>
          </value>
        </values>
      </ddeItem>
      <ddeItem name="id37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79?req?NAVI_STK_SMART_USD_~/" advise="1">
        <values>
          <value t="nil">
            <val>1</val>
          </value>
        </values>
      </ddeItem>
      <ddeItem name="id379?tradingClass" advise="1">
        <values>
          <value t="str">
            <val>NMS</val>
          </value>
        </values>
      </ddeItem>
      <ddeItem name="id379?validExchanges" advise="1">
        <values>
          <value t="str">
            <val>SMART,CBOE,ISE,CHX,ARCA,ISLAND,DRCTEDGE,NSX,BEX,BATS,EDGEA,CSFBALGO,JEFFALGO,BYX,IEX,TPLUS2,PSX</val>
          </value>
        </values>
      </ddeItem>
      <ddeItem name="id38?conid" advise="1">
        <values>
          <value>
            <val>6691</val>
          </value>
        </values>
      </ddeItem>
      <ddeItem name="id38?marketName" advise="1">
        <values>
          <value t="str">
            <val>ED</val>
          </value>
        </values>
      </ddeItem>
      <ddeItem name="id38?minTick" advise="1">
        <values>
          <value>
            <val>0.01</val>
          </value>
        </values>
      </ddeItem>
      <ddeItem name="id38?multiplier" advise="1">
        <values>
          <value t="nil">
            <val>1</val>
          </value>
        </values>
      </ddeItem>
      <ddeItem name="id3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8?req?ED_STK_SMART_USD_~/" advise="1">
        <values>
          <value t="nil">
            <val>1</val>
          </value>
        </values>
      </ddeItem>
      <ddeItem name="id38?tradingClass" advise="1">
        <values>
          <value t="str">
            <val>ED</val>
          </value>
        </values>
      </ddeItem>
      <ddeItem name="id38?validExchanges" advise="1">
        <values>
          <value t="str">
            <val>SMART,NYSE,CBOE,ISE,CHX,ARCA,ISLAND,VWAP,DRCTEDGE,NSX,BEX,BATS,EDGEA,CSFBALGO,JEFFALGO,BYX,IEX,TPLUS2,PSX</val>
          </value>
        </values>
      </ddeItem>
      <ddeItem name="id380?conid" advise="1">
        <values>
          <value>
            <val>153068487</val>
          </value>
        </values>
      </ddeItem>
      <ddeItem name="id380?marketName" advise="1">
        <values>
          <value t="str">
            <val>PNR</val>
          </value>
        </values>
      </ddeItem>
      <ddeItem name="id380?minTick" advise="1">
        <values>
          <value>
            <val>0.01</val>
          </value>
        </values>
      </ddeItem>
      <ddeItem name="id380?multiplier" advise="1">
        <values>
          <value t="nil">
            <val>1</val>
          </value>
        </values>
      </ddeItem>
      <ddeItem name="id38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80?req?PNR_STK_SMART_USD_~/" advise="1">
        <values>
          <value t="nil">
            <val>1</val>
          </value>
        </values>
      </ddeItem>
      <ddeItem name="id380?tradingClass" advise="1">
        <values>
          <value t="str">
            <val>PNR</val>
          </value>
        </values>
      </ddeItem>
      <ddeItem name="id380?validExchanges" advise="1">
        <values>
          <value t="str">
            <val>SMART,NYSE,CBOE,ISE,CHX,ARCA,ISLAND,DRCTEDGE,NSX,BEX,BATS,EDGEA,CSFBALGO,JEFFALGO,BYX,IEX,TPLUS2,PSX</val>
          </value>
        </values>
      </ddeItem>
      <ddeItem name="id381?conid" advise="1">
        <values>
          <value>
            <val>162231797</val>
          </value>
        </values>
      </ddeItem>
      <ddeItem name="id381?marketName" advise="1">
        <values>
          <value t="str">
            <val>SYF</val>
          </value>
        </values>
      </ddeItem>
      <ddeItem name="id381?minTick" advise="1">
        <values>
          <value>
            <val>0.01</val>
          </value>
        </values>
      </ddeItem>
      <ddeItem name="id381?multiplier" advise="1">
        <values>
          <value t="nil">
            <val>1</val>
          </value>
        </values>
      </ddeItem>
      <ddeItem name="id38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81?req?SYF_STK_SMART_USD_~/" advise="1">
        <values>
          <value t="nil">
            <val>1</val>
          </value>
        </values>
      </ddeItem>
      <ddeItem name="id381?tradingClass" advise="1">
        <values>
          <value t="str">
            <val>SYF</val>
          </value>
        </values>
      </ddeItem>
      <ddeItem name="id381?validExchanges" advise="1">
        <values>
          <value t="str">
            <val>SMART,NYSE,CBOE,ISE,CHX,ARCA,ISLAND,DRCTEDGE,NSX,BEX,BATS,EDGEA,CSFBALGO,JEFFALGO,BYX,IEX,TPLUS2,PSX</val>
          </value>
        </values>
      </ddeItem>
      <ddeItem name="id382?conid" advise="1">
        <values>
          <value>
            <val>173432513</val>
          </value>
        </values>
      </ddeItem>
      <ddeItem name="id382?marketName" advise="1">
        <values>
          <value t="str">
            <val>TYC</val>
          </value>
        </values>
      </ddeItem>
      <ddeItem name="id382?minTick" advise="1">
        <values>
          <value>
            <val>0.01</val>
          </value>
        </values>
      </ddeItem>
      <ddeItem name="id382?multiplier" advise="1">
        <values>
          <value t="nil">
            <val>1</val>
          </value>
        </values>
      </ddeItem>
      <ddeItem name="id38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82?req?TYC_STK_SMART_USD_~/" advise="1">
        <values>
          <value t="nil">
            <val>1</val>
          </value>
        </values>
      </ddeItem>
      <ddeItem name="id382?tradingClass" advise="1">
        <values>
          <value t="str">
            <val>TYC</val>
          </value>
        </values>
      </ddeItem>
      <ddeItem name="id382?validExchanges" advise="1">
        <values>
          <value t="str">
            <val>SMART,NYSE,CBOE,ISE,CHX,ARCA,ISLAND,DRCTEDGE,NSX,BEX,BATS,EDGEA,CSFBALGO,JEFFALGO,BYX,IEX,TPLUS2,PSX</val>
          </value>
        </values>
      </ddeItem>
      <ddeItem name="id383?conid" advise="1">
        <values>
          <value>
            <val>173962302</val>
          </value>
        </values>
      </ddeItem>
      <ddeItem name="id383?marketName" advise="1">
        <values>
          <value t="str">
            <val>ANTM</val>
          </value>
        </values>
      </ddeItem>
      <ddeItem name="id383?minTick" advise="1">
        <values>
          <value>
            <val>0.01</val>
          </value>
        </values>
      </ddeItem>
      <ddeItem name="id383?multiplier" advise="1">
        <values>
          <value t="nil">
            <val>1</val>
          </value>
        </values>
      </ddeItem>
      <ddeItem name="id38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83?req?ANTM_STK_SMART_USD_~/" advise="1">
        <values>
          <value t="nil">
            <val>1</val>
          </value>
        </values>
      </ddeItem>
      <ddeItem name="id383?tradingClass" advise="1">
        <values>
          <value t="str">
            <val>ANTM</val>
          </value>
        </values>
      </ddeItem>
      <ddeItem name="id383?validExchanges" advise="1">
        <values>
          <value t="str">
            <val>SMART,NYSE,CBOE,ISE,CHX,ARCA,ISLAND,VWAP,DRCTEDGE,NSX,BEX,BATS,EDGEA,CSFBALGO,JEFFALGO,BYX,IEX,TPLUS2,PSX</val>
          </value>
        </values>
      </ddeItem>
      <ddeItem name="id384?conid" advise="1">
        <values>
          <value>
            <val>176571182</val>
          </value>
        </values>
      </ddeItem>
      <ddeItem name="id384?marketName" advise="1">
        <values>
          <value t="str">
            <val>CCI</val>
          </value>
        </values>
      </ddeItem>
      <ddeItem name="id384?minTick" advise="1">
        <values>
          <value>
            <val>0.01</val>
          </value>
        </values>
      </ddeItem>
      <ddeItem name="id384?multiplier" advise="1">
        <values>
          <value t="nil">
            <val>1</val>
          </value>
        </values>
      </ddeItem>
      <ddeItem name="id38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84?req?CCI_STK_SMART_USD_~/" advise="1">
        <values>
          <value t="nil">
            <val>1</val>
          </value>
        </values>
      </ddeItem>
      <ddeItem name="id384?tradingClass" advise="1">
        <values>
          <value t="str">
            <val>CCI</val>
          </value>
        </values>
      </ddeItem>
      <ddeItem name="id384?validExchanges" advise="1">
        <values>
          <value t="str">
            <val>SMART,NYSE,CBOE,ISE,CHX,ARCA,ISLAND,DRCTEDGE,NSX,BEX,BATS,EDGEA,CSFBALGO,JEFFALGO,BYX,IEX,TPLUS2,PSX</val>
          </value>
        </values>
      </ddeItem>
      <ddeItem name="id385?conid" advise="1">
        <values>
          <value>
            <val>181387075</val>
          </value>
        </values>
      </ddeItem>
      <ddeItem name="id385?marketName" advise="1">
        <values>
          <value t="str">
            <val>MDT</val>
          </value>
        </values>
      </ddeItem>
      <ddeItem name="id385?minTick" advise="1">
        <values>
          <value>
            <val>0.01</val>
          </value>
        </values>
      </ddeItem>
      <ddeItem name="id385?multiplier" advise="1">
        <values>
          <value t="nil">
            <val>1</val>
          </value>
        </values>
      </ddeItem>
      <ddeItem name="id38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85?req?MDT_STK_SMART_USD_~/" advise="1">
        <values>
          <value t="nil">
            <val>1</val>
          </value>
        </values>
      </ddeItem>
      <ddeItem name="id385?tradingClass" advise="1">
        <values>
          <value t="str">
            <val>MDT</val>
          </value>
        </values>
      </ddeItem>
      <ddeItem name="id385?validExchanges" advise="1">
        <values>
          <value t="str">
            <val>SMART,NYSE,CBOE,ISE,CHX,ARCA,ISLAND,VWAP,DRCTEDGE,NSX,BEX,BATS,EDGEA,CSFBALGO,JEFFALGO,BYX,IEX,TPLUS2,PSX</val>
          </value>
        </values>
      </ddeItem>
      <ddeItem name="id386?conid" advise="1">
        <values>
          <value>
            <val>178634687</val>
          </value>
        </values>
      </ddeItem>
      <ddeItem name="id386?marketName" advise="1">
        <values>
          <value t="str">
            <val>NMS</val>
          </value>
        </values>
      </ddeItem>
      <ddeItem name="id386?minTick" advise="1">
        <values>
          <value>
            <val>0.01</val>
          </value>
        </values>
      </ddeItem>
      <ddeItem name="id386?multiplier" advise="1">
        <values>
          <value t="nil">
            <val>1</val>
          </value>
        </values>
      </ddeItem>
      <ddeItem name="id38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86?req?WBA_STK_SMART_USD_~/" advise="1">
        <values>
          <value t="nil">
            <val>1</val>
          </value>
        </values>
      </ddeItem>
      <ddeItem name="id386?tradingClass" advise="1">
        <values>
          <value t="str">
            <val>NMS</val>
          </value>
        </values>
      </ddeItem>
      <ddeItem name="id386?validExchanges" advise="1">
        <values>
          <value t="str">
            <val>SMART,CBOE,ISE,CHX,ARCA,ISLAND,VWAP,DRCTEDGE,NSX,BEX,BATS,EDGEA,CSFBALGO,JEFFALGO,BYX,IEX,TPLUS2,PSX</val>
          </value>
        </values>
      </ddeItem>
      <ddeItem name="id387?conid" advise="1">
        <values>
          <value>
            <val>185731883</val>
          </value>
        </values>
      </ddeItem>
      <ddeItem name="id387?marketName" advise="1">
        <values>
          <value t="str">
            <val>NMS</val>
          </value>
        </values>
      </ddeItem>
      <ddeItem name="id387?minTick" advise="1">
        <values>
          <value>
            <val>0.01</val>
          </value>
        </values>
      </ddeItem>
      <ddeItem name="id387?multiplier" advise="1">
        <values>
          <value t="nil">
            <val>1</val>
          </value>
        </values>
      </ddeItem>
      <ddeItem name="id38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87?req?MYL_STK_SMART_USD_~/" advise="1">
        <values>
          <value t="nil">
            <val>1</val>
          </value>
        </values>
      </ddeItem>
      <ddeItem name="id387?tradingClass" advise="1">
        <values>
          <value t="str">
            <val>NMS</val>
          </value>
        </values>
      </ddeItem>
      <ddeItem name="id387?validExchanges" advise="1">
        <values>
          <value t="str">
            <val>SMART,CBOE,ISE,CHX,ARCA,ISLAND,VWAP,DRCTEDGE,NSX,BEX,BATS,EDGEA,CSFBALGO,JEFFALGO,BYX,IEX,TPLUS2,PSX</val>
          </value>
        </values>
      </ddeItem>
      <ddeItem name="id388?conid" advise="1">
        <values>
          <value>
            <val>180350774</val>
          </value>
        </values>
      </ddeItem>
      <ddeItem name="id388?marketName" advise="1">
        <values>
          <value t="str">
            <val>IRM</val>
          </value>
        </values>
      </ddeItem>
      <ddeItem name="id388?minTick" advise="1">
        <values>
          <value>
            <val>0.01</val>
          </value>
        </values>
      </ddeItem>
      <ddeItem name="id388?multiplier" advise="1">
        <values>
          <value t="nil">
            <val>1</val>
          </value>
        </values>
      </ddeItem>
      <ddeItem name="id38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88?req?IRM_STK_SMART_USD_~/" advise="1">
        <values>
          <value t="nil">
            <val>1</val>
          </value>
        </values>
      </ddeItem>
      <ddeItem name="id388?tradingClass" advise="1">
        <values>
          <value t="str">
            <val>IRM</val>
          </value>
        </values>
      </ddeItem>
      <ddeItem name="id388?validExchanges" advise="1">
        <values>
          <value t="str">
            <val>SMART,NYSE,CBOE,ISE,CHX,ARCA,ISLAND,DRCTEDGE,NSX,BEX,BATS,EDGEA,CSFBALGO,JEFFALGO,BYX,IEX,TPLUS2,PSX</val>
          </value>
        </values>
      </ddeItem>
      <ddeItem name="id389?conid" advise="1">
        <values>
          <value>
            <val>181764593</val>
          </value>
        </values>
      </ddeItem>
      <ddeItem name="id389?marketName" advise="1">
        <values>
          <value t="str">
            <val>NMS</val>
          </value>
        </values>
      </ddeItem>
      <ddeItem name="id389?minTick" advise="1">
        <values>
          <value>
            <val>0.01</val>
          </value>
        </values>
      </ddeItem>
      <ddeItem name="id389?multiplier" advise="1">
        <values>
          <value t="nil">
            <val>1</val>
          </value>
        </values>
      </ddeItem>
      <ddeItem name="id38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89?req?EQIX_STK_SMART_USD_~/" advise="1">
        <values>
          <value t="nil">
            <val>1</val>
          </value>
        </values>
      </ddeItem>
      <ddeItem name="id389?tradingClass" advise="1">
        <values>
          <value t="str">
            <val>NMS</val>
          </value>
        </values>
      </ddeItem>
      <ddeItem name="id389?validExchanges" advise="1">
        <values>
          <value t="str">
            <val>SMART,CBOE,ISE,CHX,ARCA,ISLAND,DRCTEDGE,NSX,BEX,BATS,EDGEA,CSFBALGO,JEFFALGO,BYX,IEX,TPLUS2,PSX</val>
          </value>
        </values>
      </ddeItem>
      <ddeItem name="id39?conid" advise="1">
        <values>
          <value>
            <val>5840</val>
          </value>
        </values>
      </ddeItem>
      <ddeItem name="id39?marketName" advise="1">
        <values>
          <value t="str">
            <val>CMS</val>
          </value>
        </values>
      </ddeItem>
      <ddeItem name="id39?minTick" advise="1">
        <values>
          <value>
            <val>0.01</val>
          </value>
        </values>
      </ddeItem>
      <ddeItem name="id39?multiplier" advise="1">
        <values>
          <value t="nil">
            <val>1</val>
          </value>
        </values>
      </ddeItem>
      <ddeItem name="id3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9?req?CMS_STK_SMART_USD_~/" advise="1">
        <values>
          <value t="nil">
            <val>1</val>
          </value>
        </values>
      </ddeItem>
      <ddeItem name="id39?tradingClass" advise="1">
        <values>
          <value t="str">
            <val>CMS</val>
          </value>
        </values>
      </ddeItem>
      <ddeItem name="id39?validExchanges" advise="1">
        <values>
          <value t="str">
            <val>SMART,NYSE,CBOE,ISE,CHX,ARCA,ISLAND,VWAP,DRCTEDGE,NSX,BEX,BATS,EDGEA,CSFBALGO,JEFFALGO,BYX,IEX,TPLUS2,PSX</val>
          </value>
        </values>
      </ddeItem>
      <ddeItem name="id390?conid" advise="1">
        <values>
          <value>
            <val>204429726</val>
          </value>
        </values>
      </ddeItem>
      <ddeItem name="id390?marketName" advise="1">
        <values>
          <value t="str">
            <val>NLSN</val>
          </value>
        </values>
      </ddeItem>
      <ddeItem name="id390?minTick" advise="1">
        <values>
          <value>
            <val>0.01</val>
          </value>
        </values>
      </ddeItem>
      <ddeItem name="id390?multiplier" advise="1">
        <values>
          <value t="nil">
            <val>1</val>
          </value>
        </values>
      </ddeItem>
      <ddeItem name="id39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90?req?NLSN_STK_SMART_USD_~/" advise="1">
        <values>
          <value t="nil">
            <val>1</val>
          </value>
        </values>
      </ddeItem>
      <ddeItem name="id390?tradingClass" advise="1">
        <values>
          <value t="str">
            <val>NLSN</val>
          </value>
        </values>
      </ddeItem>
      <ddeItem name="id390?validExchanges" advise="1">
        <values>
          <value t="str">
            <val>SMART,NYSE,CBOE,ISE,CHX,ARCA,ISLAND,DRCTEDGE,NSX,BEX,BATS,EDGEA,CSFBALGO,JEFFALGO,BYX,IEX,TPLUS2,PSX</val>
          </value>
        </values>
      </ddeItem>
      <ddeItem name="id391?conid" advise="1">
        <values>
          <value>
            <val>212212843</val>
          </value>
        </values>
      </ddeItem>
      <ddeItem name="id391?marketName" advise="1">
        <values>
          <value t="str">
            <val>CSRA</val>
          </value>
        </values>
      </ddeItem>
      <ddeItem name="id391?minTick" advise="1">
        <values>
          <value>
            <val>0.01</val>
          </value>
        </values>
      </ddeItem>
      <ddeItem name="id391?multiplier" advise="1">
        <values>
          <value t="nil">
            <val>1</val>
          </value>
        </values>
      </ddeItem>
      <ddeItem name="id39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91?req?CSRA_STK_SMART_USD_~/" advise="1">
        <values>
          <value t="nil">
            <val>1</val>
          </value>
        </values>
      </ddeItem>
      <ddeItem name="id391?tradingClass" advise="1">
        <values>
          <value t="str">
            <val>CSRA</val>
          </value>
        </values>
      </ddeItem>
      <ddeItem name="id391?validExchanges" advise="1">
        <values>
          <value t="str">
            <val>SMART,NYSE,CBOE,ISE,CHX,ARCA,ISLAND,DRCTEDGE,NSX,BEX,BATS,EDGEA,CSFBALGO,JEFFALGO,BYX,IEX,TPLUS2,PSX</val>
          </value>
        </values>
      </ddeItem>
      <ddeItem name="id392?conid" advise="1">
        <values>
          <value>
            <val>198032496</val>
          </value>
        </values>
      </ddeItem>
      <ddeItem name="id392?marketName" advise="1">
        <values>
          <value t="str">
            <val>WRK</val>
          </value>
        </values>
      </ddeItem>
      <ddeItem name="id392?minTick" advise="1">
        <values>
          <value>
            <val>0.01</val>
          </value>
        </values>
      </ddeItem>
      <ddeItem name="id392?multiplier" advise="1">
        <values>
          <value t="nil">
            <val>1</val>
          </value>
        </values>
      </ddeItem>
      <ddeItem name="id39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92?req?WRK_STK_SMART_USD_~/" advise="1">
        <values>
          <value t="nil">
            <val>1</val>
          </value>
        </values>
      </ddeItem>
      <ddeItem name="id392?tradingClass" advise="1">
        <values>
          <value t="str">
            <val>WRK</val>
          </value>
        </values>
      </ddeItem>
      <ddeItem name="id392?validExchanges" advise="1">
        <values>
          <value t="str">
            <val>SMART,NYSE,CBOE,ISE,CHX,ARCA,ISLAND,DRCTEDGE,NSX,BEX,BATS,EDGEA,CSFBALGO,JEFFALGO,BYX,IEX,TPLUS2,PSX</val>
          </value>
        </values>
      </ddeItem>
      <ddeItem name="id393?conid" advise="1">
        <values>
          <value>
            <val>199169586</val>
          </value>
        </values>
      </ddeItem>
      <ddeItem name="id393?marketName" advise="1">
        <values>
          <value t="str">
            <val>NMS</val>
          </value>
        </values>
      </ddeItem>
      <ddeItem name="id393?minTick" advise="1">
        <values>
          <value>
            <val>0.01</val>
          </value>
        </values>
      </ddeItem>
      <ddeItem name="id393?multiplier" advise="1">
        <values>
          <value t="nil">
            <val>1</val>
          </value>
        </values>
      </ddeItem>
      <ddeItem name="id39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93?req?KHC_STK_SMART_USD_~/" advise="1">
        <values>
          <value t="nil">
            <val>1</val>
          </value>
        </values>
      </ddeItem>
      <ddeItem name="id393?tradingClass" advise="1">
        <values>
          <value t="str">
            <val>NMS</val>
          </value>
        </values>
      </ddeItem>
      <ddeItem name="id393?validExchanges" advise="1">
        <values>
          <value t="str">
            <val>SMART,CBOE,ISE,CHX,ARCA,ISLAND,DRCTEDGE,NSX,BEX,BATS,EDGEA,CSFBALGO,JEFFALGO,BYX,IEX,TPLUS2,PSX</val>
          </value>
        </values>
      </ddeItem>
      <ddeItem name="id394?conid" advise="1">
        <values>
          <value>
            <val>207739931</val>
          </value>
        </values>
      </ddeItem>
      <ddeItem name="id394?marketName" advise="1">
        <values>
          <value t="str">
            <val>HCN</val>
          </value>
        </values>
      </ddeItem>
      <ddeItem name="id394?minTick" advise="1">
        <values>
          <value>
            <val>0.01</val>
          </value>
        </values>
      </ddeItem>
      <ddeItem name="id394?multiplier" advise="1">
        <values>
          <value t="nil">
            <val>1</val>
          </value>
        </values>
      </ddeItem>
      <ddeItem name="id39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94?req?HCN_STK_SMART_USD_~/" advise="1">
        <values>
          <value t="nil">
            <val>1</val>
          </value>
        </values>
      </ddeItem>
      <ddeItem name="id394?tradingClass" advise="1">
        <values>
          <value t="str">
            <val>HCN</val>
          </value>
        </values>
      </ddeItem>
      <ddeItem name="id394?validExchanges" advise="1">
        <values>
          <value t="str">
            <val>SMART,NYSE,CBOE,ISE,CHX,ARCA,ISLAND,DRCTEDGE,NSX,BEX,BATS,EDGEA,CSFBALGO,JEFFALGO,BYX,IEX,TPLUS2,PSX</val>
          </value>
        </values>
      </ddeItem>
      <ddeItem name="id395?conid" advise="1">
        <values>
          <value>
            <val>209411798</val>
          </value>
        </values>
      </ddeItem>
      <ddeItem name="id395?marketName" advise="1">
        <values>
          <value t="str">
            <val>HPE</val>
          </value>
        </values>
      </ddeItem>
      <ddeItem name="id395?minTick" advise="1">
        <values>
          <value>
            <val>0.01</val>
          </value>
        </values>
      </ddeItem>
      <ddeItem name="id395?multiplier" advise="1">
        <values>
          <value t="nil">
            <val>1</val>
          </value>
        </values>
      </ddeItem>
      <ddeItem name="id39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95?req?HPE_STK_SMART_USD_~/" advise="1">
        <values>
          <value t="nil">
            <val>1</val>
          </value>
        </values>
      </ddeItem>
      <ddeItem name="id395?tradingClass" advise="1">
        <values>
          <value t="str">
            <val>HPE</val>
          </value>
        </values>
      </ddeItem>
      <ddeItem name="id395?validExchanges" advise="1">
        <values>
          <value t="str">
            <val>SMART,NYSE,CBOE,ISE,CHX,ARCA,ISLAND,DRCTEDGE,NSX,BEX,BATS,EDGEA,CSFBALGO,JEFFALGO,BYX,IEX,TPLUS2,PSX</val>
          </value>
        </values>
      </ddeItem>
      <ddeItem name="id396?conid" advise="1">
        <values>
          <value>
            <val>199169591</val>
          </value>
        </values>
      </ddeItem>
      <ddeItem name="id396?marketName" advise="1">
        <values>
          <value t="str">
            <val>NMS</val>
          </value>
        </values>
      </ddeItem>
      <ddeItem name="id396?minTick" advise="1">
        <values>
          <value>
            <val>0.01</val>
          </value>
        </values>
      </ddeItem>
      <ddeItem name="id396?multiplier" advise="1">
        <values>
          <value t="nil">
            <val>1</val>
          </value>
        </values>
      </ddeItem>
      <ddeItem name="id39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96?req?PYPL_STK_SMART_USD_~/" advise="1">
        <values>
          <value t="nil">
            <val>1</val>
          </value>
        </values>
      </ddeItem>
      <ddeItem name="id396?tradingClass" advise="1">
        <values>
          <value t="str">
            <val>NMS</val>
          </value>
        </values>
      </ddeItem>
      <ddeItem name="id396?validExchanges" advise="1">
        <values>
          <value t="str">
            <val>SMART,CBOE,ISE,CHX,ARCA,ISLAND,DRCTEDGE,NSX,BEX,BATS,EDGEA,CSFBALGO,JEFFALGO,BYX,IEX,TPLUS2,PSX</val>
          </value>
        </values>
      </ddeItem>
      <ddeItem name="id397?conid" advise="1">
        <values>
          <value>
            <val>209411801</val>
          </value>
        </values>
      </ddeItem>
      <ddeItem name="id397?marketName" advise="1">
        <values>
          <value t="str">
            <val>HPQ</val>
          </value>
        </values>
      </ddeItem>
      <ddeItem name="id397?minTick" advise="1">
        <values>
          <value>
            <val>0.01</val>
          </value>
        </values>
      </ddeItem>
      <ddeItem name="id397?multiplier" advise="1">
        <values>
          <value t="nil">
            <val>1</val>
          </value>
        </values>
      </ddeItem>
      <ddeItem name="id39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97?req?HPQ_STK_SMART_USD_~/" advise="1">
        <values>
          <value t="nil">
            <val>1</val>
          </value>
        </values>
      </ddeItem>
      <ddeItem name="id397?tradingClass" advise="1">
        <values>
          <value t="str">
            <val>HPQ</val>
          </value>
        </values>
      </ddeItem>
      <ddeItem name="id397?validExchanges" advise="1">
        <values>
          <value t="str">
            <val>SMART,NYSE,CBOE,ISE,CHX,ARCA,ISLAND,VWAP,DRCTEDGE,NSX,BEX,BATS,EDGEA,CSFBALGO,JEFFALGO,BYX,IEX,TPLUS2,PSX</val>
          </value>
        </values>
      </ddeItem>
      <ddeItem name="id398?conid" advise="1">
        <values>
          <value>
            <val>198560237</val>
          </value>
        </values>
      </ddeItem>
      <ddeItem name="id398?marketName" advise="1">
        <values>
          <value t="str">
            <val>WEC</val>
          </value>
        </values>
      </ddeItem>
      <ddeItem name="id398?minTick" advise="1">
        <values>
          <value>
            <val>0.01</val>
          </value>
        </values>
      </ddeItem>
      <ddeItem name="id398?multiplier" advise="1">
        <values>
          <value t="nil">
            <val>1</val>
          </value>
        </values>
      </ddeItem>
      <ddeItem name="id39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398?req?WEC_STK_SMART_USD_~/" advise="1">
        <values>
          <value t="nil">
            <val>1</val>
          </value>
        </values>
      </ddeItem>
      <ddeItem name="id398?tradingClass" advise="1">
        <values>
          <value t="str">
            <val>WEC</val>
          </value>
        </values>
      </ddeItem>
      <ddeItem name="id398?validExchanges" advise="1">
        <values>
          <value t="str">
            <val>SMART,NYSE,CBOE,ISE,CHX,ARCA,ISLAND,DRCTEDGE,NSX,BEX,BATS,EDGEA,CSFBALGO,JEFFALGO,BYX,IEX,TPLUS2,PSX</val>
          </value>
        </values>
      </ddeItem>
      <ddeItem name="id4?conid" advise="1">
        <values>
          <value>
            <val>10794</val>
          </value>
        </values>
      </ddeItem>
      <ddeItem name="id4?marketName" advise="1">
        <values>
          <value t="str">
            <val>OKE</val>
          </value>
        </values>
      </ddeItem>
      <ddeItem name="id4?minTick" advise="1">
        <values>
          <value>
            <val>0.01</val>
          </value>
        </values>
      </ddeItem>
      <ddeItem name="id4?multiplier" advise="1">
        <values>
          <value t="nil">
            <val>1</val>
          </value>
        </values>
      </ddeItem>
      <ddeItem name="id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req?OKE_STK_SMART_USD_~/" advise="1">
        <values>
          <value t="nil">
            <val>1</val>
          </value>
        </values>
      </ddeItem>
      <ddeItem name="id4?tradingClass" advise="1">
        <values>
          <value t="str">
            <val>OKE</val>
          </value>
        </values>
      </ddeItem>
      <ddeItem name="id4?validExchanges" advise="1">
        <values>
          <value t="str">
            <val>SMART,NYSE,CBOE,ISE,CHX,ARCA,ISLAND,DRCTEDGE,NSX,BEX,BATS,EDGEA,CSFBALGO,JEFFALGO,BYX,IEX,TPLUS2,PSX</val>
          </value>
        </values>
      </ddeItem>
      <ddeItem name="id40?conid" advise="1">
        <values>
          <value>
            <val>7655</val>
          </value>
        </values>
      </ddeItem>
      <ddeItem name="id40?marketName" advise="1">
        <values>
          <value t="str">
            <val>GLW</val>
          </value>
        </values>
      </ddeItem>
      <ddeItem name="id40?minTick" advise="1">
        <values>
          <value>
            <val>0.01</val>
          </value>
        </values>
      </ddeItem>
      <ddeItem name="id40?multiplier" advise="1">
        <values>
          <value t="nil">
            <val>1</val>
          </value>
        </values>
      </ddeItem>
      <ddeItem name="id4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0?req?GLW_STK_SMART_USD_~/" advise="1">
        <values>
          <value t="nil">
            <val>1</val>
          </value>
        </values>
      </ddeItem>
      <ddeItem name="id40?tradingClass" advise="1">
        <values>
          <value t="str">
            <val>GLW</val>
          </value>
        </values>
      </ddeItem>
      <ddeItem name="id40?validExchanges" advise="1">
        <values>
          <value t="str">
            <val>SMART,NYSE,CBOE,ISE,CHX,ARCA,ISLAND,VWAP,DRCTEDGE,NSX,BEX,BATS,EDGEA,CSFBALGO,JEFFALGO,BYX,IEX,TPLUS2,PSX</val>
          </value>
        </values>
      </ddeItem>
      <ddeItem name="id400?conid" advise="1">
        <values>
          <value>
            <val>196986496</val>
          </value>
        </values>
      </ddeItem>
      <ddeItem name="id400?marketName" advise="1">
        <values>
          <value t="str">
            <val>NMS</val>
          </value>
        </values>
      </ddeItem>
      <ddeItem name="id400?minTick" advise="1">
        <values>
          <value>
            <val>0.01</val>
          </value>
        </values>
      </ddeItem>
      <ddeItem name="id400?multiplier" advise="1">
        <values>
          <value t="nil">
            <val>1</val>
          </value>
        </values>
      </ddeItem>
      <ddeItem name="id40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00?req?MNST_STK_SMART_USD_~/" advise="1">
        <values>
          <value t="nil">
            <val>1</val>
          </value>
        </values>
      </ddeItem>
      <ddeItem name="id400?tradingClass" advise="1">
        <values>
          <value t="str">
            <val>NMS</val>
          </value>
        </values>
      </ddeItem>
      <ddeItem name="id400?validExchanges" advise="1">
        <values>
          <value t="str">
            <val>SMART,CBOE,ISE,CHX,ARCA,ISLAND,DRCTEDGE,NSX,BEX,BATS,EDGEA,CSFBALGO,JEFFALGO,BYX,IEX,TPLUS2,PSX</val>
          </value>
        </values>
      </ddeItem>
      <ddeItem name="id401?conid" advise="1">
        <values>
          <value>
            <val>196887976</val>
          </value>
        </values>
      </ddeItem>
      <ddeItem name="id401?marketName" advise="1">
        <values>
          <value t="str">
            <val>TGNA</val>
          </value>
        </values>
      </ddeItem>
      <ddeItem name="id401?minTick" advise="1">
        <values>
          <value>
            <val>0.01</val>
          </value>
        </values>
      </ddeItem>
      <ddeItem name="id401?multiplier" advise="1">
        <values>
          <value t="nil">
            <val>1</val>
          </value>
        </values>
      </ddeItem>
      <ddeItem name="id40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01?req?TGNA_STK_SMART_USD_~/" advise="1">
        <values>
          <value t="nil">
            <val>1</val>
          </value>
        </values>
      </ddeItem>
      <ddeItem name="id401?tradingClass" advise="1">
        <values>
          <value t="str">
            <val>TGNA</val>
          </value>
        </values>
      </ddeItem>
      <ddeItem name="id401?validExchanges" advise="1">
        <values>
          <value t="str">
            <val>SMART,NYSE,CBOE,ISE,CHX,ARCA,ISLAND,VWAP,DRCTEDGE,NSX,BEX,BATS,EDGEA,CSFBALGO,JEFFALGO,BYX,IEX,TPLUS2,PSX</val>
          </value>
        </values>
      </ddeItem>
      <ddeItem name="id402?conid" advise="1">
        <values>
          <value>
            <val>30351205</val>
          </value>
        </values>
      </ddeItem>
      <ddeItem name="id402?marketName" advise="1">
        <values>
          <value t="str">
            <val>EXR</val>
          </value>
        </values>
      </ddeItem>
      <ddeItem name="id402?minTick" advise="1">
        <values>
          <value>
            <val>0.01</val>
          </value>
        </values>
      </ddeItem>
      <ddeItem name="id402?multiplier" advise="1">
        <values>
          <value t="nil">
            <val>1</val>
          </value>
        </values>
      </ddeItem>
      <ddeItem name="id40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02?req?EXR_STK_SMART_USD_~/" advise="1">
        <values>
          <value t="nil">
            <val>1</val>
          </value>
        </values>
      </ddeItem>
      <ddeItem name="id402?tradingClass" advise="1">
        <values>
          <value t="str">
            <val>EXR</val>
          </value>
        </values>
      </ddeItem>
      <ddeItem name="id402?validExchanges" advise="1">
        <values>
          <value t="str">
            <val>SMART,NYSE,CBOE,ISE,CHX,ARCA,ISLAND,DRCTEDGE,NSX,BEX,BATS,EDGEA,CSFBALGO,JEFFALGO,BYX,IEX,TPLUS2,PSX</val>
          </value>
        </values>
      </ddeItem>
      <ddeItem name="id403?conid" advise="1">
        <values>
          <value>
            <val>7361</val>
          </value>
        </values>
      </ddeItem>
      <ddeItem name="id403?marketName" advise="1">
        <values>
          <value t="str">
            <val>FRT</val>
          </value>
        </values>
      </ddeItem>
      <ddeItem name="id403?minTick" advise="1">
        <values>
          <value>
            <val>0.01</val>
          </value>
        </values>
      </ddeItem>
      <ddeItem name="id403?multiplier" advise="1">
        <values>
          <value t="nil">
            <val>1</val>
          </value>
        </values>
      </ddeItem>
      <ddeItem name="id40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03?req?FRT_STK_SMART_USD_~/" advise="1">
        <values>
          <value t="nil">
            <val>1</val>
          </value>
        </values>
      </ddeItem>
      <ddeItem name="id403?tradingClass" advise="1">
        <values>
          <value t="str">
            <val>FRT</val>
          </value>
        </values>
      </ddeItem>
      <ddeItem name="id403?validExchanges" advise="1">
        <values>
          <value t="str">
            <val>SMART,NYSE,CBOE,ISE,CHX,ARCA,ISLAND,DRCTEDGE,NSX,BEX,BATS,EDGEA,CSFBALGO,JEFFALGO,BYX,IEX,TPLUS2,PSX</val>
          </value>
        </values>
      </ddeItem>
      <ddeItem name="id404?conid" advise="1">
        <values>
          <value>
            <val>43274444</val>
          </value>
        </values>
      </ddeItem>
      <ddeItem name="id404?marketName" advise="1">
        <values>
          <value t="str">
            <val>UDR</val>
          </value>
        </values>
      </ddeItem>
      <ddeItem name="id404?minTick" advise="1">
        <values>
          <value>
            <val>0.01</val>
          </value>
        </values>
      </ddeItem>
      <ddeItem name="id404?multiplier" advise="1">
        <values>
          <value t="nil">
            <val>1</val>
          </value>
        </values>
      </ddeItem>
      <ddeItem name="id40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04?req?UDR_STK_SMART_USD_~/" advise="1">
        <values>
          <value t="nil">
            <val>1</val>
          </value>
        </values>
      </ddeItem>
      <ddeItem name="id404?tradingClass" advise="1">
        <values>
          <value t="str">
            <val>UDR</val>
          </value>
        </values>
      </ddeItem>
      <ddeItem name="id404?validExchanges" advise="1">
        <values>
          <value t="str">
            <val>SMART,NYSE,CBOE,ISE,CHX,ARCA,ISLAND,DRCTEDGE,NSX,BEX,BATS,EDGEA,CSFBALGO,JEFFALGO,BYX,IEX,TPLUS2,PSX</val>
          </value>
        </values>
      </ddeItem>
      <ddeItem name="id405?conid" advise="1">
        <values>
          <value>
            <val>45182651</val>
          </value>
        </values>
      </ddeItem>
      <ddeItem name="id405?marketName" advise="1">
        <values>
          <value t="str">
            <val>CXO</val>
          </value>
        </values>
      </ddeItem>
      <ddeItem name="id405?minTick" advise="1">
        <values>
          <value>
            <val>0.01</val>
          </value>
        </values>
      </ddeItem>
      <ddeItem name="id405?multiplier" advise="1">
        <values>
          <value t="nil">
            <val>1</val>
          </value>
        </values>
      </ddeItem>
      <ddeItem name="id40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05?req?CXO_STK_SMART_USD_~/" advise="1">
        <values>
          <value t="nil">
            <val>1</val>
          </value>
        </values>
      </ddeItem>
      <ddeItem name="id405?tradingClass" advise="1">
        <values>
          <value t="str">
            <val>CXO</val>
          </value>
        </values>
      </ddeItem>
      <ddeItem name="id405?validExchanges" advise="1">
        <values>
          <value t="str">
            <val>SMART,NYSE,CBOE,ISE,CHX,ARCA,ISLAND,DRCTEDGE,NSX,BEX,BATS,EDGEA,CSFBALGO,JEFFALGO,BYX,IEX,TPLUS2,PSX</val>
          </value>
        </values>
      </ddeItem>
      <ddeItem name="id406?conid" advise="1">
        <values>
          <value>
            <val>50530752</val>
          </value>
        </values>
      </ddeItem>
      <ddeItem name="id406?marketName" advise="1">
        <values>
          <value t="str">
            <val>AWK</val>
          </value>
        </values>
      </ddeItem>
      <ddeItem name="id406?minTick" advise="1">
        <values>
          <value>
            <val>0.01</val>
          </value>
        </values>
      </ddeItem>
      <ddeItem name="id406?multiplier" advise="1">
        <values>
          <value t="nil">
            <val>1</val>
          </value>
        </values>
      </ddeItem>
      <ddeItem name="id40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06?req?AWK_STK_SMART_USD_~/" advise="1">
        <values>
          <value t="nil">
            <val>1</val>
          </value>
        </values>
      </ddeItem>
      <ddeItem name="id406?tradingClass" advise="1">
        <values>
          <value t="str">
            <val>AWK</val>
          </value>
        </values>
      </ddeItem>
      <ddeItem name="id406?validExchanges" advise="1">
        <values>
          <value t="str">
            <val>SMART,NYSE,CBOE,ISE,CHX,ARCA,ISLAND,DRCTEDGE,NSX,BEX,BATS,EDGEA,CSFBALGO,JEFFALGO,BYX,IEX,TPLUS2,PSX</val>
          </value>
        </values>
      </ddeItem>
      <ddeItem name="id407?conid" advise="1">
        <values>
          <value>
            <val>167955370</val>
          </value>
        </values>
      </ddeItem>
      <ddeItem name="id407?marketName" advise="1">
        <values>
          <value t="str">
            <val>CFG</val>
          </value>
        </values>
      </ddeItem>
      <ddeItem name="id407?minTick" advise="1">
        <values>
          <value>
            <val>0.01</val>
          </value>
        </values>
      </ddeItem>
      <ddeItem name="id407?multiplier" advise="1">
        <values>
          <value t="nil">
            <val>1</val>
          </value>
        </values>
      </ddeItem>
      <ddeItem name="id40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07?req?CFG_STK_SMART_USD_~/" advise="1">
        <values>
          <value t="nil">
            <val>1</val>
          </value>
        </values>
      </ddeItem>
      <ddeItem name="id407?tradingClass" advise="1">
        <values>
          <value t="str">
            <val>CFG</val>
          </value>
        </values>
      </ddeItem>
      <ddeItem name="id407?validExchanges" advise="1">
        <values>
          <value t="str">
            <val>SMART,NYSE,CBOE,ISE,CHX,ARCA,ISLAND,DRCTEDGE,NSX,BEX,BATS,EDGEA,CSFBALGO,JEFFALGO,BYX,IEX,TPLUS2,PSX</val>
          </value>
        </values>
      </ddeItem>
      <ddeItem name="id408?conid" advise="1">
        <values>
          <value>
            <val>270188</val>
          </value>
        </values>
      </ddeItem>
      <ddeItem name="id408?marketName" advise="1">
        <values>
          <value t="str">
            <val>NMS</val>
          </value>
        </values>
      </ddeItem>
      <ddeItem name="id408?minTick" advise="1">
        <values>
          <value>
            <val>0.01</val>
          </value>
        </values>
      </ddeItem>
      <ddeItem name="id408?multiplier" advise="1">
        <values>
          <value t="nil">
            <val>1</val>
          </value>
        </values>
      </ddeItem>
      <ddeItem name="id40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08?req?HOLX_STK_SMART_USD_~/" advise="1">
        <values>
          <value t="nil">
            <val>1</val>
          </value>
        </values>
      </ddeItem>
      <ddeItem name="id408?tradingClass" advise="1">
        <values>
          <value t="str">
            <val>NMS</val>
          </value>
        </values>
      </ddeItem>
      <ddeItem name="id408?validExchanges" advise="1">
        <values>
          <value t="str">
            <val>SMART,CBOE,ISE,CHX,ARCA,ISLAND,DRCTEDGE,NSX,BEX,BATS,EDGEA,CSFBALGO,JEFFALGO,BYX,IEX,TPLUS2,PSX</val>
          </value>
        </values>
      </ddeItem>
      <ddeItem name="id409?conid" advise="1">
        <values>
          <value>
            <val>13878278</val>
          </value>
        </values>
      </ddeItem>
      <ddeItem name="id409?marketName" advise="1">
        <values>
          <value t="str">
            <val>CNC</val>
          </value>
        </values>
      </ddeItem>
      <ddeItem name="id409?minTick" advise="1">
        <values>
          <value>
            <val>0.01</val>
          </value>
        </values>
      </ddeItem>
      <ddeItem name="id409?multiplier" advise="1">
        <values>
          <value t="nil">
            <val>1</val>
          </value>
        </values>
      </ddeItem>
      <ddeItem name="id40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09?req?CNC_STK_SMART_USD_~/" advise="1">
        <values>
          <value t="nil">
            <val>1</val>
          </value>
        </values>
      </ddeItem>
      <ddeItem name="id409?tradingClass" advise="1">
        <values>
          <value t="str">
            <val>CNC</val>
          </value>
        </values>
      </ddeItem>
      <ddeItem name="id409?validExchanges" advise="1">
        <values>
          <value t="str">
            <val>SMART,NYSE,CBOE,ISE,CHX,ARCA,ISLAND,DRCTEDGE,NSX,BEX,BATS,EDGEA,CSFBALGO,JEFFALGO,BYX,IEX,TPLUS2,PSX</val>
          </value>
        </values>
      </ddeItem>
      <ddeItem name="id41?conid" advise="1">
        <values>
          <value>
            <val>4082282</val>
          </value>
        </values>
      </ddeItem>
      <ddeItem name="id41?marketName" advise="1">
        <values>
          <value t="str">
            <val>SEE</val>
          </value>
        </values>
      </ddeItem>
      <ddeItem name="id41?minTick" advise="1">
        <values>
          <value>
            <val>0.01</val>
          </value>
        </values>
      </ddeItem>
      <ddeItem name="id41?multiplier" advise="1">
        <values>
          <value t="nil">
            <val>1</val>
          </value>
        </values>
      </ddeItem>
      <ddeItem name="id4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1?req?SEE_STK_SMART_USD_~/" advise="1">
        <values>
          <value t="nil">
            <val>1</val>
          </value>
        </values>
      </ddeItem>
      <ddeItem name="id41?tradingClass" advise="1">
        <values>
          <value t="str">
            <val>SEE</val>
          </value>
        </values>
      </ddeItem>
      <ddeItem name="id41?validExchanges" advise="1">
        <values>
          <value t="str">
            <val>SMART,NYSE,CBOE,ISE,CHX,ARCA,ISLAND,VWAP,DRCTEDGE,NSX,BEX,BATS,EDGEA,CSFBALGO,JEFFALGO,BYX,IEX,TPLUS2,PSX</val>
          </value>
        </values>
      </ddeItem>
      <ddeItem name="id410?conid" advise="1">
        <values>
          <value>
            <val>14025</val>
          </value>
        </values>
      </ddeItem>
      <ddeItem name="id410?marketName" advise="1">
        <values>
          <value t="str">
            <val>FL</val>
          </value>
        </values>
      </ddeItem>
      <ddeItem name="id410?minTick" advise="1">
        <values>
          <value>
            <val>0.01</val>
          </value>
        </values>
      </ddeItem>
      <ddeItem name="id410?multiplier" advise="1">
        <values>
          <value t="nil">
            <val>1</val>
          </value>
        </values>
      </ddeItem>
      <ddeItem name="id41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10?req?FL_STK_SMART_USD_~/" advise="1">
        <values>
          <value t="nil">
            <val>1</val>
          </value>
        </values>
      </ddeItem>
      <ddeItem name="id410?tradingClass" advise="1">
        <values>
          <value t="str">
            <val>FL</val>
          </value>
        </values>
      </ddeItem>
      <ddeItem name="id410?validExchanges" advise="1">
        <values>
          <value t="str">
            <val>SMART,NYSE,CBOE,ISE,CHX,ARCA,ISLAND,VWAP,DRCTEDGE,NSX,BEX,BATS,EDGEA,CSFBALGO,JEFFALGO,BYX,IEX,TPLUS2,PSX</val>
          </value>
        </values>
      </ddeItem>
      <ddeItem name="id411?conid" advise="1">
        <values>
          <value>
            <val>11477774</val>
          </value>
        </values>
      </ddeItem>
      <ddeItem name="id411?marketName" advise="1">
        <values>
          <value t="str">
            <val>GPN</val>
          </value>
        </values>
      </ddeItem>
      <ddeItem name="id411?minTick" advise="1">
        <values>
          <value>
            <val>0.01</val>
          </value>
        </values>
      </ddeItem>
      <ddeItem name="id411?multiplier" advise="1">
        <values>
          <value t="nil">
            <val>1</val>
          </value>
        </values>
      </ddeItem>
      <ddeItem name="id41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11?req?GPN_STK_SMART_USD_~/" advise="1">
        <values>
          <value t="nil">
            <val>1</val>
          </value>
        </values>
      </ddeItem>
      <ddeItem name="id411?tradingClass" advise="1">
        <values>
          <value t="str">
            <val>GPN</val>
          </value>
        </values>
      </ddeItem>
      <ddeItem name="id411?validExchanges" advise="1">
        <values>
          <value t="str">
            <val>SMART,NYSE,CBOE,ISE,CHX,ARCA,ISLAND,DRCTEDGE,NSX,BEX,BATS,EDGEA,CSFBALGO,JEFFALGO,BYX,IEX,TPLUS2,PSX</val>
          </value>
        </values>
      </ddeItem>
      <ddeItem name="id412?conid" advise="1">
        <values>
          <value>
            <val>13838371</val>
          </value>
        </values>
      </ddeItem>
      <ddeItem name="id412?marketName" advise="1">
        <values>
          <value t="str">
            <val>AYI</val>
          </value>
        </values>
      </ddeItem>
      <ddeItem name="id412?minTick" advise="1">
        <values>
          <value>
            <val>0.01</val>
          </value>
        </values>
      </ddeItem>
      <ddeItem name="id412?multiplier" advise="1">
        <values>
          <value t="nil">
            <val>1</val>
          </value>
        </values>
      </ddeItem>
      <ddeItem name="id41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12?req?AYI_STK_SMART_USD_~/" advise="1">
        <values>
          <value t="nil">
            <val>1</val>
          </value>
        </values>
      </ddeItem>
      <ddeItem name="id412?tradingClass" advise="1">
        <values>
          <value t="str">
            <val>AYI</val>
          </value>
        </values>
      </ddeItem>
      <ddeItem name="id412?validExchanges" advise="1">
        <values>
          <value t="str">
            <val>SMART,NYSE,CBOE,ISE,CHX,ARCA,ISLAND,VWAP,DRCTEDGE,NSX,BEX,BATS,EDGEA,CSFBALGO,JEFFALGO,BYX,IEX,TPLUS2,PSX</val>
          </value>
        </values>
      </ddeItem>
      <ddeItem name="id413?conid" advise="1">
        <values>
          <value>
            <val>46970422</val>
          </value>
        </values>
      </ddeItem>
      <ddeItem name="id413?marketName" advise="1">
        <values>
          <value t="str">
            <val>NMS</val>
          </value>
        </values>
      </ddeItem>
      <ddeItem name="id413?minTick" advise="1">
        <values>
          <value>
            <val>0.01</val>
          </value>
        </values>
      </ddeItem>
      <ddeItem name="id413?multiplier" advise="1">
        <values>
          <value t="nil">
            <val>1</val>
          </value>
        </values>
      </ddeItem>
      <ddeItem name="id41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13?req?ULTA_STK_SMART_USD_~/" advise="1">
        <values>
          <value t="nil">
            <val>1</val>
          </value>
        </values>
      </ddeItem>
      <ddeItem name="id413?tradingClass" advise="1">
        <values>
          <value t="str">
            <val>NMS</val>
          </value>
        </values>
      </ddeItem>
      <ddeItem name="id413?validExchanges" advise="1">
        <values>
          <value t="str">
            <val>SMART,CBOE,ISE,CHX,ARCA,ISLAND,DRCTEDGE,NSX,BEX,BATS,EDGEA,CSFBALGO,JEFFALGO,BYX,IEX,TPLUS2,PSX</val>
          </value>
        </values>
      </ddeItem>
      <ddeItem name="id414?conid" advise="1">
        <values>
          <value>
            <val>4352</val>
          </value>
        </values>
      </ddeItem>
      <ddeItem name="id414?marketName" advise="1">
        <values>
          <value t="str">
            <val>ALK</val>
          </value>
        </values>
      </ddeItem>
      <ddeItem name="id414?minTick" advise="1">
        <values>
          <value>
            <val>0.01</val>
          </value>
        </values>
      </ddeItem>
      <ddeItem name="id414?multiplier" advise="1">
        <values>
          <value t="nil">
            <val>1</val>
          </value>
        </values>
      </ddeItem>
      <ddeItem name="id41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14?req?ALK_STK_SMART_USD_~/" advise="1">
        <values>
          <value t="nil">
            <val>1</val>
          </value>
        </values>
      </ddeItem>
      <ddeItem name="id414?tradingClass" advise="1">
        <values>
          <value t="str">
            <val>ALK</val>
          </value>
        </values>
      </ddeItem>
      <ddeItem name="id414?validExchanges" advise="1">
        <values>
          <value t="str">
            <val>SMART,NYSE,CBOE,ISE,CHX,ARCA,ISLAND,DRCTEDGE,NSX,BEX,BATS,EDGEA,CSFBALGO,JEFFALGO,BYX,IEX,TPLUS2,PSX</val>
          </value>
        </values>
      </ddeItem>
      <ddeItem name="id415?conid" advise="1">
        <values>
          <value>
            <val>26345312</val>
          </value>
        </values>
      </ddeItem>
      <ddeItem name="id415?marketName" advise="1">
        <values>
          <value t="str">
            <val>NMS</val>
          </value>
        </values>
      </ddeItem>
      <ddeItem name="id415?minTick" advise="1">
        <values>
          <value>
            <val>0.01</val>
          </value>
        </values>
      </ddeItem>
      <ddeItem name="id415?multiplier" advise="1">
        <values>
          <value t="nil">
            <val>1</val>
          </value>
        </values>
      </ddeItem>
      <ddeItem name="id41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15?req?LKQ_STK_SMART_USD_~/" advise="1">
        <values>
          <value t="nil">
            <val>1</val>
          </value>
        </values>
      </ddeItem>
      <ddeItem name="id415?tradingClass" advise="1">
        <values>
          <value t="str">
            <val>NMS</val>
          </value>
        </values>
      </ddeItem>
      <ddeItem name="id415?validExchanges" advise="1">
        <values>
          <value t="str">
            <val>SMART,CBOE,ISE,CHX,ARCA,ISLAND,DRCTEDGE,NSX,BEX,BATS,EDGEA,CSFBALGO,JEFFALGO,BYX,IEX,TPLUS2,PSX</val>
          </value>
        </values>
      </ddeItem>
      <ddeItem name="id416?conid" advise="1">
        <values>
          <value>
            <val>31832526</val>
          </value>
        </values>
      </ddeItem>
      <ddeItem name="id416?marketName" advise="1">
        <values>
          <value t="str">
            <val>DLR</val>
          </value>
        </values>
      </ddeItem>
      <ddeItem name="id416?minTick" advise="1">
        <values>
          <value>
            <val>0.01</val>
          </value>
        </values>
      </ddeItem>
      <ddeItem name="id416?multiplier" advise="1">
        <values>
          <value t="nil">
            <val>1</val>
          </value>
        </values>
      </ddeItem>
      <ddeItem name="id41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16?req?DLR_STK_SMART_USD_~/" advise="1">
        <values>
          <value t="nil">
            <val>1</val>
          </value>
        </values>
      </ddeItem>
      <ddeItem name="id416?tradingClass" advise="1">
        <values>
          <value t="str">
            <val>DLR</val>
          </value>
        </values>
      </ddeItem>
      <ddeItem name="id416?validExchanges" advise="1">
        <values>
          <value t="str">
            <val>SMART,NYSE,CBOE,ISE,CHX,ARCA,ISLAND,DRCTEDGE,NSX,BEX,BATS,EDGEA,CSFBALGO,JEFFALGO,BYX,IEX,TPLUS2,PSX</val>
          </value>
        </values>
      </ddeItem>
      <ddeItem name="id417?conid" advise="1">
        <values>
          <value>
            <val>38285434</val>
          </value>
        </values>
      </ddeItem>
      <ddeItem name="id417?marketName" advise="1">
        <values>
          <value t="str">
            <val>TDG</val>
          </value>
        </values>
      </ddeItem>
      <ddeItem name="id417?minTick" advise="1">
        <values>
          <value>
            <val>0.01</val>
          </value>
        </values>
      </ddeItem>
      <ddeItem name="id417?multiplier" advise="1">
        <values>
          <value t="nil">
            <val>1</val>
          </value>
        </values>
      </ddeItem>
      <ddeItem name="id41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17?req?TDG_STK_SMART_USD_~/" advise="1">
        <values>
          <value t="nil">
            <val>1</val>
          </value>
        </values>
      </ddeItem>
      <ddeItem name="id417?tradingClass" advise="1">
        <values>
          <value t="str">
            <val>TDG</val>
          </value>
        </values>
      </ddeItem>
      <ddeItem name="id417?validExchanges" advise="1">
        <values>
          <value t="str">
            <val>SMART,NYSE,CBOE,ISE,CHX,ARCA,ISLAND,DRCTEDGE,NSX,BEX,BATS,EDGEA,CSFBALGO,JEFFALGO,BYX,IEX,TPLUS2,PSX</val>
          </value>
        </values>
      </ddeItem>
      <ddeItem name="id418?conid" advise="1">
        <values>
          <value>
            <val>4325</val>
          </value>
        </values>
      </ddeItem>
      <ddeItem name="id418?marketName" advise="1">
        <values>
          <value t="str">
            <val>AJG</val>
          </value>
        </values>
      </ddeItem>
      <ddeItem name="id418?minTick" advise="1">
        <values>
          <value>
            <val>0.01</val>
          </value>
        </values>
      </ddeItem>
      <ddeItem name="id418?multiplier" advise="1">
        <values>
          <value t="nil">
            <val>1</val>
          </value>
        </values>
      </ddeItem>
      <ddeItem name="id41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18?req?AJG_STK_SMART_USD_~/" advise="1">
        <values>
          <value t="nil">
            <val>1</val>
          </value>
        </values>
      </ddeItem>
      <ddeItem name="id418?tradingClass" advise="1">
        <values>
          <value t="str">
            <val>AJG</val>
          </value>
        </values>
      </ddeItem>
      <ddeItem name="id418?validExchanges" advise="1">
        <values>
          <value t="str">
            <val>SMART,NYSE,CBOE,ISE,CHX,ARCA,ISLAND,DRCTEDGE,NSX,BEX,BATS,EDGEA,CSFBALGO,JEFFALGO,BYX,IEX,TPLUS2,PSX</val>
          </value>
        </values>
      </ddeItem>
      <ddeItem name="id42?conid" advise="1">
        <values>
          <value>
            <val>6207</val>
          </value>
        </values>
      </ddeItem>
      <ddeItem name="id42?marketName" advise="1">
        <values>
          <value t="str">
            <val>CMI</val>
          </value>
        </values>
      </ddeItem>
      <ddeItem name="id42?minTick" advise="1">
        <values>
          <value>
            <val>0.01</val>
          </value>
        </values>
      </ddeItem>
      <ddeItem name="id42?multiplier" advise="1">
        <values>
          <value t="nil">
            <val>1</val>
          </value>
        </values>
      </ddeItem>
      <ddeItem name="id4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2?req?CMI_STK_SMART_USD_~/" advise="1">
        <values>
          <value t="nil">
            <val>1</val>
          </value>
        </values>
      </ddeItem>
      <ddeItem name="id42?tradingClass" advise="1">
        <values>
          <value t="str">
            <val>CMI</val>
          </value>
        </values>
      </ddeItem>
      <ddeItem name="id42?validExchanges" advise="1">
        <values>
          <value t="str">
            <val>SMART,NYSE,CBOE,ISE,CHX,ARCA,ISLAND,VWAP,DRCTEDGE,NSX,BEX,BATS,EDGEA,CSFBALGO,JEFFALGO,BYX,IEX,TPLUS2,PSX</val>
          </value>
        </values>
      </ddeItem>
      <ddeItem name="id420?conid" advise="1">
        <values>
          <value>
            <val>129203964</val>
          </value>
        </values>
      </ddeItem>
      <ddeItem name="id420?marketName" advise="1">
        <values>
          <value t="str">
            <val>NMS</val>
          </value>
        </values>
      </ddeItem>
      <ddeItem name="id420?minTick" advise="1">
        <values>
          <value>
            <val>0.01</val>
          </value>
        </values>
      </ddeItem>
      <ddeItem name="id420?multiplier" advise="1">
        <values>
          <value t="nil">
            <val>1</val>
          </value>
        </values>
      </ddeItem>
      <ddeItem name="id42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20?req?FOX_STK_SMART_USD_~/" advise="1">
        <values>
          <value t="nil">
            <val>1</val>
          </value>
        </values>
      </ddeItem>
      <ddeItem name="id420?tradingClass" advise="1">
        <values>
          <value t="str">
            <val>NMS</val>
          </value>
        </values>
      </ddeItem>
      <ddeItem name="id420?validExchanges" advise="1">
        <values>
          <value t="str">
            <val>SMART,CBOE,ISE,CHX,ARCA,ISLAND,DRCTEDGE,NSX,BEX,BATS,EDGEA,CSFBALGO,JEFFALGO,BYX,IEX,TPLUS2,PSX</val>
          </value>
        </values>
      </ddeItem>
      <ddeItem name="id421?conid" advise="1">
        <values>
          <value>
            <val>43661924</val>
          </value>
        </values>
      </ddeItem>
      <ddeItem name="id421?marketName" advise="1">
        <values>
          <value t="str">
            <val>NMS</val>
          </value>
        </values>
      </ddeItem>
      <ddeItem name="id421?minTick" advise="1">
        <values>
          <value>
            <val>0.01</val>
          </value>
        </values>
      </ddeItem>
      <ddeItem name="id421?multiplier" advise="1">
        <values>
          <value t="nil">
            <val>1</val>
          </value>
        </values>
      </ddeItem>
      <ddeItem name="id42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21?req?QQQ_STK_SMART_USD_~/" advise="1">
        <values>
          <value t="nil">
            <val>1</val>
          </value>
        </values>
      </ddeItem>
      <ddeItem name="id421?tradingClass" advise="1">
        <values>
          <value t="str">
            <val>NMS</val>
          </value>
        </values>
      </ddeItem>
      <ddeItem name="id421?validExchanges" advise="1">
        <values>
          <value t="str">
            <val>SMART,CBOE,ISE,CHX,ARCA,ISLAND,DRCTEDGE,NSX,BEX,BATS,EDGEA,CSFBALGO,JEFFALGO,BYX,IEX,TPLUS2,PSX</val>
          </value>
        </values>
      </ddeItem>
      <ddeItem name="id422?conid" advise="1">
        <values>
          <value>
            <val>208813719</val>
          </value>
        </values>
      </ddeItem>
      <ddeItem name="id422?marketName" advise="1">
        <values>
          <value t="str">
            <val>NMS</val>
          </value>
        </values>
      </ddeItem>
      <ddeItem name="id422?minTick" advise="1">
        <values>
          <value>
            <val>0.01</val>
          </value>
        </values>
      </ddeItem>
      <ddeItem name="id422?multiplier" advise="1">
        <values>
          <value t="nil">
            <val>1</val>
          </value>
        </values>
      </ddeItem>
      <ddeItem name="id42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22?req?GOOGL_STK_SMART_USD_~/" advise="1">
        <values>
          <value t="nil">
            <val>1</val>
          </value>
        </values>
      </ddeItem>
      <ddeItem name="id422?tradingClass" advise="1">
        <values>
          <value t="str">
            <val>NMS</val>
          </value>
        </values>
      </ddeItem>
      <ddeItem name="id422?validExchanges" advise="1">
        <values>
          <value t="str">
            <val>SMART,CBOE,ISE,CHX,ARCA,ISLAND,DRCTEDGE,NSX,BEX,BATS,EDGEA,CSFBALGO,JEFFALGO,BYX,IEX,TPLUS2,PSX</val>
          </value>
        </values>
      </ddeItem>
      <ddeItem name="id423?conid" advise="1">
        <values>
          <value>
            <val>166090175</val>
          </value>
        </values>
      </ddeItem>
      <ddeItem name="id423?marketName" advise="1">
        <values>
          <value t="str">
            <val>BABA</val>
          </value>
        </values>
      </ddeItem>
      <ddeItem name="id423?minTick" advise="1">
        <values>
          <value>
            <val>0.01</val>
          </value>
        </values>
      </ddeItem>
      <ddeItem name="id423?multiplier" advise="1">
        <values>
          <value t="nil">
            <val>1</val>
          </value>
        </values>
      </ddeItem>
      <ddeItem name="id42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23?req?BABA_STK_SMART_USD_~/" advise="1">
        <values>
          <value t="nil">
            <val>1</val>
          </value>
        </values>
      </ddeItem>
      <ddeItem name="id423?tradingClass" advise="1">
        <values>
          <value t="str">
            <val>BABA</val>
          </value>
        </values>
      </ddeItem>
      <ddeItem name="id423?validExchanges" advise="1">
        <values>
          <value t="str">
            <val>SMART,NYSE,CBOE,ISE,CHX,ARCA,ISLAND,DRCTEDGE,NSX,BEX,BATS,EDGEA,CSFBALGO,JEFFALGO,BYX,IEX,TPLUS2,PSX</val>
          </value>
        </values>
      </ddeItem>
      <ddeItem name="id424?conid" advise="1">
        <values>
          <value>
            <val>15547841</val>
          </value>
        </values>
      </ddeItem>
      <ddeItem name="id424?marketName" advise="1">
        <values>
          <value t="str">
            <val>NMS</val>
          </value>
        </values>
      </ddeItem>
      <ddeItem name="id424?minTick" advise="1">
        <values>
          <value>
            <val>0.01</val>
          </value>
        </values>
      </ddeItem>
      <ddeItem name="id424?multiplier" advise="1">
        <values>
          <value t="nil">
            <val>1</val>
          </value>
        </values>
      </ddeItem>
      <ddeItem name="id42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24?req?TLT_STK_SMART_USD_~/" advise="1">
        <values>
          <value t="nil">
            <val>1</val>
          </value>
        </values>
      </ddeItem>
      <ddeItem name="id424?tradingClass" advise="1">
        <values>
          <value t="str">
            <val>NMS</val>
          </value>
        </values>
      </ddeItem>
      <ddeItem name="id424?validExchanges" advise="1">
        <values>
          <value t="str">
            <val>SMART,CBOE,ISE,CHX,ARCA,ISLAND,DRCTEDGE,NSX,BEX,BATS,EDGEA,CSFBALGO,JEFFALGO,BYX,IEX,TPLUS2,PSX</val>
          </value>
        </values>
      </ddeItem>
      <ddeItem name="id425?conid" advise="1">
        <values>
          <value>
            <val>76792991</val>
          </value>
        </values>
      </ddeItem>
      <ddeItem name="id425?marketName" advise="1">
        <values>
          <value t="str">
            <val>NMS</val>
          </value>
        </values>
      </ddeItem>
      <ddeItem name="id425?minTick" advise="1">
        <values>
          <value>
            <val>0.01</val>
          </value>
        </values>
      </ddeItem>
      <ddeItem name="id425?multiplier" advise="1">
        <values>
          <value t="nil">
            <val>1</val>
          </value>
        </values>
      </ddeItem>
      <ddeItem name="id42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25?req?TSLA_STK_SMART_USD_~/" advise="1">
        <values>
          <value t="nil">
            <val>1</val>
          </value>
        </values>
      </ddeItem>
      <ddeItem name="id425?tradingClass" advise="1">
        <values>
          <value t="str">
            <val>NMS</val>
          </value>
        </values>
      </ddeItem>
      <ddeItem name="id425?validExchanges" advise="1">
        <values>
          <value t="str">
            <val>SMART,CBOE,ISE,CHX,ARCA,ISLAND,DRCTEDGE,NSX,BEX,BATS,EDGEA,CSFBALGO,JEFFALGO,BYX,IEX,TPLUS2,PSX</val>
          </value>
        </values>
      </ddeItem>
      <ddeItem name="id426?conid" advise="1">
        <values>
          <value>
            <val>196610642</val>
          </value>
        </values>
      </ddeItem>
      <ddeItem name="id426?marketName" advise="1">
        <values>
          <value t="str">
            <val>AGN</val>
          </value>
        </values>
      </ddeItem>
      <ddeItem name="id426?minTick" advise="1">
        <values>
          <value>
            <val>0.01</val>
          </value>
        </values>
      </ddeItem>
      <ddeItem name="id426?multiplier" advise="1">
        <values>
          <value t="nil">
            <val>1</val>
          </value>
        </values>
      </ddeItem>
      <ddeItem name="id42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26?req?AGN_STK_SMART_USD_~/" advise="1">
        <values>
          <value t="nil">
            <val>1</val>
          </value>
        </values>
      </ddeItem>
      <ddeItem name="id426?tradingClass" advise="1">
        <values>
          <value t="str">
            <val>AGN</val>
          </value>
        </values>
      </ddeItem>
      <ddeItem name="id426?validExchanges" advise="1">
        <values>
          <value t="str">
            <val>SMART,NYSE,CBOE,ISE,CHX,ARCA,ISLAND,DRCTEDGE,NSX,BEX,BATS,EDGEA,CSFBALGO,JEFFALGO,BYX,IEX,TPLUS2,PSX</val>
          </value>
        </values>
      </ddeItem>
      <ddeItem name="id427?conid" advise="1">
        <values>
          <value>
            <val>79431711</val>
          </value>
        </values>
      </ddeItem>
      <ddeItem name="id427?marketName" advise="1">
        <values>
          <value t="str">
            <val>VRX</val>
          </value>
        </values>
      </ddeItem>
      <ddeItem name="id427?minTick" advise="1">
        <values>
          <value>
            <val>0.01</val>
          </value>
        </values>
      </ddeItem>
      <ddeItem name="id427?multiplier" advise="1">
        <values>
          <value t="nil">
            <val>1</val>
          </value>
        </values>
      </ddeItem>
      <ddeItem name="id42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27?req?VRX_STK_SMART_USD_~/" advise="1">
        <values>
          <value t="nil">
            <val>1</val>
          </value>
        </values>
      </ddeItem>
      <ddeItem name="id427?tradingClass" advise="1">
        <values>
          <value t="str">
            <val>VRX</val>
          </value>
        </values>
      </ddeItem>
      <ddeItem name="id427?validExchanges" advise="1">
        <values>
          <value t="str">
            <val>SMART,NYSE,CBOE,ISE,CHX,ARCA,ISLAND,DRCTEDGE,NSX,BEX,BATS,EDGEA,CSFBALGO,JEFFALGO,BYX,IEX,TPLUS2,PSX</val>
          </value>
        </values>
      </ddeItem>
      <ddeItem name="id428?conid" advise="1">
        <values>
          <value>
            <val>11517520</val>
          </value>
        </values>
      </ddeItem>
      <ddeItem name="id428?marketName" advise="1">
        <values>
          <value t="str">
            <val>NMS</val>
          </value>
        </values>
      </ddeItem>
      <ddeItem name="id428?minTick" advise="1">
        <values>
          <value>
            <val>0.01</val>
          </value>
        </values>
      </ddeItem>
      <ddeItem name="id428?multiplier" advise="1">
        <values>
          <value t="nil">
            <val>1</val>
          </value>
        </values>
      </ddeItem>
      <ddeItem name="id42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28?req?IBB_STK_SMART_USD_~/" advise="1">
        <values>
          <value t="nil">
            <val>1</val>
          </value>
        </values>
      </ddeItem>
      <ddeItem name="id428?tradingClass" advise="1">
        <values>
          <value t="str">
            <val>NMS</val>
          </value>
        </values>
      </ddeItem>
      <ddeItem name="id428?validExchanges" advise="1">
        <values>
          <value t="str">
            <val>SMART,CBOE,ISE,CHX,ARCA,ISLAND,VWAP,DRCTEDGE,NSX,BEX,BATS,EDGEA,CSFBALGO,JEFFALGO,BYX,IEX,TPLUS2,PSX</val>
          </value>
        </values>
      </ddeItem>
      <ddeItem name="id429?conid" advise="1">
        <values>
          <value>
            <val>35359385</val>
          </value>
        </values>
      </ddeItem>
      <ddeItem name="id429?marketName" advise="1">
        <values>
          <value t="str">
            <val>NMS</val>
          </value>
        </values>
      </ddeItem>
      <ddeItem name="id429?minTick" advise="1">
        <values>
          <value>
            <val>0.01</val>
          </value>
        </values>
      </ddeItem>
      <ddeItem name="id429?multiplier" advise="1">
        <values>
          <value t="nil">
            <val>1</val>
          </value>
        </values>
      </ddeItem>
      <ddeItem name="id42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29?req?BIDU_STK_SMART_USD_~/" advise="1">
        <values>
          <value t="nil">
            <val>1</val>
          </value>
        </values>
      </ddeItem>
      <ddeItem name="id429?tradingClass" advise="1">
        <values>
          <value t="str">
            <val>NMS</val>
          </value>
        </values>
      </ddeItem>
      <ddeItem name="id429?validExchanges" advise="1">
        <values>
          <value t="str">
            <val>SMART,CBOE,ISE,CHX,ARCA,ISLAND,DRCTEDGE,NSX,BEX,BATS,EDGEA,CSFBALGO,JEFFALGO,BYX,IEX,TPLUS2,PSX</val>
          </value>
        </values>
      </ddeItem>
      <ddeItem name="id43?conid" advise="1">
        <values>
          <value>
            <val>6477855</val>
          </value>
        </values>
      </ddeItem>
      <ddeItem name="id43?marketName" advise="1">
        <values>
          <value t="str">
            <val>LLL</val>
          </value>
        </values>
      </ddeItem>
      <ddeItem name="id43?minTick" advise="1">
        <values>
          <value>
            <val>0.01</val>
          </value>
        </values>
      </ddeItem>
      <ddeItem name="id43?multiplier" advise="1">
        <values>
          <value t="nil">
            <val>1</val>
          </value>
        </values>
      </ddeItem>
      <ddeItem name="id4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3?req?LLL_STK_SMART_USD_~/" advise="1">
        <values>
          <value t="nil">
            <val>1</val>
          </value>
        </values>
      </ddeItem>
      <ddeItem name="id43?tradingClass" advise="1">
        <values>
          <value t="str">
            <val>LLL</val>
          </value>
        </values>
      </ddeItem>
      <ddeItem name="id43?validExchanges" advise="1">
        <values>
          <value t="str">
            <val>SMART,NYSE,CBOE,ISE,CHX,ARCA,ISLAND,VWAP,DRCTEDGE,NSX,BEX,BATS,EDGEA,CSFBALGO,JEFFALGO,BYX,IEX,TPLUS2,PSX</val>
          </value>
        </values>
      </ddeItem>
      <ddeItem name="id430?conid" advise="1">
        <values>
          <value>
            <val>233674866</val>
          </value>
        </values>
      </ddeItem>
      <ddeItem name="id430?marketName" advise="1">
        <values>
          <value t="str">
            <val>NMS</val>
          </value>
        </values>
      </ddeItem>
      <ddeItem name="id430?minTick" advise="1">
        <values>
          <value>
            <val>0.01</val>
          </value>
        </values>
      </ddeItem>
      <ddeItem name="id430?multiplier" advise="1">
        <values>
          <value t="nil">
            <val>1</val>
          </value>
        </values>
      </ddeItem>
      <ddeItem name="id43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30?req?CHTR_STK_SMART_USD_~/" advise="1">
        <values>
          <value t="nil">
            <val>1</val>
          </value>
        </values>
      </ddeItem>
      <ddeItem name="id430?tradingClass" advise="1">
        <values>
          <value t="str">
            <val>NMS</val>
          </value>
        </values>
      </ddeItem>
      <ddeItem name="id430?validExchanges" advise="1">
        <values>
          <value t="str">
            <val>SMART,CBOE,ISE,CHX,ARCA,ISLAND,DRCTEDGE,NSX,BEX,BATS,EDGEA,CSFBALGO,JEFFALGO,BYX,IEX,TPLUS2,PSX</val>
          </value>
        </values>
      </ddeItem>
      <ddeItem name="id431?conid" advise="1">
        <values>
          <value>
            <val>4818054</val>
          </value>
        </values>
      </ddeItem>
      <ddeItem name="id431?marketName" advise="1">
        <values>
          <value t="str">
            <val>NMS</val>
          </value>
        </values>
      </ddeItem>
      <ddeItem name="id431?minTick" advise="1">
        <values>
          <value>
            <val>0.01</val>
          </value>
        </values>
      </ddeItem>
      <ddeItem name="id431?multiplier" advise="1">
        <values>
          <value t="nil">
            <val>1</val>
          </value>
        </values>
      </ddeItem>
      <ddeItem name="id43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31?req?SHPG_STK_SMART_USD_~/" advise="1">
        <values>
          <value t="nil">
            <val>1</val>
          </value>
        </values>
      </ddeItem>
      <ddeItem name="id431?tradingClass" advise="1">
        <values>
          <value t="str">
            <val>NMS</val>
          </value>
        </values>
      </ddeItem>
      <ddeItem name="id431?validExchanges" advise="1">
        <values>
          <value t="str">
            <val>SMART,CBOE,ISE,CHX,ARCA,ISLAND,VWAP,DRCTEDGE,NSX,BEX,BATS,EDGEA,CSFBALGO,JEFFALGO,BYX,IEX,TPLUS2,PSX</val>
          </value>
        </values>
      </ddeItem>
      <ddeItem name="id432?conid" advise="1">
        <values>
          <value>
            <val>88259585</val>
          </value>
        </values>
      </ddeItem>
      <ddeItem name="id432?marketName" advise="1">
        <values>
          <value t="str">
            <val>LNKD</val>
          </value>
        </values>
      </ddeItem>
      <ddeItem name="id432?minTick" advise="1">
        <values>
          <value>
            <val>0.01</val>
          </value>
        </values>
      </ddeItem>
      <ddeItem name="id432?multiplier" advise="1">
        <values>
          <value t="nil">
            <val>1</val>
          </value>
        </values>
      </ddeItem>
      <ddeItem name="id43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32?req?LNKD_STK_SMART_USD_~/" advise="1">
        <values>
          <value t="nil">
            <val>1</val>
          </value>
        </values>
      </ddeItem>
      <ddeItem name="id432?tradingClass" advise="1">
        <values>
          <value t="str">
            <val>LNKD</val>
          </value>
        </values>
      </ddeItem>
      <ddeItem name="id432?validExchanges" advise="1">
        <values>
          <value t="str">
            <val>SMART,NYSE,CBOE,ISE,CHX,ARCA,ISLAND,DRCTEDGE,NSX,BEX,BATS,EDGEA,CSFBALGO,JEFFALGO,BYX,IEX,TPLUS2,PSX</val>
          </value>
        </values>
      </ddeItem>
      <ddeItem name="id433?conid" advise="1">
        <values>
          <value>
            <val>72539702</val>
          </value>
        </values>
      </ddeItem>
      <ddeItem name="id433?marketName" advise="1">
        <values>
          <value t="str">
            <val>NMS</val>
          </value>
        </values>
      </ddeItem>
      <ddeItem name="id433?minTick" advise="1">
        <values>
          <value>
            <val>0.01</val>
          </value>
        </values>
      </ddeItem>
      <ddeItem name="id433?multiplier" advise="1">
        <values>
          <value t="nil">
            <val>1</val>
          </value>
        </values>
      </ddeItem>
      <ddeItem name="id43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33?req?TQQQ_STK_SMART_USD_~/" advise="1">
        <values>
          <value t="nil">
            <val>1</val>
          </value>
        </values>
      </ddeItem>
      <ddeItem name="id433?tradingClass" advise="1">
        <values>
          <value t="str">
            <val>NMS</val>
          </value>
        </values>
      </ddeItem>
      <ddeItem name="id433?validExchanges" advise="1">
        <values>
          <value t="str">
            <val>SMART,CBOE,ISE,CHX,ARCA,ISLAND,DRCTEDGE,NSX,BEX,BATS,EDGEA,CSFBALGO,JEFFALGO,BYX,IEX,TPLUS2,PSX</val>
          </value>
        </values>
      </ddeItem>
      <ddeItem name="id434?conid" advise="1">
        <values>
          <value>
            <val>275085</val>
          </value>
        </values>
      </ddeItem>
      <ddeItem name="id434?marketName" advise="1">
        <values>
          <value t="str">
            <val>TEVA</val>
          </value>
        </values>
      </ddeItem>
      <ddeItem name="id434?minTick" advise="1">
        <values>
          <value>
            <val>0.01</val>
          </value>
        </values>
      </ddeItem>
      <ddeItem name="id434?multiplier" advise="1">
        <values>
          <value t="nil">
            <val>1</val>
          </value>
        </values>
      </ddeItem>
      <ddeItem name="id43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34?req?TEVA_STK_SMART_USD_~/" advise="1">
        <values>
          <value t="nil">
            <val>1</val>
          </value>
        </values>
      </ddeItem>
      <ddeItem name="id434?tradingClass" advise="1">
        <values>
          <value t="str">
            <val>TEVA</val>
          </value>
        </values>
      </ddeItem>
      <ddeItem name="id434?validExchanges" advise="1">
        <values>
          <value t="str">
            <val>SMART,NYSE,CBOE,ISE,CHX,ARCA,ISLAND,VWAP,DRCTEDGE,NSX,BEX,BATS,EDGEA,CSFBALGO,JEFFALGO,BYX,IEX,TPLUS2,PSX</val>
          </value>
        </values>
      </ddeItem>
      <ddeItem name="id435?conid" advise="1">
        <values>
          <value>
            <val>77791077</val>
          </value>
        </values>
      </ddeItem>
      <ddeItem name="id435?marketName" advise="1">
        <values>
          <value t="str">
            <val>NMS</val>
          </value>
        </values>
      </ddeItem>
      <ddeItem name="id435?minTick" advise="1">
        <values>
          <value>
            <val>0.01</val>
          </value>
        </values>
      </ddeItem>
      <ddeItem name="id435?multiplier" advise="1">
        <values>
          <value t="nil">
            <val>1</val>
          </value>
        </values>
      </ddeItem>
      <ddeItem name="id43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35?req?NXPI_STK_SMART_USD_~/" advise="1">
        <values>
          <value t="nil">
            <val>1</val>
          </value>
        </values>
      </ddeItem>
      <ddeItem name="id435?tradingClass" advise="1">
        <values>
          <value t="str">
            <val>NMS</val>
          </value>
        </values>
      </ddeItem>
      <ddeItem name="id435?validExchanges" advise="1">
        <values>
          <value t="str">
            <val>SMART,CBOE,ISE,CHX,ARCA,ISLAND,DRCTEDGE,NSX,BEX,BATS,EDGEA,CSFBALGO,JEFFALGO,BYX,IEX,TPLUS2,PSX</val>
          </value>
        </values>
      </ddeItem>
      <ddeItem name="id436?conid" advise="1">
        <values>
          <value>
            <val>110619459</val>
          </value>
        </values>
      </ddeItem>
      <ddeItem name="id436?marketName" advise="1">
        <values>
          <value t="str">
            <val>PANW</val>
          </value>
        </values>
      </ddeItem>
      <ddeItem name="id436?minTick" advise="1">
        <values>
          <value>
            <val>0.01</val>
          </value>
        </values>
      </ddeItem>
      <ddeItem name="id436?multiplier" advise="1">
        <values>
          <value t="nil">
            <val>1</val>
          </value>
        </values>
      </ddeItem>
      <ddeItem name="id43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36?req?PANW_STK_SMART_USD_~/" advise="1">
        <values>
          <value t="nil">
            <val>1</val>
          </value>
        </values>
      </ddeItem>
      <ddeItem name="id436?tradingClass" advise="1">
        <values>
          <value t="str">
            <val>PANW</val>
          </value>
        </values>
      </ddeItem>
      <ddeItem name="id436?validExchanges" advise="1">
        <values>
          <value t="str">
            <val>SMART,NYSE,CBOE,ISE,CHX,ARCA,ISLAND,DRCTEDGE,NSX,BEX,BATS,EDGEA,CSFBALGO,JEFFALGO,BYX,IEX,TPLUS2,PSX</val>
          </value>
        </values>
      </ddeItem>
      <ddeItem name="id437?conid" advise="1">
        <values>
          <value>
            <val>218939694</val>
          </value>
        </values>
      </ddeItem>
      <ddeItem name="id437?marketName" advise="1">
        <values>
          <value t="str">
            <val>CB</val>
          </value>
        </values>
      </ddeItem>
      <ddeItem name="id437?minTick" advise="1">
        <values>
          <value>
            <val>0.01</val>
          </value>
        </values>
      </ddeItem>
      <ddeItem name="id437?multiplier" advise="1">
        <values>
          <value t="nil">
            <val>1</val>
          </value>
        </values>
      </ddeItem>
      <ddeItem name="id43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37?req?CB_STK_SMART_USD_~/" advise="1">
        <values>
          <value t="nil">
            <val>1</val>
          </value>
        </values>
      </ddeItem>
      <ddeItem name="id437?tradingClass" advise="1">
        <values>
          <value t="str">
            <val>CB</val>
          </value>
        </values>
      </ddeItem>
      <ddeItem name="id437?validExchanges" advise="1">
        <values>
          <value t="str">
            <val>SMART,NYSE,CBOE,ISE,CHX,ARCA,ISLAND,VWAP,DRCTEDGE,NSX,BEX,BATS,EDGEA,CSFBALGO,JEFFALGO,BYX,IEX,TPLUS2,PSX</val>
          </value>
        </values>
      </ddeItem>
      <ddeItem name="id438?conid" advise="1">
        <values>
          <value>
            <val>61481454</val>
          </value>
        </values>
      </ddeItem>
      <ddeItem name="id438?marketName" advise="1">
        <values>
          <value t="str">
            <val>BUD</val>
          </value>
        </values>
      </ddeItem>
      <ddeItem name="id438?minTick" advise="1">
        <values>
          <value>
            <val>0.01</val>
          </value>
        </values>
      </ddeItem>
      <ddeItem name="id438?multiplier" advise="1">
        <values>
          <value t="nil">
            <val>1</val>
          </value>
        </values>
      </ddeItem>
      <ddeItem name="id43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38?req?BUD_STK_SMART_USD_~/" advise="1">
        <values>
          <value t="nil">
            <val>1</val>
          </value>
        </values>
      </ddeItem>
      <ddeItem name="id438?tradingClass" advise="1">
        <values>
          <value t="str">
            <val>BUD</val>
          </value>
        </values>
      </ddeItem>
      <ddeItem name="id438?validExchanges" advise="1">
        <values>
          <value t="str">
            <val>SMART,NYSE,CBOE,ISE,CHX,ARCA,ISLAND,DRCTEDGE,NSX,BEX,BATS,EDGEA,CSFBALGO,JEFFALGO,BYX,IEX,TPLUS2,PSX</val>
          </value>
        </values>
      </ddeItem>
      <ddeItem name="id439?conid" advise="1">
        <values>
          <value>
            <val>9541698</val>
          </value>
        </values>
      </ddeItem>
      <ddeItem name="id439?marketName" advise="1">
        <values>
          <value t="str">
            <val>NMS</val>
          </value>
        </values>
      </ddeItem>
      <ddeItem name="id439?minTick" advise="1">
        <values>
          <value>
            <val>0.01</val>
          </value>
        </values>
      </ddeItem>
      <ddeItem name="id439?multiplier" advise="1">
        <values>
          <value t="nil">
            <val>1</val>
          </value>
        </values>
      </ddeItem>
      <ddeItem name="id43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39?req?NTES_STK_SMART_USD_~/" advise="1">
        <values>
          <value t="nil">
            <val>1</val>
          </value>
        </values>
      </ddeItem>
      <ddeItem name="id439?tradingClass" advise="1">
        <values>
          <value t="str">
            <val>NMS</val>
          </value>
        </values>
      </ddeItem>
      <ddeItem name="id439?validExchanges" advise="1">
        <values>
          <value t="str">
            <val>SMART,CBOE,ISE,CHX,ARCA,ISLAND,DRCTEDGE,NSX,BEX,BATS,EDGEA,CSFBALGO,JEFFALGO,BYX,IEX,TPLUS2,PSX</val>
          </value>
        </values>
      </ddeItem>
      <ddeItem name="id44?conid" advise="1">
        <values>
          <value>
            <val>268627</val>
          </value>
        </values>
      </ddeItem>
      <ddeItem name="id44?marketName" advise="1">
        <values>
          <value t="str">
            <val>DHI</val>
          </value>
        </values>
      </ddeItem>
      <ddeItem name="id44?minTick" advise="1">
        <values>
          <value>
            <val>0.01</val>
          </value>
        </values>
      </ddeItem>
      <ddeItem name="id44?multiplier" advise="1">
        <values>
          <value t="nil">
            <val>1</val>
          </value>
        </values>
      </ddeItem>
      <ddeItem name="id4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4?req?DHI_STK_SMART_USD_~/" advise="1">
        <values>
          <value t="nil">
            <val>1</val>
          </value>
        </values>
      </ddeItem>
      <ddeItem name="id44?tradingClass" advise="1">
        <values>
          <value t="str">
            <val>DHI</val>
          </value>
        </values>
      </ddeItem>
      <ddeItem name="id44?validExchanges" advise="1">
        <values>
          <value t="str">
            <val>SMART,NYSE,CBOE,ISE,CHX,ARCA,ISLAND,VWAP,DRCTEDGE,NSX,BEX,BATS,EDGEA,CSFBALGO,JEFFALGO,BYX,IEX,TPLUS2,PSX</val>
          </value>
        </values>
      </ddeItem>
      <ddeItem name="id440?conid" advise="1">
        <values>
          <value>
            <val>8794522</val>
          </value>
        </values>
      </ddeItem>
      <ddeItem name="id440?marketName" advise="1">
        <values>
          <value t="str">
            <val>NVS</val>
          </value>
        </values>
      </ddeItem>
      <ddeItem name="id440?minTick" advise="1">
        <values>
          <value>
            <val>0.01</val>
          </value>
        </values>
      </ddeItem>
      <ddeItem name="id440?multiplier" advise="1">
        <values>
          <value t="nil">
            <val>1</val>
          </value>
        </values>
      </ddeItem>
      <ddeItem name="id44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40?req?NVS_STK_SMART_USD_~/" advise="1">
        <values>
          <value t="nil">
            <val>1</val>
          </value>
        </values>
      </ddeItem>
      <ddeItem name="id440?tradingClass" advise="1">
        <values>
          <value t="str">
            <val>NVS</val>
          </value>
        </values>
      </ddeItem>
      <ddeItem name="id440?validExchanges" advise="1">
        <values>
          <value t="str">
            <val>SMART,NYSE,CBOE,ISE,CHX,ARCA,ISLAND,VWAP,DRCTEDGE,NSX,BEX,BATS,EDGEA,CSFBALGO,JEFFALGO,BYX,IEX,TPLUS2,PSX</val>
          </value>
        </values>
      </ddeItem>
      <ddeItem name="id441?conid" advise="1">
        <values>
          <value>
            <val>6857447</val>
          </value>
        </values>
      </ddeItem>
      <ddeItem name="id441?marketName" advise="1">
        <values>
          <value t="str">
            <val>NMS</val>
          </value>
        </values>
      </ddeItem>
      <ddeItem name="id441?minTick" advise="1">
        <values>
          <value>
            <val>0.01</val>
          </value>
        </values>
      </ddeItem>
      <ddeItem name="id441?multiplier" advise="1">
        <values>
          <value t="nil">
            <val>1</val>
          </value>
        </values>
      </ddeItem>
      <ddeItem name="id44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41?req?BMRN_STK_SMART_USD_~/" advise="1">
        <values>
          <value t="nil">
            <val>1</val>
          </value>
        </values>
      </ddeItem>
      <ddeItem name="id441?tradingClass" advise="1">
        <values>
          <value t="str">
            <val>NMS</val>
          </value>
        </values>
      </ddeItem>
      <ddeItem name="id441?validExchanges" advise="1">
        <values>
          <value t="str">
            <val>SMART,CBOE,ISE,CHX,ARCA,ISLAND,DRCTEDGE,NSX,BEX,BATS,EDGEA,CSFBALGO,JEFFALGO,BYX,IEX,TPLUS2,PSX</val>
          </value>
        </values>
      </ddeItem>
      <ddeItem name="id442?conid" advise="1">
        <values>
          <value>
            <val>45157951</val>
          </value>
        </values>
      </ddeItem>
      <ddeItem name="id442?marketName" advise="1">
        <values>
          <value t="str">
            <val>NMS</val>
          </value>
        </values>
      </ddeItem>
      <ddeItem name="id442?minTick" advise="1">
        <values>
          <value>
            <val>0.01</val>
          </value>
        </values>
      </ddeItem>
      <ddeItem name="id442?multiplier" advise="1">
        <values>
          <value t="nil">
            <val>1</val>
          </value>
        </values>
      </ddeItem>
      <ddeItem name="id44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42?req?LULU_STK_SMART_USD_~/" advise="1">
        <values>
          <value t="nil">
            <val>1</val>
          </value>
        </values>
      </ddeItem>
      <ddeItem name="id442?tradingClass" advise="1">
        <values>
          <value t="str">
            <val>NMS</val>
          </value>
        </values>
      </ddeItem>
      <ddeItem name="id442?validExchanges" advise="1">
        <values>
          <value t="str">
            <val>SMART,CBOE,ISE,CHX,ARCA,ISLAND,DRCTEDGE,NSX,BEX,BATS,EDGEA,CSFBALGO,JEFFALGO,BYX,IEX,TPLUS2,PSX</val>
          </value>
        </values>
      </ddeItem>
      <ddeItem name="id443?conid" advise="1">
        <values>
          <value>
            <val>115324104</val>
          </value>
        </values>
      </ddeItem>
      <ddeItem name="id443?marketName" advise="1">
        <values>
          <value t="str">
            <val>WDAY</val>
          </value>
        </values>
      </ddeItem>
      <ddeItem name="id443?minTick" advise="1">
        <values>
          <value>
            <val>0.01</val>
          </value>
        </values>
      </ddeItem>
      <ddeItem name="id443?multiplier" advise="1">
        <values>
          <value t="nil">
            <val>1</val>
          </value>
        </values>
      </ddeItem>
      <ddeItem name="id44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43?req?WDAY_STK_SMART_USD_~/" advise="1">
        <values>
          <value t="nil">
            <val>1</val>
          </value>
        </values>
      </ddeItem>
      <ddeItem name="id443?tradingClass" advise="1">
        <values>
          <value t="str">
            <val>WDAY</val>
          </value>
        </values>
      </ddeItem>
      <ddeItem name="id443?validExchanges" advise="1">
        <values>
          <value t="str">
            <val>SMART,NYSE,CBOE,ISE,CHX,ARCA,ISLAND,DRCTEDGE,NSX,BEX,BATS,EDGEA,CSFBALGO,JEFFALGO,BYX,IEX,TPLUS2,PSX</val>
          </value>
        </values>
      </ddeItem>
      <ddeItem name="id444?conid" advise="1">
        <values>
          <value>
            <val>109911821</val>
          </value>
        </values>
      </ddeItem>
      <ddeItem name="id444?marketName" advise="1">
        <values>
          <value t="str">
            <val>NOW</val>
          </value>
        </values>
      </ddeItem>
      <ddeItem name="id444?minTick" advise="1">
        <values>
          <value>
            <val>0.01</val>
          </value>
        </values>
      </ddeItem>
      <ddeItem name="id444?multiplier" advise="1">
        <values>
          <value t="nil">
            <val>1</val>
          </value>
        </values>
      </ddeItem>
      <ddeItem name="id44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44?req?NOW_STK_SMART_USD_~/" advise="1">
        <values>
          <value t="nil">
            <val>1</val>
          </value>
        </values>
      </ddeItem>
      <ddeItem name="id444?tradingClass" advise="1">
        <values>
          <value t="str">
            <val>NOW</val>
          </value>
        </values>
      </ddeItem>
      <ddeItem name="id444?validExchanges" advise="1">
        <values>
          <value t="str">
            <val>SMART,NYSE,CBOE,ISE,CHX,ARCA,ISLAND,DRCTEDGE,NSX,BEX,BATS,EDGEA,CSFBALGO,JEFFALGO,BYX,IEX,TPLUS2,PSX</val>
          </value>
        </values>
      </ddeItem>
      <ddeItem name="id445?conid" advise="1">
        <values>
          <value>
            <val>13432503</val>
          </value>
        </values>
      </ddeItem>
      <ddeItem name="id445?marketName" advise="1">
        <values>
          <value t="str">
            <val>CP</val>
          </value>
        </values>
      </ddeItem>
      <ddeItem name="id445?minTick" advise="1">
        <values>
          <value>
            <val>0.01</val>
          </value>
        </values>
      </ddeItem>
      <ddeItem name="id445?multiplier" advise="1">
        <values>
          <value t="nil">
            <val>1</val>
          </value>
        </values>
      </ddeItem>
      <ddeItem name="id44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45?req?CP_STK_SMART_USD_~/" advise="1">
        <values>
          <value t="nil">
            <val>1</val>
          </value>
        </values>
      </ddeItem>
      <ddeItem name="id445?tradingClass" advise="1">
        <values>
          <value t="str">
            <val>CP</val>
          </value>
        </values>
      </ddeItem>
      <ddeItem name="id445?validExchanges" advise="1">
        <values>
          <value t="str">
            <val>SMART,NYSE,CBOE,ISE,CHX,ARCA,ISLAND,VWAP,DRCTEDGE,NSX,BEX,BATS,EDGEA,CSFBALGO,JEFFALGO,BYX,IEX,TPLUS2,PSX</val>
          </value>
        </values>
      </ddeItem>
      <ddeItem name="id446?conid" advise="1">
        <values>
          <value>
            <val>4172987</val>
          </value>
        </values>
      </ddeItem>
      <ddeItem name="id446?marketName" advise="1">
        <values>
          <value t="str">
            <val>NMS</val>
          </value>
        </values>
      </ddeItem>
      <ddeItem name="id446?minTick" advise="1">
        <values>
          <value>
            <val>0.01</val>
          </value>
        </values>
      </ddeItem>
      <ddeItem name="id446?multiplier" advise="1">
        <values>
          <value t="nil">
            <val>1</val>
          </value>
        </values>
      </ddeItem>
      <ddeItem name="id44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46?req?CHKP_STK_SMART_USD_~/" advise="1">
        <values>
          <value t="nil">
            <val>1</val>
          </value>
        </values>
      </ddeItem>
      <ddeItem name="id446?tradingClass" advise="1">
        <values>
          <value t="str">
            <val>NMS</val>
          </value>
        </values>
      </ddeItem>
      <ddeItem name="id446?validExchanges" advise="1">
        <values>
          <value t="str">
            <val>SMART,CBOE,ISE,CHX,ARCA,ISLAND,VWAP,DRCTEDGE,NSX,BEX,BATS,EDGEA,CSFBALGO,JEFFALGO,BYX,IEX,TPLUS2,PSX</val>
          </value>
        </values>
      </ddeItem>
      <ddeItem name="id447?conid" advise="1">
        <values>
          <value>
            <val>4369855</val>
          </value>
        </values>
      </ddeItem>
      <ddeItem name="id447?marketName" advise="1">
        <values>
          <value t="str">
            <val>NMS</val>
          </value>
        </values>
      </ddeItem>
      <ddeItem name="id447?minTick" advise="1">
        <values>
          <value>
            <val>0.01</val>
          </value>
        </values>
      </ddeItem>
      <ddeItem name="id447?multiplier" advise="1">
        <values>
          <value t="nil">
            <val>1</val>
          </value>
        </values>
      </ddeItem>
      <ddeItem name="id44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47?req?INCY_STK_SMART_USD_~/" advise="1">
        <values>
          <value t="nil">
            <val>1</val>
          </value>
        </values>
      </ddeItem>
      <ddeItem name="id447?tradingClass" advise="1">
        <values>
          <value t="str">
            <val>NMS</val>
          </value>
        </values>
      </ddeItem>
      <ddeItem name="id447?validExchanges" advise="1">
        <values>
          <value t="str">
            <val>SMART,CBOE,ISE,CHX,ARCA,ISLAND,VWAP,DRCTEDGE,NSX,BEX,BATS,EDGEA,CSFBALGO,JEFFALGO,BYX,IEX,TPLUS2,PSX</val>
          </value>
        </values>
      </ddeItem>
      <ddeItem name="id448?conid" advise="1">
        <values>
          <value>
            <val>48410287</val>
          </value>
        </values>
      </ddeItem>
      <ddeItem name="id448?marketName" advise="1">
        <values>
          <value t="str">
            <val>NMS</val>
          </value>
        </values>
      </ddeItem>
      <ddeItem name="id448?minTick" advise="1">
        <values>
          <value>
            <val>0.01</val>
          </value>
        </values>
      </ddeItem>
      <ddeItem name="id448?multiplier" advise="1">
        <values>
          <value t="nil">
            <val>1</val>
          </value>
        </values>
      </ddeItem>
      <ddeItem name="id44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48?req?DISH_STK_SMART_USD_~/" advise="1">
        <values>
          <value t="nil">
            <val>1</val>
          </value>
        </values>
      </ddeItem>
      <ddeItem name="id448?tradingClass" advise="1">
        <values>
          <value t="str">
            <val>NMS</val>
          </value>
        </values>
      </ddeItem>
      <ddeItem name="id448?validExchanges" advise="1">
        <values>
          <value t="str">
            <val>SMART,CBOE,ISE,CHX,ARCA,ISLAND,VWAP,DRCTEDGE,NSX,BEX,BATS,EDGEA,CSFBALGO,JEFFALGO,BYX,IEX,TPLUS2,PSX</val>
          </value>
        </values>
      </ddeItem>
      <ddeItem name="id449?conid" advise="1">
        <values>
          <value>
            <val>45642839</val>
          </value>
        </values>
      </ddeItem>
      <ddeItem name="id449?marketName" advise="1">
        <values>
          <value t="str">
            <val>VMW</val>
          </value>
        </values>
      </ddeItem>
      <ddeItem name="id449?minTick" advise="1">
        <values>
          <value>
            <val>0.01</val>
          </value>
        </values>
      </ddeItem>
      <ddeItem name="id449?multiplier" advise="1">
        <values>
          <value t="nil">
            <val>1</val>
          </value>
        </values>
      </ddeItem>
      <ddeItem name="id44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49?req?VMW_STK_SMART_USD_~/" advise="1">
        <values>
          <value t="nil">
            <val>1</val>
          </value>
        </values>
      </ddeItem>
      <ddeItem name="id449?tradingClass" advise="1">
        <values>
          <value t="str">
            <val>VMW</val>
          </value>
        </values>
      </ddeItem>
      <ddeItem name="id449?validExchanges" advise="1">
        <values>
          <value t="str">
            <val>SMART,NYSE,CBOE,ISE,CHX,ARCA,ISLAND,DRCTEDGE,NSX,BEX,BATS,EDGEA,CSFBALGO,JEFFALGO,BYX,IEX,TPLUS2,PSX</val>
          </value>
        </values>
      </ddeItem>
      <ddeItem name="id45?conid" advise="1">
        <values>
          <value>
            <val>6442</val>
          </value>
        </values>
      </ddeItem>
      <ddeItem name="id45?marketName" advise="1">
        <values>
          <value t="str">
            <val>DHR</val>
          </value>
        </values>
      </ddeItem>
      <ddeItem name="id45?minTick" advise="1">
        <values>
          <value>
            <val>0.01</val>
          </value>
        </values>
      </ddeItem>
      <ddeItem name="id45?multiplier" advise="1">
        <values>
          <value t="nil">
            <val>1</val>
          </value>
        </values>
      </ddeItem>
      <ddeItem name="id4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5?req?DHR_STK_SMART_USD_~/" advise="1">
        <values>
          <value t="nil">
            <val>1</val>
          </value>
        </values>
      </ddeItem>
      <ddeItem name="id45?tradingClass" advise="1">
        <values>
          <value t="str">
            <val>DHR</val>
          </value>
        </values>
      </ddeItem>
      <ddeItem name="id45?validExchanges" advise="1">
        <values>
          <value t="str">
            <val>SMART,NYSE,CBOE,ISE,CHX,ARCA,ISLAND,VWAP,DRCTEDGE,NSX,BEX,BATS,EDGEA,CSFBALGO,JEFFALGO,BYX,IEX,TPLUS2,PSX</val>
          </value>
        </values>
      </ddeItem>
      <ddeItem name="id450?conid" advise="1">
        <values>
          <value>
            <val>49954154</val>
          </value>
        </values>
      </ddeItem>
      <ddeItem name="id450?marketName" advise="1">
        <values>
          <value t="str">
            <val>NMS</val>
          </value>
        </values>
      </ddeItem>
      <ddeItem name="id450?minTick" advise="1">
        <values>
          <value>
            <val>0.01</val>
          </value>
        </values>
      </ddeItem>
      <ddeItem name="id450?multiplier" advise="1">
        <values>
          <value t="nil">
            <val>1</val>
          </value>
        </values>
      </ddeItem>
      <ddeItem name="id45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50?req?ACWI_STK_SMART_USD_~/" advise="1">
        <values>
          <value t="nil">
            <val>1</val>
          </value>
        </values>
      </ddeItem>
      <ddeItem name="id450?tradingClass" advise="1">
        <values>
          <value t="str">
            <val>NMS</val>
          </value>
        </values>
      </ddeItem>
      <ddeItem name="id450?validExchanges" advise="1">
        <values>
          <value t="str">
            <val>SMART,CBOE,ISE,CHX,ARCA,ISLAND,DRCTEDGE,NSX,BEX,BATS,EDGEA,CSFBALGO,JEFFALGO,BYX,IEX,TPLUS2,PSX</val>
          </value>
        </values>
      </ddeItem>
      <ddeItem name="id451?conid" advise="1">
        <values>
          <value>
            <val>229629397</val>
          </value>
        </values>
      </ddeItem>
      <ddeItem name="id451?marketName" advise="1">
        <values>
          <value t="str">
            <val>SPGI</val>
          </value>
        </values>
      </ddeItem>
      <ddeItem name="id451?minTick" advise="1">
        <values>
          <value>
            <val>0.01</val>
          </value>
        </values>
      </ddeItem>
      <ddeItem name="id451?multiplier" advise="1">
        <values>
          <value t="nil">
            <val>1</val>
          </value>
        </values>
      </ddeItem>
      <ddeItem name="id45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51?req?SPGI_STK_SMART_USD_~/" advise="1">
        <values>
          <value t="nil">
            <val>1</val>
          </value>
        </values>
      </ddeItem>
      <ddeItem name="id451?tradingClass" advise="1">
        <values>
          <value t="str">
            <val>SPGI</val>
          </value>
        </values>
      </ddeItem>
      <ddeItem name="id451?validExchanges" advise="1">
        <values>
          <value t="str">
            <val>SMART,NYSE,CBOE,ISE,CHX,ARCA,ISLAND,VWAP,DRCTEDGE,NSX,BEX,BATS,EDGEA,CSFBALGO,JEFFALGO,BYX,IEX,TPLUS2,PSX</val>
          </value>
        </values>
      </ddeItem>
      <ddeItem name="id452?conid" advise="1">
        <values>
          <value>
            <val>6246667</val>
          </value>
        </values>
      </ddeItem>
      <ddeItem name="id452?marketName" advise="1">
        <values>
          <value t="str">
            <val>NMS</val>
          </value>
        </values>
      </ddeItem>
      <ddeItem name="id452?minTick" advise="1">
        <values>
          <value>
            <val>0.01</val>
          </value>
        </values>
      </ddeItem>
      <ddeItem name="id452?multiplier" advise="1">
        <values>
          <value t="nil">
            <val>1</val>
          </value>
        </values>
      </ddeItem>
      <ddeItem name="id45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52?req?SBAC_STK_SMART_USD_~/" advise="1">
        <values>
          <value t="nil">
            <val>1</val>
          </value>
        </values>
      </ddeItem>
      <ddeItem name="id452?tradingClass" advise="1">
        <values>
          <value t="str">
            <val>NMS</val>
          </value>
        </values>
      </ddeItem>
      <ddeItem name="id452?validExchanges" advise="1">
        <values>
          <value t="str">
            <val>SMART,CBOE,ISE,CHX,ARCA,ISLAND,DRCTEDGE,NSX,BEX,BATS,EDGEA,CSFBALGO,JEFFALGO,BYX,IEX,TPLUS2,PSX</val>
          </value>
        </values>
      </ddeItem>
      <ddeItem name="id453?conid" advise="1">
        <values>
          <value>
            <val>611242</val>
          </value>
        </values>
      </ddeItem>
      <ddeItem name="id453?marketName" advise="1">
        <values>
          <value t="str">
            <val>PII</val>
          </value>
        </values>
      </ddeItem>
      <ddeItem name="id453?minTick" advise="1">
        <values>
          <value>
            <val>0.01</val>
          </value>
        </values>
      </ddeItem>
      <ddeItem name="id453?multiplier" advise="1">
        <values>
          <value t="nil">
            <val>1</val>
          </value>
        </values>
      </ddeItem>
      <ddeItem name="id45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53?req?PII_STK_SMART_USD_~/" advise="1">
        <values>
          <value t="nil">
            <val>1</val>
          </value>
        </values>
      </ddeItem>
      <ddeItem name="id453?tradingClass" advise="1">
        <values>
          <value t="str">
            <val>PII</val>
          </value>
        </values>
      </ddeItem>
      <ddeItem name="id453?validExchanges" advise="1">
        <values>
          <value t="str">
            <val>SMART,NYSE,CBOE,ISE,CHX,ARCA,ISLAND,DRCTEDGE,NSX,BEX,BATS,EDGEA,CSFBALGO,JEFFALGO,BYX,IEX,TPLUS2,PSX</val>
          </value>
        </values>
      </ddeItem>
      <ddeItem name="id454?conid" advise="1">
        <values>
          <value>
            <val>81835582</val>
          </value>
        </values>
      </ddeItem>
      <ddeItem name="id454?marketName" advise="1">
        <values>
          <value t="str">
            <val>FLT</val>
          </value>
        </values>
      </ddeItem>
      <ddeItem name="id454?minTick" advise="1">
        <values>
          <value>
            <val>0.01</val>
          </value>
        </values>
      </ddeItem>
      <ddeItem name="id454?multiplier" advise="1">
        <values>
          <value t="nil">
            <val>1</val>
          </value>
        </values>
      </ddeItem>
      <ddeItem name="id45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54?req?FLT_STK_SMART_USD_~/" advise="1">
        <values>
          <value t="nil">
            <val>1</val>
          </value>
        </values>
      </ddeItem>
      <ddeItem name="id454?tradingClass" advise="1">
        <values>
          <value t="str">
            <val>FLT</val>
          </value>
        </values>
      </ddeItem>
      <ddeItem name="id454?validExchanges" advise="1">
        <values>
          <value t="str">
            <val>SMART,NYSE,CBOE,ISE,CHX,ARCA,ISLAND,DRCTEDGE,NSX,BEX,BATS,EDGEA,CSFBALGO,JEFFALGO,BYX,IEX,TPLUS2,PSX</val>
          </value>
        </values>
      </ddeItem>
      <ddeItem name="id455?conid" advise="1">
        <values>
          <value>
            <val>32618459</val>
          </value>
        </values>
      </ddeItem>
      <ddeItem name="id455?marketName" advise="1">
        <values>
          <value t="str">
            <val>HLF</val>
          </value>
        </values>
      </ddeItem>
      <ddeItem name="id455?minTick" advise="1">
        <values>
          <value>
            <val>0.01</val>
          </value>
        </values>
      </ddeItem>
      <ddeItem name="id455?multiplier" advise="1">
        <values>
          <value t="nil">
            <val>1</val>
          </value>
        </values>
      </ddeItem>
      <ddeItem name="id45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55?req?HLF_STK_SMART_USD_~/" advise="1">
        <values>
          <value t="nil">
            <val>1</val>
          </value>
        </values>
      </ddeItem>
      <ddeItem name="id455?tradingClass" advise="1">
        <values>
          <value t="str">
            <val>HLF</val>
          </value>
        </values>
      </ddeItem>
      <ddeItem name="id455?validExchanges" advise="1">
        <values>
          <value t="str">
            <val>SMART,NYSE,CBOE,ISE,CHX,ARCA,ISLAND,DRCTEDGE,NSX,BEX,BATS,EDGEA,CSFBALGO,JEFFALGO,BYX,IEX,TPLUS2,PSX</val>
          </value>
        </values>
      </ddeItem>
      <ddeItem name="id456?conid" advise="1">
        <values>
          <value>
            <val>29831612</val>
          </value>
        </values>
      </ddeItem>
      <ddeItem name="id456?marketName" advise="1">
        <values>
          <value t="str">
            <val>DPZ</val>
          </value>
        </values>
      </ddeItem>
      <ddeItem name="id456?minTick" advise="1">
        <values>
          <value>
            <val>0.01</val>
          </value>
        </values>
      </ddeItem>
      <ddeItem name="id456?multiplier" advise="1">
        <values>
          <value t="nil">
            <val>1</val>
          </value>
        </values>
      </ddeItem>
      <ddeItem name="id45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56?req?DPZ_STK_SMART_USD_~/" advise="1">
        <values>
          <value t="nil">
            <val>1</val>
          </value>
        </values>
      </ddeItem>
      <ddeItem name="id456?tradingClass" advise="1">
        <values>
          <value t="str">
            <val>DPZ</val>
          </value>
        </values>
      </ddeItem>
      <ddeItem name="id456?validExchanges" advise="1">
        <values>
          <value t="str">
            <val>SMART,NYSE,CBOE,ISE,CHX,ARCA,ISLAND,DRCTEDGE,NSX,BEX,BATS,EDGEA,CSFBALGO,JEFFALGO,BYX,IEX,TPLUS2,PSX</val>
          </value>
        </values>
      </ddeItem>
      <ddeItem name="id457?conid" advise="1">
        <values>
          <value>
            <val>4347</val>
          </value>
        </values>
      </ddeItem>
      <ddeItem name="id457?marketName" advise="1">
        <values>
          <value t="str">
            <val>ALB</val>
          </value>
        </values>
      </ddeItem>
      <ddeItem name="id457?minTick" advise="1">
        <values>
          <value>
            <val>0.01</val>
          </value>
        </values>
      </ddeItem>
      <ddeItem name="id457?multiplier" advise="1">
        <values>
          <value t="nil">
            <val>1</val>
          </value>
        </values>
      </ddeItem>
      <ddeItem name="id45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57?req?ALB_STK_SMART_USD_~/" advise="1">
        <values>
          <value t="nil">
            <val>1</val>
          </value>
        </values>
      </ddeItem>
      <ddeItem name="id457?tradingClass" advise="1">
        <values>
          <value t="str">
            <val>ALB</val>
          </value>
        </values>
      </ddeItem>
      <ddeItem name="id457?validExchanges" advise="1">
        <values>
          <value t="str">
            <val>SMART,NYSE,CBOE,ISE,CHX,ARCA,ISLAND,DRCTEDGE,NSX,BEX,BATS,EDGEA,CSFBALGO,JEFFALGO,BYX,IEX,TPLUS2,PSX</val>
          </value>
        </values>
      </ddeItem>
      <ddeItem name="id458?conid" advise="1">
        <values>
          <value>
            <val>115441080</val>
          </value>
        </values>
      </ddeItem>
      <ddeItem name="id458?marketName" advise="1">
        <values>
          <value t="str">
            <val>NMS</val>
          </value>
        </values>
      </ddeItem>
      <ddeItem name="id458?minTick" advise="1">
        <values>
          <value>
            <val>0.01</val>
          </value>
        </values>
      </ddeItem>
      <ddeItem name="id458?multiplier" advise="1">
        <values>
          <value t="nil">
            <val>1</val>
          </value>
        </values>
      </ddeItem>
      <ddeItem name="id45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58?req?FANG_STK_SMART_USD_~/" advise="1">
        <values>
          <value t="nil">
            <val>1</val>
          </value>
        </values>
      </ddeItem>
      <ddeItem name="id458?tradingClass" advise="1">
        <values>
          <value t="str">
            <val>NMS</val>
          </value>
        </values>
      </ddeItem>
      <ddeItem name="id458?validExchanges" advise="1">
        <values>
          <value t="str">
            <val>SMART,CBOE,ISE,CHX,ARCA,ISLAND,DRCTEDGE,NSX,BEX,BATS,EDGEA,CSFBALGO,JEFFALGO,BYX,IEX,TPLUS2,PSX</val>
          </value>
        </values>
      </ddeItem>
      <ddeItem name="id459?conid" advise="1">
        <values>
          <value>
            <val>100430853</val>
          </value>
        </values>
      </ddeItem>
      <ddeItem name="id459?marketName" advise="1">
        <values>
          <value t="str">
            <val>NMS</val>
          </value>
        </values>
      </ddeItem>
      <ddeItem name="id459?minTick" advise="1">
        <values>
          <value>
            <val>0.01</val>
          </value>
        </values>
      </ddeItem>
      <ddeItem name="id459?multiplier" advise="1">
        <values>
          <value t="nil">
            <val>1</val>
          </value>
        </values>
      </ddeItem>
      <ddeItem name="id45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59?req?JAZZ_STK_SMART_USD_~/" advise="1">
        <values>
          <value t="nil">
            <val>1</val>
          </value>
        </values>
      </ddeItem>
      <ddeItem name="id459?tradingClass" advise="1">
        <values>
          <value t="str">
            <val>NMS</val>
          </value>
        </values>
      </ddeItem>
      <ddeItem name="id459?validExchanges" advise="1">
        <values>
          <value t="str">
            <val>SMART,CBOE,ISE,CHX,ARCA,ISLAND,DRCTEDGE,NSX,BEX,BATS,EDGEA,CSFBALGO,JEFFALGO,BYX,IEX,TPLUS2,PSX</val>
          </value>
        </values>
      </ddeItem>
      <ddeItem name="id46?conid" advise="1">
        <values>
          <value>
            <val>6497</val>
          </value>
        </values>
      </ddeItem>
      <ddeItem name="id46?marketName" advise="1">
        <values>
          <value t="str">
            <val>MCO</val>
          </value>
        </values>
      </ddeItem>
      <ddeItem name="id46?minTick" advise="1">
        <values>
          <value>
            <val>0.01</val>
          </value>
        </values>
      </ddeItem>
      <ddeItem name="id46?multiplier" advise="1">
        <values>
          <value t="nil">
            <val>1</val>
          </value>
        </values>
      </ddeItem>
      <ddeItem name="id4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6?req?MCO_STK_SMART_USD_~/" advise="1">
        <values>
          <value t="nil">
            <val>1</val>
          </value>
        </values>
      </ddeItem>
      <ddeItem name="id46?tradingClass" advise="1">
        <values>
          <value t="str">
            <val>MCO</val>
          </value>
        </values>
      </ddeItem>
      <ddeItem name="id46?validExchanges" advise="1">
        <values>
          <value t="str">
            <val>SMART,NYSE,CBOE,ISE,CHX,ARCA,ISLAND,VWAP,DRCTEDGE,NSX,BEX,BATS,EDGEA,CSFBALGO,JEFFALGO,BYX,IEX,TPLUS2,PSX</val>
          </value>
        </values>
      </ddeItem>
      <ddeItem name="id460?conid" advise="1">
        <values>
          <value>
            <val>6477985</val>
          </value>
        </values>
      </ddeItem>
      <ddeItem name="id460?marketName" advise="1">
        <values>
          <value t="str">
            <val>NMS</val>
          </value>
        </values>
      </ddeItem>
      <ddeItem name="id460?minTick" advise="1">
        <values>
          <value>
            <val>0.01</val>
          </value>
        </values>
      </ddeItem>
      <ddeItem name="id460?multiplier" advise="1">
        <values>
          <value t="nil">
            <val>1</val>
          </value>
        </values>
      </ddeItem>
      <ddeItem name="id46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60?req?PNRA_STK_SMART_USD_~/" advise="1">
        <values>
          <value t="nil">
            <val>1</val>
          </value>
        </values>
      </ddeItem>
      <ddeItem name="id460?tradingClass" advise="1">
        <values>
          <value t="str">
            <val>NMS</val>
          </value>
        </values>
      </ddeItem>
      <ddeItem name="id460?validExchanges" advise="1">
        <values>
          <value t="str">
            <val>SMART,CBOE,ISE,CHX,ARCA,ISLAND,DRCTEDGE,NSX,BEX,BATS,EDGEA,CSFBALGO,JEFFALGO,BYX,IEX,TPLUS2,PSX</val>
          </value>
        </values>
      </ddeItem>
      <ddeItem name="id461?conid" advise="1">
        <values>
          <value>
            <val>182880167</val>
          </value>
        </values>
      </ddeItem>
      <ddeItem name="id461?marketName" advise="1">
        <values>
          <value t="str">
            <val>ES</val>
          </value>
        </values>
      </ddeItem>
      <ddeItem name="id461?minTick" advise="1">
        <values>
          <value>
            <val>0.01</val>
          </value>
        </values>
      </ddeItem>
      <ddeItem name="id461?multiplier" advise="1">
        <values>
          <value t="nil">
            <val>1</val>
          </value>
        </values>
      </ddeItem>
      <ddeItem name="id46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61?req?ES_STK_SMART_USD_~/" advise="1">
        <values>
          <value t="nil">
            <val>1</val>
          </value>
        </values>
      </ddeItem>
      <ddeItem name="id461?tradingClass" advise="1">
        <values>
          <value t="str">
            <val>ES</val>
          </value>
        </values>
      </ddeItem>
      <ddeItem name="id461?validExchanges" advise="1">
        <values>
          <value t="str">
            <val>SMART,NYSE,CBOE,ISE,CHX,ARCA,ISLAND,VWAP,DRCTEDGE,NSX,BEX,BATS,EDGEA,CSFBALGO,JEFFALGO,BYX,IEX,TPLUS2,PSX</val>
          </value>
        </values>
      </ddeItem>
      <ddeItem name="id462?conid" advise="1">
        <values>
          <value>
            <val>105955748</val>
          </value>
        </values>
      </ddeItem>
      <ddeItem name="id462?marketName" advise="1">
        <values>
          <value t="str">
            <val>NMS</val>
          </value>
        </values>
      </ddeItem>
      <ddeItem name="id462?minTick" advise="1">
        <values>
          <value>
            <val>0.01</val>
          </value>
        </values>
      </ddeItem>
      <ddeItem name="id462?multiplier" advise="1">
        <values>
          <value t="nil">
            <val>1</val>
          </value>
        </values>
      </ddeItem>
      <ddeItem name="id46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62?req?SPLK_STK_SMART_USD_~/" advise="1">
        <values>
          <value t="nil">
            <val>1</val>
          </value>
        </values>
      </ddeItem>
      <ddeItem name="id462?tradingClass" advise="1">
        <values>
          <value t="str">
            <val>NMS</val>
          </value>
        </values>
      </ddeItem>
      <ddeItem name="id462?validExchanges" advise="1">
        <values>
          <value t="str">
            <val>SMART,CBOE,ISE,CHX,ARCA,ISLAND,DRCTEDGE,NSX,BEX,BATS,EDGEA,CSFBALGO,JEFFALGO,BYX,IEX,TPLUS2,PSX</val>
          </value>
        </values>
      </ddeItem>
      <ddeItem name="id463?conid" advise="1">
        <values>
          <value>
            <val>70152668</val>
          </value>
        </values>
      </ddeItem>
      <ddeItem name="id463?marketName" advise="1">
        <values>
          <value t="str">
            <val>LEA</val>
          </value>
        </values>
      </ddeItem>
      <ddeItem name="id463?minTick" advise="1">
        <values>
          <value>
            <val>0.01</val>
          </value>
        </values>
      </ddeItem>
      <ddeItem name="id463?multiplier" advise="1">
        <values>
          <value t="nil">
            <val>1</val>
          </value>
        </values>
      </ddeItem>
      <ddeItem name="id46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63?req?LEA_STK_SMART_USD_~/" advise="1">
        <values>
          <value t="nil">
            <val>1</val>
          </value>
        </values>
      </ddeItem>
      <ddeItem name="id463?tradingClass" advise="1">
        <values>
          <value t="str">
            <val>LEA</val>
          </value>
        </values>
      </ddeItem>
      <ddeItem name="id463?validExchanges" advise="1">
        <values>
          <value t="str">
            <val>SMART,NYSE,CBOE,ISE,CHX,ARCA,ISLAND,DRCTEDGE,NSX,BEX,BATS,EDGEA,CSFBALGO,JEFFALGO,BYX,IEX,TPLUS2,PSX</val>
          </value>
        </values>
      </ddeItem>
      <ddeItem name="id464?conid" advise="1">
        <values>
          <value>
            <val>5019164</val>
          </value>
        </values>
      </ddeItem>
      <ddeItem name="id464?marketName" advise="1">
        <values>
          <value t="str">
            <val>WSM</val>
          </value>
        </values>
      </ddeItem>
      <ddeItem name="id464?minTick" advise="1">
        <values>
          <value>
            <val>0.01</val>
          </value>
        </values>
      </ddeItem>
      <ddeItem name="id464?multiplier" advise="1">
        <values>
          <value t="nil">
            <val>1</val>
          </value>
        </values>
      </ddeItem>
      <ddeItem name="id46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64?req?WSM_STK_SMART_USD_~/" advise="1">
        <values>
          <value t="nil">
            <val>1</val>
          </value>
        </values>
      </ddeItem>
      <ddeItem name="id464?tradingClass" advise="1">
        <values>
          <value t="str">
            <val>WSM</val>
          </value>
        </values>
      </ddeItem>
      <ddeItem name="id464?validExchanges" advise="1">
        <values>
          <value t="str">
            <val>SMART,NYSE,CBOE,ISE,CHX,ARCA,ISLAND,VWAP,DRCTEDGE,NSX,BEX,BATS,EDGEA,CSFBALGO,JEFFALGO,BYX,IEX,TPLUS2,PSX</val>
          </value>
        </values>
      </ddeItem>
      <ddeItem name="id465?conid" advise="1">
        <values>
          <value>
            <val>127670820</val>
          </value>
        </values>
      </ddeItem>
      <ddeItem name="id465?marketName" advise="1">
        <values>
          <value t="str">
            <val>DATA</val>
          </value>
        </values>
      </ddeItem>
      <ddeItem name="id465?minTick" advise="1">
        <values>
          <value>
            <val>0.01</val>
          </value>
        </values>
      </ddeItem>
      <ddeItem name="id465?multiplier" advise="1">
        <values>
          <value t="nil">
            <val>1</val>
          </value>
        </values>
      </ddeItem>
      <ddeItem name="id46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65?req?DATA_STK_SMART_USD_~/" advise="1">
        <values>
          <value t="nil">
            <val>1</val>
          </value>
        </values>
      </ddeItem>
      <ddeItem name="id465?tradingClass" advise="1">
        <values>
          <value t="str">
            <val>DATA</val>
          </value>
        </values>
      </ddeItem>
      <ddeItem name="id465?validExchanges" advise="1">
        <values>
          <value t="str">
            <val>SMART,NYSE,CBOE,ISE,CHX,ARCA,ISLAND,DRCTEDGE,NSX,BEX,BATS,EDGEA,CSFBALGO,JEFFALGO,BYX,IEX,TPLUS2,PSX</val>
          </value>
        </values>
      </ddeItem>
      <ddeItem name="id466?conid" advise="1">
        <values>
          <value>
            <val>15468463</val>
          </value>
        </values>
      </ddeItem>
      <ddeItem name="id466?marketName" advise="1">
        <values>
          <value t="str">
            <val>NMS</val>
          </value>
        </values>
      </ddeItem>
      <ddeItem name="id466?minTick" advise="1">
        <values>
          <value>
            <val>0.01</val>
          </value>
        </values>
      </ddeItem>
      <ddeItem name="id466?multiplier" advise="1">
        <values>
          <value t="nil">
            <val>1</val>
          </value>
        </values>
      </ddeItem>
      <ddeItem name="id46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66?req?GOLD_STK_SMART_USD_~/" advise="1">
        <values>
          <value t="nil">
            <val>1</val>
          </value>
        </values>
      </ddeItem>
      <ddeItem name="id466?tradingClass" advise="1">
        <values>
          <value t="str">
            <val>NMS</val>
          </value>
        </values>
      </ddeItem>
      <ddeItem name="id466?validExchanges" advise="1">
        <values>
          <value t="str">
            <val>SMART,CBOE,ISE,CHX,ARCA,ISLAND,DRCTEDGE,NSX,BEX,BATS,EDGEA,CSFBALGO,JEFFALGO,BYX,IEX,TPLUS2,PSX</val>
          </value>
        </values>
      </ddeItem>
      <ddeItem name="id467?conid" advise="1">
        <values>
          <value>
            <val>70363037</val>
          </value>
        </values>
      </ddeItem>
      <ddeItem name="id467?marketName" advise="1">
        <values>
          <value t="str">
            <val>NMS</val>
          </value>
        </values>
      </ddeItem>
      <ddeItem name="id467?minTick" advise="1">
        <values>
          <value>
            <val>0.01</val>
          </value>
        </values>
      </ddeItem>
      <ddeItem name="id467?multiplier" advise="1">
        <values>
          <value t="nil">
            <val>1</val>
          </value>
        </values>
      </ddeItem>
      <ddeItem name="id46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67?req?VCSH_STK_SMART_USD_~/" advise="1">
        <values>
          <value t="nil">
            <val>1</val>
          </value>
        </values>
      </ddeItem>
      <ddeItem name="id467?tradingClass" advise="1">
        <values>
          <value t="str">
            <val>NMS</val>
          </value>
        </values>
      </ddeItem>
      <ddeItem name="id467?validExchanges" advise="1">
        <values>
          <value t="str">
            <val>SMART,ISE,CHX,ARCA,ISLAND,DRCTEDGE,NSX,BEX,BATS,EDGEA,CSFBALGO,JEFFALGO,BYX,IEX,TPLUS2,PSX</val>
          </value>
        </values>
      </ddeItem>
      <ddeItem name="id468?conid" advise="1">
        <values>
          <value>
            <val>104791597</val>
          </value>
        </values>
      </ddeItem>
      <ddeItem name="id468?marketName" advise="1">
        <values>
          <value t="str">
            <val>VNTV</val>
          </value>
        </values>
      </ddeItem>
      <ddeItem name="id468?minTick" advise="1">
        <values>
          <value>
            <val>0.01</val>
          </value>
        </values>
      </ddeItem>
      <ddeItem name="id468?multiplier" advise="1">
        <values>
          <value t="nil">
            <val>1</val>
          </value>
        </values>
      </ddeItem>
      <ddeItem name="id46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68?req?VNTV_STK_SMART_USD_~/" advise="1">
        <values>
          <value t="nil">
            <val>1</val>
          </value>
        </values>
      </ddeItem>
      <ddeItem name="id468?tradingClass" advise="1">
        <values>
          <value t="str">
            <val>VNTV</val>
          </value>
        </values>
      </ddeItem>
      <ddeItem name="id468?validExchanges" advise="1">
        <values>
          <value t="str">
            <val>SMART,NYSE,CBOE,ISE,CHX,ARCA,ISLAND,DRCTEDGE,NSX,BEX,BATS,EDGEA,CSFBALGO,JEFFALGO,BYX,IEX,TPLUS2,PSX</val>
          </value>
        </values>
      </ddeItem>
      <ddeItem name="id47?conid" advise="1">
        <values>
          <value>
            <val>4728759</val>
          </value>
        </values>
      </ddeItem>
      <ddeItem name="id47?marketName" advise="1">
        <values>
          <value t="str">
            <val>NMS</val>
          </value>
        </values>
      </ddeItem>
      <ddeItem name="id47?minTick" advise="1">
        <values>
          <value>
            <val>0.01</val>
          </value>
        </values>
      </ddeItem>
      <ddeItem name="id47?multiplier" advise="1">
        <values>
          <value t="nil">
            <val>1</val>
          </value>
        </values>
      </ddeItem>
      <ddeItem name="id4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7?req?CTSH_STK_SMART_USD_~/" advise="1">
        <values>
          <value t="nil">
            <val>1</val>
          </value>
        </values>
      </ddeItem>
      <ddeItem name="id47?tradingClass" advise="1">
        <values>
          <value t="str">
            <val>NMS</val>
          </value>
        </values>
      </ddeItem>
      <ddeItem name="id47?validExchanges" advise="1">
        <values>
          <value t="str">
            <val>SMART,CBOE,ISE,CHX,ARCA,ISLAND,VWAP,DRCTEDGE,NSX,BEX,BATS,EDGEA,CSFBALGO,JEFFALGO,BYX,IEX,TPLUS2,PSX</val>
          </value>
        </values>
      </ddeItem>
      <ddeItem name="id478?conid" advise="1">
        <values>
          <value>
            <val>26796053</val>
          </value>
        </values>
      </ddeItem>
      <ddeItem name="id478?marketName" advise="1">
        <values>
          <value t="str">
            <val>NMS</val>
          </value>
        </values>
      </ddeItem>
      <ddeItem name="id478?minTick" advise="1">
        <values>
          <value>
            <val>0.01</val>
          </value>
        </values>
      </ddeItem>
      <ddeItem name="id478?multiplier" advise="1">
        <values>
          <value t="nil">
            <val>1</val>
          </value>
        </values>
      </ddeItem>
      <ddeItem name="id47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78?req?BWLD_STK_SMART_USD_~/" advise="1">
        <values>
          <value t="nil">
            <val>1</val>
          </value>
        </values>
      </ddeItem>
      <ddeItem name="id478?tradingClass" advise="1">
        <values>
          <value t="str">
            <val>NMS</val>
          </value>
        </values>
      </ddeItem>
      <ddeItem name="id478?validExchanges" advise="1">
        <values>
          <value t="str">
            <val>SMART,CBOE,ISE,CHX,ARCA,ISLAND,DRCTEDGE,NSX,BEX,BATS,EDGEA,CSFBALGO,JEFFALGO,BYX,IEX,TPLUS2,PSX</val>
          </value>
        </values>
      </ddeItem>
      <ddeItem name="id479?conid" advise="1">
        <values>
          <value>
            <val>179002152</val>
          </value>
        </values>
      </ddeItem>
      <ddeItem name="id479?marketName" advise="1">
        <values>
          <value t="str">
            <val>NMS</val>
          </value>
        </values>
      </ddeItem>
      <ddeItem name="id479?minTick" advise="1">
        <values>
          <value>
            <val>0.01</val>
          </value>
        </values>
      </ddeItem>
      <ddeItem name="id479?multiplier" advise="1">
        <values>
          <value t="nil">
            <val>1</val>
          </value>
        </values>
      </ddeItem>
      <ddeItem name="id47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79?req?QRVO_STK_SMART_USD_~/" advise="1">
        <values>
          <value t="nil">
            <val>1</val>
          </value>
        </values>
      </ddeItem>
      <ddeItem name="id479?tradingClass" advise="1">
        <values>
          <value t="str">
            <val>NMS</val>
          </value>
        </values>
      </ddeItem>
      <ddeItem name="id479?validExchanges" advise="1">
        <values>
          <value t="str">
            <val>SMART,CBOE,ISE,CHX,ARCA,ISLAND,DRCTEDGE,NSX,BEX,BATS,EDGEA,CSFBALGO,JEFFALGO,BYX,IEX,TPLUS2,PSX</val>
          </value>
        </values>
      </ddeItem>
      <ddeItem name="id48?conid" advise="1">
        <values>
          <value>
            <val>6437</val>
          </value>
        </values>
      </ddeItem>
      <ddeItem name="id48?marketName" advise="1">
        <values>
          <value t="str">
            <val>TGT</val>
          </value>
        </values>
      </ddeItem>
      <ddeItem name="id48?minTick" advise="1">
        <values>
          <value>
            <val>0.01</val>
          </value>
        </values>
      </ddeItem>
      <ddeItem name="id48?multiplier" advise="1">
        <values>
          <value t="nil">
            <val>1</val>
          </value>
        </values>
      </ddeItem>
      <ddeItem name="id4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8?req?TGT_STK_SMART_USD_~/" advise="1">
        <values>
          <value t="nil">
            <val>1</val>
          </value>
        </values>
      </ddeItem>
      <ddeItem name="id48?tradingClass" advise="1">
        <values>
          <value t="str">
            <val>TGT</val>
          </value>
        </values>
      </ddeItem>
      <ddeItem name="id48?validExchanges" advise="1">
        <values>
          <value t="str">
            <val>SMART,NYSE,CBOE,ISE,CHX,ARCA,ISLAND,VWAP,DRCTEDGE,NSX,BEX,BATS,EDGEA,CSFBALGO,JEFFALGO,BYX,IEX,TPLUS2,PSX</val>
          </value>
        </values>
      </ddeItem>
      <ddeItem name="id480?conid" advise="1">
        <values>
          <value>
            <val>3804335</val>
          </value>
        </values>
      </ddeItem>
      <ddeItem name="id480?marketName" advise="1">
        <values>
          <value t="str">
            <val>SAP</val>
          </value>
        </values>
      </ddeItem>
      <ddeItem name="id480?minTick" advise="1">
        <values>
          <value>
            <val>0.01</val>
          </value>
        </values>
      </ddeItem>
      <ddeItem name="id480?multiplier" advise="1">
        <values>
          <value t="nil">
            <val>1</val>
          </value>
        </values>
      </ddeItem>
      <ddeItem name="id48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80?req?SAP_STK_SMART_USD_~/" advise="1">
        <values>
          <value t="nil">
            <val>1</val>
          </value>
        </values>
      </ddeItem>
      <ddeItem name="id480?tradingClass" advise="1">
        <values>
          <value t="str">
            <val>SAP</val>
          </value>
        </values>
      </ddeItem>
      <ddeItem name="id480?validExchanges" advise="1">
        <values>
          <value t="str">
            <val>SMART,NYSE,CBOE,ISE,CHX,ARCA,ISLAND,VWAP,DRCTEDGE,NSX,BEX,BATS,EDGEA,CSFBALGO,JEFFALGO,BYX,IEX,TPLUS2,PSX</val>
          </value>
        </values>
      </ddeItem>
      <ddeItem name="id481?conid" advise="1">
        <values>
          <value>
            <val>10611</val>
          </value>
        </values>
      </ddeItem>
      <ddeItem name="id481?marketName" advise="1">
        <values>
          <value t="str">
            <val>NVO</val>
          </value>
        </values>
      </ddeItem>
      <ddeItem name="id481?minTick" advise="1">
        <values>
          <value>
            <val>0.01</val>
          </value>
        </values>
      </ddeItem>
      <ddeItem name="id481?multiplier" advise="1">
        <values>
          <value t="nil">
            <val>1</val>
          </value>
        </values>
      </ddeItem>
      <ddeItem name="id48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81?req?NVO_STK_SMART_USD_~/" advise="1">
        <values>
          <value t="nil">
            <val>1</val>
          </value>
        </values>
      </ddeItem>
      <ddeItem name="id481?tradingClass" advise="1">
        <values>
          <value t="str">
            <val>NVO</val>
          </value>
        </values>
      </ddeItem>
      <ddeItem name="id481?validExchanges" advise="1">
        <values>
          <value t="str">
            <val>SMART,NYSE,CBOE,ISE,CHX,ARCA,ISLAND,DRCTEDGE,NSX,BEX,BATS,EDGEA,CSFBALGO,JEFFALGO,BYX,IEX,TPLUS2,PSX</val>
          </value>
        </values>
      </ddeItem>
      <ddeItem name="id482?conid" advise="1">
        <values>
          <value>
            <val>27059190</val>
          </value>
        </values>
      </ddeItem>
      <ddeItem name="id482?marketName" advise="1">
        <values>
          <value t="str">
            <val>TPX</val>
          </value>
        </values>
      </ddeItem>
      <ddeItem name="id482?minTick" advise="1">
        <values>
          <value>
            <val>0.01</val>
          </value>
        </values>
      </ddeItem>
      <ddeItem name="id482?multiplier" advise="1">
        <values>
          <value t="nil">
            <val>1</val>
          </value>
        </values>
      </ddeItem>
      <ddeItem name="id48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82?req?TPX_STK_SMART_USD_~/" advise="1">
        <values>
          <value t="nil">
            <val>1</val>
          </value>
        </values>
      </ddeItem>
      <ddeItem name="id482?tradingClass" advise="1">
        <values>
          <value t="str">
            <val>TPX</val>
          </value>
        </values>
      </ddeItem>
      <ddeItem name="id482?validExchanges" advise="1">
        <values>
          <value t="str">
            <val>SMART,NYSE,CBOE,ISE,CHX,ARCA,ISLAND,DRCTEDGE,NSX,BEX,BATS,EDGEA,CSFBALGO,JEFFALGO,BYX,IEX,TPLUS2,PSX</val>
          </value>
        </values>
      </ddeItem>
      <ddeItem name="id483?conid" advise="1">
        <values>
          <value>
            <val>94078796</val>
          </value>
        </values>
      </ddeItem>
      <ddeItem name="id483?marketName" advise="1">
        <values>
          <value t="str">
            <val>FBHS</val>
          </value>
        </values>
      </ddeItem>
      <ddeItem name="id483?minTick" advise="1">
        <values>
          <value>
            <val>0.01</val>
          </value>
        </values>
      </ddeItem>
      <ddeItem name="id483?multiplier" advise="1">
        <values>
          <value t="nil">
            <val>1</val>
          </value>
        </values>
      </ddeItem>
      <ddeItem name="id48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83?req?FBHS_STK_SMART_USD_~/" advise="1">
        <values>
          <value t="nil">
            <val>1</val>
          </value>
        </values>
      </ddeItem>
      <ddeItem name="id483?tradingClass" advise="1">
        <values>
          <value t="str">
            <val>FBHS</val>
          </value>
        </values>
      </ddeItem>
      <ddeItem name="id483?validExchanges" advise="1">
        <values>
          <value t="str">
            <val>SMART,NYSE,CBOE,ISE,CHX,ARCA,ISLAND,DRCTEDGE,NSX,BEX,BATS,EDGEA,CSFBALGO,JEFFALGO,BYX,IEX,TPLUS2,PSX</val>
          </value>
        </values>
      </ddeItem>
      <ddeItem name="id484?conid" advise="1">
        <values>
          <value>
            <val>115353758</val>
          </value>
        </values>
      </ddeItem>
      <ddeItem name="id484?marketName" advise="1">
        <values>
          <value t="str">
            <val>NMS</val>
          </value>
        </values>
      </ddeItem>
      <ddeItem name="id484?minTick" advise="1">
        <values>
          <value>
            <val>0.01</val>
          </value>
        </values>
      </ddeItem>
      <ddeItem name="id484?multiplier" advise="1">
        <values>
          <value t="nil">
            <val>1</val>
          </value>
        </values>
      </ddeItem>
      <ddeItem name="id48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84?req?ICPT_STK_SMART_USD_~/" advise="1">
        <values>
          <value t="nil">
            <val>1</val>
          </value>
        </values>
      </ddeItem>
      <ddeItem name="id484?tradingClass" advise="1">
        <values>
          <value t="str">
            <val>NMS</val>
          </value>
        </values>
      </ddeItem>
      <ddeItem name="id484?validExchanges" advise="1">
        <values>
          <value t="str">
            <val>SMART,CBOE,ISE,CHX,ARCA,ISLAND,DRCTEDGE,NSX,BEX,BATS,EDGEA,CSFBALGO,JEFFALGO,BYX,IEX,TPLUS2,PSX</val>
          </value>
        </values>
      </ddeItem>
      <ddeItem name="id485?conid" advise="1">
        <values>
          <value>
            <val>6746357</val>
          </value>
        </values>
      </ddeItem>
      <ddeItem name="id485?marketName" advise="1">
        <values>
          <value t="str">
            <val>NMS</val>
          </value>
        </values>
      </ddeItem>
      <ddeItem name="id485?minTick" advise="1">
        <values>
          <value>
            <val>0.01</val>
          </value>
        </values>
      </ddeItem>
      <ddeItem name="id485?multiplier" advise="1">
        <values>
          <value t="nil">
            <val>1</val>
          </value>
        </values>
      </ddeItem>
      <ddeItem name="id48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85?req?UTHR_STK_SMART_USD_~/" advise="1">
        <values>
          <value t="nil">
            <val>1</val>
          </value>
        </values>
      </ddeItem>
      <ddeItem name="id485?tradingClass" advise="1">
        <values>
          <value t="str">
            <val>NMS</val>
          </value>
        </values>
      </ddeItem>
      <ddeItem name="id485?validExchanges" advise="1">
        <values>
          <value t="str">
            <val>SMART,CBOE,ISE,CHX,ARCA,ISLAND,DRCTEDGE,NSX,BEX,BATS,EDGEA,CSFBALGO,JEFFALGO,BYX,IEX,TPLUS2,PSX</val>
          </value>
        </values>
      </ddeItem>
      <ddeItem name="id486?conid" advise="1">
        <values>
          <value>
            <val>235248586</val>
          </value>
        </values>
      </ddeItem>
      <ddeItem name="id486?marketName" advise="1">
        <values>
          <value t="str">
            <val>WCN</val>
          </value>
        </values>
      </ddeItem>
      <ddeItem name="id486?minTick" advise="1">
        <values>
          <value>
            <val>0.01</val>
          </value>
        </values>
      </ddeItem>
      <ddeItem name="id486?multiplier" advise="1">
        <values>
          <value t="nil">
            <val>1</val>
          </value>
        </values>
      </ddeItem>
      <ddeItem name="id48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86?req?WCN_STK_SMART_USD_~/" advise="1">
        <values>
          <value t="nil">
            <val>1</val>
          </value>
        </values>
      </ddeItem>
      <ddeItem name="id486?tradingClass" advise="1">
        <values>
          <value t="str">
            <val>WCN</val>
          </value>
        </values>
      </ddeItem>
      <ddeItem name="id486?validExchanges" advise="1">
        <values>
          <value t="str">
            <val>SMART,NYSE,CBOE,ISE,CHX,ARCA,ISLAND,DRCTEDGE,NSX,BEX,BATS,EDGEA,CSFBALGO,JEFFALGO,BYX,IEX,TPLUS2,PSX</val>
          </value>
        </values>
      </ddeItem>
      <ddeItem name="id487?conid" advise="1">
        <values>
          <value>
            <val>135699190</val>
          </value>
        </values>
      </ddeItem>
      <ddeItem name="id487?marketName" advise="1">
        <values>
          <value t="str">
            <val>BURL</val>
          </value>
        </values>
      </ddeItem>
      <ddeItem name="id487?minTick" advise="1">
        <values>
          <value>
            <val>0.01</val>
          </value>
        </values>
      </ddeItem>
      <ddeItem name="id487?multiplier" advise="1">
        <values>
          <value t="nil">
            <val>1</val>
          </value>
        </values>
      </ddeItem>
      <ddeItem name="id48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87?req?BURL_STK_SMART_USD_~/" advise="1">
        <values>
          <value t="nil">
            <val>1</val>
          </value>
        </values>
      </ddeItem>
      <ddeItem name="id487?tradingClass" advise="1">
        <values>
          <value t="str">
            <val>BURL</val>
          </value>
        </values>
      </ddeItem>
      <ddeItem name="id487?validExchanges" advise="1">
        <values>
          <value t="str">
            <val>SMART,NYSE,CBOE,ISE,CHX,ARCA,ISLAND,DRCTEDGE,NSX,BEX,BATS,EDGEA,CSFBALGO,JEFFALGO,BYX,IEX,TPLUS2,PSX</val>
          </value>
        </values>
      </ddeItem>
      <ddeItem name="id488?conid" advise="1">
        <values>
          <value>
            <val>117902840</val>
          </value>
        </values>
      </ddeItem>
      <ddeItem name="id488?marketName" advise="1">
        <values>
          <value t="str">
            <val>NMS</val>
          </value>
        </values>
      </ddeItem>
      <ddeItem name="id488?minTick" advise="1">
        <values>
          <value>
            <val>0.01</val>
          </value>
        </values>
      </ddeItem>
      <ddeItem name="id488?multiplier" advise="1">
        <values>
          <value t="nil">
            <val>1</val>
          </value>
        </values>
      </ddeItem>
      <ddeItem name="id48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88?req?ASML_STK_SMART_USD_~/" advise="1">
        <values>
          <value t="nil">
            <val>1</val>
          </value>
        </values>
      </ddeItem>
      <ddeItem name="id488?tradingClass" advise="1">
        <values>
          <value t="str">
            <val>NMS</val>
          </value>
        </values>
      </ddeItem>
      <ddeItem name="id488?validExchanges" advise="1">
        <values>
          <value t="str">
            <val>SMART,CBOE,ISE,CHX,ARCA,ISLAND,DRCTEDGE,NSX,BEX,BATS,EDGEA,CSFBALGO,JEFFALGO,BYX,IEX,TPLUS2,PSX</val>
          </value>
        </values>
      </ddeItem>
      <ddeItem name="id489?conid" advise="1">
        <values>
          <value>
            <val>12844443</val>
          </value>
        </values>
      </ddeItem>
      <ddeItem name="id489?marketName" advise="1">
        <values>
          <value t="str">
            <val>BG</val>
          </value>
        </values>
      </ddeItem>
      <ddeItem name="id489?minTick" advise="1">
        <values>
          <value>
            <val>0.01</val>
          </value>
        </values>
      </ddeItem>
      <ddeItem name="id489?multiplier" advise="1">
        <values>
          <value t="nil">
            <val>1</val>
          </value>
        </values>
      </ddeItem>
      <ddeItem name="id48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89?req?BG_STK_SMART_USD_~/" advise="1">
        <values>
          <value t="nil">
            <val>1</val>
          </value>
        </values>
      </ddeItem>
      <ddeItem name="id489?tradingClass" advise="1">
        <values>
          <value t="str">
            <val>BG</val>
          </value>
        </values>
      </ddeItem>
      <ddeItem name="id489?validExchanges" advise="1">
        <values>
          <value t="str">
            <val>SMART,NYSE,CBOE,ISE,CHX,ARCA,ISLAND,DRCTEDGE,NSX,BEX,BATS,EDGEA,CSFBALGO,JEFFALGO,BYX,IEX,TPLUS2,PSX</val>
          </value>
        </values>
      </ddeItem>
      <ddeItem name="id49?conid" advise="1">
        <values>
          <value>
            <val>1311127</val>
          </value>
        </values>
      </ddeItem>
      <ddeItem name="id49?marketName" advise="1">
        <values>
          <value t="str">
            <val>DO</val>
          </value>
        </values>
      </ddeItem>
      <ddeItem name="id49?minTick" advise="1">
        <values>
          <value>
            <val>0.01</val>
          </value>
        </values>
      </ddeItem>
      <ddeItem name="id49?multiplier" advise="1">
        <values>
          <value t="nil">
            <val>1</val>
          </value>
        </values>
      </ddeItem>
      <ddeItem name="id4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9?req?DO_STK_SMART_USD_~/" advise="1">
        <values>
          <value t="nil">
            <val>1</val>
          </value>
        </values>
      </ddeItem>
      <ddeItem name="id49?tradingClass" advise="1">
        <values>
          <value t="str">
            <val>DO</val>
          </value>
        </values>
      </ddeItem>
      <ddeItem name="id49?validExchanges" advise="1">
        <values>
          <value t="str">
            <val>SMART,NYSE,CBOE,ISE,CHX,ARCA,ISLAND,VWAP,DRCTEDGE,NSX,BEX,BATS,EDGEA,CSFBALGO,JEFFALGO,BYX,IEX,TPLUS2,PSX</val>
          </value>
        </values>
      </ddeItem>
      <ddeItem name="id490?conid" advise="1">
        <values>
          <value>
            <val>2585438</val>
          </value>
        </values>
      </ddeItem>
      <ddeItem name="id490?marketName" advise="1">
        <values>
          <value t="str">
            <val>AGU</val>
          </value>
        </values>
      </ddeItem>
      <ddeItem name="id490?minTick" advise="1">
        <values>
          <value>
            <val>0.01</val>
          </value>
        </values>
      </ddeItem>
      <ddeItem name="id490?multiplier" advise="1">
        <values>
          <value t="nil">
            <val>1</val>
          </value>
        </values>
      </ddeItem>
      <ddeItem name="id49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90?req?AGU_STK_SMART_USD_~/" advise="1">
        <values>
          <value t="nil">
            <val>1</val>
          </value>
        </values>
      </ddeItem>
      <ddeItem name="id490?tradingClass" advise="1">
        <values>
          <value t="str">
            <val>AGU</val>
          </value>
        </values>
      </ddeItem>
      <ddeItem name="id490?validExchanges" advise="1">
        <values>
          <value t="str">
            <val>SMART,NYSE,CBOE,ISE,CHX,ARCA,ISLAND,VWAP,DRCTEDGE,NSX,BEX,BATS,EDGEA,CSFBALGO,JEFFALGO,BYX,IEX,TPLUS2,PSX</val>
          </value>
        </values>
      </ddeItem>
      <ddeItem name="id491?conid" advise="1">
        <values>
          <value>
            <val>7788</val>
          </value>
        </values>
      </ddeItem>
      <ddeItem name="id491?marketName" advise="1">
        <values>
          <value t="str">
            <val>DEO</val>
          </value>
        </values>
      </ddeItem>
      <ddeItem name="id491?minTick" advise="1">
        <values>
          <value>
            <val>0.01</val>
          </value>
        </values>
      </ddeItem>
      <ddeItem name="id491?multiplier" advise="1">
        <values>
          <value t="nil">
            <val>1</val>
          </value>
        </values>
      </ddeItem>
      <ddeItem name="id49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91?req?DEO_STK_SMART_USD_~/" advise="1">
        <values>
          <value t="nil">
            <val>1</val>
          </value>
        </values>
      </ddeItem>
      <ddeItem name="id491?tradingClass" advise="1">
        <values>
          <value t="str">
            <val>DEO</val>
          </value>
        </values>
      </ddeItem>
      <ddeItem name="id491?validExchanges" advise="1">
        <values>
          <value t="str">
            <val>SMART,NYSE,CBOE,ISE,CHX,ARCA,ISLAND,VWAP,DRCTEDGE,NSX,BEX,BATS,EDGEA,CSFBALGO,JEFFALGO,BYX,IEX,TPLUS2,PSX</val>
          </value>
        </values>
      </ddeItem>
      <ddeItem name="id492?conid" advise="1">
        <values>
          <value>
            <val>127284359</val>
          </value>
        </values>
      </ddeItem>
      <ddeItem name="id492?marketName" advise="1">
        <values>
          <value t="str">
            <val>Q</val>
          </value>
        </values>
      </ddeItem>
      <ddeItem name="id492?minTick" advise="1">
        <values>
          <value>
            <val>0.01</val>
          </value>
        </values>
      </ddeItem>
      <ddeItem name="id492?multiplier" advise="1">
        <values>
          <value t="nil">
            <val>1</val>
          </value>
        </values>
      </ddeItem>
      <ddeItem name="id49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92?req?Q_STK_SMART_USD_~/" advise="1">
        <values>
          <value t="nil">
            <val>1</val>
          </value>
        </values>
      </ddeItem>
      <ddeItem name="id492?tradingClass" advise="1">
        <values>
          <value t="str">
            <val>Q</val>
          </value>
        </values>
      </ddeItem>
      <ddeItem name="id492?validExchanges" advise="1">
        <values>
          <value t="str">
            <val>SMART,NYSE,CBOE,ISE,CHX,ARCA,ISLAND,DRCTEDGE,NSX,BEX,BATS,EDGEA,CSFBALGO,JEFFALGO,BYX,IEX,TPLUS2,PSX</val>
          </value>
        </values>
      </ddeItem>
      <ddeItem name="id493?conid" advise="1">
        <values>
          <value>
            <val>28488706</val>
          </value>
        </values>
      </ddeItem>
      <ddeItem name="id493?marketName" advise="1">
        <values>
          <value t="str">
            <val>NMS</val>
          </value>
        </values>
      </ddeItem>
      <ddeItem name="id493?minTick" advise="1">
        <values>
          <value>
            <val>0.01</val>
          </value>
        </values>
      </ddeItem>
      <ddeItem name="id493?multiplier" advise="1">
        <values>
          <value t="nil">
            <val>1</val>
          </value>
        </values>
      </ddeItem>
      <ddeItem name="id49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93?req?SBNY_STK_SMART_USD_~/" advise="1">
        <values>
          <value t="nil">
            <val>1</val>
          </value>
        </values>
      </ddeItem>
      <ddeItem name="id493?tradingClass" advise="1">
        <values>
          <value t="str">
            <val>NMS</val>
          </value>
        </values>
      </ddeItem>
      <ddeItem name="id493?validExchanges" advise="1">
        <values>
          <value t="str">
            <val>SMART,CBOE,ISE,CHX,ARCA,ISLAND,DRCTEDGE,NSX,BEX,BATS,EDGEA,CSFBALGO,JEFFALGO,BYX,IEX,TPLUS2,PSX</val>
          </value>
        </values>
      </ddeItem>
      <ddeItem name="id494?conid" advise="1">
        <values>
          <value>
            <val>47619244</val>
          </value>
        </values>
      </ddeItem>
      <ddeItem name="id494?marketName" advise="1">
        <values>
          <value t="str">
            <val>N</val>
          </value>
        </values>
      </ddeItem>
      <ddeItem name="id494?minTick" advise="1">
        <values>
          <value>
            <val>0.01</val>
          </value>
        </values>
      </ddeItem>
      <ddeItem name="id494?multiplier" advise="1">
        <values>
          <value t="nil">
            <val>1</val>
          </value>
        </values>
      </ddeItem>
      <ddeItem name="id49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94?req?N_STK_SMART_USD_~/" advise="1">
        <values>
          <value t="nil">
            <val>1</val>
          </value>
        </values>
      </ddeItem>
      <ddeItem name="id494?tradingClass" advise="1">
        <values>
          <value t="str">
            <val>N</val>
          </value>
        </values>
      </ddeItem>
      <ddeItem name="id494?validExchanges" advise="1">
        <values>
          <value t="str">
            <val>SMART,NYSE,CBOE,ISE,CHX,ARCA,ISLAND,DRCTEDGE,NSX,BEX,BATS,EDGEA,CSFBALGO,JEFFALGO,BYX,IEX,TPLUS2,PSX</val>
          </value>
        </values>
      </ddeItem>
      <ddeItem name="id495?conid" advise="1">
        <values>
          <value>
            <val>661633</val>
          </value>
        </values>
      </ddeItem>
      <ddeItem name="id495?marketName" advise="1">
        <values>
          <value t="str">
            <val>WAB</val>
          </value>
        </values>
      </ddeItem>
      <ddeItem name="id495?minTick" advise="1">
        <values>
          <value>
            <val>0.01</val>
          </value>
        </values>
      </ddeItem>
      <ddeItem name="id495?multiplier" advise="1">
        <values>
          <value t="nil">
            <val>1</val>
          </value>
        </values>
      </ddeItem>
      <ddeItem name="id49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95?req?WAB_STK_SMART_USD_~/" advise="1">
        <values>
          <value t="nil">
            <val>1</val>
          </value>
        </values>
      </ddeItem>
      <ddeItem name="id495?tradingClass" advise="1">
        <values>
          <value t="str">
            <val>WAB</val>
          </value>
        </values>
      </ddeItem>
      <ddeItem name="id495?validExchanges" advise="1">
        <values>
          <value t="str">
            <val>SMART,NYSE,CBOE,ISE,CHX,ARCA,ISLAND,DRCTEDGE,NSX,BEX,BATS,EDGEA,CSFBALGO,JEFFALGO,BYX,IEX,TPLUS2,PSX</val>
          </value>
        </values>
      </ddeItem>
      <ddeItem name="id496?conid" advise="1">
        <values>
          <value>
            <val>108773515</val>
          </value>
        </values>
      </ddeItem>
      <ddeItem name="id496?marketName" advise="1">
        <values>
          <value t="str">
            <val>NMS</val>
          </value>
        </values>
      </ddeItem>
      <ddeItem name="id496?minTick" advise="1">
        <values>
          <value>
            <val>0.01</val>
          </value>
        </values>
      </ddeItem>
      <ddeItem name="id496?multiplier" advise="1">
        <values>
          <value t="nil">
            <val>1</val>
          </value>
        </values>
      </ddeItem>
      <ddeItem name="id49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96?req?PDCE_STK_SMART_USD_~/" advise="1">
        <values>
          <value t="nil">
            <val>1</val>
          </value>
        </values>
      </ddeItem>
      <ddeItem name="id496?tradingClass" advise="1">
        <values>
          <value t="str">
            <val>NMS</val>
          </value>
        </values>
      </ddeItem>
      <ddeItem name="id496?validExchanges" advise="1">
        <values>
          <value t="str">
            <val>SMART,CBOE,ISE,CHX,ARCA,ISLAND,DRCTEDGE,NSX,BEX,BATS,EDGEA,CSFBALGO,JEFFALGO,BYX,IEX,TPLUS2,PSX</val>
          </value>
        </values>
      </ddeItem>
      <ddeItem name="id497?conid" advise="1">
        <values>
          <value>
            <val>13394</val>
          </value>
        </values>
      </ddeItem>
      <ddeItem name="id497?marketName" advise="1">
        <values>
          <value t="str">
            <val>VAL</val>
          </value>
        </values>
      </ddeItem>
      <ddeItem name="id497?minTick" advise="1">
        <values>
          <value>
            <val>0.01</val>
          </value>
        </values>
      </ddeItem>
      <ddeItem name="id497?multiplier" advise="1">
        <values>
          <value t="nil">
            <val>1</val>
          </value>
        </values>
      </ddeItem>
      <ddeItem name="id49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97?req?VAL_STK_SMART_USD_~/" advise="1">
        <values>
          <value t="nil">
            <val>1</val>
          </value>
        </values>
      </ddeItem>
      <ddeItem name="id497?tradingClass" advise="1">
        <values>
          <value t="str">
            <val>VAL</val>
          </value>
        </values>
      </ddeItem>
      <ddeItem name="id497?validExchanges" advise="1">
        <values>
          <value t="str">
            <val>SMART,NYSE,CBOE,ISE,CHX,ARCA,ISLAND,VWAP,DRCTEDGE,NSX,BEX,BATS,EDGEA,CSFBALGO,JEFFALGO,BYX,IEX,TPLUS2,PSX</val>
          </value>
        </values>
      </ddeItem>
      <ddeItem name="id498?conid" advise="1">
        <values>
          <value>
            <val>274385</val>
          </value>
        </values>
      </ddeItem>
      <ddeItem name="id498?marketName" advise="1">
        <values>
          <value t="str">
            <val>NMS</val>
          </value>
        </values>
      </ddeItem>
      <ddeItem name="id498?minTick" advise="1">
        <values>
          <value>
            <val>0.01</val>
          </value>
        </values>
      </ddeItem>
      <ddeItem name="id498?multiplier" advise="1">
        <values>
          <value t="nil">
            <val>1</val>
          </value>
        </values>
      </ddeItem>
      <ddeItem name="id49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98?req?SIVB_STK_SMART_USD_~/" advise="1">
        <values>
          <value t="nil">
            <val>1</val>
          </value>
        </values>
      </ddeItem>
      <ddeItem name="id498?tradingClass" advise="1">
        <values>
          <value t="str">
            <val>NMS</val>
          </value>
        </values>
      </ddeItem>
      <ddeItem name="id498?validExchanges" advise="1">
        <values>
          <value t="str">
            <val>SMART,CBOE,ISE,CHX,ARCA,ISLAND,VWAP,DRCTEDGE,NSX,BEX,BATS,EDGEA,CSFBALGO,JEFFALGO,BYX,IEX,TPLUS2,PSX</val>
          </value>
        </values>
      </ddeItem>
      <ddeItem name="id499?conid" advise="1">
        <values>
          <value>
            <val>5754</val>
          </value>
        </values>
      </ddeItem>
      <ddeItem name="id499?marketName" advise="1">
        <values>
          <value t="str">
            <val>CLB</val>
          </value>
        </values>
      </ddeItem>
      <ddeItem name="id499?minTick" advise="1">
        <values>
          <value>
            <val>0.01</val>
          </value>
        </values>
      </ddeItem>
      <ddeItem name="id499?multiplier" advise="1">
        <values>
          <value t="nil">
            <val>1</val>
          </value>
        </values>
      </ddeItem>
      <ddeItem name="id49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499?req?CLB_STK_SMART_USD_~/" advise="1">
        <values>
          <value t="nil">
            <val>1</val>
          </value>
        </values>
      </ddeItem>
      <ddeItem name="id499?tradingClass" advise="1">
        <values>
          <value t="str">
            <val>CLB</val>
          </value>
        </values>
      </ddeItem>
      <ddeItem name="id499?validExchanges" advise="1">
        <values>
          <value t="str">
            <val>SMART,NYSE,CBOE,ISE,CHX,ARCA,ISLAND,DRCTEDGE,NSX,BEX,BATS,EDGEA,CSFBALGO,JEFFALGO,BYX,IEX,TPLUS2,PSX</val>
          </value>
        </values>
      </ddeItem>
      <ddeItem name="id5?conid" advise="1">
        <values>
          <value>
            <val>5026974</val>
          </value>
        </values>
      </ddeItem>
      <ddeItem name="id5?marketName" advise="1">
        <values>
          <value t="str">
            <val>AVB</val>
          </value>
        </values>
      </ddeItem>
      <ddeItem name="id5?minTick" advise="1">
        <values>
          <value>
            <val>0.01</val>
          </value>
        </values>
      </ddeItem>
      <ddeItem name="id5?multiplier" advise="1">
        <values>
          <value t="nil">
            <val>1</val>
          </value>
        </values>
      </ddeItem>
      <ddeItem name="id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req?AVB_STK_SMART_USD_~/" advise="1">
        <values>
          <value t="nil">
            <val>1</val>
          </value>
        </values>
      </ddeItem>
      <ddeItem name="id5?tradingClass" advise="1">
        <values>
          <value t="str">
            <val>AVB</val>
          </value>
        </values>
      </ddeItem>
      <ddeItem name="id5?validExchanges" advise="1">
        <values>
          <value t="str">
            <val>SMART,NYSE,CBOE,ISE,CHX,ARCA,ISLAND,VWAP,DRCTEDGE,NSX,BEX,BATS,EDGEA,CSFBALGO,JEFFALGO,BYX,IEX,TPLUS2,PSX</val>
          </value>
        </values>
      </ddeItem>
      <ddeItem name="id50?conid" advise="1">
        <values>
          <value>
            <val>6393</val>
          </value>
        </values>
      </ddeItem>
      <ddeItem name="id50?marketName" advise="1">
        <values>
          <value t="str">
            <val>DE</val>
          </value>
        </values>
      </ddeItem>
      <ddeItem name="id50?minTick" advise="1">
        <values>
          <value>
            <val>0.01</val>
          </value>
        </values>
      </ddeItem>
      <ddeItem name="id50?multiplier" advise="1">
        <values>
          <value t="nil">
            <val>1</val>
          </value>
        </values>
      </ddeItem>
      <ddeItem name="id5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0?req?DE_STK_SMART_USD_~/" advise="1">
        <values>
          <value t="nil">
            <val>1</val>
          </value>
        </values>
      </ddeItem>
      <ddeItem name="id50?tradingClass" advise="1">
        <values>
          <value t="str">
            <val>DE</val>
          </value>
        </values>
      </ddeItem>
      <ddeItem name="id50?validExchanges" advise="1">
        <values>
          <value t="str">
            <val>SMART,NYSE,CBOE,ISE,CHX,ARCA,ISLAND,VWAP,DRCTEDGE,NSX,BEX,BATS,EDGEA,CSFBALGO,JEFFALGO,BYX,IEX,TPLUS2,PSX</val>
          </value>
        </values>
      </ddeItem>
      <ddeItem name="id500?conid" advise="1">
        <values>
          <value>
            <val>26593783</val>
          </value>
        </values>
      </ddeItem>
      <ddeItem name="id500?marketName" advise="1">
        <values>
          <value t="str">
            <val>CRI</val>
          </value>
        </values>
      </ddeItem>
      <ddeItem name="id500?minTick" advise="1">
        <values>
          <value>
            <val>0.01</val>
          </value>
        </values>
      </ddeItem>
      <ddeItem name="id500?multiplier" advise="1">
        <values>
          <value t="nil">
            <val>1</val>
          </value>
        </values>
      </ddeItem>
      <ddeItem name="id50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00?req?CRI_STK_SMART_USD_~/" advise="1">
        <values>
          <value t="nil">
            <val>1</val>
          </value>
        </values>
      </ddeItem>
      <ddeItem name="id500?tradingClass" advise="1">
        <values>
          <value t="str">
            <val>CRI</val>
          </value>
        </values>
      </ddeItem>
      <ddeItem name="id500?validExchanges" advise="1">
        <values>
          <value t="str">
            <val>SMART,NYSE,CBOE,ISE,CHX,ARCA,ISLAND,DRCTEDGE,NSX,BEX,BATS,EDGEA,CSFBALGO,JEFFALGO,BYX,IEX,TPLUS2,PSX</val>
          </value>
        </values>
      </ddeItem>
      <ddeItem name="id501?conid" advise="1">
        <values>
          <value>
            <val>34563763</val>
          </value>
        </values>
      </ddeItem>
      <ddeItem name="id501?marketName" advise="1">
        <values>
          <value t="str">
            <val>THS</val>
          </value>
        </values>
      </ddeItem>
      <ddeItem name="id501?minTick" advise="1">
        <values>
          <value>
            <val>0.01</val>
          </value>
        </values>
      </ddeItem>
      <ddeItem name="id501?multiplier" advise="1">
        <values>
          <value t="nil">
            <val>1</val>
          </value>
        </values>
      </ddeItem>
      <ddeItem name="id50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01?req?THS_STK_SMART_USD_~/" advise="1">
        <values>
          <value t="nil">
            <val>1</val>
          </value>
        </values>
      </ddeItem>
      <ddeItem name="id501?tradingClass" advise="1">
        <values>
          <value t="str">
            <val>THS</val>
          </value>
        </values>
      </ddeItem>
      <ddeItem name="id501?validExchanges" advise="1">
        <values>
          <value t="str">
            <val>SMART,NYSE,CBOE,ISE,CHX,ARCA,ISLAND,DRCTEDGE,NSX,BEX,BATS,EDGEA,CSFBALGO,JEFFALGO,BYX,IEX,TPLUS2,PSX</val>
          </value>
        </values>
      </ddeItem>
      <ddeItem name="id502?conid" advise="1">
        <values>
          <value>
            <val>2008980</val>
          </value>
        </values>
      </ddeItem>
      <ddeItem name="id502?marketName" advise="1">
        <values>
          <value t="str">
            <val>RY</val>
          </value>
        </values>
      </ddeItem>
      <ddeItem name="id502?minTick" advise="1">
        <values>
          <value>
            <val>0.01</val>
          </value>
        </values>
      </ddeItem>
      <ddeItem name="id502?multiplier" advise="1">
        <values>
          <value t="nil">
            <val>1</val>
          </value>
        </values>
      </ddeItem>
      <ddeItem name="id50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02?req?RY_STK_SMART_USD_~/" advise="1">
        <values>
          <value t="nil">
            <val>1</val>
          </value>
        </values>
      </ddeItem>
      <ddeItem name="id502?tradingClass" advise="1">
        <values>
          <value t="str">
            <val>RY</val>
          </value>
        </values>
      </ddeItem>
      <ddeItem name="id502?validExchanges" advise="1">
        <values>
          <value t="str">
            <val>SMART,NYSE,CBOE,ISE,CHX,ARCA,ISLAND,VWAP,DRCTEDGE,NSX,BEX,BATS,EDGEA,CSFBALGO,JEFFALGO,BYX,IEX,TPLUS2,PSX</val>
          </value>
        </values>
      </ddeItem>
      <ddeItem name="id503?conid" advise="1">
        <values>
          <value>
            <val>21555838</val>
          </value>
        </values>
      </ddeItem>
      <ddeItem name="id503?marketName" advise="1">
        <values>
          <value t="str">
            <val>MMP</val>
          </value>
        </values>
      </ddeItem>
      <ddeItem name="id503?minTick" advise="1">
        <values>
          <value>
            <val>0.01</val>
          </value>
        </values>
      </ddeItem>
      <ddeItem name="id503?multiplier" advise="1">
        <values>
          <value t="nil">
            <val>1</val>
          </value>
        </values>
      </ddeItem>
      <ddeItem name="id50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03?req?MMP_STK_SMART_USD_~/" advise="1">
        <values>
          <value t="nil">
            <val>1</val>
          </value>
        </values>
      </ddeItem>
      <ddeItem name="id503?tradingClass" advise="1">
        <values>
          <value t="str">
            <val>MMP</val>
          </value>
        </values>
      </ddeItem>
      <ddeItem name="id503?validExchanges" advise="1">
        <values>
          <value t="str">
            <val>SMART,NYSE,CBOE,ISE,CHX,ARCA,ISLAND,DRCTEDGE,NSX,BEX,BATS,EDGEA,CSFBALGO,JEFFALGO,BYX,IEX,TPLUS2,PSX</val>
          </value>
        </values>
      </ddeItem>
      <ddeItem name="id504?conid" advise="1">
        <values>
          <value>
            <val>7740411</val>
          </value>
        </values>
      </ddeItem>
      <ddeItem name="id504?marketName" advise="1">
        <values>
          <value t="str">
            <val>PKG</val>
          </value>
        </values>
      </ddeItem>
      <ddeItem name="id504?minTick" advise="1">
        <values>
          <value>
            <val>0.01</val>
          </value>
        </values>
      </ddeItem>
      <ddeItem name="id504?multiplier" advise="1">
        <values>
          <value t="nil">
            <val>1</val>
          </value>
        </values>
      </ddeItem>
      <ddeItem name="id50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04?req?PKG_STK_SMART_USD_~/" advise="1">
        <values>
          <value t="nil">
            <val>1</val>
          </value>
        </values>
      </ddeItem>
      <ddeItem name="id504?tradingClass" advise="1">
        <values>
          <value t="str">
            <val>PKG</val>
          </value>
        </values>
      </ddeItem>
      <ddeItem name="id504?validExchanges" advise="1">
        <values>
          <value t="str">
            <val>SMART,NYSE,CBOE,ISE,CHX,ARCA,ISLAND,DRCTEDGE,NSX,BEX,BATS,EDGEA,CSFBALGO,JEFFALGO,BYX,IEX,TPLUS2,PSX</val>
          </value>
        </values>
      </ddeItem>
      <ddeItem name="id505?conid" advise="1">
        <values>
          <value>
            <val>4457163</val>
          </value>
        </values>
      </ddeItem>
      <ddeItem name="id505?marketName" advise="1">
        <values>
          <value t="str">
            <val>CNI</val>
          </value>
        </values>
      </ddeItem>
      <ddeItem name="id505?minTick" advise="1">
        <values>
          <value>
            <val>0.01</val>
          </value>
        </values>
      </ddeItem>
      <ddeItem name="id505?multiplier" advise="1">
        <values>
          <value t="nil">
            <val>1</val>
          </value>
        </values>
      </ddeItem>
      <ddeItem name="id50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05?req?CNI_STK_SMART_USD_~/" advise="1">
        <values>
          <value t="nil">
            <val>1</val>
          </value>
        </values>
      </ddeItem>
      <ddeItem name="id505?tradingClass" advise="1">
        <values>
          <value t="str">
            <val>CNI</val>
          </value>
        </values>
      </ddeItem>
      <ddeItem name="id505?validExchanges" advise="1">
        <values>
          <value t="str">
            <val>SMART,NYSE,CBOE,ISE,CHX,ARCA,ISLAND,VWAP,DRCTEDGE,NSX,BEX,BATS,EDGEA,CSFBALGO,JEFFALGO,BYX,IEX,TPLUS2,PSX</val>
          </value>
        </values>
      </ddeItem>
      <ddeItem name="id506?conid" advise="1">
        <values>
          <value>
            <val>70363051</val>
          </value>
        </values>
      </ddeItem>
      <ddeItem name="id506?marketName" advise="1">
        <values>
          <value t="str">
            <val>NMS</val>
          </value>
        </values>
      </ddeItem>
      <ddeItem name="id506?minTick" advise="1">
        <values>
          <value>
            <val>0.01</val>
          </value>
        </values>
      </ddeItem>
      <ddeItem name="id506?multiplier" advise="1">
        <values>
          <value t="nil">
            <val>1</val>
          </value>
        </values>
      </ddeItem>
      <ddeItem name="id50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06?req?VCIT_STK_SMART_USD_~/" advise="1">
        <values>
          <value t="nil">
            <val>1</val>
          </value>
        </values>
      </ddeItem>
      <ddeItem name="id506?tradingClass" advise="1">
        <values>
          <value t="str">
            <val>NMS</val>
          </value>
        </values>
      </ddeItem>
      <ddeItem name="id506?validExchanges" advise="1">
        <values>
          <value t="str">
            <val>SMART,CBOE,ISE,CHX,ARCA,ISLAND,DRCTEDGE,NSX,BEX,BATS,EDGEA,CSFBALGO,JEFFALGO,BYX,IEX,TPLUS2,PSX</val>
          </value>
        </values>
      </ddeItem>
      <ddeItem name="id507?conid" advise="1">
        <values>
          <value>
            <val>100547520</val>
          </value>
        </values>
      </ddeItem>
      <ddeItem name="id507?marketName" advise="1">
        <values>
          <value t="str">
            <val>POST</val>
          </value>
        </values>
      </ddeItem>
      <ddeItem name="id507?minTick" advise="1">
        <values>
          <value>
            <val>0.01</val>
          </value>
        </values>
      </ddeItem>
      <ddeItem name="id507?multiplier" advise="1">
        <values>
          <value t="nil">
            <val>1</val>
          </value>
        </values>
      </ddeItem>
      <ddeItem name="id50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07?req?POST_STK_SMART_USD_~/" advise="1">
        <values>
          <value t="nil">
            <val>1</val>
          </value>
        </values>
      </ddeItem>
      <ddeItem name="id507?tradingClass" advise="1">
        <values>
          <value t="str">
            <val>POST</val>
          </value>
        </values>
      </ddeItem>
      <ddeItem name="id507?validExchanges" advise="1">
        <values>
          <value t="str">
            <val>SMART,NYSE,CBOE,ISE,CHX,ARCA,ISLAND,DRCTEDGE,NSX,BEX,BATS,EDGEA,CSFBALGO,JEFFALGO,BYX,IEX,TPLUS2,PSX</val>
          </value>
        </values>
      </ddeItem>
      <ddeItem name="id508?conid" advise="1">
        <values>
          <value>
            <val>137497719</val>
          </value>
        </values>
      </ddeItem>
      <ddeItem name="id508?marketName" advise="1">
        <values>
          <value t="str">
            <val>WUBA</val>
          </value>
        </values>
      </ddeItem>
      <ddeItem name="id508?minTick" advise="1">
        <values>
          <value>
            <val>0.01</val>
          </value>
        </values>
      </ddeItem>
      <ddeItem name="id508?multiplier" advise="1">
        <values>
          <value t="nil">
            <val>1</val>
          </value>
        </values>
      </ddeItem>
      <ddeItem name="id50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08?req?WUBA_STK_SMART_USD_~/" advise="1">
        <values>
          <value t="nil">
            <val>1</val>
          </value>
        </values>
      </ddeItem>
      <ddeItem name="id508?tradingClass" advise="1">
        <values>
          <value t="str">
            <val>WUBA</val>
          </value>
        </values>
      </ddeItem>
      <ddeItem name="id508?validExchanges" advise="1">
        <values>
          <value t="str">
            <val>SMART,NYSE,CBOE,ISE,CHX,ARCA,ISLAND,DRCTEDGE,NSX,BEX,BATS,EDGEA,CSFBALGO,JEFFALGO,BYX,IEX,TPLUS2,PSX</val>
          </value>
        </values>
      </ddeItem>
      <ddeItem name="id509?conid" advise="1">
        <values>
          <value>
            <val>6477825</val>
          </value>
        </values>
      </ddeItem>
      <ddeItem name="id509?marketName" advise="1">
        <values>
          <value t="str">
            <val>NMS</val>
          </value>
        </values>
      </ddeItem>
      <ddeItem name="id509?minTick" advise="1">
        <values>
          <value>
            <val>0.01</val>
          </value>
        </values>
      </ddeItem>
      <ddeItem name="id509?multiplier" advise="1">
        <values>
          <value t="nil">
            <val>1</val>
          </value>
        </values>
      </ddeItem>
      <ddeItem name="id50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09?req?JACK_STK_SMART_USD_~/" advise="1">
        <values>
          <value t="nil">
            <val>1</val>
          </value>
        </values>
      </ddeItem>
      <ddeItem name="id509?tradingClass" advise="1">
        <values>
          <value t="str">
            <val>NMS</val>
          </value>
        </values>
      </ddeItem>
      <ddeItem name="id509?validExchanges" advise="1">
        <values>
          <value t="str">
            <val>SMART,CBOE,ISE,CHX,ARCA,ISLAND,DRCTEDGE,NSX,BEX,BATS,EDGEA,CSFBALGO,JEFFALGO,BYX,IEX,TPLUS2,PSX</val>
          </value>
        </values>
      </ddeItem>
      <ddeItem name="id51?conid" advise="1">
        <values>
          <value>
            <val>2841574</val>
          </value>
        </values>
      </ddeItem>
      <ddeItem name="id51?marketName" advise="1">
        <values>
          <value t="str">
            <val>MS</val>
          </value>
        </values>
      </ddeItem>
      <ddeItem name="id51?minTick" advise="1">
        <values>
          <value>
            <val>0.01</val>
          </value>
        </values>
      </ddeItem>
      <ddeItem name="id51?multiplier" advise="1">
        <values>
          <value t="nil">
            <val>1</val>
          </value>
        </values>
      </ddeItem>
      <ddeItem name="id5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1?req?MS_STK_SMART_USD_~/" advise="1">
        <values>
          <value t="nil">
            <val>1</val>
          </value>
        </values>
      </ddeItem>
      <ddeItem name="id51?tradingClass" advise="1">
        <values>
          <value t="str">
            <val>MS</val>
          </value>
        </values>
      </ddeItem>
      <ddeItem name="id51?validExchanges" advise="1">
        <values>
          <value t="str">
            <val>SMART,NYSE,CBOE,ISE,CHX,ARCA,ISLAND,VWAP,DRCTEDGE,NSX,BEX,BATS,EDGEA,CSFBALGO,JEFFALGO,BYX,IEX,TPLUS2,PSX</val>
          </value>
        </values>
      </ddeItem>
      <ddeItem name="id510?conid" advise="1">
        <values>
          <value>
            <val>28861260</val>
          </value>
        </values>
      </ddeItem>
      <ddeItem name="id510?marketName" advise="1">
        <values>
          <value t="str">
            <val>NMS</val>
          </value>
        </values>
      </ddeItem>
      <ddeItem name="id510?minTick" advise="1">
        <values>
          <value>
            <val>0.01</val>
          </value>
        </values>
      </ddeItem>
      <ddeItem name="id510?multiplier" advise="1">
        <values>
          <value t="nil">
            <val>1</val>
          </value>
        </values>
      </ddeItem>
      <ddeItem name="id51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10?req?STMP_STK_SMART_USD_~/" advise="1">
        <values>
          <value t="nil">
            <val>1</val>
          </value>
        </values>
      </ddeItem>
      <ddeItem name="id510?tradingClass" advise="1">
        <values>
          <value t="str">
            <val>NMS</val>
          </value>
        </values>
      </ddeItem>
      <ddeItem name="id510?validExchanges" advise="1">
        <values>
          <value t="str">
            <val>SMART,CBOE,ISE,CHX,ARCA,ISLAND,DRCTEDGE,NSX,BEX,BATS,EDGEA,CSFBALGO,JEFFALGO,BYX,IEX,TPLUS2,PSX</val>
          </value>
        </values>
      </ddeItem>
      <ddeItem name="id511?conid" advise="1">
        <values>
          <value>
            <val>33837089</val>
          </value>
        </values>
      </ddeItem>
      <ddeItem name="id511?marketName" advise="1">
        <values>
          <value t="str">
            <val>NMS</val>
          </value>
        </values>
      </ddeItem>
      <ddeItem name="id511?minTick" advise="1">
        <values>
          <value>
            <val>0.01</val>
          </value>
        </values>
      </ddeItem>
      <ddeItem name="id511?multiplier" advise="1">
        <values>
          <value t="nil">
            <val>1</val>
          </value>
        </values>
      </ddeItem>
      <ddeItem name="id51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11?req?DXCM_STK_SMART_USD_~/" advise="1">
        <values>
          <value t="nil">
            <val>1</val>
          </value>
        </values>
      </ddeItem>
      <ddeItem name="id511?tradingClass" advise="1">
        <values>
          <value t="str">
            <val>NMS</val>
          </value>
        </values>
      </ddeItem>
      <ddeItem name="id511?validExchanges" advise="1">
        <values>
          <value t="str">
            <val>SMART,CBOE,ISE,CHX,ARCA,ISLAND,DRCTEDGE,NSX,BEX,BATS,EDGEA,CSFBALGO,JEFFALGO,BYX,IEX,TPLUS2,PSX</val>
          </value>
        </values>
      </ddeItem>
      <ddeItem name="id512?conid" advise="1">
        <values>
          <value>
            <val>29442968</val>
          </value>
        </values>
      </ddeItem>
      <ddeItem name="id512?marketName" advise="1">
        <values>
          <value t="str">
            <val>NMS</val>
          </value>
        </values>
      </ddeItem>
      <ddeItem name="id512?minTick" advise="1">
        <values>
          <value>
            <val>0.01</val>
          </value>
        </values>
      </ddeItem>
      <ddeItem name="id512?multiplier" advise="1">
        <values>
          <value t="nil">
            <val>1</val>
          </value>
        </values>
      </ddeItem>
      <ddeItem name="id51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12?req?ALNY_STK_SMART_USD_~/" advise="1">
        <values>
          <value t="nil">
            <val>1</val>
          </value>
        </values>
      </ddeItem>
      <ddeItem name="id512?tradingClass" advise="1">
        <values>
          <value t="str">
            <val>NMS</val>
          </value>
        </values>
      </ddeItem>
      <ddeItem name="id512?validExchanges" advise="1">
        <values>
          <value t="str">
            <val>SMART,CBOE,ISE,CHX,ARCA,ISLAND,DRCTEDGE,NSX,BEX,BATS,EDGEA,CSFBALGO,JEFFALGO,BYX,IEX,TPLUS2,PSX</val>
          </value>
        </values>
      </ddeItem>
      <ddeItem name="id513?conid" advise="1">
        <values>
          <value>
            <val>5960</val>
          </value>
        </values>
      </ddeItem>
      <ddeItem name="id513?marketName" advise="1">
        <values>
          <value t="str">
            <val>COO</val>
          </value>
        </values>
      </ddeItem>
      <ddeItem name="id513?minTick" advise="1">
        <values>
          <value>
            <val>0.01</val>
          </value>
        </values>
      </ddeItem>
      <ddeItem name="id513?multiplier" advise="1">
        <values>
          <value t="nil">
            <val>1</val>
          </value>
        </values>
      </ddeItem>
      <ddeItem name="id51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13?req?COO_STK_SMART_USD_~/" advise="1">
        <values>
          <value t="nil">
            <val>1</val>
          </value>
        </values>
      </ddeItem>
      <ddeItem name="id513?tradingClass" advise="1">
        <values>
          <value t="str">
            <val>COO</val>
          </value>
        </values>
      </ddeItem>
      <ddeItem name="id513?validExchanges" advise="1">
        <values>
          <value t="str">
            <val>SMART,NYSE,CBOE,ISE,CHX,ARCA,ISLAND,DRCTEDGE,NSX,BEX,BATS,EDGEA,CSFBALGO,JEFFALGO,BYX,IEX,TPLUS2,PSX</val>
          </value>
        </values>
      </ddeItem>
      <ddeItem name="id514?conid" advise="1">
        <values>
          <value>
            <val>81731135</val>
          </value>
        </values>
      </ddeItem>
      <ddeItem name="id514?marketName" advise="1">
        <values>
          <value t="str">
            <val>FRC</val>
          </value>
        </values>
      </ddeItem>
      <ddeItem name="id514?minTick" advise="1">
        <values>
          <value>
            <val>0.01</val>
          </value>
        </values>
      </ddeItem>
      <ddeItem name="id514?multiplier" advise="1">
        <values>
          <value t="nil">
            <val>1</val>
          </value>
        </values>
      </ddeItem>
      <ddeItem name="id51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14?req?FRC_STK_SMART_USD_~/" advise="1">
        <values>
          <value t="nil">
            <val>1</val>
          </value>
        </values>
      </ddeItem>
      <ddeItem name="id514?tradingClass" advise="1">
        <values>
          <value t="str">
            <val>FRC</val>
          </value>
        </values>
      </ddeItem>
      <ddeItem name="id514?validExchanges" advise="1">
        <values>
          <value t="str">
            <val>SMART,NYSE,ISE,CHX,ARCA,ISLAND,DRCTEDGE,NSX,BEX,BATS,EDGEA,CSFBALGO,JEFFALGO,BYX,IEX,TPLUS2,PSX</val>
          </value>
        </values>
      </ddeItem>
      <ddeItem name="id515?conid" advise="1">
        <values>
          <value>
            <val>4817352</val>
          </value>
        </values>
      </ddeItem>
      <ddeItem name="id515?marketName" advise="1">
        <values>
          <value t="str">
            <val>RMD</val>
          </value>
        </values>
      </ddeItem>
      <ddeItem name="id515?minTick" advise="1">
        <values>
          <value>
            <val>0.01</val>
          </value>
        </values>
      </ddeItem>
      <ddeItem name="id515?multiplier" advise="1">
        <values>
          <value t="nil">
            <val>1</val>
          </value>
        </values>
      </ddeItem>
      <ddeItem name="id51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15?req?RMD_STK_SMART_USD_~/" advise="1">
        <values>
          <value t="nil">
            <val>1</val>
          </value>
        </values>
      </ddeItem>
      <ddeItem name="id515?tradingClass" advise="1">
        <values>
          <value t="str">
            <val>RMD</val>
          </value>
        </values>
      </ddeItem>
      <ddeItem name="id515?validExchanges" advise="1">
        <values>
          <value t="str">
            <val>SMART,NYSE,CBOE,ISE,CHX,ARCA,ISLAND,DRCTEDGE,NSX,BEX,BATS,EDGEA,CSFBALGO,JEFFALGO,BYX,IEX,TPLUS2,PSX</val>
          </value>
        </values>
      </ddeItem>
      <ddeItem name="id516?conid" advise="1">
        <values>
          <value>
            <val>107051249</val>
          </value>
        </values>
      </ddeItem>
      <ddeItem name="id516?marketName" advise="1">
        <values>
          <value t="str">
            <val>INGR</val>
          </value>
        </values>
      </ddeItem>
      <ddeItem name="id516?minTick" advise="1">
        <values>
          <value>
            <val>0.01</val>
          </value>
        </values>
      </ddeItem>
      <ddeItem name="id516?multiplier" advise="1">
        <values>
          <value t="nil">
            <val>1</val>
          </value>
        </values>
      </ddeItem>
      <ddeItem name="id51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16?req?INGR_STK_SMART_USD_~/" advise="1">
        <values>
          <value t="nil">
            <val>1</val>
          </value>
        </values>
      </ddeItem>
      <ddeItem name="id516?tradingClass" advise="1">
        <values>
          <value t="str">
            <val>INGR</val>
          </value>
        </values>
      </ddeItem>
      <ddeItem name="id516?validExchanges" advise="1">
        <values>
          <value t="str">
            <val>SMART,NYSE,CBOE,ISE,CHX,ARCA,ISLAND,DRCTEDGE,NSX,BEX,BATS,EDGEA,CSFBALGO,JEFFALGO,BYX,IEX,TPLUS2,PSX</val>
          </value>
        </values>
      </ddeItem>
      <ddeItem name="id517?conid" advise="1">
        <values>
          <value>
            <val>69238858</val>
          </value>
        </values>
      </ddeItem>
      <ddeItem name="id517?marketName" advise="1">
        <values>
          <value t="str">
            <val>FNV</val>
          </value>
        </values>
      </ddeItem>
      <ddeItem name="id517?minTick" advise="1">
        <values>
          <value>
            <val>0.01</val>
          </value>
        </values>
      </ddeItem>
      <ddeItem name="id517?multiplier" advise="1">
        <values>
          <value t="nil">
            <val>1</val>
          </value>
        </values>
      </ddeItem>
      <ddeItem name="id51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17?req?FNV_STK_SMART_USD_~/" advise="1">
        <values>
          <value t="nil">
            <val>1</val>
          </value>
        </values>
      </ddeItem>
      <ddeItem name="id517?tradingClass" advise="1">
        <values>
          <value t="str">
            <val>FNV</val>
          </value>
        </values>
      </ddeItem>
      <ddeItem name="id517?validExchanges" advise="1">
        <values>
          <value t="str">
            <val>SMART,NYSE,CBOE,ISE,CHX,ARCA,ISLAND,DRCTEDGE,NSX,BEX,BATS,EDGEA,CSFBALGO,JEFFALGO,BYX,IEX,TPLUS2,PSX</val>
          </value>
        </values>
      </ddeItem>
      <ddeItem name="id518?conid" advise="1">
        <values>
          <value>
            <val>6477908</val>
          </value>
        </values>
      </ddeItem>
      <ddeItem name="id518?marketName" advise="1">
        <values>
          <value t="str">
            <val>MTD</val>
          </value>
        </values>
      </ddeItem>
      <ddeItem name="id518?minTick" advise="1">
        <values>
          <value>
            <val>0.01</val>
          </value>
        </values>
      </ddeItem>
      <ddeItem name="id518?multiplier" advise="1">
        <values>
          <value t="nil">
            <val>1</val>
          </value>
        </values>
      </ddeItem>
      <ddeItem name="id51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18?req?MTD_STK_SMART_USD_~/" advise="1">
        <values>
          <value t="nil">
            <val>1</val>
          </value>
        </values>
      </ddeItem>
      <ddeItem name="id518?tradingClass" advise="1">
        <values>
          <value t="str">
            <val>MTD</val>
          </value>
        </values>
      </ddeItem>
      <ddeItem name="id518?validExchanges" advise="1">
        <values>
          <value t="str">
            <val>SMART,NYSE,ISE,CHX,ARCA,ISLAND,DRCTEDGE,NSX,BEX,BATS,EDGEA,CSFBALGO,JEFFALGO,BYX,IEX,TPLUS2,PSX</val>
          </value>
        </values>
      </ddeItem>
      <ddeItem name="id519?conid" advise="1">
        <values>
          <value>
            <val>32943358</val>
          </value>
        </values>
      </ddeItem>
      <ddeItem name="id519?marketName" advise="1">
        <values>
          <value t="str">
            <val>CE</val>
          </value>
        </values>
      </ddeItem>
      <ddeItem name="id519?minTick" advise="1">
        <values>
          <value>
            <val>0.01</val>
          </value>
        </values>
      </ddeItem>
      <ddeItem name="id519?multiplier" advise="1">
        <values>
          <value t="nil">
            <val>1</val>
          </value>
        </values>
      </ddeItem>
      <ddeItem name="id51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19?req?CE_STK_SMART_USD_~/" advise="1">
        <values>
          <value t="nil">
            <val>1</val>
          </value>
        </values>
      </ddeItem>
      <ddeItem name="id519?tradingClass" advise="1">
        <values>
          <value t="str">
            <val>CE</val>
          </value>
        </values>
      </ddeItem>
      <ddeItem name="id519?validExchanges" advise="1">
        <values>
          <value t="str">
            <val>SMART,NYSE,CBOE,ISE,CHX,ARCA,ISLAND,DRCTEDGE,NSX,BEX,BATS,EDGEA,CSFBALGO,JEFFALGO,BYX,IEX,TPLUS2,PSX</val>
          </value>
        </values>
      </ddeItem>
      <ddeItem name="id52?conid" advise="1">
        <values>
          <value>
            <val>6478024</val>
          </value>
        </values>
      </ddeItem>
      <ddeItem name="id52?marketName" advise="1">
        <values>
          <value t="str">
            <val>RSG</val>
          </value>
        </values>
      </ddeItem>
      <ddeItem name="id52?minTick" advise="1">
        <values>
          <value>
            <val>0.01</val>
          </value>
        </values>
      </ddeItem>
      <ddeItem name="id52?multiplier" advise="1">
        <values>
          <value t="nil">
            <val>1</val>
          </value>
        </values>
      </ddeItem>
      <ddeItem name="id5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2?req?RSG_STK_SMART_USD_~/" advise="1">
        <values>
          <value t="nil">
            <val>1</val>
          </value>
        </values>
      </ddeItem>
      <ddeItem name="id52?tradingClass" advise="1">
        <values>
          <value t="str">
            <val>RSG</val>
          </value>
        </values>
      </ddeItem>
      <ddeItem name="id52?validExchanges" advise="1">
        <values>
          <value t="str">
            <val>SMART,NYSE,CBOE,ISE,CHX,ARCA,ISLAND,DRCTEDGE,NSX,BEX,BATS,EDGEA,CSFBALGO,JEFFALGO,BYX,IEX,TPLUS2,PSX</val>
          </value>
        </values>
      </ddeItem>
      <ddeItem name="id520?conid" advise="1">
        <values>
          <value>
            <val>4726278</val>
          </value>
        </values>
      </ddeItem>
      <ddeItem name="id520?marketName" advise="1">
        <values>
          <value t="str">
            <val>NMS</val>
          </value>
        </values>
      </ddeItem>
      <ddeItem name="id520?minTick" advise="1">
        <values>
          <value>
            <val>0.01</val>
          </value>
        </values>
      </ddeItem>
      <ddeItem name="id520?multiplier" advise="1">
        <values>
          <value t="nil">
            <val>1</val>
          </value>
        </values>
      </ddeItem>
      <ddeItem name="id52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20?req?AMSG_STK_SMART_USD_~/" advise="1">
        <values>
          <value t="nil">
            <val>1</val>
          </value>
        </values>
      </ddeItem>
      <ddeItem name="id520?tradingClass" advise="1">
        <values>
          <value t="str">
            <val>NMS</val>
          </value>
        </values>
      </ddeItem>
      <ddeItem name="id520?validExchanges" advise="1">
        <values>
          <value t="str">
            <val>SMART,ISE,CHX,ARCA,ISLAND,DRCTEDGE,NSX,BEX,BATS,EDGEA,CSFBALGO,JEFFALGO,BYX,IEX,TPLUS2,PSX</val>
          </value>
        </values>
      </ddeItem>
      <ddeItem name="id521?conid" advise="1">
        <values>
          <value>
            <val>9317</val>
          </value>
        </values>
      </ddeItem>
      <ddeItem name="id521?marketName" advise="1">
        <values>
          <value t="str">
            <val>MAA</val>
          </value>
        </values>
      </ddeItem>
      <ddeItem name="id521?minTick" advise="1">
        <values>
          <value>
            <val>0.01</val>
          </value>
        </values>
      </ddeItem>
      <ddeItem name="id521?multiplier" advise="1">
        <values>
          <value t="nil">
            <val>1</val>
          </value>
        </values>
      </ddeItem>
      <ddeItem name="id52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21?req?MAA_STK_SMART_USD_~/" advise="1">
        <values>
          <value t="nil">
            <val>1</val>
          </value>
        </values>
      </ddeItem>
      <ddeItem name="id521?tradingClass" advise="1">
        <values>
          <value t="str">
            <val>MAA</val>
          </value>
        </values>
      </ddeItem>
      <ddeItem name="id521?validExchanges" advise="1">
        <values>
          <value t="str">
            <val>SMART,NYSE,CBOE,ISE,CHX,ARCA,ISLAND,DRCTEDGE,NSX,BEX,BATS,EDGEA,CSFBALGO,JEFFALGO,BYX,IEX,TPLUS2,PSX</val>
          </value>
        </values>
      </ddeItem>
      <ddeItem name="id522?conid" advise="1">
        <values>
          <value>
            <val>6477725</val>
          </value>
        </values>
      </ddeItem>
      <ddeItem name="id522?marketName" advise="1">
        <values>
          <value t="str">
            <val>RE</val>
          </value>
        </values>
      </ddeItem>
      <ddeItem name="id522?minTick" advise="1">
        <values>
          <value>
            <val>0.01</val>
          </value>
        </values>
      </ddeItem>
      <ddeItem name="id522?multiplier" advise="1">
        <values>
          <value t="nil">
            <val>1</val>
          </value>
        </values>
      </ddeItem>
      <ddeItem name="id52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22?req?RE_STK_SMART_USD_~/" advise="1">
        <values>
          <value t="nil">
            <val>1</val>
          </value>
        </values>
      </ddeItem>
      <ddeItem name="id522?tradingClass" advise="1">
        <values>
          <value t="str">
            <val>RE</val>
          </value>
        </values>
      </ddeItem>
      <ddeItem name="id522?validExchanges" advise="1">
        <values>
          <value t="str">
            <val>SMART,NYSE,CBOE,ISE,CHX,ARCA,ISLAND,VWAP,DRCTEDGE,NSX,BEX,BATS,EDGEA,CSFBALGO,JEFFALGO,BYX,IEX,TPLUS2,PSX</val>
          </value>
        </values>
      </ddeItem>
      <ddeItem name="id523?conid" advise="1">
        <values>
          <value>
            <val>9355</val>
          </value>
        </values>
      </ddeItem>
      <ddeItem name="id523?marketName" advise="1">
        <values>
          <value t="str">
            <val>MAN</val>
          </value>
        </values>
      </ddeItem>
      <ddeItem name="id523?minTick" advise="1">
        <values>
          <value>
            <val>0.01</val>
          </value>
        </values>
      </ddeItem>
      <ddeItem name="id523?multiplier" advise="1">
        <values>
          <value t="nil">
            <val>1</val>
          </value>
        </values>
      </ddeItem>
      <ddeItem name="id52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23?req?MAN_STK_SMART_USD_~/" advise="1">
        <values>
          <value t="nil">
            <val>1</val>
          </value>
        </values>
      </ddeItem>
      <ddeItem name="id523?tradingClass" advise="1">
        <values>
          <value t="str">
            <val>MAN</val>
          </value>
        </values>
      </ddeItem>
      <ddeItem name="id523?validExchanges" advise="1">
        <values>
          <value t="str">
            <val>SMART,NYSE,CBOE,ISE,CHX,ARCA,ISLAND,DRCTEDGE,NSX,BEX,BATS,EDGEA,CSFBALGO,JEFFALGO,BYX,IEX,TPLUS2,PSX</val>
          </value>
        </values>
      </ddeItem>
      <ddeItem name="id524?conid" advise="1">
        <values>
          <value>
            <val>6630</val>
          </value>
        </values>
      </ddeItem>
      <ddeItem name="id524?marketName" advise="1">
        <values>
          <value t="str">
            <val>DY</val>
          </value>
        </values>
      </ddeItem>
      <ddeItem name="id524?minTick" advise="1">
        <values>
          <value>
            <val>0.01</val>
          </value>
        </values>
      </ddeItem>
      <ddeItem name="id524?multiplier" advise="1">
        <values>
          <value t="nil">
            <val>1</val>
          </value>
        </values>
      </ddeItem>
      <ddeItem name="id52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24?req?DY_STK_SMART_USD_~/" advise="1">
        <values>
          <value t="nil">
            <val>1</val>
          </value>
        </values>
      </ddeItem>
      <ddeItem name="id524?tradingClass" advise="1">
        <values>
          <value t="str">
            <val>DY</val>
          </value>
        </values>
      </ddeItem>
      <ddeItem name="id524?validExchanges" advise="1">
        <values>
          <value t="str">
            <val>SMART,NYSE,CBOE,ISE,CHX,ARCA,ISLAND,DRCTEDGE,NSX,BEX,BATS,EDGEA,CSFBALGO,JEFFALGO,BYX,IEX,TPLUS2,PSX</val>
          </value>
        </values>
      </ddeItem>
      <ddeItem name="id525?conid" advise="1">
        <values>
          <value>
            <val>270413</val>
          </value>
        </values>
      </ddeItem>
      <ddeItem name="id525?marketName" advise="1">
        <values>
          <value t="str">
            <val>NMS</val>
          </value>
        </values>
      </ddeItem>
      <ddeItem name="id525?minTick" advise="1">
        <values>
          <value>
            <val>0.01</val>
          </value>
        </values>
      </ddeItem>
      <ddeItem name="id525?multiplier" advise="1">
        <values>
          <value t="nil">
            <val>1</val>
          </value>
        </values>
      </ddeItem>
      <ddeItem name="id52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25?req?IDXX_STK_SMART_USD_~/" advise="1">
        <values>
          <value t="nil">
            <val>1</val>
          </value>
        </values>
      </ddeItem>
      <ddeItem name="id525?tradingClass" advise="1">
        <values>
          <value t="str">
            <val>NMS</val>
          </value>
        </values>
      </ddeItem>
      <ddeItem name="id525?validExchanges" advise="1">
        <values>
          <value t="str">
            <val>SMART,CBOE,ISE,CHX,ARCA,ISLAND,DRCTEDGE,NSX,BEX,BATS,EDGEA,CSFBALGO,JEFFALGO,BYX,IEX,TPLUS2,PSX</val>
          </value>
        </values>
      </ddeItem>
      <ddeItem name="id526?conid" advise="1">
        <values>
          <value>
            <val>10802095</val>
          </value>
        </values>
      </ddeItem>
      <ddeItem name="id526?marketName" advise="1">
        <values>
          <value t="str">
            <val>SYT</val>
          </value>
        </values>
      </ddeItem>
      <ddeItem name="id526?minTick" advise="1">
        <values>
          <value>
            <val>0.01</val>
          </value>
        </values>
      </ddeItem>
      <ddeItem name="id526?multiplier" advise="1">
        <values>
          <value t="nil">
            <val>1</val>
          </value>
        </values>
      </ddeItem>
      <ddeItem name="id52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26?req?SYT_STK_SMART_USD_~/" advise="1">
        <values>
          <value t="nil">
            <val>1</val>
          </value>
        </values>
      </ddeItem>
      <ddeItem name="id526?tradingClass" advise="1">
        <values>
          <value t="str">
            <val>SYT</val>
          </value>
        </values>
      </ddeItem>
      <ddeItem name="id526?validExchanges" advise="1">
        <values>
          <value t="str">
            <val>SMART,NYSE,CBOE,ISE,CHX,ARCA,ISLAND,VWAP,DRCTEDGE,NSX,BEX,BATS,EDGEA,CSFBALGO,JEFFALGO,BYX,IEX,TPLUS2,PSX</val>
          </value>
        </values>
      </ddeItem>
      <ddeItem name="id527?conid" advise="1">
        <values>
          <value>
            <val>4083812</val>
          </value>
        </values>
      </ddeItem>
      <ddeItem name="id527?marketName" advise="1">
        <values>
          <value t="str">
            <val>GRA</val>
          </value>
        </values>
      </ddeItem>
      <ddeItem name="id527?minTick" advise="1">
        <values>
          <value>
            <val>0.01</val>
          </value>
        </values>
      </ddeItem>
      <ddeItem name="id527?multiplier" advise="1">
        <values>
          <value t="nil">
            <val>1</val>
          </value>
        </values>
      </ddeItem>
      <ddeItem name="id52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27?req?GRA_STK_SMART_USD_~/" advise="1">
        <values>
          <value t="nil">
            <val>1</val>
          </value>
        </values>
      </ddeItem>
      <ddeItem name="id527?tradingClass" advise="1">
        <values>
          <value t="str">
            <val>GRA</val>
          </value>
        </values>
      </ddeItem>
      <ddeItem name="id527?validExchanges" advise="1">
        <values>
          <value t="str">
            <val>SMART,NYSE,CBOE,ISE,CHX,ARCA,ISLAND,DRCTEDGE,NSX,BEX,BATS,EDGEA,CSFBALGO,JEFFALGO,BYX,IEX,TPLUS2,PSX</val>
          </value>
        </values>
      </ddeItem>
      <ddeItem name="id528?conid" advise="1">
        <values>
          <value>
            <val>2746144</val>
          </value>
        </values>
      </ddeItem>
      <ddeItem name="id528?marketName" advise="1">
        <values>
          <value t="str">
            <val>ALV</val>
          </value>
        </values>
      </ddeItem>
      <ddeItem name="id528?minTick" advise="1">
        <values>
          <value>
            <val>0.01</val>
          </value>
        </values>
      </ddeItem>
      <ddeItem name="id528?multiplier" advise="1">
        <values>
          <value t="nil">
            <val>1</val>
          </value>
        </values>
      </ddeItem>
      <ddeItem name="id52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28?req?ALV_STK_SMART_USD_~/" advise="1">
        <values>
          <value t="nil">
            <val>1</val>
          </value>
        </values>
      </ddeItem>
      <ddeItem name="id528?tradingClass" advise="1">
        <values>
          <value t="str">
            <val>ALV</val>
          </value>
        </values>
      </ddeItem>
      <ddeItem name="id528?validExchanges" advise="1">
        <values>
          <value t="str">
            <val>SMART,NYSE,CBOE,ISE,CHX,ARCA,ISLAND,DRCTEDGE,NSX,BEX,BATS,EDGEA,CSFBALGO,JEFFALGO,BYX,IEX,TPLUS2,PSX</val>
          </value>
        </values>
      </ddeItem>
      <ddeItem name="id529?conid" advise="1">
        <values>
          <value>
            <val>79565601</val>
          </value>
        </values>
      </ddeItem>
      <ddeItem name="id529?marketName" advise="1">
        <values>
          <value t="str">
            <val>VC</val>
          </value>
        </values>
      </ddeItem>
      <ddeItem name="id529?minTick" advise="1">
        <values>
          <value>
            <val>0.01</val>
          </value>
        </values>
      </ddeItem>
      <ddeItem name="id529?multiplier" advise="1">
        <values>
          <value t="nil">
            <val>1</val>
          </value>
        </values>
      </ddeItem>
      <ddeItem name="id52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29?req?VC_STK_SMART_USD_~/" advise="1">
        <values>
          <value t="nil">
            <val>1</val>
          </value>
        </values>
      </ddeItem>
      <ddeItem name="id529?tradingClass" advise="1">
        <values>
          <value t="str">
            <val>VC</val>
          </value>
        </values>
      </ddeItem>
      <ddeItem name="id529?validExchanges" advise="1">
        <values>
          <value t="str">
            <val>SMART,NYSE,CBOE,ISE,CHX,ARCA,ISLAND,DRCTEDGE,NSX,BEX,BATS,EDGEA,CSFBALGO,JEFFALGO,BYX,IEX,TPLUS2,PSX</val>
          </value>
        </values>
      </ddeItem>
      <ddeItem name="id53?conid" advise="1">
        <values>
          <value>
            <val>6459</val>
          </value>
        </values>
      </ddeItem>
      <ddeItem name="id53?marketName" advise="1">
        <values>
          <value t="str">
            <val>DIS</val>
          </value>
        </values>
      </ddeItem>
      <ddeItem name="id53?minTick" advise="1">
        <values>
          <value>
            <val>0.01</val>
          </value>
        </values>
      </ddeItem>
      <ddeItem name="id53?multiplier" advise="1">
        <values>
          <value t="nil">
            <val>1</val>
          </value>
        </values>
      </ddeItem>
      <ddeItem name="id5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3?req?DIS_STK_SMART_USD_~/" advise="1">
        <values>
          <value t="nil">
            <val>1</val>
          </value>
        </values>
      </ddeItem>
      <ddeItem name="id53?tradingClass" advise="1">
        <values>
          <value t="str">
            <val>DIS</val>
          </value>
        </values>
      </ddeItem>
      <ddeItem name="id53?validExchanges" advise="1">
        <values>
          <value t="str">
            <val>SMART,NYSE,CBOE,ISE,CHX,ARCA,ISLAND,VWAP,DRCTEDGE,NSX,BEX,BATS,EDGEA,CSFBALGO,JEFFALGO,BYX,IEX,TPLUS2,PSX</val>
          </value>
        </values>
      </ddeItem>
      <ddeItem name="id530?conid" advise="1">
        <values>
          <value>
            <val>12225</val>
          </value>
        </values>
      </ddeItem>
      <ddeItem name="id530?marketName" advise="1">
        <values>
          <value t="str">
            <val>AOS</val>
          </value>
        </values>
      </ddeItem>
      <ddeItem name="id530?minTick" advise="1">
        <values>
          <value>
            <val>0.01</val>
          </value>
        </values>
      </ddeItem>
      <ddeItem name="id530?multiplier" advise="1">
        <values>
          <value t="nil">
            <val>1</val>
          </value>
        </values>
      </ddeItem>
      <ddeItem name="id53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30?req?AOS_STK_SMART_USD_~/" advise="1">
        <values>
          <value t="nil">
            <val>1</val>
          </value>
        </values>
      </ddeItem>
      <ddeItem name="id530?tradingClass" advise="1">
        <values>
          <value t="str">
            <val>AOS</val>
          </value>
        </values>
      </ddeItem>
      <ddeItem name="id530?validExchanges" advise="1">
        <values>
          <value t="str">
            <val>SMART,NYSE,ISE,CHX,ARCA,ISLAND,DRCTEDGE,NSX,BEX,BATS,EDGEA,CSFBALGO,JEFFALGO,BYX,IEX,TPLUS2,PSX</val>
          </value>
        </values>
      </ddeItem>
      <ddeItem name="id531?conid" advise="1">
        <values>
          <value>
            <val>611070</val>
          </value>
        </values>
      </ddeItem>
      <ddeItem name="id531?marketName" advise="1">
        <values>
          <value t="str">
            <val>ASH</val>
          </value>
        </values>
      </ddeItem>
      <ddeItem name="id531?minTick" advise="1">
        <values>
          <value>
            <val>0.01</val>
          </value>
        </values>
      </ddeItem>
      <ddeItem name="id531?multiplier" advise="1">
        <values>
          <value t="nil">
            <val>1</val>
          </value>
        </values>
      </ddeItem>
      <ddeItem name="id53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31?req?ASH_STK_SMART_USD_~/" advise="1">
        <values>
          <value t="nil">
            <val>1</val>
          </value>
        </values>
      </ddeItem>
      <ddeItem name="id531?tradingClass" advise="1">
        <values>
          <value t="str">
            <val>ASH</val>
          </value>
        </values>
      </ddeItem>
      <ddeItem name="id531?validExchanges" advise="1">
        <values>
          <value t="str">
            <val>SMART,NYSE,CBOE,ISE,CHX,ARCA,ISLAND,VWAP,DRCTEDGE,NSX,BEX,BATS,EDGEA,CSFBALGO,JEFFALGO,BYX,IEX,TPLUS2,PSX</val>
          </value>
        </values>
      </ddeItem>
      <ddeItem name="id532?conid" advise="1">
        <values>
          <value>
            <val>129348123</val>
          </value>
        </values>
      </ddeItem>
      <ddeItem name="id532?marketName" advise="1">
        <values>
          <value t="str">
            <val>NMS</val>
          </value>
        </values>
      </ddeItem>
      <ddeItem name="id532?minTick" advise="1">
        <values>
          <value>
            <val>0.01</val>
          </value>
        </values>
      </ddeItem>
      <ddeItem name="id532?multiplier" advise="1">
        <values>
          <value t="nil">
            <val>1</val>
          </value>
        </values>
      </ddeItem>
      <ddeItem name="id53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32?req?BLUE_STK_SMART_USD_~/" advise="1">
        <values>
          <value t="nil">
            <val>1</val>
          </value>
        </values>
      </ddeItem>
      <ddeItem name="id532?tradingClass" advise="1">
        <values>
          <value t="str">
            <val>NMS</val>
          </value>
        </values>
      </ddeItem>
      <ddeItem name="id532?validExchanges" advise="1">
        <values>
          <value t="str">
            <val>SMART,CBOE,ISE,CHX,ARCA,ISLAND,DRCTEDGE,NSX,BEX,BATS,EDGEA,CSFBALGO,JEFFALGO,BYX,IEX,TPLUS2,PSX</val>
          </value>
        </values>
      </ddeItem>
      <ddeItem name="id533?conid" advise="1">
        <values>
          <value>
            <val>45602025</val>
          </value>
        </values>
      </ddeItem>
      <ddeItem name="id533?marketName" advise="1">
        <values>
          <value t="str">
            <val>NMS</val>
          </value>
        </values>
      </ddeItem>
      <ddeItem name="id533?minTick" advise="1">
        <values>
          <value>
            <val>0.01</val>
          </value>
        </values>
      </ddeItem>
      <ddeItem name="id533?multiplier" advise="1">
        <values>
          <value t="nil">
            <val>1</val>
          </value>
        </values>
      </ddeItem>
      <ddeItem name="id53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33?req?MELI_STK_SMART_USD_~/" advise="1">
        <values>
          <value t="nil">
            <val>1</val>
          </value>
        </values>
      </ddeItem>
      <ddeItem name="id533?tradingClass" advise="1">
        <values>
          <value t="str">
            <val>NMS</val>
          </value>
        </values>
      </ddeItem>
      <ddeItem name="id533?validExchanges" advise="1">
        <values>
          <value t="str">
            <val>SMART,CBOE,ISE,CHX,ARCA,ISLAND,DRCTEDGE,NSX,BEX,BATS,EDGEA,CSFBALGO,JEFFALGO,BYX,IEX,TPLUS2,PSX</val>
          </value>
        </values>
      </ddeItem>
      <ddeItem name="id534?conid" advise="1">
        <values>
          <value>
            <val>196179389</val>
          </value>
        </values>
      </ddeItem>
      <ddeItem name="id534?marketName" advise="1">
        <values>
          <value t="str">
            <val>EPC</val>
          </value>
        </values>
      </ddeItem>
      <ddeItem name="id534?minTick" advise="1">
        <values>
          <value>
            <val>0.01</val>
          </value>
        </values>
      </ddeItem>
      <ddeItem name="id534?multiplier" advise="1">
        <values>
          <value t="nil">
            <val>1</val>
          </value>
        </values>
      </ddeItem>
      <ddeItem name="id53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34?req?EPC_STK_SMART_USD_~/" advise="1">
        <values>
          <value t="nil">
            <val>1</val>
          </value>
        </values>
      </ddeItem>
      <ddeItem name="id534?tradingClass" advise="1">
        <values>
          <value t="str">
            <val>EPC</val>
          </value>
        </values>
      </ddeItem>
      <ddeItem name="id534?validExchanges" advise="1">
        <values>
          <value t="str">
            <val>SMART,NYSE,CBOE,ISE,CHX,ARCA,ISLAND,VWAP,DRCTEDGE,NSX,BEX,BATS,EDGEA,CSFBALGO,JEFFALGO,BYX,IEX,TPLUS2,PSX</val>
          </value>
        </values>
      </ddeItem>
      <ddeItem name="id535?conid" advise="1">
        <values>
          <value>
            <val>265655</val>
          </value>
        </values>
      </ddeItem>
      <ddeItem name="id535?marketName" advise="1">
        <values>
          <value t="str">
            <val>NMS</val>
          </value>
        </values>
      </ddeItem>
      <ddeItem name="id535?minTick" advise="1">
        <values>
          <value>
            <val>0.01</val>
          </value>
        </values>
      </ddeItem>
      <ddeItem name="id535?multiplier" advise="1">
        <values>
          <value t="nil">
            <val>1</val>
          </value>
        </values>
      </ddeItem>
      <ddeItem name="id53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35?req?ABMD_STK_SMART_USD_~/" advise="1">
        <values>
          <value t="nil">
            <val>1</val>
          </value>
        </values>
      </ddeItem>
      <ddeItem name="id535?tradingClass" advise="1">
        <values>
          <value t="str">
            <val>NMS</val>
          </value>
        </values>
      </ddeItem>
      <ddeItem name="id535?validExchanges" advise="1">
        <values>
          <value t="str">
            <val>SMART,CBOE,ISE,CHX,ARCA,ISLAND,DRCTEDGE,NSX,BEX,BATS,EDGEA,CSFBALGO,JEFFALGO,BYX,IEX,TPLUS2,PSX</val>
          </value>
        </values>
      </ddeItem>
      <ddeItem name="id536?conid" advise="1">
        <values>
          <value>
            <val>179340941</val>
          </value>
        </values>
      </ddeItem>
      <ddeItem name="id536?marketName" advise="1">
        <values>
          <value t="str">
            <val>NMS</val>
          </value>
        </values>
      </ddeItem>
      <ddeItem name="id536?minTick" advise="1">
        <values>
          <value>
            <val>0.01</val>
          </value>
        </values>
      </ddeItem>
      <ddeItem name="id536?multiplier" advise="1">
        <values>
          <value t="nil">
            <val>1</val>
          </value>
        </values>
      </ddeItem>
      <ddeItem name="id53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36?req?TREE_STK_SMART_USD_~/" advise="1">
        <values>
          <value t="nil">
            <val>1</val>
          </value>
        </values>
      </ddeItem>
      <ddeItem name="id536?tradingClass" advise="1">
        <values>
          <value t="str">
            <val>NMS</val>
          </value>
        </values>
      </ddeItem>
      <ddeItem name="id536?validExchanges" advise="1">
        <values>
          <value t="str">
            <val>SMART,CBOE,ISE,CHX,ARCA,ISLAND,DRCTEDGE,NSX,BEX,BATS,EDGEA,CSFBALGO,JEFFALGO,BYX,IEX,TPLUS2,PSX</val>
          </value>
        </values>
      </ddeItem>
      <ddeItem name="id537?conid" advise="1">
        <values>
          <value>
            <val>153912055</val>
          </value>
        </values>
      </ddeItem>
      <ddeItem name="id537?marketName" advise="1">
        <values>
          <value t="str">
            <val>ANET</val>
          </value>
        </values>
      </ddeItem>
      <ddeItem name="id537?minTick" advise="1">
        <values>
          <value>
            <val>0.01</val>
          </value>
        </values>
      </ddeItem>
      <ddeItem name="id537?multiplier" advise="1">
        <values>
          <value t="nil">
            <val>1</val>
          </value>
        </values>
      </ddeItem>
      <ddeItem name="id53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37?req?ANET_STK_SMART_USD_~/" advise="1">
        <values>
          <value t="nil">
            <val>1</val>
          </value>
        </values>
      </ddeItem>
      <ddeItem name="id537?tradingClass" advise="1">
        <values>
          <value t="str">
            <val>ANET</val>
          </value>
        </values>
      </ddeItem>
      <ddeItem name="id537?validExchanges" advise="1">
        <values>
          <value t="str">
            <val>SMART,NYSE,CBOE,ISE,CHX,ARCA,ISLAND,DRCTEDGE,NSX,BEX,BATS,EDGEA,CSFBALGO,JEFFALGO,BYX,IEX,TPLUS2,PSX</val>
          </value>
        </values>
      </ddeItem>
      <ddeItem name="id538?conid" advise="1">
        <values>
          <value>
            <val>19012089</val>
          </value>
        </values>
      </ddeItem>
      <ddeItem name="id538?marketName" advise="1">
        <values>
          <value t="str">
            <val>MOH</val>
          </value>
        </values>
      </ddeItem>
      <ddeItem name="id538?minTick" advise="1">
        <values>
          <value>
            <val>0.01</val>
          </value>
        </values>
      </ddeItem>
      <ddeItem name="id538?multiplier" advise="1">
        <values>
          <value t="nil">
            <val>1</val>
          </value>
        </values>
      </ddeItem>
      <ddeItem name="id53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38?req?MOH_STK_SMART_USD_~/" advise="1">
        <values>
          <value t="nil">
            <val>1</val>
          </value>
        </values>
      </ddeItem>
      <ddeItem name="id538?tradingClass" advise="1">
        <values>
          <value t="str">
            <val>MOH</val>
          </value>
        </values>
      </ddeItem>
      <ddeItem name="id538?validExchanges" advise="1">
        <values>
          <value t="str">
            <val>SMART,NYSE,CBOE,ISE,CHX,ARCA,ISLAND,DRCTEDGE,NSX,BEX,BATS,EDGEA,CSFBALGO,JEFFALGO,BYX,IEX,TPLUS2,PSX</val>
          </value>
        </values>
      </ddeItem>
      <ddeItem name="id539?conid" advise="1">
        <values>
          <value>
            <val>46128135</val>
          </value>
        </values>
      </ddeItem>
      <ddeItem name="id539?marketName" advise="1">
        <values>
          <value t="str">
            <val>NMS</val>
          </value>
        </values>
      </ddeItem>
      <ddeItem name="id539?minTick" advise="1">
        <values>
          <value>
            <val>0.01</val>
          </value>
        </values>
      </ddeItem>
      <ddeItem name="id539?multiplier" advise="1">
        <values>
          <value t="nil">
            <val>1</val>
          </value>
        </values>
      </ddeItem>
      <ddeItem name="id53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39?req?ATHN_STK_SMART_USD_~/" advise="1">
        <values>
          <value t="nil">
            <val>1</val>
          </value>
        </values>
      </ddeItem>
      <ddeItem name="id539?tradingClass" advise="1">
        <values>
          <value t="str">
            <val>NMS</val>
          </value>
        </values>
      </ddeItem>
      <ddeItem name="id539?validExchanges" advise="1">
        <values>
          <value t="str">
            <val>SMART,CBOE,ISE,CHX,ARCA,ISLAND,DRCTEDGE,NSX,BEX,BATS,EDGEA,CSFBALGO,JEFFALGO,BYX,IEX,TPLUS2,PSX</val>
          </value>
        </values>
      </ddeItem>
      <ddeItem name="id54?conid" advise="1">
        <values>
          <value>
            <val>49388062</val>
          </value>
        </values>
      </ddeItem>
      <ddeItem name="id54?marketName" advise="1">
        <values>
          <value t="str">
            <val>NMS</val>
          </value>
        </values>
      </ddeItem>
      <ddeItem name="id54?minTick" advise="1">
        <values>
          <value>
            <val>0.01</val>
          </value>
        </values>
      </ddeItem>
      <ddeItem name="id54?multiplier" advise="1">
        <values>
          <value t="nil">
            <val>1</val>
          </value>
        </values>
      </ddeItem>
      <ddeItem name="id5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4?req?DLTR_STK_SMART_USD_~/" advise="1">
        <values>
          <value t="nil">
            <val>1</val>
          </value>
        </values>
      </ddeItem>
      <ddeItem name="id54?tradingClass" advise="1">
        <values>
          <value t="str">
            <val>NMS</val>
          </value>
        </values>
      </ddeItem>
      <ddeItem name="id54?validExchanges" advise="1">
        <values>
          <value t="str">
            <val>SMART,CBOE,ISE,CHX,ARCA,ISLAND,VWAP,DRCTEDGE,NSX,BEX,BATS,EDGEA,CSFBALGO,JEFFALGO,BYX,IEX,TPLUS2,PSX</val>
          </value>
        </values>
      </ddeItem>
      <ddeItem name="id540?conid" advise="1">
        <values>
          <value>
            <val>89596984</val>
          </value>
        </values>
      </ddeItem>
      <ddeItem name="id540?marketName" advise="1">
        <values>
          <value t="str">
            <val>NMS</val>
          </value>
        </values>
      </ddeItem>
      <ddeItem name="id540?minTick" advise="1">
        <values>
          <value>
            <val>0.01</val>
          </value>
        </values>
      </ddeItem>
      <ddeItem name="id540?multiplier" advise="1">
        <values>
          <value t="nil">
            <val>1</val>
          </value>
        </values>
      </ddeItem>
      <ddeItem name="id54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40?req?CAVM_STK_SMART_USD_~/" advise="1">
        <values>
          <value t="nil">
            <val>1</val>
          </value>
        </values>
      </ddeItem>
      <ddeItem name="id540?tradingClass" advise="1">
        <values>
          <value t="str">
            <val>NMS</val>
          </value>
        </values>
      </ddeItem>
      <ddeItem name="id540?validExchanges" advise="1">
        <values>
          <value t="str">
            <val>SMART,CBOE,ISE,CHX,ARCA,ISLAND,DRCTEDGE,NSX,BEX,BATS,EDGEA,CSFBALGO,JEFFALGO,BYX,IEX,TPLUS2,PSX</val>
          </value>
        </values>
      </ddeItem>
      <ddeItem name="id541?conid" advise="1">
        <values>
          <value>
            <val>4817403</val>
          </value>
        </values>
      </ddeItem>
      <ddeItem name="id541?marketName" advise="1">
        <values>
          <value t="str">
            <val>NMS</val>
          </value>
        </values>
      </ddeItem>
      <ddeItem name="id541?minTick" advise="1">
        <values>
          <value>
            <val>0.01</val>
          </value>
        </values>
      </ddeItem>
      <ddeItem name="id541?multiplier" advise="1">
        <values>
          <value t="nil">
            <val>1</val>
          </value>
        </values>
      </ddeItem>
      <ddeItem name="id54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41?req?RGLD_STK_SMART_USD_~/" advise="1">
        <values>
          <value t="nil">
            <val>1</val>
          </value>
        </values>
      </ddeItem>
      <ddeItem name="id541?tradingClass" advise="1">
        <values>
          <value t="str">
            <val>NMS</val>
          </value>
        </values>
      </ddeItem>
      <ddeItem name="id541?validExchanges" advise="1">
        <values>
          <value t="str">
            <val>SMART,CBOE,ISE,CHX,ARCA,ISLAND,DRCTEDGE,NSX,BEX,BATS,EDGEA,CSFBALGO,JEFFALGO,BYX,IEX,TPLUS2,PSX</val>
          </value>
        </values>
      </ddeItem>
      <ddeItem name="id542?conid" advise="1">
        <values>
          <value>
            <val>6608072</val>
          </value>
        </values>
      </ddeItem>
      <ddeItem name="id542?marketName" advise="1">
        <values>
          <value t="str">
            <val>JLL</val>
          </value>
        </values>
      </ddeItem>
      <ddeItem name="id542?minTick" advise="1">
        <values>
          <value>
            <val>0.01</val>
          </value>
        </values>
      </ddeItem>
      <ddeItem name="id542?multiplier" advise="1">
        <values>
          <value t="nil">
            <val>1</val>
          </value>
        </values>
      </ddeItem>
      <ddeItem name="id54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42?req?JLL_STK_SMART_USD_~/" advise="1">
        <values>
          <value t="nil">
            <val>1</val>
          </value>
        </values>
      </ddeItem>
      <ddeItem name="id542?tradingClass" advise="1">
        <values>
          <value t="str">
            <val>JLL</val>
          </value>
        </values>
      </ddeItem>
      <ddeItem name="id542?validExchanges" advise="1">
        <values>
          <value t="str">
            <val>SMART,NYSE,CBOE,ISE,CHX,ARCA,ISLAND,DRCTEDGE,NSX,BEX,BATS,EDGEA,CSFBALGO,JEFFALGO,BYX,IEX,TPLUS2,PSX</val>
          </value>
        </values>
      </ddeItem>
      <ddeItem name="id543?conid" advise="1">
        <values>
          <value>
            <val>267265</val>
          </value>
        </values>
      </ddeItem>
      <ddeItem name="id543?marketName" advise="1">
        <values>
          <value t="str">
            <val>NMS</val>
          </value>
        </values>
      </ddeItem>
      <ddeItem name="id543?minTick" advise="1">
        <values>
          <value>
            <val>0.01</val>
          </value>
        </values>
      </ddeItem>
      <ddeItem name="id543?multiplier" advise="1">
        <values>
          <value t="nil">
            <val>1</val>
          </value>
        </values>
      </ddeItem>
      <ddeItem name="id54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43?req?CASY_STK_SMART_USD_~/" advise="1">
        <values>
          <value t="nil">
            <val>1</val>
          </value>
        </values>
      </ddeItem>
      <ddeItem name="id543?tradingClass" advise="1">
        <values>
          <value t="str">
            <val>NMS</val>
          </value>
        </values>
      </ddeItem>
      <ddeItem name="id543?validExchanges" advise="1">
        <values>
          <value t="str">
            <val>SMART,ISE,CHX,ARCA,ISLAND,VWAP,DRCTEDGE,NSX,BEX,BATS,EDGEA,CSFBALGO,JEFFALGO,BYX,IEX,TPLUS2,PSX</val>
          </value>
        </values>
      </ddeItem>
      <ddeItem name="id544?conid" advise="1">
        <values>
          <value>
            <val>47101335</val>
          </value>
        </values>
      </ddeItem>
      <ddeItem name="id544?marketName" advise="1">
        <values>
          <value t="str">
            <val>MSCI</val>
          </value>
        </values>
      </ddeItem>
      <ddeItem name="id544?minTick" advise="1">
        <values>
          <value>
            <val>0.01</val>
          </value>
        </values>
      </ddeItem>
      <ddeItem name="id544?multiplier" advise="1">
        <values>
          <value t="nil">
            <val>1</val>
          </value>
        </values>
      </ddeItem>
      <ddeItem name="id54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44?req?MSCI_STK_SMART_USD_~/" advise="1">
        <values>
          <value t="nil">
            <val>1</val>
          </value>
        </values>
      </ddeItem>
      <ddeItem name="id544?tradingClass" advise="1">
        <values>
          <value t="str">
            <val>MSCI</val>
          </value>
        </values>
      </ddeItem>
      <ddeItem name="id544?validExchanges" advise="1">
        <values>
          <value t="str">
            <val>SMART,NYSE,CBOE,ISE,CHX,ARCA,ISLAND,DRCTEDGE,NSX,BEX,BATS,EDGEA,CSFBALGO,JEFFALGO,BYX,IEX,TPLUS2,PSX</val>
          </value>
        </values>
      </ddeItem>
      <ddeItem name="id545?conid" advise="1">
        <values>
          <value>
            <val>45161769</val>
          </value>
        </values>
      </ddeItem>
      <ddeItem name="id545?marketName" advise="1">
        <values>
          <value t="str">
            <val>WBC</val>
          </value>
        </values>
      </ddeItem>
      <ddeItem name="id545?minTick" advise="1">
        <values>
          <value>
            <val>0.01</val>
          </value>
        </values>
      </ddeItem>
      <ddeItem name="id545?multiplier" advise="1">
        <values>
          <value t="nil">
            <val>1</val>
          </value>
        </values>
      </ddeItem>
      <ddeItem name="id54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45?req?WBC_STK_SMART_USD_~/" advise="1">
        <values>
          <value t="nil">
            <val>1</val>
          </value>
        </values>
      </ddeItem>
      <ddeItem name="id545?tradingClass" advise="1">
        <values>
          <value t="str">
            <val>WBC</val>
          </value>
        </values>
      </ddeItem>
      <ddeItem name="id545?validExchanges" advise="1">
        <values>
          <value t="str">
            <val>SMART,NYSE,CBOE,ISE,CHX,ARCA,ISLAND,DRCTEDGE,NSX,BEX,BATS,EDGEA,CSFBALGO,JEFFALGO,BYX,IEX,TPLUS2,PSX</val>
          </value>
        </values>
      </ddeItem>
      <ddeItem name="id546?conid" advise="1">
        <values>
          <value>
            <val>109979708</val>
          </value>
        </values>
      </ddeItem>
      <ddeItem name="id546?marketName" advise="1">
        <values>
          <value t="str">
            <val>NMS</val>
          </value>
        </values>
      </ddeItem>
      <ddeItem name="id546?minTick" advise="1">
        <values>
          <value>
            <val>0.01</val>
          </value>
        </values>
      </ddeItem>
      <ddeItem name="id546?multiplier" advise="1">
        <values>
          <value t="nil">
            <val>1</val>
          </value>
        </values>
      </ddeItem>
      <ddeItem name="id54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46?req?TSRO_STK_SMART_USD_~/" advise="1">
        <values>
          <value t="nil">
            <val>1</val>
          </value>
        </values>
      </ddeItem>
      <ddeItem name="id546?tradingClass" advise="1">
        <values>
          <value t="str">
            <val>NMS</val>
          </value>
        </values>
      </ddeItem>
      <ddeItem name="id546?validExchanges" advise="1">
        <values>
          <value t="str">
            <val>SMART,CBOE,ISE,CHX,ARCA,ISLAND,DRCTEDGE,NSX,BEX,BATS,EDGEA,CSFBALGO,JEFFALGO,BYX,IEX,TPLUS2,PSX</val>
          </value>
        </values>
      </ddeItem>
      <ddeItem name="id547?conid" advise="1">
        <values>
          <value>
            <val>6608113</val>
          </value>
        </values>
      </ddeItem>
      <ddeItem name="id547?marketName" advise="1">
        <values>
          <value t="str">
            <val>LII</val>
          </value>
        </values>
      </ddeItem>
      <ddeItem name="id547?minTick" advise="1">
        <values>
          <value>
            <val>0.01</val>
          </value>
        </values>
      </ddeItem>
      <ddeItem name="id547?multiplier" advise="1">
        <values>
          <value t="nil">
            <val>1</val>
          </value>
        </values>
      </ddeItem>
      <ddeItem name="id54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47?req?LII_STK_SMART_USD_~/" advise="1">
        <values>
          <value t="nil">
            <val>1</val>
          </value>
        </values>
      </ddeItem>
      <ddeItem name="id547?tradingClass" advise="1">
        <values>
          <value t="str">
            <val>LII</val>
          </value>
        </values>
      </ddeItem>
      <ddeItem name="id547?validExchanges" advise="1">
        <values>
          <value t="str">
            <val>SMART,NYSE,CBOE,ISE,CHX,ARCA,ISLAND,DRCTEDGE,NSX,BEX,BATS,EDGEA,CSFBALGO,JEFFALGO,BYX,IEX,TPLUS2,PSX</val>
          </value>
        </values>
      </ddeItem>
      <ddeItem name="id548?conid" advise="1">
        <values>
          <value>
            <val>11574</val>
          </value>
        </values>
      </ddeItem>
      <ddeItem name="id548?marketName" advise="1">
        <values>
          <value t="str">
            <val>REG</val>
          </value>
        </values>
      </ddeItem>
      <ddeItem name="id548?minTick" advise="1">
        <values>
          <value>
            <val>0.01</val>
          </value>
        </values>
      </ddeItem>
      <ddeItem name="id548?multiplier" advise="1">
        <values>
          <value t="nil">
            <val>1</val>
          </value>
        </values>
      </ddeItem>
      <ddeItem name="id54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48?req?REG_STK_SMART_USD_~/" advise="1">
        <values>
          <value t="nil">
            <val>1</val>
          </value>
        </values>
      </ddeItem>
      <ddeItem name="id548?tradingClass" advise="1">
        <values>
          <value t="str">
            <val>REG</val>
          </value>
        </values>
      </ddeItem>
      <ddeItem name="id548?validExchanges" advise="1">
        <values>
          <value t="str">
            <val>SMART,NYSE,CBOE,ISE,CHX,ARCA,ISLAND,DRCTEDGE,NSX,BEX,BATS,EDGEA,CSFBALGO,JEFFALGO,BYX,IEX,TPLUS2,PSX</val>
          </value>
        </values>
      </ddeItem>
      <ddeItem name="id549?conid" advise="1">
        <values>
          <value>
            <val>11656</val>
          </value>
        </values>
      </ddeItem>
      <ddeItem name="id549?marketName" advise="1">
        <values>
          <value t="str">
            <val>RJF</val>
          </value>
        </values>
      </ddeItem>
      <ddeItem name="id549?minTick" advise="1">
        <values>
          <value>
            <val>0.01</val>
          </value>
        </values>
      </ddeItem>
      <ddeItem name="id549?multiplier" advise="1">
        <values>
          <value t="nil">
            <val>1</val>
          </value>
        </values>
      </ddeItem>
      <ddeItem name="id54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49?req?RJF_STK_SMART_USD_~/" advise="1">
        <values>
          <value t="nil">
            <val>1</val>
          </value>
        </values>
      </ddeItem>
      <ddeItem name="id549?tradingClass" advise="1">
        <values>
          <value t="str">
            <val>RJF</val>
          </value>
        </values>
      </ddeItem>
      <ddeItem name="id549?validExchanges" advise="1">
        <values>
          <value t="str">
            <val>SMART,NYSE,CBOE,ISE,CHX,ARCA,ISLAND,VWAP,DRCTEDGE,NSX,BEX,BATS,EDGEA,CSFBALGO,JEFFALGO,BYX,IEX,TPLUS2,PSX</val>
          </value>
        </values>
      </ddeItem>
      <ddeItem name="id55?conid" advise="1">
        <values>
          <value>
            <val>6517</val>
          </value>
        </values>
      </ddeItem>
      <ddeItem name="id55?marketName" advise="1">
        <values>
          <value t="str">
            <val>DOV</val>
          </value>
        </values>
      </ddeItem>
      <ddeItem name="id55?minTick" advise="1">
        <values>
          <value>
            <val>0.01</val>
          </value>
        </values>
      </ddeItem>
      <ddeItem name="id55?multiplier" advise="1">
        <values>
          <value t="nil">
            <val>1</val>
          </value>
        </values>
      </ddeItem>
      <ddeItem name="id5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5?req?DOV_STK_SMART_USD_~/" advise="1">
        <values>
          <value t="nil">
            <val>1</val>
          </value>
        </values>
      </ddeItem>
      <ddeItem name="id55?tradingClass" advise="1">
        <values>
          <value t="str">
            <val>DOV</val>
          </value>
        </values>
      </ddeItem>
      <ddeItem name="id55?validExchanges" advise="1">
        <values>
          <value t="str">
            <val>SMART,NYSE,CBOE,ISE,CHX,ARCA,ISLAND,VWAP,DRCTEDGE,NSX,BEX,BATS,EDGEA,CSFBALGO,JEFFALGO,BYX,IEX,TPLUS2,PSX</val>
          </value>
        </values>
      </ddeItem>
      <ddeItem name="id550?conid" advise="1">
        <values>
          <value>
            <val>6607487</val>
          </value>
        </values>
      </ddeItem>
      <ddeItem name="id550?marketName" advise="1">
        <values>
          <value t="str">
            <val>ARE</val>
          </value>
        </values>
      </ddeItem>
      <ddeItem name="id550?minTick" advise="1">
        <values>
          <value>
            <val>0.01</val>
          </value>
        </values>
      </ddeItem>
      <ddeItem name="id550?multiplier" advise="1">
        <values>
          <value t="nil">
            <val>1</val>
          </value>
        </values>
      </ddeItem>
      <ddeItem name="id55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50?req?ARE_STK_SMART_USD_~/" advise="1">
        <values>
          <value t="nil">
            <val>1</val>
          </value>
        </values>
      </ddeItem>
      <ddeItem name="id550?tradingClass" advise="1">
        <values>
          <value t="str">
            <val>ARE</val>
          </value>
        </values>
      </ddeItem>
      <ddeItem name="id550?validExchanges" advise="1">
        <values>
          <value t="str">
            <val>SMART,NYSE,CBOE,ISE,CHX,ARCA,ISLAND,DRCTEDGE,NSX,BEX,BATS,EDGEA,CSFBALGO,JEFFALGO,BYX,IEX,TPLUS2,PSX</val>
          </value>
        </values>
      </ddeItem>
      <ddeItem name="id551?conid" advise="1">
        <values>
          <value>
            <val>211003293</val>
          </value>
        </values>
      </ddeItem>
      <ddeItem name="id551?marketName" advise="1">
        <values>
          <value t="str">
            <val>STE</val>
          </value>
        </values>
      </ddeItem>
      <ddeItem name="id551?minTick" advise="1">
        <values>
          <value>
            <val>0.01</val>
          </value>
        </values>
      </ddeItem>
      <ddeItem name="id551?multiplier" advise="1">
        <values>
          <value t="nil">
            <val>1</val>
          </value>
        </values>
      </ddeItem>
      <ddeItem name="id55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51?req?STE_STK_SMART_USD_~/" advise="1">
        <values>
          <value t="nil">
            <val>1</val>
          </value>
        </values>
      </ddeItem>
      <ddeItem name="id551?tradingClass" advise="1">
        <values>
          <value t="str">
            <val>STE</val>
          </value>
        </values>
      </ddeItem>
      <ddeItem name="id551?validExchanges" advise="1">
        <values>
          <value t="str">
            <val>SMART,NYSE,CBOE,ISE,CHX,ARCA,ISLAND,DRCTEDGE,NSX,BEX,BATS,EDGEA,CSFBALGO,JEFFALGO,BYX,IEX,TPLUS2,PSX</val>
          </value>
        </values>
      </ddeItem>
      <ddeItem name="id552?conid" advise="1">
        <values>
          <value>
            <val>89520835</val>
          </value>
        </values>
      </ddeItem>
      <ddeItem name="id552?marketName" advise="1">
        <values>
          <value t="str">
            <val>NMS</val>
          </value>
        </values>
      </ddeItem>
      <ddeItem name="id552?minTick" advise="1">
        <values>
          <value>
            <val>0.01</val>
          </value>
        </values>
      </ddeItem>
      <ddeItem name="id552?multiplier" advise="1">
        <values>
          <value t="nil">
            <val>1</val>
          </value>
        </values>
      </ddeItem>
      <ddeItem name="id55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52?req?AMCX_STK_SMART_USD_~/" advise="1">
        <values>
          <value t="nil">
            <val>1</val>
          </value>
        </values>
      </ddeItem>
      <ddeItem name="id552?tradingClass" advise="1">
        <values>
          <value t="str">
            <val>NMS</val>
          </value>
        </values>
      </ddeItem>
      <ddeItem name="id552?validExchanges" advise="1">
        <values>
          <value t="str">
            <val>SMART,CBOE,ISE,CHX,ARCA,ISLAND,DRCTEDGE,NSX,BEX,BATS,EDGEA,CSFBALGO,JEFFALGO,BYX,IEX,TPLUS2,PSX</val>
          </value>
        </values>
      </ddeItem>
      <ddeItem name="id553?conid" advise="1">
        <values>
          <value>
            <val>6858367</val>
          </value>
        </values>
      </ddeItem>
      <ddeItem name="id553?marketName" advise="1">
        <values>
          <value t="str">
            <val>NMS</val>
          </value>
        </values>
      </ddeItem>
      <ddeItem name="id553?minTick" advise="1">
        <values>
          <value>
            <val>0.01</val>
          </value>
        </values>
      </ddeItem>
      <ddeItem name="id553?multiplier" advise="1">
        <values>
          <value t="nil">
            <val>1</val>
          </value>
        </values>
      </ddeItem>
      <ddeItem name="id55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53?req?ULTI_STK_SMART_USD_~/" advise="1">
        <values>
          <value t="nil">
            <val>1</val>
          </value>
        </values>
      </ddeItem>
      <ddeItem name="id553?tradingClass" advise="1">
        <values>
          <value t="str">
            <val>NMS</val>
          </value>
        </values>
      </ddeItem>
      <ddeItem name="id553?validExchanges" advise="1">
        <values>
          <value t="str">
            <val>SMART,CBOE,ISE,CHX,ARCA,ISLAND,DRCTEDGE,NSX,BEX,BATS,EDGEA,CSFBALGO,JEFFALGO,BYX,IEX,TPLUS2,PSX</val>
          </value>
        </values>
      </ddeItem>
      <ddeItem name="id554?conid" advise="1">
        <values>
          <value>
            <val>156953397</val>
          </value>
        </values>
      </ddeItem>
      <ddeItem name="id554?marketName" advise="1">
        <values>
          <value t="str">
            <val>NMS</val>
          </value>
        </values>
      </ddeItem>
      <ddeItem name="id554?minTick" advise="1">
        <values>
          <value>
            <val>0.01</val>
          </value>
        </values>
      </ddeItem>
      <ddeItem name="id554?multiplier" advise="1">
        <values>
          <value t="nil">
            <val>1</val>
          </value>
        </values>
      </ddeItem>
      <ddeItem name="id55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54?req?KITE_STK_SMART_USD_~/" advise="1">
        <values>
          <value t="nil">
            <val>1</val>
          </value>
        </values>
      </ddeItem>
      <ddeItem name="id554?tradingClass" advise="1">
        <values>
          <value t="str">
            <val>NMS</val>
          </value>
        </values>
      </ddeItem>
      <ddeItem name="id554?validExchanges" advise="1">
        <values>
          <value t="str">
            <val>SMART,CBOE,ISE,CHX,ARCA,ISLAND,DRCTEDGE,NSX,BEX,BATS,EDGEA,CSFBALGO,JEFFALGO,BYX,IEX,TPLUS2,PSX</val>
          </value>
        </values>
      </ddeItem>
      <ddeItem name="id555?conid" advise="1">
        <values>
          <value>
            <val>11459264</val>
          </value>
        </values>
      </ddeItem>
      <ddeItem name="id555?marketName" advise="1">
        <values>
          <value t="str">
            <val>NMS</val>
          </value>
        </values>
      </ddeItem>
      <ddeItem name="id555?minTick" advise="1">
        <values>
          <value>
            <val>0.01</val>
          </value>
        </values>
      </ddeItem>
      <ddeItem name="id555?multiplier" advise="1">
        <values>
          <value t="nil">
            <val>1</val>
          </value>
        </values>
      </ddeItem>
      <ddeItem name="id55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55?req?ALGN_STK_SMART_USD_~/" advise="1">
        <values>
          <value t="nil">
            <val>1</val>
          </value>
        </values>
      </ddeItem>
      <ddeItem name="id555?tradingClass" advise="1">
        <values>
          <value t="str">
            <val>NMS</val>
          </value>
        </values>
      </ddeItem>
      <ddeItem name="id555?validExchanges" advise="1">
        <values>
          <value t="str">
            <val>SMART,CBOE,ISE,CHX,ARCA,ISLAND,DRCTEDGE,NSX,BEX,BATS,EDGEA,CSFBALGO,JEFFALGO,BYX,IEX,TPLUS2,PSX</val>
          </value>
        </values>
      </ddeItem>
      <ddeItem name="id556?conid" advise="1">
        <values>
          <value>
            <val>53224215</val>
          </value>
        </values>
      </ddeItem>
      <ddeItem name="id556?marketName" advise="1">
        <values>
          <value t="str">
            <val>NMS</val>
          </value>
        </values>
      </ddeItem>
      <ddeItem name="id556?minTick" advise="1">
        <values>
          <value>
            <val>0.01</val>
          </value>
        </values>
      </ddeItem>
      <ddeItem name="id556?multiplier" advise="1">
        <values>
          <value t="nil">
            <val>1</val>
          </value>
        </values>
      </ddeItem>
      <ddeItem name="id55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56?req?AAXJ_STK_SMART_USD_~/" advise="1">
        <values>
          <value t="nil">
            <val>1</val>
          </value>
        </values>
      </ddeItem>
      <ddeItem name="id556?tradingClass" advise="1">
        <values>
          <value t="str">
            <val>NMS</val>
          </value>
        </values>
      </ddeItem>
      <ddeItem name="id556?validExchanges" advise="1">
        <values>
          <value t="str">
            <val>SMART,CBOE,ISE,CHX,ARCA,ISLAND,DRCTEDGE,NSX,BEX,BATS,EDGEA,CSFBALGO,JEFFALGO,BYX,IEX,TPLUS2,PSX</val>
          </value>
        </values>
      </ddeItem>
      <ddeItem name="id557?conid" advise="1">
        <values>
          <value>
            <val>86766111</val>
          </value>
        </values>
      </ddeItem>
      <ddeItem name="id557?marketName" advise="1">
        <values>
          <value t="str">
            <val>ELLI</val>
          </value>
        </values>
      </ddeItem>
      <ddeItem name="id557?minTick" advise="1">
        <values>
          <value>
            <val>0.01</val>
          </value>
        </values>
      </ddeItem>
      <ddeItem name="id557?multiplier" advise="1">
        <values>
          <value t="nil">
            <val>1</val>
          </value>
        </values>
      </ddeItem>
      <ddeItem name="id55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57?req?ELLI_STK_SMART_USD_~/" advise="1">
        <values>
          <value t="nil">
            <val>1</val>
          </value>
        </values>
      </ddeItem>
      <ddeItem name="id557?tradingClass" advise="1">
        <values>
          <value t="str">
            <val>ELLI</val>
          </value>
        </values>
      </ddeItem>
      <ddeItem name="id557?validExchanges" advise="1">
        <values>
          <value t="str">
            <val>SMART,NYSE,CBOE,ISE,CHX,ARCA,ISLAND,DRCTEDGE,NSX,BEX,BATS,EDGEA,CSFBALGO,JEFFALGO,BYX,IEX,TPLUS2,PSX</val>
          </value>
        </values>
      </ddeItem>
      <ddeItem name="id558?conid" advise="1">
        <values>
          <value>
            <val>96983623</val>
          </value>
        </values>
      </ddeItem>
      <ddeItem name="id558?marketName" advise="1">
        <values>
          <value t="str">
            <val>NMS</val>
          </value>
        </values>
      </ddeItem>
      <ddeItem name="id558?minTick" advise="1">
        <values>
          <value>
            <val>0.01</val>
          </value>
        </values>
      </ddeItem>
      <ddeItem name="id558?multiplier" advise="1">
        <values>
          <value t="nil">
            <val>1</val>
          </value>
        </values>
      </ddeItem>
      <ddeItem name="id55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58?req?ACHC_STK_SMART_USD_~/" advise="1">
        <values>
          <value t="nil">
            <val>1</val>
          </value>
        </values>
      </ddeItem>
      <ddeItem name="id558?tradingClass" advise="1">
        <values>
          <value t="str">
            <val>NMS</val>
          </value>
        </values>
      </ddeItem>
      <ddeItem name="id558?validExchanges" advise="1">
        <values>
          <value t="str">
            <val>SMART,CBOE,ISE,CHX,ARCA,ISLAND,DRCTEDGE,NSX,BEX,BATS,EDGEA,CSFBALGO,JEFFALGO,BYX,IEX,TPLUS2,PSX</val>
          </value>
        </values>
      </ddeItem>
      <ddeItem name="id559?conid" advise="1">
        <values>
          <value>
            <val>53145883</val>
          </value>
        </values>
      </ddeItem>
      <ddeItem name="id559?marketName" advise="1">
        <values>
          <value t="str">
            <val>NMS</val>
          </value>
        </values>
      </ddeItem>
      <ddeItem name="id559?minTick" advise="1">
        <values>
          <value>
            <val>0.01</val>
          </value>
        </values>
      </ddeItem>
      <ddeItem name="id559?multiplier" advise="1">
        <values>
          <value t="nil">
            <val>1</val>
          </value>
        </values>
      </ddeItem>
      <ddeItem name="id55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59?req?IAC_STK_SMART_USD_~/" advise="1">
        <values>
          <value t="nil">
            <val>1</val>
          </value>
        </values>
      </ddeItem>
      <ddeItem name="id559?tradingClass" advise="1">
        <values>
          <value t="str">
            <val>NMS</val>
          </value>
        </values>
      </ddeItem>
      <ddeItem name="id559?validExchanges" advise="1">
        <values>
          <value t="str">
            <val>SMART,CBOE,ISE,CHX,ARCA,ISLAND,DRCTEDGE,NSX,BEX,BATS,EDGEA,CSFBALGO,JEFFALGO,BYX,IEX,TPLUS2,PSX</val>
          </value>
        </values>
      </ddeItem>
      <ddeItem name="id56?conid" advise="1">
        <values>
          <value>
            <val>6522</val>
          </value>
        </values>
      </ddeItem>
      <ddeItem name="id56?marketName" advise="1">
        <values>
          <value t="str">
            <val>DOW</val>
          </value>
        </values>
      </ddeItem>
      <ddeItem name="id56?minTick" advise="1">
        <values>
          <value>
            <val>0.01</val>
          </value>
        </values>
      </ddeItem>
      <ddeItem name="id56?multiplier" advise="1">
        <values>
          <value t="nil">
            <val>1</val>
          </value>
        </values>
      </ddeItem>
      <ddeItem name="id5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6?req?DOW_STK_SMART_USD_~/" advise="1">
        <values>
          <value t="nil">
            <val>1</val>
          </value>
        </values>
      </ddeItem>
      <ddeItem name="id56?tradingClass" advise="1">
        <values>
          <value t="str">
            <val>DOW</val>
          </value>
        </values>
      </ddeItem>
      <ddeItem name="id56?validExchanges" advise="1">
        <values>
          <value t="str">
            <val>SMART,NYSE,CBOE,ISE,CHX,ARCA,ISLAND,VWAP,DRCTEDGE,NSX,BEX,BATS,EDGEA,CSFBALGO,JEFFALGO,BYX,IEX,TPLUS2,PSX</val>
          </value>
        </values>
      </ddeItem>
      <ddeItem name="id560?conid" advise="1">
        <values>
          <value>
            <val>75103410</val>
          </value>
        </values>
      </ddeItem>
      <ddeItem name="id560?marketName" advise="1">
        <values>
          <value t="str">
            <val>SIX</val>
          </value>
        </values>
      </ddeItem>
      <ddeItem name="id560?minTick" advise="1">
        <values>
          <value>
            <val>0.01</val>
          </value>
        </values>
      </ddeItem>
      <ddeItem name="id560?multiplier" advise="1">
        <values>
          <value t="nil">
            <val>1</val>
          </value>
        </values>
      </ddeItem>
      <ddeItem name="id56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60?req?SIX_STK_SMART_USD_~/" advise="1">
        <values>
          <value t="nil">
            <val>1</val>
          </value>
        </values>
      </ddeItem>
      <ddeItem name="id560?tradingClass" advise="1">
        <values>
          <value t="str">
            <val>SIX</val>
          </value>
        </values>
      </ddeItem>
      <ddeItem name="id560?validExchanges" advise="1">
        <values>
          <value t="str">
            <val>SMART,NYSE,CBOE,ISE,CHX,ARCA,ISLAND,DRCTEDGE,NSX,BEX,BATS,EDGEA,CSFBALGO,JEFFALGO,BYX,IEX,TPLUS2,PSX</val>
          </value>
        </values>
      </ddeItem>
      <ddeItem name="id561?conid" advise="1">
        <values>
          <value>
            <val>2006458</val>
          </value>
        </values>
      </ddeItem>
      <ddeItem name="id561?marketName" advise="1">
        <values>
          <value t="str">
            <val>BAP</val>
          </value>
        </values>
      </ddeItem>
      <ddeItem name="id561?minTick" advise="1">
        <values>
          <value>
            <val>0.01</val>
          </value>
        </values>
      </ddeItem>
      <ddeItem name="id561?multiplier" advise="1">
        <values>
          <value t="nil">
            <val>1</val>
          </value>
        </values>
      </ddeItem>
      <ddeItem name="id56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61?req?BAP_STK_SMART_USD_~/" advise="1">
        <values>
          <value t="nil">
            <val>1</val>
          </value>
        </values>
      </ddeItem>
      <ddeItem name="id561?tradingClass" advise="1">
        <values>
          <value t="str">
            <val>BAP</val>
          </value>
        </values>
      </ddeItem>
      <ddeItem name="id561?validExchanges" advise="1">
        <values>
          <value t="str">
            <val>SMART,NYSE,CBOE,ISE,CHX,ARCA,ISLAND,DRCTEDGE,NSX,BEX,BATS,EDGEA,CSFBALGO,JEFFALGO,BYX,IEX,TPLUS2,PSX</val>
          </value>
        </values>
      </ddeItem>
      <ddeItem name="id562?conid" advise="1">
        <values>
          <value>
            <val>29718938</val>
          </value>
        </values>
      </ddeItem>
      <ddeItem name="id562?marketName" advise="1">
        <values>
          <value t="str">
            <val>WCG</val>
          </value>
        </values>
      </ddeItem>
      <ddeItem name="id562?minTick" advise="1">
        <values>
          <value>
            <val>0.01</val>
          </value>
        </values>
      </ddeItem>
      <ddeItem name="id562?multiplier" advise="1">
        <values>
          <value t="nil">
            <val>1</val>
          </value>
        </values>
      </ddeItem>
      <ddeItem name="id56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62?req?WCG_STK_SMART_USD_~/" advise="1">
        <values>
          <value t="nil">
            <val>1</val>
          </value>
        </values>
      </ddeItem>
      <ddeItem name="id562?tradingClass" advise="1">
        <values>
          <value t="str">
            <val>WCG</val>
          </value>
        </values>
      </ddeItem>
      <ddeItem name="id562?validExchanges" advise="1">
        <values>
          <value t="str">
            <val>SMART,NYSE,CBOE,ISE,CHX,ARCA,ISLAND,DRCTEDGE,NSX,BEX,BATS,EDGEA,CSFBALGO,JEFFALGO,BYX,IEX,TPLUS2,PSX</val>
          </value>
        </values>
      </ddeItem>
      <ddeItem name="id563?conid" advise="1">
        <values>
          <value>
            <val>56884113</val>
          </value>
        </values>
      </ddeItem>
      <ddeItem name="id563?marketName" advise="1">
        <values>
          <value t="str">
            <val>MD</val>
          </value>
        </values>
      </ddeItem>
      <ddeItem name="id563?minTick" advise="1">
        <values>
          <value>
            <val>0.01</val>
          </value>
        </values>
      </ddeItem>
      <ddeItem name="id563?multiplier" advise="1">
        <values>
          <value t="nil">
            <val>1</val>
          </value>
        </values>
      </ddeItem>
      <ddeItem name="id56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63?req?MD_STK_SMART_USD_~/" advise="1">
        <values>
          <value t="nil">
            <val>1</val>
          </value>
        </values>
      </ddeItem>
      <ddeItem name="id563?tradingClass" advise="1">
        <values>
          <value t="str">
            <val>MD</val>
          </value>
        </values>
      </ddeItem>
      <ddeItem name="id563?validExchanges" advise="1">
        <values>
          <value t="str">
            <val>SMART,NYSE,CBOE,ISE,CHX,ARCA,ISLAND,DRCTEDGE,NSX,BEX,BATS,EDGEA,CSFBALGO,JEFFALGO,BYX,IEX,TPLUS2,PSX</val>
          </value>
        </values>
      </ddeItem>
      <ddeItem name="id564?conid" advise="1">
        <values>
          <value>
            <val>181150075</val>
          </value>
        </values>
      </ddeItem>
      <ddeItem name="id564?marketName" advise="1">
        <values>
          <value t="str">
            <val>OA</val>
          </value>
        </values>
      </ddeItem>
      <ddeItem name="id564?minTick" advise="1">
        <values>
          <value>
            <val>0.01</val>
          </value>
        </values>
      </ddeItem>
      <ddeItem name="id564?multiplier" advise="1">
        <values>
          <value t="nil">
            <val>1</val>
          </value>
        </values>
      </ddeItem>
      <ddeItem name="id56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64?req?OA_STK_SMART_USD_~/" advise="1">
        <values>
          <value t="nil">
            <val>1</val>
          </value>
        </values>
      </ddeItem>
      <ddeItem name="id564?tradingClass" advise="1">
        <values>
          <value t="str">
            <val>OA</val>
          </value>
        </values>
      </ddeItem>
      <ddeItem name="id564?validExchanges" advise="1">
        <values>
          <value t="str">
            <val>SMART,NYSE,CBOE,ISE,CHX,ARCA,ISLAND,VWAP,DRCTEDGE,NSX,BEX,BATS,EDGEA,CSFBALGO,JEFFALGO,BYX,IEX,TPLUS2,PSX</val>
          </value>
        </values>
      </ddeItem>
      <ddeItem name="id565?conid" advise="1">
        <values>
          <value>
            <val>275241</val>
          </value>
        </values>
      </ddeItem>
      <ddeItem name="id565?marketName" advise="1">
        <values>
          <value t="str">
            <val>TM</val>
          </value>
        </values>
      </ddeItem>
      <ddeItem name="id565?minTick" advise="1">
        <values>
          <value>
            <val>0.01</val>
          </value>
        </values>
      </ddeItem>
      <ddeItem name="id565?multiplier" advise="1">
        <values>
          <value t="nil">
            <val>1</val>
          </value>
        </values>
      </ddeItem>
      <ddeItem name="id56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65?req?TM_STK_SMART_USD_~/" advise="1">
        <values>
          <value t="nil">
            <val>1</val>
          </value>
        </values>
      </ddeItem>
      <ddeItem name="id565?tradingClass" advise="1">
        <values>
          <value t="str">
            <val>TM</val>
          </value>
        </values>
      </ddeItem>
      <ddeItem name="id565?validExchanges" advise="1">
        <values>
          <value t="str">
            <val>SMART,NYSE,CBOE,ISE,CHX,ARCA,ISLAND,DRCTEDGE,NSX,BEX,BATS,EDGEA,CSFBALGO,JEFFALGO,BYX,IEX,TPLUS2,PSX</val>
          </value>
        </values>
      </ddeItem>
      <ddeItem name="id566?conid" advise="1">
        <values>
          <value>
            <val>13116</val>
          </value>
        </values>
      </ddeItem>
      <ddeItem name="id566?marketName" advise="1">
        <values>
          <value t="str">
            <val>TYL</val>
          </value>
        </values>
      </ddeItem>
      <ddeItem name="id566?minTick" advise="1">
        <values>
          <value>
            <val>0.01</val>
          </value>
        </values>
      </ddeItem>
      <ddeItem name="id566?multiplier" advise="1">
        <values>
          <value t="nil">
            <val>1</val>
          </value>
        </values>
      </ddeItem>
      <ddeItem name="id56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66?req?TYL_STK_SMART_USD_~/" advise="1">
        <values>
          <value t="nil">
            <val>1</val>
          </value>
        </values>
      </ddeItem>
      <ddeItem name="id566?tradingClass" advise="1">
        <values>
          <value t="str">
            <val>TYL</val>
          </value>
        </values>
      </ddeItem>
      <ddeItem name="id566?validExchanges" advise="1">
        <values>
          <value t="str">
            <val>SMART,NYSE,CBOE,ISE,CHX,ARCA,ISLAND,DRCTEDGE,NSX,BEX,BATS,EDGEA,CSFBALGO,JEFFALGO,BYX,IEX,TPLUS2,PSX</val>
          </value>
        </values>
      </ddeItem>
      <ddeItem name="id567?conid" advise="1">
        <values>
          <value>
            <val>36206901</val>
          </value>
        </values>
      </ddeItem>
      <ddeItem name="id567?marketName" advise="1">
        <values>
          <value t="str">
            <val>NMS</val>
          </value>
        </values>
      </ddeItem>
      <ddeItem name="id567?minTick" advise="1">
        <values>
          <value>
            <val>0.01</val>
          </value>
        </values>
      </ddeItem>
      <ddeItem name="id567?multiplier" advise="1">
        <values>
          <value t="nil">
            <val>1</val>
          </value>
        </values>
      </ddeItem>
      <ddeItem name="id56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67?req?WBMD_STK_SMART_USD_~/" advise="1">
        <values>
          <value t="nil">
            <val>1</val>
          </value>
        </values>
      </ddeItem>
      <ddeItem name="id567?tradingClass" advise="1">
        <values>
          <value t="str">
            <val>NMS</val>
          </value>
        </values>
      </ddeItem>
      <ddeItem name="id567?validExchanges" advise="1">
        <values>
          <value t="str">
            <val>SMART,CBOE,ISE,CHX,ARCA,ISLAND,DRCTEDGE,NSX,BEX,BATS,EDGEA,CSFBALGO,JEFFALGO,BYX,IEX,TPLUS2,PSX</val>
          </value>
        </values>
      </ddeItem>
      <ddeItem name="id568?conid" advise="1">
        <values>
          <value>
            <val>14241431</val>
          </value>
        </values>
      </ddeItem>
      <ddeItem name="id568?marketName" advise="1">
        <values>
          <value t="str">
            <val>NMS</val>
          </value>
        </values>
      </ddeItem>
      <ddeItem name="id568?minTick" advise="1">
        <values>
          <value>
            <val>0.01</val>
          </value>
        </values>
      </ddeItem>
      <ddeItem name="id568?multiplier" advise="1">
        <values>
          <value t="nil">
            <val>1</val>
          </value>
        </values>
      </ddeItem>
      <ddeItem name="id56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68?req?SYNA_STK_SMART_USD_~/" advise="1">
        <values>
          <value t="nil">
            <val>1</val>
          </value>
        </values>
      </ddeItem>
      <ddeItem name="id568?tradingClass" advise="1">
        <values>
          <value t="str">
            <val>NMS</val>
          </value>
        </values>
      </ddeItem>
      <ddeItem name="id568?validExchanges" advise="1">
        <values>
          <value t="str">
            <val>SMART,CBOE,ISE,CHX,ARCA,ISLAND,DRCTEDGE,NSX,BEX,BATS,EDGEA,CSFBALGO,JEFFALGO,BYX,IEX,TPLUS2,PSX</val>
          </value>
        </values>
      </ddeItem>
      <ddeItem name="id569?conid" advise="1">
        <values>
          <value>
            <val>6004</val>
          </value>
        </values>
      </ddeItem>
      <ddeItem name="id569?marketName" advise="1">
        <values>
          <value t="str">
            <val>CPT</val>
          </value>
        </values>
      </ddeItem>
      <ddeItem name="id569?minTick" advise="1">
        <values>
          <value>
            <val>0.01</val>
          </value>
        </values>
      </ddeItem>
      <ddeItem name="id569?multiplier" advise="1">
        <values>
          <value t="nil">
            <val>1</val>
          </value>
        </values>
      </ddeItem>
      <ddeItem name="id56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69?req?CPT_STK_SMART_USD_~/" advise="1">
        <values>
          <value t="nil">
            <val>1</val>
          </value>
        </values>
      </ddeItem>
      <ddeItem name="id569?tradingClass" advise="1">
        <values>
          <value t="str">
            <val>CPT</val>
          </value>
        </values>
      </ddeItem>
      <ddeItem name="id569?validExchanges" advise="1">
        <values>
          <value t="str">
            <val>SMART,NYSE,CBOE,ISE,CHX,ARCA,ISLAND,DRCTEDGE,NSX,BEX,BATS,EDGEA,CSFBALGO,JEFFALGO,BYX,IEX,TPLUS2,PSX</val>
          </value>
        </values>
      </ddeItem>
      <ddeItem name="id57?conid" advise="1">
        <values>
          <value>
            <val>10811</val>
          </value>
        </values>
      </ddeItem>
      <ddeItem name="id57?marketName" advise="1">
        <values>
          <value t="str">
            <val>OMC</val>
          </value>
        </values>
      </ddeItem>
      <ddeItem name="id57?minTick" advise="1">
        <values>
          <value>
            <val>0.01</val>
          </value>
        </values>
      </ddeItem>
      <ddeItem name="id57?multiplier" advise="1">
        <values>
          <value t="nil">
            <val>1</val>
          </value>
        </values>
      </ddeItem>
      <ddeItem name="id5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7?req?OMC_STK_SMART_USD_~/" advise="1">
        <values>
          <value t="nil">
            <val>1</val>
          </value>
        </values>
      </ddeItem>
      <ddeItem name="id57?tradingClass" advise="1">
        <values>
          <value t="str">
            <val>OMC</val>
          </value>
        </values>
      </ddeItem>
      <ddeItem name="id57?validExchanges" advise="1">
        <values>
          <value t="str">
            <val>SMART,NYSE,CBOE,ISE,CHX,ARCA,ISLAND,VWAP,DRCTEDGE,NSX,BEX,BATS,EDGEA,CSFBALGO,JEFFALGO,BYX,IEX,TPLUS2,PSX</val>
          </value>
        </values>
      </ddeItem>
      <ddeItem name="id570?conid" advise="1">
        <values>
          <value>
            <val>12750</val>
          </value>
        </values>
      </ddeItem>
      <ddeItem name="id570?marketName" advise="1">
        <values>
          <value t="str">
            <val>TFX</val>
          </value>
        </values>
      </ddeItem>
      <ddeItem name="id570?minTick" advise="1">
        <values>
          <value>
            <val>0.01</val>
          </value>
        </values>
      </ddeItem>
      <ddeItem name="id570?multiplier" advise="1">
        <values>
          <value t="nil">
            <val>1</val>
          </value>
        </values>
      </ddeItem>
      <ddeItem name="id57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70?req?TFX_STK_SMART_USD_~/" advise="1">
        <values>
          <value t="nil">
            <val>1</val>
          </value>
        </values>
      </ddeItem>
      <ddeItem name="id570?tradingClass" advise="1">
        <values>
          <value t="str">
            <val>TFX</val>
          </value>
        </values>
      </ddeItem>
      <ddeItem name="id570?validExchanges" advise="1">
        <values>
          <value t="str">
            <val>SMART,NYSE,ISE,CHX,ARCA,ISLAND,DRCTEDGE,NSX,BEX,BATS,EDGEA,CSFBALGO,JEFFALGO,BYX,IEX,TPLUS2,PSX</val>
          </value>
        </values>
      </ddeItem>
      <ddeItem name="id571?conid" advise="1">
        <values>
          <value>
            <val>117636259</val>
          </value>
        </values>
      </ddeItem>
      <ddeItem name="id571?marketName" advise="1">
        <values>
          <value t="str">
            <val>NMS</val>
          </value>
        </values>
      </ddeItem>
      <ddeItem name="id571?minTick" advise="1">
        <values>
          <value>
            <val>0.01</val>
          </value>
        </values>
      </ddeItem>
      <ddeItem name="id571?multiplier" advise="1">
        <values>
          <value t="nil">
            <val>1</val>
          </value>
        </values>
      </ddeItem>
      <ddeItem name="id57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71?req?YY_STK_SMART_USD_~/" advise="1">
        <values>
          <value t="nil">
            <val>1</val>
          </value>
        </values>
      </ddeItem>
      <ddeItem name="id571?tradingClass" advise="1">
        <values>
          <value t="str">
            <val>NMS</val>
          </value>
        </values>
      </ddeItem>
      <ddeItem name="id571?validExchanges" advise="1">
        <values>
          <value t="str">
            <val>SMART,CBOE,ISE,CHX,ARCA,ISLAND,DRCTEDGE,NSX,BEX,BATS,EDGEA,CSFBALGO,JEFFALGO,BYX,IEX,TPLUS2,PSX</val>
          </value>
        </values>
      </ddeItem>
      <ddeItem name="id572?conid" advise="1">
        <values>
          <value>
            <val>1847145</val>
          </value>
        </values>
      </ddeItem>
      <ddeItem name="id572?marketName" advise="1">
        <values>
          <value t="str">
            <val>FDS</val>
          </value>
        </values>
      </ddeItem>
      <ddeItem name="id572?minTick" advise="1">
        <values>
          <value>
            <val>0.01</val>
          </value>
        </values>
      </ddeItem>
      <ddeItem name="id572?multiplier" advise="1">
        <values>
          <value t="nil">
            <val>1</val>
          </value>
        </values>
      </ddeItem>
      <ddeItem name="id57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72?req?FDS_STK_SMART_USD_~/" advise="1">
        <values>
          <value t="nil">
            <val>1</val>
          </value>
        </values>
      </ddeItem>
      <ddeItem name="id572?tradingClass" advise="1">
        <values>
          <value t="str">
            <val>FDS</val>
          </value>
        </values>
      </ddeItem>
      <ddeItem name="id572?validExchanges" advise="1">
        <values>
          <value t="str">
            <val>SMART,NYSE,CBOE,ISE,CHX,ARCA,ISLAND,DRCTEDGE,NSX,BEX,BATS,EDGEA,CSFBALGO,JEFFALGO,BYX,IEX,TPLUS2,PSX</val>
          </value>
        </values>
      </ddeItem>
      <ddeItem name="id573?conid" advise="1">
        <values>
          <value>
            <val>56483316</val>
          </value>
        </values>
      </ddeItem>
      <ddeItem name="id573?marketName" advise="1">
        <values>
          <value t="str">
            <val>NMS</val>
          </value>
        </values>
      </ddeItem>
      <ddeItem name="id573?minTick" advise="1">
        <values>
          <value>
            <val>0.01</val>
          </value>
        </values>
      </ddeItem>
      <ddeItem name="id573?multiplier" advise="1">
        <values>
          <value t="nil">
            <val>1</val>
          </value>
        </values>
      </ddeItem>
      <ddeItem name="id57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73?req?CBRL_STK_SMART_USD_~/" advise="1">
        <values>
          <value t="nil">
            <val>1</val>
          </value>
        </values>
      </ddeItem>
      <ddeItem name="id573?tradingClass" advise="1">
        <values>
          <value t="str">
            <val>NMS</val>
          </value>
        </values>
      </ddeItem>
      <ddeItem name="id573?validExchanges" advise="1">
        <values>
          <value t="str">
            <val>SMART,CBOE,ISE,CHX,ARCA,ISLAND,DRCTEDGE,NSX,BEX,BATS,EDGEA,CSFBALGO,JEFFALGO,BYX,IEX,TPLUS2,PSX</val>
          </value>
        </values>
      </ddeItem>
      <ddeItem name="id574?conid" advise="1">
        <values>
          <value>
            <val>5610</val>
          </value>
        </values>
      </ddeItem>
      <ddeItem name="id574?marketName" advise="1">
        <values>
          <value t="str">
            <val>CFR</val>
          </value>
        </values>
      </ddeItem>
      <ddeItem name="id574?minTick" advise="1">
        <values>
          <value>
            <val>0.01</val>
          </value>
        </values>
      </ddeItem>
      <ddeItem name="id574?multiplier" advise="1">
        <values>
          <value t="nil">
            <val>1</val>
          </value>
        </values>
      </ddeItem>
      <ddeItem name="id57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74?req?CFR_STK_SMART_USD_~/" advise="1">
        <values>
          <value t="nil">
            <val>1</val>
          </value>
        </values>
      </ddeItem>
      <ddeItem name="id574?tradingClass" advise="1">
        <values>
          <value t="str">
            <val>CFR</val>
          </value>
        </values>
      </ddeItem>
      <ddeItem name="id574?validExchanges" advise="1">
        <values>
          <value t="str">
            <val>SMART,NYSE,CBOE,ISE,CHX,ARCA,ISLAND,VWAP,DRCTEDGE,NSX,BEX,BATS,EDGEA,CSFBALGO,JEFFALGO,BYX,IEX,TPLUS2,PSX</val>
          </value>
        </values>
      </ddeItem>
      <ddeItem name="id575?conid" advise="1">
        <values>
          <value>
            <val>43523793</val>
          </value>
        </values>
      </ddeItem>
      <ddeItem name="id575?marketName" advise="1">
        <values>
          <value t="str">
            <val>BR</val>
          </value>
        </values>
      </ddeItem>
      <ddeItem name="id575?minTick" advise="1">
        <values>
          <value>
            <val>0.01</val>
          </value>
        </values>
      </ddeItem>
      <ddeItem name="id575?multiplier" advise="1">
        <values>
          <value t="nil">
            <val>1</val>
          </value>
        </values>
      </ddeItem>
      <ddeItem name="id57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75?req?BR_STK_SMART_USD_~/" advise="1">
        <values>
          <value t="nil">
            <val>1</val>
          </value>
        </values>
      </ddeItem>
      <ddeItem name="id575?tradingClass" advise="1">
        <values>
          <value t="str">
            <val>BR</val>
          </value>
        </values>
      </ddeItem>
      <ddeItem name="id575?validExchanges" advise="1">
        <values>
          <value t="str">
            <val>SMART,NYSE,CBOE,ISE,CHX,ARCA,ISLAND,DRCTEDGE,NSX,BEX,BATS,EDGEA,CSFBALGO,JEFFALGO,BYX,IEX,TPLUS2,PSX</val>
          </value>
        </values>
      </ddeItem>
      <ddeItem name="id576?conid" advise="1">
        <values>
          <value>
            <val>27267807</val>
          </value>
        </values>
      </ddeItem>
      <ddeItem name="id576?marketName" advise="1">
        <values>
          <value t="str">
            <val>EXP</val>
          </value>
        </values>
      </ddeItem>
      <ddeItem name="id576?minTick" advise="1">
        <values>
          <value>
            <val>0.01</val>
          </value>
        </values>
      </ddeItem>
      <ddeItem name="id576?multiplier" advise="1">
        <values>
          <value t="nil">
            <val>1</val>
          </value>
        </values>
      </ddeItem>
      <ddeItem name="id57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76?req?EXP_STK_SMART_USD_~/" advise="1">
        <values>
          <value t="nil">
            <val>1</val>
          </value>
        </values>
      </ddeItem>
      <ddeItem name="id576?tradingClass" advise="1">
        <values>
          <value t="str">
            <val>EXP</val>
          </value>
        </values>
      </ddeItem>
      <ddeItem name="id576?validExchanges" advise="1">
        <values>
          <value t="str">
            <val>SMART,NYSE,CBOE,ISE,CHX,ARCA,ISLAND,DRCTEDGE,NSX,BEX,BATS,EDGEA,CSFBALGO,JEFFALGO,BYX,IEX,TPLUS2,PSX</val>
          </value>
        </values>
      </ddeItem>
      <ddeItem name="id577?conid" advise="1">
        <values>
          <value>
            <val>4814876</val>
          </value>
        </values>
      </ddeItem>
      <ddeItem name="id577?marketName" advise="1">
        <values>
          <value t="str">
            <val>NMS</val>
          </value>
        </values>
      </ddeItem>
      <ddeItem name="id577?minTick" advise="1">
        <values>
          <value>
            <val>0.01</val>
          </value>
        </values>
      </ddeItem>
      <ddeItem name="id577?multiplier" advise="1">
        <values>
          <value t="nil">
            <val>1</val>
          </value>
        </values>
      </ddeItem>
      <ddeItem name="id57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77?req?MIDD_STK_SMART_USD_~/" advise="1">
        <values>
          <value t="nil">
            <val>1</val>
          </value>
        </values>
      </ddeItem>
      <ddeItem name="id577?tradingClass" advise="1">
        <values>
          <value t="str">
            <val>NMS</val>
          </value>
        </values>
      </ddeItem>
      <ddeItem name="id577?validExchanges" advise="1">
        <values>
          <value t="str">
            <val>SMART,CBOE,ISE,CHX,ARCA,ISLAND,DRCTEDGE,NSX,BEX,BATS,EDGEA,CSFBALGO,JEFFALGO,BYX,IEX,TPLUS2,PSX</val>
          </value>
        </values>
      </ddeItem>
      <ddeItem name="id578?conid" advise="1">
        <values>
          <value>
            <val>86033355</val>
          </value>
        </values>
      </ddeItem>
      <ddeItem name="id578?marketName" advise="1">
        <values>
          <value t="str">
            <val>HII</val>
          </value>
        </values>
      </ddeItem>
      <ddeItem name="id578?minTick" advise="1">
        <values>
          <value>
            <val>0.01</val>
          </value>
        </values>
      </ddeItem>
      <ddeItem name="id578?multiplier" advise="1">
        <values>
          <value t="nil">
            <val>1</val>
          </value>
        </values>
      </ddeItem>
      <ddeItem name="id57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78?req?HII_STK_SMART_USD_~/" advise="1">
        <values>
          <value t="nil">
            <val>1</val>
          </value>
        </values>
      </ddeItem>
      <ddeItem name="id578?tradingClass" advise="1">
        <values>
          <value t="str">
            <val>HII</val>
          </value>
        </values>
      </ddeItem>
      <ddeItem name="id578?validExchanges" advise="1">
        <values>
          <value t="str">
            <val>SMART,NYSE,CBOE,ISE,CHX,ARCA,ISLAND,DRCTEDGE,NSX,BEX,BATS,EDGEA,CSFBALGO,JEFFALGO,BYX,IEX,TPLUS2,PSX</val>
          </value>
        </values>
      </ddeItem>
      <ddeItem name="id579?conid" advise="1">
        <values>
          <value>
            <val>276304</val>
          </value>
        </values>
      </ddeItem>
      <ddeItem name="id579?marketName" advise="1">
        <values>
          <value t="str">
            <val>NMS</val>
          </value>
        </values>
      </ddeItem>
      <ddeItem name="id579?minTick" advise="1">
        <values>
          <value>
            <val>0.01</val>
          </value>
        </values>
      </ddeItem>
      <ddeItem name="id579?multiplier" advise="1">
        <values>
          <value t="nil">
            <val>1</val>
          </value>
        </values>
      </ddeItem>
      <ddeItem name="id57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79?req?ZBRA_STK_SMART_USD_~/" advise="1">
        <values>
          <value t="nil">
            <val>1</val>
          </value>
        </values>
      </ddeItem>
      <ddeItem name="id579?tradingClass" advise="1">
        <values>
          <value t="str">
            <val>NMS</val>
          </value>
        </values>
      </ddeItem>
      <ddeItem name="id579?validExchanges" advise="1">
        <values>
          <value t="str">
            <val>SMART,CBOE,ISE,CHX,ARCA,ISLAND,DRCTEDGE,NSX,BEX,BATS,EDGEA,CSFBALGO,JEFFALGO,BYX,IEX,TPLUS2,PSX</val>
          </value>
        </values>
      </ddeItem>
      <ddeItem name="id58?conid" advise="1">
        <values>
          <value>
            <val>6585</val>
          </value>
        </values>
      </ddeItem>
      <ddeItem name="id58?marketName" advise="1">
        <values>
          <value t="str">
            <val>DTE</val>
          </value>
        </values>
      </ddeItem>
      <ddeItem name="id58?minTick" advise="1">
        <values>
          <value>
            <val>0.01</val>
          </value>
        </values>
      </ddeItem>
      <ddeItem name="id58?multiplier" advise="1">
        <values>
          <value t="nil">
            <val>1</val>
          </value>
        </values>
      </ddeItem>
      <ddeItem name="id5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8?req?DTE_STK_SMART_USD_~/" advise="1">
        <values>
          <value t="nil">
            <val>1</val>
          </value>
        </values>
      </ddeItem>
      <ddeItem name="id58?tradingClass" advise="1">
        <values>
          <value t="str">
            <val>DTE</val>
          </value>
        </values>
      </ddeItem>
      <ddeItem name="id58?validExchanges" advise="1">
        <values>
          <value t="str">
            <val>SMART,NYSE,CBOE,ISE,CHX,ARCA,ISLAND,VWAP,DRCTEDGE,NSX,BEX,BATS,EDGEA,CSFBALGO,JEFFALGO,BYX,IEX,TPLUS2,PSX</val>
          </value>
        </values>
      </ddeItem>
      <ddeItem name="id580?conid" advise="1">
        <values>
          <value>
            <val>11735</val>
          </value>
        </values>
      </ddeItem>
      <ddeItem name="id580?marketName" advise="1">
        <values>
          <value t="str">
            <val>RS</val>
          </value>
        </values>
      </ddeItem>
      <ddeItem name="id580?minTick" advise="1">
        <values>
          <value>
            <val>0.01</val>
          </value>
        </values>
      </ddeItem>
      <ddeItem name="id580?multiplier" advise="1">
        <values>
          <value t="nil">
            <val>1</val>
          </value>
        </values>
      </ddeItem>
      <ddeItem name="id58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80?req?RS_STK_SMART_USD_~/" advise="1">
        <values>
          <value t="nil">
            <val>1</val>
          </value>
        </values>
      </ddeItem>
      <ddeItem name="id580?tradingClass" advise="1">
        <values>
          <value t="str">
            <val>RS</val>
          </value>
        </values>
      </ddeItem>
      <ddeItem name="id580?validExchanges" advise="1">
        <values>
          <value t="str">
            <val>SMART,NYSE,CBOE,ISE,CHX,ARCA,ISLAND,DRCTEDGE,NSX,BEX,BATS,EDGEA,CSFBALGO,JEFFALGO,BYX,IEX,TPLUS2,PSX</val>
          </value>
        </values>
      </ddeItem>
      <ddeItem name="id581?conid" advise="1">
        <values>
          <value>
            <val>5513</val>
          </value>
        </values>
      </ddeItem>
      <ddeItem name="id581?marketName" advise="1">
        <values>
          <value t="str">
            <val>CCK</val>
          </value>
        </values>
      </ddeItem>
      <ddeItem name="id581?minTick" advise="1">
        <values>
          <value>
            <val>0.01</val>
          </value>
        </values>
      </ddeItem>
      <ddeItem name="id581?multiplier" advise="1">
        <values>
          <value t="nil">
            <val>1</val>
          </value>
        </values>
      </ddeItem>
      <ddeItem name="id58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81?req?CCK_STK_SMART_USD_~/" advise="1">
        <values>
          <value t="nil">
            <val>1</val>
          </value>
        </values>
      </ddeItem>
      <ddeItem name="id581?tradingClass" advise="1">
        <values>
          <value t="str">
            <val>CCK</val>
          </value>
        </values>
      </ddeItem>
      <ddeItem name="id581?validExchanges" advise="1">
        <values>
          <value t="str">
            <val>SMART,NYSE,CBOE,ISE,CHX,ARCA,ISLAND,DRCTEDGE,NSX,BEX,BATS,EDGEA,CSFBALGO,JEFFALGO,BYX,IEX,TPLUS2,PSX</val>
          </value>
        </values>
      </ddeItem>
      <ddeItem name="id582?conid" advise="1">
        <values>
          <value>
            <val>81026179</val>
          </value>
        </values>
      </ddeItem>
      <ddeItem name="id582?marketName" advise="1">
        <values>
          <value t="str">
            <val>NMS</val>
          </value>
        </values>
      </ddeItem>
      <ddeItem name="id582?minTick" advise="1">
        <values>
          <value>
            <val>0.01</val>
          </value>
        </values>
      </ddeItem>
      <ddeItem name="id582?multiplier" advise="1">
        <values>
          <value t="nil">
            <val>1</val>
          </value>
        </values>
      </ddeItem>
      <ddeItem name="id58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82?req?LGND_STK_SMART_USD_~/" advise="1">
        <values>
          <value t="nil">
            <val>1</val>
          </value>
        </values>
      </ddeItem>
      <ddeItem name="id582?tradingClass" advise="1">
        <values>
          <value t="str">
            <val>NMS</val>
          </value>
        </values>
      </ddeItem>
      <ddeItem name="id582?validExchanges" advise="1">
        <values>
          <value t="str">
            <val>SMART,CBOE,ISE,CHX,ARCA,ISLAND,DRCTEDGE,NSX,BEX,BATS,EDGEA,CSFBALGO,JEFFALGO,BYX,IEX,TPLUS2,PSX</val>
          </value>
        </values>
      </ddeItem>
      <ddeItem name="id583?conid" advise="1">
        <values>
          <value>
            <val>4814485</val>
          </value>
        </values>
      </ddeItem>
      <ddeItem name="id583?marketName" advise="1">
        <values>
          <value t="str">
            <val>NMS</val>
          </value>
        </values>
      </ddeItem>
      <ddeItem name="id583?minTick" advise="1">
        <values>
          <value>
            <val>0.01</val>
          </value>
        </values>
      </ddeItem>
      <ddeItem name="id583?multiplier" advise="1">
        <values>
          <value t="nil">
            <val>1</val>
          </value>
        </values>
      </ddeItem>
      <ddeItem name="id58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83?req?MANH_STK_SMART_USD_~/" advise="1">
        <values>
          <value t="nil">
            <val>1</val>
          </value>
        </values>
      </ddeItem>
      <ddeItem name="id583?tradingClass" advise="1">
        <values>
          <value t="str">
            <val>NMS</val>
          </value>
        </values>
      </ddeItem>
      <ddeItem name="id583?validExchanges" advise="1">
        <values>
          <value t="str">
            <val>SMART,CBOE,ISE,CHX,ARCA,ISLAND,DRCTEDGE,NSX,BEX,BATS,EDGEA,CSFBALGO,JEFFALGO,BYX,IEX,TPLUS2,PSX</val>
          </value>
        </values>
      </ddeItem>
      <ddeItem name="id584?conid" advise="1">
        <values>
          <value>
            <val>83635951</val>
          </value>
        </values>
      </ddeItem>
      <ddeItem name="id584?marketName" advise="1">
        <values>
          <value t="str">
            <val>NMS</val>
          </value>
        </values>
      </ddeItem>
      <ddeItem name="id584?minTick" advise="1">
        <values>
          <value>
            <val>0.01</val>
          </value>
        </values>
      </ddeItem>
      <ddeItem name="id584?multiplier" advise="1">
        <values>
          <value t="nil">
            <val>1</val>
          </value>
        </values>
      </ddeItem>
      <ddeItem name="id58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84?req?PCRX_STK_SMART_USD_~/" advise="1">
        <values>
          <value t="nil">
            <val>1</val>
          </value>
        </values>
      </ddeItem>
      <ddeItem name="id584?tradingClass" advise="1">
        <values>
          <value t="str">
            <val>NMS</val>
          </value>
        </values>
      </ddeItem>
      <ddeItem name="id584?validExchanges" advise="1">
        <values>
          <value t="str">
            <val>SMART,CBOE,ISE,CHX,ARCA,ISLAND,DRCTEDGE,NSX,BEX,BATS,EDGEA,CSFBALGO,JEFFALGO,BYX,IEX,TPLUS2,PSX</val>
          </value>
        </values>
      </ddeItem>
      <ddeItem name="id585?conid" advise="1">
        <values>
          <value>
            <val>128835017</val>
          </value>
        </values>
      </ddeItem>
      <ddeItem name="id585?marketName" advise="1">
        <values>
          <value t="str">
            <val>NMS</val>
          </value>
        </values>
      </ddeItem>
      <ddeItem name="id585?minTick" advise="1">
        <values>
          <value>
            <val>0.01</val>
          </value>
        </values>
      </ddeItem>
      <ddeItem name="id585?multiplier" advise="1">
        <values>
          <value t="nil">
            <val>1</val>
          </value>
        </values>
      </ddeItem>
      <ddeItem name="id58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85?req?BNDX_STK_SMART_USD_~/" advise="1">
        <values>
          <value t="nil">
            <val>1</val>
          </value>
        </values>
      </ddeItem>
      <ddeItem name="id585?tradingClass" advise="1">
        <values>
          <value t="str">
            <val>NMS</val>
          </value>
        </values>
      </ddeItem>
      <ddeItem name="id585?validExchanges" advise="1">
        <values>
          <value t="str">
            <val>SMART,CBOE,ISE,CHX,ARCA,ISLAND,DRCTEDGE,NSX,BEX,BATS,EDGEA,CSFBALGO,JEFFALGO,BYX,IEX,TPLUS2,PSX</val>
          </value>
        </values>
      </ddeItem>
      <ddeItem name="id586?conid" advise="1">
        <values>
          <value>
            <val>2586162</val>
          </value>
        </values>
      </ddeItem>
      <ddeItem name="id586?marketName" advise="1">
        <values>
          <value t="str">
            <val>MTN</val>
          </value>
        </values>
      </ddeItem>
      <ddeItem name="id586?minTick" advise="1">
        <values>
          <value>
            <val>0.01</val>
          </value>
        </values>
      </ddeItem>
      <ddeItem name="id586?multiplier" advise="1">
        <values>
          <value t="nil">
            <val>1</val>
          </value>
        </values>
      </ddeItem>
      <ddeItem name="id58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86?req?MTN_STK_SMART_USD_~/" advise="1">
        <values>
          <value t="nil">
            <val>1</val>
          </value>
        </values>
      </ddeItem>
      <ddeItem name="id586?tradingClass" advise="1">
        <values>
          <value t="str">
            <val>MTN</val>
          </value>
        </values>
      </ddeItem>
      <ddeItem name="id586?validExchanges" advise="1">
        <values>
          <value t="str">
            <val>SMART,NYSE,CBOE,ISE,CHX,ARCA,ISLAND,DRCTEDGE,NSX,BEX,BATS,EDGEA,CSFBALGO,JEFFALGO,BYX,IEX,TPLUS2,PSX</val>
          </value>
        </values>
      </ddeItem>
      <ddeItem name="id587?conid" advise="1">
        <values>
          <value>
            <val>4644</val>
          </value>
        </values>
      </ddeItem>
      <ddeItem name="id587?marketName" advise="1">
        <values>
          <value t="str">
            <val>ATO</val>
          </value>
        </values>
      </ddeItem>
      <ddeItem name="id587?minTick" advise="1">
        <values>
          <value>
            <val>0.01</val>
          </value>
        </values>
      </ddeItem>
      <ddeItem name="id587?multiplier" advise="1">
        <values>
          <value t="nil">
            <val>1</val>
          </value>
        </values>
      </ddeItem>
      <ddeItem name="id58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87?req?ATO_STK_SMART_USD_~/" advise="1">
        <values>
          <value t="nil">
            <val>1</val>
          </value>
        </values>
      </ddeItem>
      <ddeItem name="id587?tradingClass" advise="1">
        <values>
          <value t="str">
            <val>ATO</val>
          </value>
        </values>
      </ddeItem>
      <ddeItem name="id587?validExchanges" advise="1">
        <values>
          <value t="str">
            <val>SMART,NYSE,CBOE,ISE,CHX,ARCA,ISLAND,DRCTEDGE,NSX,BEX,BATS,EDGEA,CSFBALGO,JEFFALGO,BYX,IEX,TPLUS2,PSX</val>
          </value>
        </values>
      </ddeItem>
      <ddeItem name="id588?conid" advise="1">
        <values>
          <value>
            <val>5021349</val>
          </value>
        </values>
      </ddeItem>
      <ddeItem name="id588?marketName" advise="1">
        <values>
          <value t="str">
            <val>FMX</val>
          </value>
        </values>
      </ddeItem>
      <ddeItem name="id588?minTick" advise="1">
        <values>
          <value>
            <val>0.01</val>
          </value>
        </values>
      </ddeItem>
      <ddeItem name="id588?multiplier" advise="1">
        <values>
          <value t="nil">
            <val>1</val>
          </value>
        </values>
      </ddeItem>
      <ddeItem name="id58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88?req?FMX_STK_SMART_USD_~/" advise="1">
        <values>
          <value t="nil">
            <val>1</val>
          </value>
        </values>
      </ddeItem>
      <ddeItem name="id588?tradingClass" advise="1">
        <values>
          <value t="str">
            <val>FMX</val>
          </value>
        </values>
      </ddeItem>
      <ddeItem name="id588?validExchanges" advise="1">
        <values>
          <value t="str">
            <val>SMART,NYSE,CBOE,ISE,CHX,ARCA,ISLAND,DRCTEDGE,NSX,BEX,BATS,EDGEA,CSFBALGO,JEFFALGO,BYX,IEX,TPLUS2,PSX</val>
          </value>
        </values>
      </ddeItem>
      <ddeItem name="id589?conid" advise="1">
        <values>
          <value>
            <val>4816645</val>
          </value>
        </values>
      </ddeItem>
      <ddeItem name="id589?marketName" advise="1">
        <values>
          <value t="str">
            <val>NMS</val>
          </value>
        </values>
      </ddeItem>
      <ddeItem name="id589?minTick" advise="1">
        <values>
          <value>
            <val>0.01</val>
          </value>
        </values>
      </ddeItem>
      <ddeItem name="id589?multiplier" advise="1">
        <values>
          <value t="nil">
            <val>1</val>
          </value>
        </values>
      </ddeItem>
      <ddeItem name="id58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89?req?PLCE_STK_SMART_USD_~/" advise="1">
        <values>
          <value t="nil">
            <val>1</val>
          </value>
        </values>
      </ddeItem>
      <ddeItem name="id589?tradingClass" advise="1">
        <values>
          <value t="str">
            <val>NMS</val>
          </value>
        </values>
      </ddeItem>
      <ddeItem name="id589?validExchanges" advise="1">
        <values>
          <value t="str">
            <val>SMART,CBOE,ISE,CHX,ARCA,ISLAND,DRCTEDGE,NSX,BEX,BATS,EDGEA,CSFBALGO,JEFFALGO,BYX,IEX,TPLUS2,PSX</val>
          </value>
        </values>
      </ddeItem>
      <ddeItem name="id59?conid" advise="1">
        <values>
          <value>
            <val>6477749</val>
          </value>
        </values>
      </ddeItem>
      <ddeItem name="id59?marketName" advise="1">
        <values>
          <value t="str">
            <val>FLS</val>
          </value>
        </values>
      </ddeItem>
      <ddeItem name="id59?minTick" advise="1">
        <values>
          <value>
            <val>0.01</val>
          </value>
        </values>
      </ddeItem>
      <ddeItem name="id59?multiplier" advise="1">
        <values>
          <value t="nil">
            <val>1</val>
          </value>
        </values>
      </ddeItem>
      <ddeItem name="id5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9?req?FLS_STK_SMART_USD_~/" advise="1">
        <values>
          <value t="nil">
            <val>1</val>
          </value>
        </values>
      </ddeItem>
      <ddeItem name="id59?tradingClass" advise="1">
        <values>
          <value t="str">
            <val>FLS</val>
          </value>
        </values>
      </ddeItem>
      <ddeItem name="id59?validExchanges" advise="1">
        <values>
          <value t="str">
            <val>SMART,NYSE,CBOE,ISE,CHX,ARCA,ISLAND,DRCTEDGE,NSX,BEX,BATS,EDGEA,CSFBALGO,JEFFALGO,BYX,IEX,TPLUS2,PSX</val>
          </value>
        </values>
      </ddeItem>
      <ddeItem name="id590?conid" advise="1">
        <values>
          <value>
            <val>755864</val>
          </value>
        </values>
      </ddeItem>
      <ddeItem name="id590?marketName" advise="1">
        <values>
          <value t="str">
            <val>NVR</val>
          </value>
        </values>
      </ddeItem>
      <ddeItem name="id590?minTick" advise="1">
        <values>
          <value>
            <val>0.01</val>
          </value>
        </values>
      </ddeItem>
      <ddeItem name="id590?multiplier" advise="1">
        <values>
          <value t="nil">
            <val>1</val>
          </value>
        </values>
      </ddeItem>
      <ddeItem name="id59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90?req?NVR_STK_SMART_USD_~/" advise="1">
        <values>
          <value t="nil">
            <val>1</val>
          </value>
        </values>
      </ddeItem>
      <ddeItem name="id590?tradingClass" advise="1">
        <values>
          <value t="str">
            <val>NVR</val>
          </value>
        </values>
      </ddeItem>
      <ddeItem name="id590?validExchanges" advise="1">
        <values>
          <value t="str">
            <val>SMART,NYSE,ISE,CHX,ARCA,ISLAND,DRCTEDGE,NSX,BEX,BATS,EDGEA,CSFBALGO,JEFFALGO,BYX,IEX,TPLUS2,PSX</val>
          </value>
        </values>
      </ddeItem>
      <ddeItem name="id591?conid" advise="1">
        <values>
          <value>
            <val>5177</val>
          </value>
        </values>
      </ddeItem>
      <ddeItem name="id591?marketName" advise="1">
        <values>
          <value t="str">
            <val>BPL</val>
          </value>
        </values>
      </ddeItem>
      <ddeItem name="id591?minTick" advise="1">
        <values>
          <value>
            <val>0.01</val>
          </value>
        </values>
      </ddeItem>
      <ddeItem name="id591?multiplier" advise="1">
        <values>
          <value t="nil">
            <val>1</val>
          </value>
        </values>
      </ddeItem>
      <ddeItem name="id59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91?req?BPL_STK_SMART_USD_~/" advise="1">
        <values>
          <value t="nil">
            <val>1</val>
          </value>
        </values>
      </ddeItem>
      <ddeItem name="id591?tradingClass" advise="1">
        <values>
          <value t="str">
            <val>BPL</val>
          </value>
        </values>
      </ddeItem>
      <ddeItem name="id591?validExchanges" advise="1">
        <values>
          <value t="str">
            <val>SMART,NYSE,CBOE,ISE,CHX,ARCA,ISLAND,DRCTEDGE,NSX,BEX,BATS,EDGEA,CSFBALGO,JEFFALGO,BYX,IEX,TPLUS2,PSX</val>
          </value>
        </values>
      </ddeItem>
      <ddeItem name="id592?conid" advise="1">
        <values>
          <value>
            <val>272667</val>
          </value>
        </values>
      </ddeItem>
      <ddeItem name="id592?marketName" advise="1">
        <values>
          <value t="str">
            <val>NMS</val>
          </value>
        </values>
      </ddeItem>
      <ddeItem name="id592?minTick" advise="1">
        <values>
          <value>
            <val>0.01</val>
          </value>
        </values>
      </ddeItem>
      <ddeItem name="id592?multiplier" advise="1">
        <values>
          <value t="nil">
            <val>1</val>
          </value>
        </values>
      </ddeItem>
      <ddeItem name="id59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92?req?ODFL_STK_SMART_USD_~/" advise="1">
        <values>
          <value t="nil">
            <val>1</val>
          </value>
        </values>
      </ddeItem>
      <ddeItem name="id592?tradingClass" advise="1">
        <values>
          <value t="str">
            <val>NMS</val>
          </value>
        </values>
      </ddeItem>
      <ddeItem name="id592?validExchanges" advise="1">
        <values>
          <value t="str">
            <val>SMART,CBOE,ISE,CHX,ARCA,ISLAND,DRCTEDGE,NSX,BEX,BATS,EDGEA,CSFBALGO,JEFFALGO,BYX,IEX,TPLUS2,PSX</val>
          </value>
        </values>
      </ddeItem>
      <ddeItem name="id593?conid" advise="1">
        <values>
          <value>
            <val>44963008</val>
          </value>
        </values>
      </ddeItem>
      <ddeItem name="id593?marketName" advise="1">
        <values>
          <value t="str">
            <val>MIC</val>
          </value>
        </values>
      </ddeItem>
      <ddeItem name="id593?minTick" advise="1">
        <values>
          <value>
            <val>0.01</val>
          </value>
        </values>
      </ddeItem>
      <ddeItem name="id593?multiplier" advise="1">
        <values>
          <value t="nil">
            <val>1</val>
          </value>
        </values>
      </ddeItem>
      <ddeItem name="id59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93?req?MIC_STK_SMART_USD_~/" advise="1">
        <values>
          <value t="nil">
            <val>1</val>
          </value>
        </values>
      </ddeItem>
      <ddeItem name="id593?tradingClass" advise="1">
        <values>
          <value t="str">
            <val>MIC</val>
          </value>
        </values>
      </ddeItem>
      <ddeItem name="id593?validExchanges" advise="1">
        <values>
          <value t="str">
            <val>SMART,NYSE,CBOE,ISE,CHX,ARCA,ISLAND,DRCTEDGE,NSX,BEX,BATS,EDGEA,CSFBALGO,JEFFALGO,BYX,IEX,TPLUS2,PSX</val>
          </value>
        </values>
      </ddeItem>
      <ddeItem name="id594?conid" advise="1">
        <values>
          <value>
            <val>4726368</val>
          </value>
        </values>
      </ddeItem>
      <ddeItem name="id594?marketName" advise="1">
        <values>
          <value t="str">
            <val>NMS</val>
          </value>
        </values>
      </ddeItem>
      <ddeItem name="id594?minTick" advise="1">
        <values>
          <value>
            <val>0.01</val>
          </value>
        </values>
      </ddeItem>
      <ddeItem name="id594?multiplier" advise="1">
        <values>
          <value t="nil">
            <val>1</val>
          </value>
        </values>
      </ddeItem>
      <ddeItem name="id59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94?req?ANSS_STK_SMART_USD_~/" advise="1">
        <values>
          <value t="nil">
            <val>1</val>
          </value>
        </values>
      </ddeItem>
      <ddeItem name="id594?tradingClass" advise="1">
        <values>
          <value t="str">
            <val>NMS</val>
          </value>
        </values>
      </ddeItem>
      <ddeItem name="id594?validExchanges" advise="1">
        <values>
          <value t="str">
            <val>SMART,CBOE,ISE,CHX,ARCA,ISLAND,DRCTEDGE,NSX,BEX,BATS,EDGEA,CSFBALGO,JEFFALGO,BYX,IEX,TPLUS2,PSX</val>
          </value>
        </values>
      </ddeItem>
      <ddeItem name="id595?conid" advise="1">
        <values>
          <value>
            <val>143541504</val>
          </value>
        </values>
      </ddeItem>
      <ddeItem name="id595?marketName" advise="1">
        <values>
          <value t="str">
            <val>NMS</val>
          </value>
        </values>
      </ddeItem>
      <ddeItem name="id595?minTick" advise="1">
        <values>
          <value>
            <val>0.01</val>
          </value>
        </values>
      </ddeItem>
      <ddeItem name="id595?multiplier" advise="1">
        <values>
          <value t="nil">
            <val>1</val>
          </value>
        </values>
      </ddeItem>
      <ddeItem name="id59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95?req?RARE_STK_SMART_USD_~/" advise="1">
        <values>
          <value t="nil">
            <val>1</val>
          </value>
        </values>
      </ddeItem>
      <ddeItem name="id595?tradingClass" advise="1">
        <values>
          <value t="str">
            <val>NMS</val>
          </value>
        </values>
      </ddeItem>
      <ddeItem name="id595?validExchanges" advise="1">
        <values>
          <value t="str">
            <val>SMART,CBOE,ISE,CHX,ARCA,ISLAND,DRCTEDGE,NSX,BEX,BATS,EDGEA,CSFBALGO,JEFFALGO,BYX,IEX,TPLUS2,PSX</val>
          </value>
        </values>
      </ddeItem>
      <ddeItem name="id596?conid" advise="1">
        <values>
          <value>
            <val>126993722</val>
          </value>
        </values>
      </ddeItem>
      <ddeItem name="id596?marketName" advise="1">
        <values>
          <value t="str">
            <val>NMS</val>
          </value>
        </values>
      </ddeItem>
      <ddeItem name="id596?minTick" advise="1">
        <values>
          <value>
            <val>0.01</val>
          </value>
        </values>
      </ddeItem>
      <ddeItem name="id596?multiplier" advise="1">
        <values>
          <value t="nil">
            <val>1</val>
          </value>
        </values>
      </ddeItem>
      <ddeItem name="id59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96?req?GWPH_STK_SMART_USD_~/" advise="1">
        <values>
          <value t="nil">
            <val>1</val>
          </value>
        </values>
      </ddeItem>
      <ddeItem name="id596?tradingClass" advise="1">
        <values>
          <value t="str">
            <val>NMS</val>
          </value>
        </values>
      </ddeItem>
      <ddeItem name="id596?validExchanges" advise="1">
        <values>
          <value t="str">
            <val>SMART,CBOE,ISE,CHX,ARCA,ISLAND,DRCTEDGE,NSX,BEX,BATS,EDGEA,CSFBALGO,JEFFALGO,BYX,IEX,TPLUS2,PSX</val>
          </value>
        </values>
      </ddeItem>
      <ddeItem name="id597?conid" advise="1">
        <values>
          <value>
            <val>167236260</val>
          </value>
        </values>
      </ddeItem>
      <ddeItem name="id597?marketName" advise="1">
        <values>
          <value t="str">
            <val>NMS</val>
          </value>
        </values>
      </ddeItem>
      <ddeItem name="id597?minTick" advise="1">
        <values>
          <value>
            <val>0.01</val>
          </value>
        </values>
      </ddeItem>
      <ddeItem name="id597?multiplier" advise="1">
        <values>
          <value t="nil">
            <val>1</val>
          </value>
        </values>
      </ddeItem>
      <ddeItem name="id59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97?req?CDK_STK_SMART_USD_~/" advise="1">
        <values>
          <value t="nil">
            <val>1</val>
          </value>
        </values>
      </ddeItem>
      <ddeItem name="id597?tradingClass" advise="1">
        <values>
          <value t="str">
            <val>NMS</val>
          </value>
        </values>
      </ddeItem>
      <ddeItem name="id597?validExchanges" advise="1">
        <values>
          <value t="str">
            <val>SMART,CBOE,ISE,CHX,ARCA,ISLAND,DRCTEDGE,NSX,BEX,BATS,EDGEA,CSFBALGO,JEFFALGO,BYX,IEX,TPLUS2,PSX</val>
          </value>
        </values>
      </ddeItem>
      <ddeItem name="id598?conid" advise="1">
        <values>
          <value>
            <val>4816201</val>
          </value>
        </values>
      </ddeItem>
      <ddeItem name="id598?marketName" advise="1">
        <values>
          <value t="str">
            <val>NMS</val>
          </value>
        </values>
      </ddeItem>
      <ddeItem name="id598?minTick" advise="1">
        <values>
          <value>
            <val>0.01</val>
          </value>
        </values>
      </ddeItem>
      <ddeItem name="id598?multiplier" advise="1">
        <values>
          <value t="nil">
            <val>1</val>
          </value>
        </values>
      </ddeItem>
      <ddeItem name="id59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98?req?OLED_STK_SMART_USD_~/" advise="1">
        <values>
          <value t="nil">
            <val>1</val>
          </value>
        </values>
      </ddeItem>
      <ddeItem name="id598?tradingClass" advise="1">
        <values>
          <value t="str">
            <val>NMS</val>
          </value>
        </values>
      </ddeItem>
      <ddeItem name="id598?validExchanges" advise="1">
        <values>
          <value t="str">
            <val>SMART,CBOE,ISE,CHX,ARCA,ISLAND,DRCTEDGE,NSX,BEX,BATS,EDGEA,CSFBALGO,JEFFALGO,BYX,IEX,TPLUS2,PSX</val>
          </value>
        </values>
      </ddeItem>
      <ddeItem name="id599?conid" advise="1">
        <values>
          <value>
            <val>13793280</val>
          </value>
        </values>
      </ddeItem>
      <ddeItem name="id599?marketName" advise="1">
        <values>
          <value t="str">
            <val>NMS</val>
          </value>
        </values>
      </ddeItem>
      <ddeItem name="id599?minTick" advise="1">
        <values>
          <value>
            <val>0.01</val>
          </value>
        </values>
      </ddeItem>
      <ddeItem name="id599?multiplier" advise="1">
        <values>
          <value t="nil">
            <val>1</val>
          </value>
        </values>
      </ddeItem>
      <ddeItem name="id59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599?req?WOOF_STK_SMART_USD_~/" advise="1">
        <values>
          <value t="nil">
            <val>1</val>
          </value>
        </values>
      </ddeItem>
      <ddeItem name="id599?tradingClass" advise="1">
        <values>
          <value t="str">
            <val>NMS</val>
          </value>
        </values>
      </ddeItem>
      <ddeItem name="id599?validExchanges" advise="1">
        <values>
          <value t="str">
            <val>SMART,CBOE,ISE,CHX,ARCA,ISLAND,DRCTEDGE,NSX,BEX,BATS,EDGEA,CSFBALGO,JEFFALGO,BYX,IEX,TPLUS2,PSX</val>
          </value>
        </values>
      </ddeItem>
      <ddeItem name="id6?conid" advise="1">
        <values>
          <value>
            <val>3629755</val>
          </value>
        </values>
      </ddeItem>
      <ddeItem name="id6?marketName" advise="1">
        <values>
          <value t="str">
            <val>URI</val>
          </value>
        </values>
      </ddeItem>
      <ddeItem name="id6?minTick" advise="1">
        <values>
          <value>
            <val>0.01</val>
          </value>
        </values>
      </ddeItem>
      <ddeItem name="id6?multiplier" advise="1">
        <values>
          <value t="nil">
            <val>1</val>
          </value>
        </values>
      </ddeItem>
      <ddeItem name="id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req?URI_STK_SMART_USD_~/" advise="1">
        <values>
          <value t="nil">
            <val>1</val>
          </value>
        </values>
      </ddeItem>
      <ddeItem name="id6?tradingClass" advise="1">
        <values>
          <value t="str">
            <val>URI</val>
          </value>
        </values>
      </ddeItem>
      <ddeItem name="id6?validExchanges" advise="1">
        <values>
          <value t="str">
            <val>SMART,NYSE,CBOE,ISE,CHX,ARCA,ISLAND,DRCTEDGE,NSX,BEX,BATS,EDGEA,CSFBALGO,JEFFALGO,BYX,IEX,TPLUS2,PSX</val>
          </value>
        </values>
      </ddeItem>
      <ddeItem name="id60?conid" advise="1">
        <values>
          <value>
            <val>661440</val>
          </value>
        </values>
      </ddeItem>
      <ddeItem name="id60?marketName" advise="1">
        <values>
          <value t="str">
            <val>DRI</val>
          </value>
        </values>
      </ddeItem>
      <ddeItem name="id60?minTick" advise="1">
        <values>
          <value>
            <val>0.01</val>
          </value>
        </values>
      </ddeItem>
      <ddeItem name="id60?multiplier" advise="1">
        <values>
          <value t="nil">
            <val>1</val>
          </value>
        </values>
      </ddeItem>
      <ddeItem name="id6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0?req?DRI_STK_SMART_USD_~/" advise="1">
        <values>
          <value t="nil">
            <val>1</val>
          </value>
        </values>
      </ddeItem>
      <ddeItem name="id60?tradingClass" advise="1">
        <values>
          <value t="str">
            <val>DRI</val>
          </value>
        </values>
      </ddeItem>
      <ddeItem name="id60?validExchanges" advise="1">
        <values>
          <value t="str">
            <val>SMART,NYSE,CBOE,ISE,CHX,ARCA,ISLAND,VWAP,DRCTEDGE,NSX,BEX,BATS,EDGEA,CSFBALGO,JEFFALGO,BYX,IEX,TPLUS2,PSX</val>
          </value>
        </values>
      </ddeItem>
      <ddeItem name="id600?conid" advise="1">
        <values>
          <value>
            <val>271460</val>
          </value>
        </values>
      </ddeItem>
      <ddeItem name="id600?marketName" advise="1">
        <values>
          <value t="str">
            <val>MKL</val>
          </value>
        </values>
      </ddeItem>
      <ddeItem name="id600?minTick" advise="1">
        <values>
          <value>
            <val>0.01</val>
          </value>
        </values>
      </ddeItem>
      <ddeItem name="id600?multiplier" advise="1">
        <values>
          <value t="nil">
            <val>1</val>
          </value>
        </values>
      </ddeItem>
      <ddeItem name="id60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00?req?MKL_STK_SMART_USD_~/" advise="1">
        <values>
          <value t="nil">
            <val>1</val>
          </value>
        </values>
      </ddeItem>
      <ddeItem name="id600?tradingClass" advise="1">
        <values>
          <value t="str">
            <val>MKL</val>
          </value>
        </values>
      </ddeItem>
      <ddeItem name="id600?validExchanges" advise="1">
        <values>
          <value t="str">
            <val>SMART,NYSE,CBOE,ISE,CHX,ARCA,ISLAND,DRCTEDGE,NSX,BEX,BATS,EDGEA,CSFBALGO,JEFFALGO,BYX,IEX,TPLUS2,PSX</val>
          </value>
        </values>
      </ddeItem>
      <ddeItem name="id601?conid" advise="1">
        <values>
          <value>
            <val>2008216</val>
          </value>
        </values>
      </ddeItem>
      <ddeItem name="id601?marketName" advise="1">
        <values>
          <value t="str">
            <val>MSM</val>
          </value>
        </values>
      </ddeItem>
      <ddeItem name="id601?minTick" advise="1">
        <values>
          <value>
            <val>0.01</val>
          </value>
        </values>
      </ddeItem>
      <ddeItem name="id601?multiplier" advise="1">
        <values>
          <value t="nil">
            <val>1</val>
          </value>
        </values>
      </ddeItem>
      <ddeItem name="id60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01?req?MSM_STK_SMART_USD_~/" advise="1">
        <values>
          <value t="nil">
            <val>1</val>
          </value>
        </values>
      </ddeItem>
      <ddeItem name="id601?tradingClass" advise="1">
        <values>
          <value t="str">
            <val>MSM</val>
          </value>
        </values>
      </ddeItem>
      <ddeItem name="id601?validExchanges" advise="1">
        <values>
          <value t="str">
            <val>SMART,NYSE,CBOE,ISE,CHX,ARCA,ISLAND,DRCTEDGE,NSX,BEX,BATS,EDGEA,CSFBALGO,JEFFALGO,BYX,IEX,TPLUS2,PSX</val>
          </value>
        </values>
      </ddeItem>
      <ddeItem name="id602?conid" advise="1">
        <values>
          <value>
            <val>106001565</val>
          </value>
        </values>
      </ddeItem>
      <ddeItem name="id602?marketName" advise="1">
        <values>
          <value t="str">
            <val>NMS</val>
          </value>
        </values>
      </ddeItem>
      <ddeItem name="id602?minTick" advise="1">
        <values>
          <value>
            <val>0.01</val>
          </value>
        </values>
      </ddeItem>
      <ddeItem name="id602?multiplier" advise="1">
        <values>
          <value t="nil">
            <val>1</val>
          </value>
        </values>
      </ddeItem>
      <ddeItem name="id60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02?req?PFPT_STK_SMART_USD_~/" advise="1">
        <values>
          <value t="nil">
            <val>1</val>
          </value>
        </values>
      </ddeItem>
      <ddeItem name="id602?tradingClass" advise="1">
        <values>
          <value t="str">
            <val>NMS</val>
          </value>
        </values>
      </ddeItem>
      <ddeItem name="id602?validExchanges" advise="1">
        <values>
          <value t="str">
            <val>SMART,CBOE,ISE,CHX,ARCA,ISLAND,DRCTEDGE,NSX,BEX,BATS,EDGEA,CSFBALGO,JEFFALGO,BYX,IEX,TPLUS2,PSX</val>
          </value>
        </values>
      </ddeItem>
      <ddeItem name="id603?conid" advise="1">
        <values>
          <value>
            <val>2585501</val>
          </value>
        </values>
      </ddeItem>
      <ddeItem name="id603?marketName" advise="1">
        <values>
          <value t="str">
            <val>KEX</val>
          </value>
        </values>
      </ddeItem>
      <ddeItem name="id603?minTick" advise="1">
        <values>
          <value>
            <val>0.01</val>
          </value>
        </values>
      </ddeItem>
      <ddeItem name="id603?multiplier" advise="1">
        <values>
          <value t="nil">
            <val>1</val>
          </value>
        </values>
      </ddeItem>
      <ddeItem name="id60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03?req?KEX_STK_SMART_USD_~/" advise="1">
        <values>
          <value t="nil">
            <val>1</val>
          </value>
        </values>
      </ddeItem>
      <ddeItem name="id603?tradingClass" advise="1">
        <values>
          <value t="str">
            <val>KEX</val>
          </value>
        </values>
      </ddeItem>
      <ddeItem name="id603?validExchanges" advise="1">
        <values>
          <value t="str">
            <val>SMART,NYSE,CBOE,ISE,CHX,ARCA,ISLAND,DRCTEDGE,NSX,BEX,BATS,EDGEA,CSFBALGO,JEFFALGO,BYX,IEX,TPLUS2,PSX</val>
          </value>
        </values>
      </ddeItem>
      <ddeItem name="id604?conid" advise="1">
        <values>
          <value>
            <val>4457288</val>
          </value>
        </values>
      </ddeItem>
      <ddeItem name="id604?marketName" advise="1">
        <values>
          <value t="str">
            <val>NMS</val>
          </value>
        </values>
      </ddeItem>
      <ddeItem name="id604?minTick" advise="1">
        <values>
          <value>
            <val>0.01</val>
          </value>
        </values>
      </ddeItem>
      <ddeItem name="id604?multiplier" advise="1">
        <values>
          <value t="nil">
            <val>1</val>
          </value>
        </values>
      </ddeItem>
      <ddeItem name="id60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04?req?DOX_STK_SMART_USD_~/" advise="1">
        <values>
          <value t="nil">
            <val>1</val>
          </value>
        </values>
      </ddeItem>
      <ddeItem name="id604?tradingClass" advise="1">
        <values>
          <value t="str">
            <val>NMS</val>
          </value>
        </values>
      </ddeItem>
      <ddeItem name="id604?validExchanges" advise="1">
        <values>
          <value t="str">
            <val>SMART,CBOE,ISE,CHX,ARCA,ISLAND,VWAP,DRCTEDGE,NSX,BEX,BATS,EDGEA,CSFBALGO,JEFFALGO,BYX,IEX,TPLUS2,PSX</val>
          </value>
        </values>
      </ddeItem>
      <ddeItem name="id605?conid" advise="1">
        <values>
          <value>
            <val>2586128</val>
          </value>
        </values>
      </ddeItem>
      <ddeItem name="id605?marketName" advise="1">
        <values>
          <value t="str">
            <val>KRC</val>
          </value>
        </values>
      </ddeItem>
      <ddeItem name="id605?minTick" advise="1">
        <values>
          <value>
            <val>0.01</val>
          </value>
        </values>
      </ddeItem>
      <ddeItem name="id605?multiplier" advise="1">
        <values>
          <value t="nil">
            <val>1</val>
          </value>
        </values>
      </ddeItem>
      <ddeItem name="id60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05?req?KRC_STK_SMART_USD_~/" advise="1">
        <values>
          <value t="nil">
            <val>1</val>
          </value>
        </values>
      </ddeItem>
      <ddeItem name="id605?tradingClass" advise="1">
        <values>
          <value t="str">
            <val>KRC</val>
          </value>
        </values>
      </ddeItem>
      <ddeItem name="id605?validExchanges" advise="1">
        <values>
          <value t="str">
            <val>SMART,NYSE,ISE,CHX,ARCA,ISLAND,DRCTEDGE,NSX,BEX,BATS,EDGEA,CSFBALGO,JEFFALGO,BYX,IEX,TPLUS2,PSX</val>
          </value>
        </values>
      </ddeItem>
      <ddeItem name="id606?conid" advise="1">
        <values>
          <value>
            <val>6390</val>
          </value>
        </values>
      </ddeItem>
      <ddeItem name="id606?marketName" advise="1">
        <values>
          <value t="str">
            <val>DDS</val>
          </value>
        </values>
      </ddeItem>
      <ddeItem name="id606?minTick" advise="1">
        <values>
          <value>
            <val>0.01</val>
          </value>
        </values>
      </ddeItem>
      <ddeItem name="id606?multiplier" advise="1">
        <values>
          <value t="nil">
            <val>1</val>
          </value>
        </values>
      </ddeItem>
      <ddeItem name="id60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06?req?DDS_STK_SMART_USD_~/" advise="1">
        <values>
          <value t="nil">
            <val>1</val>
          </value>
        </values>
      </ddeItem>
      <ddeItem name="id606?tradingClass" advise="1">
        <values>
          <value t="str">
            <val>DDS</val>
          </value>
        </values>
      </ddeItem>
      <ddeItem name="id606?validExchanges" advise="1">
        <values>
          <value t="str">
            <val>SMART,NYSE,CBOE,ISE,CHX,ARCA,ISLAND,VWAP,DRCTEDGE,NSX,BEX,BATS,EDGEA,CSFBALGO,JEFFALGO,BYX,IEX,TPLUS2,PSX</val>
          </value>
        </values>
      </ddeItem>
      <ddeItem name="id607?conid" advise="1">
        <values>
          <value>
            <val>98538357</val>
          </value>
        </values>
      </ddeItem>
      <ddeItem name="id607?marketName" advise="1">
        <values>
          <value t="str">
            <val>NMS</val>
          </value>
        </values>
      </ddeItem>
      <ddeItem name="id607?minTick" advise="1">
        <values>
          <value>
            <val>0.01</val>
          </value>
        </values>
      </ddeItem>
      <ddeItem name="id607?multiplier" advise="1">
        <values>
          <value t="nil">
            <val>1</val>
          </value>
        </values>
      </ddeItem>
      <ddeItem name="id60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07?req?JCOM_STK_SMART_USD_~/" advise="1">
        <values>
          <value t="nil">
            <val>1</val>
          </value>
        </values>
      </ddeItem>
      <ddeItem name="id607?tradingClass" advise="1">
        <values>
          <value t="str">
            <val>NMS</val>
          </value>
        </values>
      </ddeItem>
      <ddeItem name="id607?validExchanges" advise="1">
        <values>
          <value t="str">
            <val>SMART,CBOE,ISE,CHX,ARCA,ISLAND,DRCTEDGE,NSX,BEX,BATS,EDGEA,CSFBALGO,JEFFALGO,BYX,IEX,TPLUS2,PSX</val>
          </value>
        </values>
      </ddeItem>
      <ddeItem name="id608?conid" advise="1">
        <values>
          <value>
            <val>35418811</val>
          </value>
        </values>
      </ddeItem>
      <ddeItem name="id608?marketName" advise="1">
        <values>
          <value t="str">
            <val>NGG</val>
          </value>
        </values>
      </ddeItem>
      <ddeItem name="id608?minTick" advise="1">
        <values>
          <value>
            <val>0.01</val>
          </value>
        </values>
      </ddeItem>
      <ddeItem name="id608?multiplier" advise="1">
        <values>
          <value t="nil">
            <val>1</val>
          </value>
        </values>
      </ddeItem>
      <ddeItem name="id60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08?req?NGG_STK_SMART_USD_~/" advise="1">
        <values>
          <value t="nil">
            <val>1</val>
          </value>
        </values>
      </ddeItem>
      <ddeItem name="id608?tradingClass" advise="1">
        <values>
          <value t="str">
            <val>NGG</val>
          </value>
        </values>
      </ddeItem>
      <ddeItem name="id608?validExchanges" advise="1">
        <values>
          <value t="str">
            <val>SMART,NYSE,CBOE,ISE,CHX,ARCA,ISLAND,DRCTEDGE,NSX,BEX,BATS,EDGEA,CSFBALGO,JEFFALGO,BYX,IEX,TPLUS2,PSX</val>
          </value>
        </values>
      </ddeItem>
      <ddeItem name="id609?conid" advise="1">
        <values>
          <value>
            <val>12796138</val>
          </value>
        </values>
      </ddeItem>
      <ddeItem name="id609?marketName" advise="1">
        <values>
          <value t="str">
            <val>HDB</val>
          </value>
        </values>
      </ddeItem>
      <ddeItem name="id609?minTick" advise="1">
        <values>
          <value>
            <val>0.01</val>
          </value>
        </values>
      </ddeItem>
      <ddeItem name="id609?multiplier" advise="1">
        <values>
          <value t="nil">
            <val>1</val>
          </value>
        </values>
      </ddeItem>
      <ddeItem name="id60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09?req?HDB_STK_SMART_USD_~/" advise="1">
        <values>
          <value t="nil">
            <val>1</val>
          </value>
        </values>
      </ddeItem>
      <ddeItem name="id609?tradingClass" advise="1">
        <values>
          <value t="str">
            <val>HDB</val>
          </value>
        </values>
      </ddeItem>
      <ddeItem name="id609?validExchanges" advise="1">
        <values>
          <value t="str">
            <val>SMART,NYSE,CBOE,ISE,CHX,ARCA,ISLAND,DRCTEDGE,NSX,BEX,BATS,EDGEA,CSFBALGO,JEFFALGO,BYX,IEX,TPLUS2,PSX</val>
          </value>
        </values>
      </ddeItem>
      <ddeItem name="id61?conid" advise="1">
        <values>
          <value>
            <val>4347086</val>
          </value>
        </values>
      </ddeItem>
      <ddeItem name="id61?marketName" advise="1">
        <values>
          <value t="str">
            <val>NMS</val>
          </value>
        </values>
      </ddeItem>
      <ddeItem name="id61?minTick" advise="1">
        <values>
          <value>
            <val>0.01</val>
          </value>
        </values>
      </ddeItem>
      <ddeItem name="id61?multiplier" advise="1">
        <values>
          <value t="nil">
            <val>1</val>
          </value>
        </values>
      </ddeItem>
      <ddeItem name="id6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1?req?EBAY_STK_SMART_USD_~/" advise="1">
        <values>
          <value t="nil">
            <val>1</val>
          </value>
        </values>
      </ddeItem>
      <ddeItem name="id61?tradingClass" advise="1">
        <values>
          <value t="str">
            <val>NMS</val>
          </value>
        </values>
      </ddeItem>
      <ddeItem name="id61?validExchanges" advise="1">
        <values>
          <value t="str">
            <val>SMART,CBOE,ISE,CHX,ARCA,ISLAND,VWAP,DRCTEDGE,NSX,BEX,BATS,EDGEA,CSFBALGO,JEFFALGO,BYX,IEX,TPLUS2,PSX</val>
          </value>
        </values>
      </ddeItem>
      <ddeItem name="id610?conid" advise="1">
        <values>
          <value>
            <val>268376</val>
          </value>
        </values>
      </ddeItem>
      <ddeItem name="id610?marketName" advise="1">
        <values>
          <value t="str">
            <val>DECK</val>
          </value>
        </values>
      </ddeItem>
      <ddeItem name="id610?minTick" advise="1">
        <values>
          <value>
            <val>0.01</val>
          </value>
        </values>
      </ddeItem>
      <ddeItem name="id610?multiplier" advise="1">
        <values>
          <value t="nil">
            <val>1</val>
          </value>
        </values>
      </ddeItem>
      <ddeItem name="id61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10?req?DECK_STK_SMART_USD_~/" advise="1">
        <values>
          <value t="nil">
            <val>1</val>
          </value>
        </values>
      </ddeItem>
      <ddeItem name="id610?tradingClass" advise="1">
        <values>
          <value t="str">
            <val>DECK</val>
          </value>
        </values>
      </ddeItem>
      <ddeItem name="id610?validExchanges" advise="1">
        <values>
          <value t="str">
            <val>SMART,NYSE,CBOE,ISE,CHX,ARCA,ISLAND,DRCTEDGE,NSX,BEX,BATS,EDGEA,CSFBALGO,JEFFALGO,BYX,IEX,TPLUS2,PSX</val>
          </value>
        </values>
      </ddeItem>
      <ddeItem name="id611?conid" advise="1">
        <values>
          <value>
            <val>6120</val>
          </value>
        </values>
      </ddeItem>
      <ddeItem name="id611?marketName" advise="1">
        <values>
          <value t="str">
            <val>CSL</val>
          </value>
        </values>
      </ddeItem>
      <ddeItem name="id611?minTick" advise="1">
        <values>
          <value>
            <val>0.01</val>
          </value>
        </values>
      </ddeItem>
      <ddeItem name="id611?multiplier" advise="1">
        <values>
          <value t="nil">
            <val>1</val>
          </value>
        </values>
      </ddeItem>
      <ddeItem name="id61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11?req?CSL_STK_SMART_USD_~/" advise="1">
        <values>
          <value t="nil">
            <val>1</val>
          </value>
        </values>
      </ddeItem>
      <ddeItem name="id611?tradingClass" advise="1">
        <values>
          <value t="str">
            <val>CSL</val>
          </value>
        </values>
      </ddeItem>
      <ddeItem name="id611?validExchanges" advise="1">
        <values>
          <value t="str">
            <val>SMART,NYSE,ISE,CHX,ARCA,ISLAND,DRCTEDGE,NSX,BEX,BATS,EDGEA,CSFBALGO,JEFFALGO,BYX,IEX,TPLUS2,PSX</val>
          </value>
        </values>
      </ddeItem>
      <ddeItem name="id612?conid" advise="1">
        <values>
          <value>
            <val>5022638</val>
          </value>
        </values>
      </ddeItem>
      <ddeItem name="id612?marketName" advise="1">
        <values>
          <value t="str">
            <val>CHL</val>
          </value>
        </values>
      </ddeItem>
      <ddeItem name="id612?minTick" advise="1">
        <values>
          <value>
            <val>0.01</val>
          </value>
        </values>
      </ddeItem>
      <ddeItem name="id612?multiplier" advise="1">
        <values>
          <value t="nil">
            <val>1</val>
          </value>
        </values>
      </ddeItem>
      <ddeItem name="id61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12?req?CHL_STK_SMART_USD_~/" advise="1">
        <values>
          <value t="nil">
            <val>1</val>
          </value>
        </values>
      </ddeItem>
      <ddeItem name="id612?tradingClass" advise="1">
        <values>
          <value t="str">
            <val>CHL</val>
          </value>
        </values>
      </ddeItem>
      <ddeItem name="id612?validExchanges" advise="1">
        <values>
          <value t="str">
            <val>SMART,NYSE,CBOE,ISE,CHX,ARCA,ISLAND,VWAP,DRCTEDGE,NSX,BEX,BATS,EDGEA,CSFBALGO,JEFFALGO,BYX,IEX,TPLUS2,PSX</val>
          </value>
        </values>
      </ddeItem>
      <ddeItem name="id613?conid" advise="1">
        <values>
          <value>
            <val>274027</val>
          </value>
        </values>
      </ddeItem>
      <ddeItem name="id613?marketName" advise="1">
        <values>
          <value t="str">
            <val>NMS</val>
          </value>
        </values>
      </ddeItem>
      <ddeItem name="id613?minTick" advise="1">
        <values>
          <value>
            <val>0.01</val>
          </value>
        </values>
      </ddeItem>
      <ddeItem name="id613?multiplier" advise="1">
        <values>
          <value t="nil">
            <val>1</val>
          </value>
        </values>
      </ddeItem>
      <ddeItem name="id61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13?req?SAFM_STK_SMART_USD_~/" advise="1">
        <values>
          <value t="nil">
            <val>1</val>
          </value>
        </values>
      </ddeItem>
      <ddeItem name="id613?tradingClass" advise="1">
        <values>
          <value t="str">
            <val>NMS</val>
          </value>
        </values>
      </ddeItem>
      <ddeItem name="id613?validExchanges" advise="1">
        <values>
          <value t="str">
            <val>SMART,CBOE,ISE,CHX,ARCA,ISLAND,DRCTEDGE,NSX,BEX,BATS,EDGEA,CSFBALGO,JEFFALGO,BYX,IEX,TPLUS2,PSX</val>
          </value>
        </values>
      </ddeItem>
      <ddeItem name="id614?conid" advise="1">
        <values>
          <value>
            <val>5094</val>
          </value>
        </values>
      </ddeItem>
      <ddeItem name="id614?marketName" advise="1">
        <values>
          <value t="str">
            <val>BMO</val>
          </value>
        </values>
      </ddeItem>
      <ddeItem name="id614?minTick" advise="1">
        <values>
          <value>
            <val>0.01</val>
          </value>
        </values>
      </ddeItem>
      <ddeItem name="id614?multiplier" advise="1">
        <values>
          <value t="nil">
            <val>1</val>
          </value>
        </values>
      </ddeItem>
      <ddeItem name="id61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14?req?BMO_STK_SMART_USD_~/" advise="1">
        <values>
          <value t="nil">
            <val>1</val>
          </value>
        </values>
      </ddeItem>
      <ddeItem name="id614?tradingClass" advise="1">
        <values>
          <value t="str">
            <val>BMO</val>
          </value>
        </values>
      </ddeItem>
      <ddeItem name="id614?validExchanges" advise="1">
        <values>
          <value t="str">
            <val>SMART,NYSE,CBOE,ISE,CHX,ARCA,ISLAND,VWAP,DRCTEDGE,NSX,BEX,BATS,EDGEA,CSFBALGO,JEFFALGO,BYX,IEX,TPLUS2,PSX</val>
          </value>
        </values>
      </ddeItem>
      <ddeItem name="id615?conid" advise="1">
        <values>
          <value>
            <val>8885958</val>
          </value>
        </values>
      </ddeItem>
      <ddeItem name="id615?marketName" advise="1">
        <values>
          <value t="str">
            <val>NMS</val>
          </value>
        </values>
      </ddeItem>
      <ddeItem name="id615?minTick" advise="1">
        <values>
          <value>
            <val>0.01</val>
          </value>
        </values>
      </ddeItem>
      <ddeItem name="id615?multiplier" advise="1">
        <values>
          <value t="nil">
            <val>1</val>
          </value>
        </values>
      </ddeItem>
      <ddeItem name="id61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15?req?SINA_STK_SMART_USD_~/" advise="1">
        <values>
          <value t="nil">
            <val>1</val>
          </value>
        </values>
      </ddeItem>
      <ddeItem name="id615?tradingClass" advise="1">
        <values>
          <value t="str">
            <val>NMS</val>
          </value>
        </values>
      </ddeItem>
      <ddeItem name="id615?validExchanges" advise="1">
        <values>
          <value t="str">
            <val>SMART,CBOE,ISE,CHX,ARCA,ISLAND,DRCTEDGE,NSX,BEX,BATS,EDGEA,CSFBALGO,JEFFALGO,BYX,IEX,TPLUS2,PSX</val>
          </value>
        </values>
      </ddeItem>
      <ddeItem name="id616?conid" advise="1">
        <values>
          <value>
            <val>267192</val>
          </value>
        </values>
      </ddeItem>
      <ddeItem name="id616?marketName" advise="1">
        <values>
          <value t="str">
            <val>NMS</val>
          </value>
        </values>
      </ddeItem>
      <ddeItem name="id616?minTick" advise="1">
        <values>
          <value>
            <val>0.01</val>
          </value>
        </values>
      </ddeItem>
      <ddeItem name="id616?multiplier" advise="1">
        <values>
          <value t="nil">
            <val>1</val>
          </value>
        </values>
      </ddeItem>
      <ddeItem name="id61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16?req?CACC_STK_SMART_USD_~/" advise="1">
        <values>
          <value t="nil">
            <val>1</val>
          </value>
        </values>
      </ddeItem>
      <ddeItem name="id616?tradingClass" advise="1">
        <values>
          <value t="str">
            <val>NMS</val>
          </value>
        </values>
      </ddeItem>
      <ddeItem name="id616?validExchanges" advise="1">
        <values>
          <value t="str">
            <val>SMART,ISE,CHX,ARCA,ISLAND,DRCTEDGE,NSX,BEX,BATS,EDGEA,CSFBALGO,JEFFALGO,BYX,IEX,TPLUS2,PSX</val>
          </value>
        </values>
      </ddeItem>
      <ddeItem name="id617?conid" advise="1">
        <values>
          <value>
            <val>1717101</val>
          </value>
        </values>
      </ddeItem>
      <ddeItem name="id617?marketName" advise="1">
        <values>
          <value t="str">
            <val>TUP</val>
          </value>
        </values>
      </ddeItem>
      <ddeItem name="id617?minTick" advise="1">
        <values>
          <value>
            <val>0.01</val>
          </value>
        </values>
      </ddeItem>
      <ddeItem name="id617?multiplier" advise="1">
        <values>
          <value t="nil">
            <val>1</val>
          </value>
        </values>
      </ddeItem>
      <ddeItem name="id61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17?req?TUP_STK_SMART_USD_~/" advise="1">
        <values>
          <value t="nil">
            <val>1</val>
          </value>
        </values>
      </ddeItem>
      <ddeItem name="id617?tradingClass" advise="1">
        <values>
          <value t="str">
            <val>TUP</val>
          </value>
        </values>
      </ddeItem>
      <ddeItem name="id617?validExchanges" advise="1">
        <values>
          <value t="str">
            <val>SMART,NYSE,CBOE,ISE,CHX,ARCA,ISLAND,VWAP,DRCTEDGE,NSX,BEX,BATS,EDGEA,CSFBALGO,JEFFALGO,BYX,IEX,TPLUS2,PSX</val>
          </value>
        </values>
      </ddeItem>
      <ddeItem name="id618?conid" advise="1">
        <values>
          <value>
            <val>6608665</val>
          </value>
        </values>
      </ddeItem>
      <ddeItem name="id618?marketName" advise="1">
        <values>
          <value t="str">
            <val>WCC</val>
          </value>
        </values>
      </ddeItem>
      <ddeItem name="id618?minTick" advise="1">
        <values>
          <value>
            <val>0.01</val>
          </value>
        </values>
      </ddeItem>
      <ddeItem name="id618?multiplier" advise="1">
        <values>
          <value t="nil">
            <val>1</val>
          </value>
        </values>
      </ddeItem>
      <ddeItem name="id61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18?req?WCC_STK_SMART_USD_~/" advise="1">
        <values>
          <value t="nil">
            <val>1</val>
          </value>
        </values>
      </ddeItem>
      <ddeItem name="id618?tradingClass" advise="1">
        <values>
          <value t="str">
            <val>WCC</val>
          </value>
        </values>
      </ddeItem>
      <ddeItem name="id618?validExchanges" advise="1">
        <values>
          <value t="str">
            <val>SMART,NYSE,CBOE,ISE,CHX,ARCA,ISLAND,DRCTEDGE,NSX,BEX,BATS,EDGEA,CSFBALGO,JEFFALGO,BYX,IEX,TPLUS2,PSX</val>
          </value>
        </values>
      </ddeItem>
      <ddeItem name="id619?conid" advise="1">
        <values>
          <value>
            <val>31918430</val>
          </value>
        </values>
      </ddeItem>
      <ddeItem name="id619?marketName" advise="1">
        <values>
          <value t="str">
            <val>NMS</val>
          </value>
        </values>
      </ddeItem>
      <ddeItem name="id619?minTick" advise="1">
        <values>
          <value>
            <val>0.01</val>
          </value>
        </values>
      </ddeItem>
      <ddeItem name="id619?multiplier" advise="1">
        <values>
          <value t="nil">
            <val>1</val>
          </value>
        </values>
      </ddeItem>
      <ddeItem name="id61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19?req?MKTX_STK_SMART_USD_~/" advise="1">
        <values>
          <value t="nil">
            <val>1</val>
          </value>
        </values>
      </ddeItem>
      <ddeItem name="id619?tradingClass" advise="1">
        <values>
          <value t="str">
            <val>NMS</val>
          </value>
        </values>
      </ddeItem>
      <ddeItem name="id619?validExchanges" advise="1">
        <values>
          <value t="str">
            <val>SMART,CBOE,ISE,CHX,ARCA,ISLAND,DRCTEDGE,NSX,BEX,BATS,EDGEA,CSFBALGO,JEFFALGO,BYX,IEX,TPLUS2,PSX</val>
          </value>
        </values>
      </ddeItem>
      <ddeItem name="id62?conid" advise="1">
        <values>
          <value>
            <val>6813</val>
          </value>
        </values>
      </ddeItem>
      <ddeItem name="id62?marketName" advise="1">
        <values>
          <value t="str">
            <val>EMC</val>
          </value>
        </values>
      </ddeItem>
      <ddeItem name="id62?minTick" advise="1">
        <values>
          <value>
            <val>0.01</val>
          </value>
        </values>
      </ddeItem>
      <ddeItem name="id62?multiplier" advise="1">
        <values>
          <value t="nil">
            <val>1</val>
          </value>
        </values>
      </ddeItem>
      <ddeItem name="id6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2?req?EMC_STK_SMART_USD_~/" advise="1">
        <values>
          <value t="nil">
            <val>1</val>
          </value>
        </values>
      </ddeItem>
      <ddeItem name="id62?tradingClass" advise="1">
        <values>
          <value t="str">
            <val>EMC</val>
          </value>
        </values>
      </ddeItem>
      <ddeItem name="id62?validExchanges" advise="1">
        <values>
          <value t="str">
            <val>SMART,NYSE,CBOE,ISE,CHX,ARCA,ISLAND,VWAP,DRCTEDGE,NSX,BEX,BATS,EDGEA,CSFBALGO,JEFFALGO,BYX,IEX,TPLUS2,PSX</val>
          </value>
        </values>
      </ddeItem>
      <ddeItem name="id620?conid" advise="1">
        <values>
          <value>
            <val>2730877</val>
          </value>
        </values>
      </ddeItem>
      <ddeItem name="id620?marketName" advise="1">
        <values>
          <value t="str">
            <val>CRL</val>
          </value>
        </values>
      </ddeItem>
      <ddeItem name="id620?minTick" advise="1">
        <values>
          <value>
            <val>0.01</val>
          </value>
        </values>
      </ddeItem>
      <ddeItem name="id620?multiplier" advise="1">
        <values>
          <value t="nil">
            <val>1</val>
          </value>
        </values>
      </ddeItem>
      <ddeItem name="id62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20?req?CRL_STK_SMART_USD_~/" advise="1">
        <values>
          <value t="nil">
            <val>1</val>
          </value>
        </values>
      </ddeItem>
      <ddeItem name="id620?tradingClass" advise="1">
        <values>
          <value t="str">
            <val>CRL</val>
          </value>
        </values>
      </ddeItem>
      <ddeItem name="id620?validExchanges" advise="1">
        <values>
          <value t="str">
            <val>SMART,NYSE,CBOE,ISE,CHX,ARCA,ISLAND,DRCTEDGE,NSX,BEX,BATS,EDGEA,CSFBALGO,JEFFALGO,BYX,IEX,TPLUS2,PSX</val>
          </value>
        </values>
      </ddeItem>
      <ddeItem name="id621?conid" advise="1">
        <values>
          <value>
            <val>210918190</val>
          </value>
        </values>
      </ddeItem>
      <ddeItem name="id621?marketName" advise="1">
        <values>
          <value t="str">
            <val>NMS</val>
          </value>
        </values>
      </ddeItem>
      <ddeItem name="id621?minTick" advise="1">
        <values>
          <value>
            <val>0.01</val>
          </value>
        </values>
      </ddeItem>
      <ddeItem name="id621?multiplier" advise="1">
        <values>
          <value t="nil">
            <val>1</val>
          </value>
        </values>
      </ddeItem>
      <ddeItem name="id62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21?req?RYAAY_STK_SMART_USD_~/" advise="1">
        <values>
          <value t="nil">
            <val>1</val>
          </value>
        </values>
      </ddeItem>
      <ddeItem name="id621?tradingClass" advise="1">
        <values>
          <value t="str">
            <val>NMS</val>
          </value>
        </values>
      </ddeItem>
      <ddeItem name="id621?validExchanges" advise="1">
        <values>
          <value t="str">
            <val>SMART,CBOE,ISE,CHX,ARCA,ISLAND,VWAP,DRCTEDGE,NSX,BEX,BATS,EDGEA,CSFBALGO,JEFFALGO,BYX,IEX,TPLUS2,PSX</val>
          </value>
        </values>
      </ddeItem>
      <ddeItem name="id622?conid" advise="1">
        <values>
          <value>
            <val>174076715</val>
          </value>
        </values>
      </ddeItem>
      <ddeItem name="id622?marketName" advise="1">
        <values>
          <value t="str">
            <val>NMS</val>
          </value>
        </values>
      </ddeItem>
      <ddeItem name="id622?minTick" advise="1">
        <values>
          <value>
            <val>0.01</val>
          </value>
        </values>
      </ddeItem>
      <ddeItem name="id622?multiplier" advise="1">
        <values>
          <value t="nil">
            <val>1</val>
          </value>
        </values>
      </ddeItem>
      <ddeItem name="id62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22?req?LAMR_STK_SMART_USD_~/" advise="1">
        <values>
          <value t="nil">
            <val>1</val>
          </value>
        </values>
      </ddeItem>
      <ddeItem name="id622?tradingClass" advise="1">
        <values>
          <value t="str">
            <val>NMS</val>
          </value>
        </values>
      </ddeItem>
      <ddeItem name="id622?validExchanges" advise="1">
        <values>
          <value t="str">
            <val>SMART,CBOE,ISE,CHX,ARCA,ISLAND,VWAP,DRCTEDGE,NSX,BEX,BATS,EDGEA,CSFBALGO,JEFFALGO,BYX,IEX,TPLUS2,PSX</val>
          </value>
        </values>
      </ddeItem>
      <ddeItem name="id623?conid" advise="1">
        <values>
          <value>
            <val>76266556</val>
          </value>
        </values>
      </ddeItem>
      <ddeItem name="id623?marketName" advise="1">
        <values>
          <value t="str">
            <val>SPB</val>
          </value>
        </values>
      </ddeItem>
      <ddeItem name="id623?minTick" advise="1">
        <values>
          <value>
            <val>0.01</val>
          </value>
        </values>
      </ddeItem>
      <ddeItem name="id623?multiplier" advise="1">
        <values>
          <value t="nil">
            <val>1</val>
          </value>
        </values>
      </ddeItem>
      <ddeItem name="id62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23?req?SPB_STK_SMART_USD_~/" advise="1">
        <values>
          <value t="nil">
            <val>1</val>
          </value>
        </values>
      </ddeItem>
      <ddeItem name="id623?tradingClass" advise="1">
        <values>
          <value t="str">
            <val>SPB</val>
          </value>
        </values>
      </ddeItem>
      <ddeItem name="id623?validExchanges" advise="1">
        <values>
          <value t="str">
            <val>SMART,NYSE,CBOE,ISE,CHX,ARCA,ISLAND,DRCTEDGE,NSX,BEX,BATS,EDGEA,CSFBALGO,JEFFALGO,BYX,IEX,TPLUS2,PSX</val>
          </value>
        </values>
      </ddeItem>
      <ddeItem name="id624?conid" advise="1">
        <values>
          <value>
            <val>116776441</val>
          </value>
        </values>
      </ddeItem>
      <ddeItem name="id624?marketName" advise="1">
        <values>
          <value t="str">
            <val>EPR</val>
          </value>
        </values>
      </ddeItem>
      <ddeItem name="id624?minTick" advise="1">
        <values>
          <value>
            <val>0.01</val>
          </value>
        </values>
      </ddeItem>
      <ddeItem name="id624?multiplier" advise="1">
        <values>
          <value t="nil">
            <val>1</val>
          </value>
        </values>
      </ddeItem>
      <ddeItem name="id62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24?req?EPR_STK_SMART_USD_~/" advise="1">
        <values>
          <value t="nil">
            <val>1</val>
          </value>
        </values>
      </ddeItem>
      <ddeItem name="id624?tradingClass" advise="1">
        <values>
          <value t="str">
            <val>EPR</val>
          </value>
        </values>
      </ddeItem>
      <ddeItem name="id624?validExchanges" advise="1">
        <values>
          <value t="str">
            <val>SMART,NYSE,CBOE,ISE,CHX,ARCA,ISLAND,DRCTEDGE,NSX,BEX,BATS,EDGEA,CSFBALGO,JEFFALGO,BYX,IEX,TPLUS2,PSX</val>
          </value>
        </values>
      </ddeItem>
      <ddeItem name="id625?conid" advise="1">
        <values>
          <value>
            <val>4812396</val>
          </value>
        </values>
      </ddeItem>
      <ddeItem name="id625?marketName" advise="1">
        <values>
          <value t="str">
            <val>GWR</val>
          </value>
        </values>
      </ddeItem>
      <ddeItem name="id625?minTick" advise="1">
        <values>
          <value>
            <val>0.01</val>
          </value>
        </values>
      </ddeItem>
      <ddeItem name="id625?multiplier" advise="1">
        <values>
          <value t="nil">
            <val>1</val>
          </value>
        </values>
      </ddeItem>
      <ddeItem name="id62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25?req?GWR_STK_SMART_USD_~/" advise="1">
        <values>
          <value t="nil">
            <val>1</val>
          </value>
        </values>
      </ddeItem>
      <ddeItem name="id625?tradingClass" advise="1">
        <values>
          <value t="str">
            <val>GWR</val>
          </value>
        </values>
      </ddeItem>
      <ddeItem name="id625?validExchanges" advise="1">
        <values>
          <value t="str">
            <val>SMART,NYSE,CBOE,ISE,CHX,ARCA,ISLAND,DRCTEDGE,NSX,BEX,BATS,EDGEA,CSFBALGO,JEFFALGO,BYX,IEX,TPLUS2,PSX</val>
          </value>
        </values>
      </ddeItem>
      <ddeItem name="id626?conid" advise="1">
        <values>
          <value>
            <val>172738518</val>
          </value>
        </values>
      </ddeItem>
      <ddeItem name="id626?marketName" advise="1">
        <values>
          <value t="str">
            <val>NVRO</val>
          </value>
        </values>
      </ddeItem>
      <ddeItem name="id626?minTick" advise="1">
        <values>
          <value>
            <val>0.01</val>
          </value>
        </values>
      </ddeItem>
      <ddeItem name="id626?multiplier" advise="1">
        <values>
          <value t="nil">
            <val>1</val>
          </value>
        </values>
      </ddeItem>
      <ddeItem name="id62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26?req?NVRO_STK_SMART_USD_~/" advise="1">
        <values>
          <value t="nil">
            <val>1</val>
          </value>
        </values>
      </ddeItem>
      <ddeItem name="id626?tradingClass" advise="1">
        <values>
          <value t="str">
            <val>NVRO</val>
          </value>
        </values>
      </ddeItem>
      <ddeItem name="id626?validExchanges" advise="1">
        <values>
          <value t="str">
            <val>SMART,NYSE,CBOE,ISE,CHX,ARCA,ISLAND,DRCTEDGE,NSX,BEX,BATS,EDGEA,CSFBALGO,JEFFALGO,BYX,IEX,TPLUS2,PSX</val>
          </value>
        </values>
      </ddeItem>
      <ddeItem name="id627?conid" advise="1">
        <values>
          <value>
            <val>4730589</val>
          </value>
        </values>
      </ddeItem>
      <ddeItem name="id627?marketName" advise="1">
        <values>
          <value t="str">
            <val>NMS</val>
          </value>
        </values>
      </ddeItem>
      <ddeItem name="id627?minTick" advise="1">
        <values>
          <value>
            <val>0.01</val>
          </value>
        </values>
      </ddeItem>
      <ddeItem name="id627?multiplier" advise="1">
        <values>
          <value t="nil">
            <val>1</val>
          </value>
        </values>
      </ddeItem>
      <ddeItem name="id62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27?req?FEIC_STK_SMART_USD_~/" advise="1">
        <values>
          <value t="nil">
            <val>1</val>
          </value>
        </values>
      </ddeItem>
      <ddeItem name="id627?tradingClass" advise="1">
        <values>
          <value t="str">
            <val>NMS</val>
          </value>
        </values>
      </ddeItem>
      <ddeItem name="id627?validExchanges" advise="1">
        <values>
          <value t="str">
            <val>SMART,CBOE,ISE,CHX,ARCA,ISLAND,DRCTEDGE,NSX,BEX,BATS,EDGEA,CSFBALGO,JEFFALGO,BYX,IEX,TPLUS2,PSX</val>
          </value>
        </values>
      </ddeItem>
      <ddeItem name="id628?conid" advise="1">
        <values>
          <value>
            <val>270869</val>
          </value>
        </values>
      </ddeItem>
      <ddeItem name="id628?marketName" advise="1">
        <values>
          <value t="str">
            <val>NMS</val>
          </value>
        </values>
      </ddeItem>
      <ddeItem name="id628?minTick" advise="1">
        <values>
          <value>
            <val>0.01</val>
          </value>
        </values>
      </ddeItem>
      <ddeItem name="id628?multiplier" advise="1">
        <values>
          <value t="nil">
            <val>1</val>
          </value>
        </values>
      </ddeItem>
      <ddeItem name="id62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28?req?JKHY_STK_SMART_USD_~/" advise="1">
        <values>
          <value t="nil">
            <val>1</val>
          </value>
        </values>
      </ddeItem>
      <ddeItem name="id628?tradingClass" advise="1">
        <values>
          <value t="str">
            <val>NMS</val>
          </value>
        </values>
      </ddeItem>
      <ddeItem name="id628?validExchanges" advise="1">
        <values>
          <value t="str">
            <val>SMART,ISE,CHX,ARCA,ISLAND,DRCTEDGE,NSX,BEX,BATS,EDGEA,CSFBALGO,JEFFALGO,BYX,IEX,TPLUS2,PSX</val>
          </value>
        </values>
      </ddeItem>
      <ddeItem name="id629?conid" advise="1">
        <values>
          <value>
            <val>12485</val>
          </value>
        </values>
      </ddeItem>
      <ddeItem name="id629?marketName" advise="1">
        <values>
          <value t="str">
            <val>SUI</val>
          </value>
        </values>
      </ddeItem>
      <ddeItem name="id629?minTick" advise="1">
        <values>
          <value>
            <val>0.01</val>
          </value>
        </values>
      </ddeItem>
      <ddeItem name="id629?multiplier" advise="1">
        <values>
          <value t="nil">
            <val>1</val>
          </value>
        </values>
      </ddeItem>
      <ddeItem name="id62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29?req?SUI_STK_SMART_USD_~/" advise="1">
        <values>
          <value t="nil">
            <val>1</val>
          </value>
        </values>
      </ddeItem>
      <ddeItem name="id629?tradingClass" advise="1">
        <values>
          <value t="str">
            <val>SUI</val>
          </value>
        </values>
      </ddeItem>
      <ddeItem name="id629?validExchanges" advise="1">
        <values>
          <value t="str">
            <val>SMART,NYSE,CBOE,ISE,CHX,ARCA,ISLAND,DRCTEDGE,NSX,BEX,BATS,EDGEA,CSFBALGO,JEFFALGO,BYX,IEX,TPLUS2,PSX</val>
          </value>
        </values>
      </ddeItem>
      <ddeItem name="id63?conid" advise="1">
        <values>
          <value>
            <val>10098</val>
          </value>
        </values>
      </ddeItem>
      <ddeItem name="id63?marketName" advise="1">
        <values>
          <value t="str">
            <val>BAC</val>
          </value>
        </values>
      </ddeItem>
      <ddeItem name="id63?minTick" advise="1">
        <values>
          <value>
            <val>0.01</val>
          </value>
        </values>
      </ddeItem>
      <ddeItem name="id63?multiplier" advise="1">
        <values>
          <value t="nil">
            <val>1</val>
          </value>
        </values>
      </ddeItem>
      <ddeItem name="id6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3?req?BAC_STK_SMART_USD_~/" advise="1">
        <values>
          <value t="nil">
            <val>1</val>
          </value>
        </values>
      </ddeItem>
      <ddeItem name="id63?tradingClass" advise="1">
        <values>
          <value t="str">
            <val>BAC</val>
          </value>
        </values>
      </ddeItem>
      <ddeItem name="id63?validExchanges" advise="1">
        <values>
          <value t="str">
            <val>SMART,NYSE,CBOE,ISE,CHX,ARCA,ISLAND,VWAP,DRCTEDGE,NSX,BEX,BATS,EDGEA,CSFBALGO,JEFFALGO,BYX,IEX,TPLUS2,PSX</val>
          </value>
        </values>
      </ddeItem>
      <ddeItem name="id630?conid" advise="1">
        <values>
          <value>
            <val>4568</val>
          </value>
        </values>
      </ddeItem>
      <ddeItem name="id630?marketName" advise="1">
        <values>
          <value t="str">
            <val>ARW</val>
          </value>
        </values>
      </ddeItem>
      <ddeItem name="id630?minTick" advise="1">
        <values>
          <value>
            <val>0.01</val>
          </value>
        </values>
      </ddeItem>
      <ddeItem name="id630?multiplier" advise="1">
        <values>
          <value t="nil">
            <val>1</val>
          </value>
        </values>
      </ddeItem>
      <ddeItem name="id63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30?req?ARW_STK_SMART_USD_~/" advise="1">
        <values>
          <value t="nil">
            <val>1</val>
          </value>
        </values>
      </ddeItem>
      <ddeItem name="id630?tradingClass" advise="1">
        <values>
          <value t="str">
            <val>ARW</val>
          </value>
        </values>
      </ddeItem>
      <ddeItem name="id630?validExchanges" advise="1">
        <values>
          <value t="str">
            <val>SMART,NYSE,CBOE,ISE,CHX,ARCA,ISLAND,DRCTEDGE,NSX,BEX,BATS,EDGEA,CSFBALGO,JEFFALGO,BYX,IEX,TPLUS2,PSX</val>
          </value>
        </values>
      </ddeItem>
      <ddeItem name="id631?conid" advise="1">
        <values>
          <value>
            <val>37162669</val>
          </value>
        </values>
      </ddeItem>
      <ddeItem name="id631?marketName" advise="1">
        <values>
          <value t="str">
            <val>CPA</val>
          </value>
        </values>
      </ddeItem>
      <ddeItem name="id631?minTick" advise="1">
        <values>
          <value>
            <val>0.01</val>
          </value>
        </values>
      </ddeItem>
      <ddeItem name="id631?multiplier" advise="1">
        <values>
          <value t="nil">
            <val>1</val>
          </value>
        </values>
      </ddeItem>
      <ddeItem name="id63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31?req?CPA_STK_SMART_USD_~/" advise="1">
        <values>
          <value t="nil">
            <val>1</val>
          </value>
        </values>
      </ddeItem>
      <ddeItem name="id631?tradingClass" advise="1">
        <values>
          <value t="str">
            <val>CPA</val>
          </value>
        </values>
      </ddeItem>
      <ddeItem name="id631?validExchanges" advise="1">
        <values>
          <value t="str">
            <val>SMART,NYSE,CBOE,ISE,CHX,ARCA,ISLAND,DRCTEDGE,NSX,BEX,BATS,EDGEA,CSFBALGO,JEFFALGO,BYX,IEX,TPLUS2,PSX</val>
          </value>
        </values>
      </ddeItem>
      <ddeItem name="id632?conid" advise="1">
        <values>
          <value>
            <val>4457287</val>
          </value>
        </values>
      </ddeItem>
      <ddeItem name="id632?marketName" advise="1">
        <values>
          <value t="str">
            <val>IT</val>
          </value>
        </values>
      </ddeItem>
      <ddeItem name="id632?minTick" advise="1">
        <values>
          <value>
            <val>0.01</val>
          </value>
        </values>
      </ddeItem>
      <ddeItem name="id632?multiplier" advise="1">
        <values>
          <value t="nil">
            <val>1</val>
          </value>
        </values>
      </ddeItem>
      <ddeItem name="id63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32?req?IT_STK_SMART_USD_~/" advise="1">
        <values>
          <value t="nil">
            <val>1</val>
          </value>
        </values>
      </ddeItem>
      <ddeItem name="id632?tradingClass" advise="1">
        <values>
          <value t="str">
            <val>IT</val>
          </value>
        </values>
      </ddeItem>
      <ddeItem name="id632?validExchanges" advise="1">
        <values>
          <value t="str">
            <val>SMART,NYSE,CBOE,ISE,CHX,ARCA,ISLAND,DRCTEDGE,NSX,BEX,BATS,EDGEA,CSFBALGO,JEFFALGO,BYX,IEX,TPLUS2,PSX</val>
          </value>
        </values>
      </ddeItem>
      <ddeItem name="id635?conid" advise="1">
        <values>
          <value>
            <val>80269548</val>
          </value>
        </values>
      </ddeItem>
      <ddeItem name="id635?marketName" advise="1">
        <values>
          <value t="str">
            <val>XRS</val>
          </value>
        </values>
      </ddeItem>
      <ddeItem name="id635?minTick" advise="1">
        <values>
          <value>
            <val>0.01</val>
          </value>
        </values>
      </ddeItem>
      <ddeItem name="id635?multiplier" advise="1">
        <values>
          <value t="nil">
            <val>1</val>
          </value>
        </values>
      </ddeItem>
      <ddeItem name="id63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35?req?XRS_STK_SMART_USD_~/" advise="1">
        <values>
          <value t="nil">
            <val>1</val>
          </value>
        </values>
      </ddeItem>
      <ddeItem name="id635?tradingClass" advise="1">
        <values>
          <value t="str">
            <val>XRS</val>
          </value>
        </values>
      </ddeItem>
      <ddeItem name="id635?validExchanges" advise="1">
        <values>
          <value t="str">
            <val>SMART,NYSE,CBOE,ISE,CHX,ARCA,ISLAND,DRCTEDGE,NSX,BEX,BATS,EDGEA,CSFBALGO,JEFFALGO,BYX,IEX,TPLUS2,PSX</val>
          </value>
        </values>
      </ddeItem>
      <ddeItem name="id636?conid" advise="1">
        <values>
          <value>
            <val>6726677</val>
          </value>
        </values>
      </ddeItem>
      <ddeItem name="id636?marketName" advise="1">
        <values>
          <value t="str">
            <val>NMS</val>
          </value>
        </values>
      </ddeItem>
      <ddeItem name="id636?minTick" advise="1">
        <values>
          <value>
            <val>0.01</val>
          </value>
        </values>
      </ddeItem>
      <ddeItem name="id636?multiplier" advise="1">
        <values>
          <value t="nil">
            <val>1</val>
          </value>
        </values>
      </ddeItem>
      <ddeItem name="id63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36?req?CSGP_STK_SMART_USD_~/" advise="1">
        <values>
          <value t="nil">
            <val>1</val>
          </value>
        </values>
      </ddeItem>
      <ddeItem name="id636?tradingClass" advise="1">
        <values>
          <value t="str">
            <val>NMS</val>
          </value>
        </values>
      </ddeItem>
      <ddeItem name="id636?validExchanges" advise="1">
        <values>
          <value t="str">
            <val>SMART,ISE,CHX,ARCA,ISLAND,DRCTEDGE,NSX,BEX,BATS,EDGEA,CSFBALGO,JEFFALGO,BYX,IEX,TPLUS2,PSX</val>
          </value>
        </values>
      </ddeItem>
      <ddeItem name="id637?conid" advise="1">
        <values>
          <value>
            <val>29241131</val>
          </value>
        </values>
      </ddeItem>
      <ddeItem name="id637?marketName" advise="1">
        <values>
          <value t="str">
            <val>NMS</val>
          </value>
        </values>
      </ddeItem>
      <ddeItem name="id637?minTick" advise="1">
        <values>
          <value>
            <val>0.01</val>
          </value>
        </values>
      </ddeItem>
      <ddeItem name="id637?multiplier" advise="1">
        <values>
          <value t="nil">
            <val>1</val>
          </value>
        </values>
      </ddeItem>
      <ddeItem name="id63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37?req?NUVA_STK_SMART_USD_~/" advise="1">
        <values>
          <value t="nil">
            <val>1</val>
          </value>
        </values>
      </ddeItem>
      <ddeItem name="id637?tradingClass" advise="1">
        <values>
          <value t="str">
            <val>NMS</val>
          </value>
        </values>
      </ddeItem>
      <ddeItem name="id637?validExchanges" advise="1">
        <values>
          <value t="str">
            <val>SMART,CBOE,ISE,CHX,ARCA,ISLAND,DRCTEDGE,NSX,BEX,BATS,EDGEA,CSFBALGO,JEFFALGO,BYX,IEX,TPLUS2,PSX</val>
          </value>
        </values>
      </ddeItem>
      <ddeItem name="id638?conid" advise="1">
        <values>
          <value>
            <val>661417</val>
          </value>
        </values>
      </ddeItem>
      <ddeItem name="id638?marketName" advise="1">
        <values>
          <value t="str">
            <val>CHK</val>
          </value>
        </values>
      </ddeItem>
      <ddeItem name="id638?minTick" advise="1">
        <values>
          <value>
            <val>1E-4</val>
          </value>
        </values>
      </ddeItem>
      <ddeItem name="id638?multiplier" advise="1">
        <values>
          <value t="nil">
            <val>1</val>
          </value>
        </values>
      </ddeItem>
      <ddeItem name="id63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38?req?CHK_STK_SMART_USD_~/" advise="1">
        <values>
          <value t="nil">
            <val>1</val>
          </value>
        </values>
      </ddeItem>
      <ddeItem name="id638?tradingClass" advise="1">
        <values>
          <value t="str">
            <val>CHK</val>
          </value>
        </values>
      </ddeItem>
      <ddeItem name="id638?validExchanges" advise="1">
        <values>
          <value t="str">
            <val>SMART,NYSE,CBOE,ISE,CHX,ARCA,ISLAND,VWAP,DRCTEDGE,NSX,BEX,BATS,EDGEA,CSFBALGO,JEFFALGO,BYX,IEX,TPLUS2,PSX</val>
          </value>
        </values>
      </ddeItem>
      <ddeItem name="id639?conid" advise="1">
        <values>
          <value>
            <val>4931</val>
          </value>
        </values>
      </ddeItem>
      <ddeItem name="id639?marketName" advise="1">
        <values>
          <value t="str">
            <val>BF B</val>
          </value>
        </values>
      </ddeItem>
      <ddeItem name="id639?minTick" advise="1">
        <values>
          <value>
            <val>0.01</val>
          </value>
        </values>
      </ddeItem>
      <ddeItem name="id639?multiplier" advise="1">
        <values>
          <value t="nil">
            <val>1</val>
          </value>
        </values>
      </ddeItem>
      <ddeItem name="id63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39?req?BFsingleSpaceB_STK_SMART_USD_~/" advise="1">
        <values>
          <value t="nil">
            <val>1</val>
          </value>
        </values>
      </ddeItem>
      <ddeItem name="id639?tradingClass" advise="1">
        <values>
          <value t="str">
            <val>BF B</val>
          </value>
        </values>
      </ddeItem>
      <ddeItem name="id639?validExchanges" advise="1">
        <values>
          <value t="str">
            <val>SMART,NYSE,CBOE,ISE,CHX,ARCA,ISLAND,VWAP,DRCTEDGE,NSX,BEX,BATS,EDGEA,CSFBALGO,JEFFALGO,BYX,IEX,TPLUS2,PSX</val>
          </value>
        </values>
      </ddeItem>
      <ddeItem name="id64?conid" advise="1">
        <values>
          <value>
            <val>87335484</val>
          </value>
        </values>
      </ddeItem>
      <ddeItem name="id64?marketName" advise="1">
        <values>
          <value t="str">
            <val>C</val>
          </value>
        </values>
      </ddeItem>
      <ddeItem name="id64?minTick" advise="1">
        <values>
          <value>
            <val>0.01</val>
          </value>
        </values>
      </ddeItem>
      <ddeItem name="id64?multiplier" advise="1">
        <values>
          <value t="nil">
            <val>1</val>
          </value>
        </values>
      </ddeItem>
      <ddeItem name="id6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4?req?C_STK_SMART_USD_~/" advise="1">
        <values>
          <value t="nil">
            <val>1</val>
          </value>
        </values>
      </ddeItem>
      <ddeItem name="id64?tradingClass" advise="1">
        <values>
          <value t="str">
            <val>C</val>
          </value>
        </values>
      </ddeItem>
      <ddeItem name="id64?validExchanges" advise="1">
        <values>
          <value t="str">
            <val>SMART,NYSE,CBOE,ISE,CHX,ARCA,ISLAND,VWAP,DRCTEDGE,NSX,BEX,BATS,EDGEA,CSFBALGO,JEFFALGO,BYX,IEX,TPLUS2,PSX</val>
          </value>
        </values>
      </ddeItem>
      <ddeItem name="id640?conid" advise="1">
        <values>
          <value>
            <val>9690</val>
          </value>
        </values>
      </ddeItem>
      <ddeItem name="id640?marketName" advise="1">
        <values>
          <value t="str">
            <val>MLM</val>
          </value>
        </values>
      </ddeItem>
      <ddeItem name="id640?minTick" advise="1">
        <values>
          <value>
            <val>0.01</val>
          </value>
        </values>
      </ddeItem>
      <ddeItem name="id640?multiplier" advise="1">
        <values>
          <value t="nil">
            <val>1</val>
          </value>
        </values>
      </ddeItem>
      <ddeItem name="id64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40?req?MLM_STK_SMART_USD_~/" advise="1">
        <values>
          <value t="nil">
            <val>1</val>
          </value>
        </values>
      </ddeItem>
      <ddeItem name="id640?tradingClass" advise="1">
        <values>
          <value t="str">
            <val>MLM</val>
          </value>
        </values>
      </ddeItem>
      <ddeItem name="id640?validExchanges" advise="1">
        <values>
          <value t="str">
            <val>SMART,NYSE,CBOE,ISE,CHX,ARCA,ISLAND,DRCTEDGE,NSX,BEX,BATS,EDGEA,CSFBALGO,JEFFALGO,BYX,IEX,TPLUS2,PSX</val>
          </value>
        </values>
      </ddeItem>
      <ddeItem name="id641?conid" advise="1">
        <values>
          <value>
            <val>9365</val>
          </value>
        </values>
      </ddeItem>
      <ddeItem name="id641?marketName" advise="1">
        <values>
          <value t="str">
            <val>NMS</val>
          </value>
        </values>
      </ddeItem>
      <ddeItem name="id641?minTick" advise="1">
        <values>
          <value>
            <val>0.01</val>
          </value>
        </values>
      </ddeItem>
      <ddeItem name="id641?multiplier" advise="1">
        <values>
          <value t="nil">
            <val>1</val>
          </value>
        </values>
      </ddeItem>
      <ddeItem name="id64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41?req?MAT_STK_SMART_USD_~/" advise="1">
        <values>
          <value t="nil">
            <val>1</val>
          </value>
        </values>
      </ddeItem>
      <ddeItem name="id641?tradingClass" advise="1">
        <values>
          <value t="str">
            <val>NMS</val>
          </value>
        </values>
      </ddeItem>
      <ddeItem name="id641?validExchanges" advise="1">
        <values>
          <value t="str">
            <val>SMART,CBOE,ISE,CHX,ARCA,ISLAND,VWAP,DRCTEDGE,NSX,BEX,BATS,EDGEA,CSFBALGO,JEFFALGO,BYX,IEX,TPLUS2,PSX</val>
          </value>
        </values>
      </ddeItem>
      <ddeItem name="id642?conid" advise="1">
        <values>
          <value>
            <val>8093509</val>
          </value>
        </values>
      </ddeItem>
      <ddeItem name="id642?marketName" advise="1">
        <values>
          <value t="str">
            <val>MET</val>
          </value>
        </values>
      </ddeItem>
      <ddeItem name="id642?minTick" advise="1">
        <values>
          <value>
            <val>0.01</val>
          </value>
        </values>
      </ddeItem>
      <ddeItem name="id642?multiplier" advise="1">
        <values>
          <value t="nil">
            <val>1</val>
          </value>
        </values>
      </ddeItem>
      <ddeItem name="id64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42?req?MET_STK_SMART_USD_~/" advise="1">
        <values>
          <value t="nil">
            <val>1</val>
          </value>
        </values>
      </ddeItem>
      <ddeItem name="id642?tradingClass" advise="1">
        <values>
          <value t="str">
            <val>MET</val>
          </value>
        </values>
      </ddeItem>
      <ddeItem name="id642?validExchanges" advise="1">
        <values>
          <value t="str">
            <val>SMART,NYSE,CBOE,ISE,CHX,ARCA,ISLAND,VWAP,DRCTEDGE,NSX,BEX,BATS,EDGEA,CSFBALGO,JEFFALGO,BYX,IEX,TPLUS2,PSX</val>
          </value>
        </values>
      </ddeItem>
      <ddeItem name="id643?conid" advise="1">
        <values>
          <value>
            <val>52424577</val>
          </value>
        </values>
      </ddeItem>
      <ddeItem name="id643?marketName" advise="1">
        <values>
          <value t="str">
            <val>NMS</val>
          </value>
        </values>
      </ddeItem>
      <ddeItem name="id643?minTick" advise="1">
        <values>
          <value>
            <val>0.01</val>
          </value>
        </values>
      </ddeItem>
      <ddeItem name="id643?multiplier" advise="1">
        <values>
          <value t="nil">
            <val>1</val>
          </value>
        </values>
      </ddeItem>
      <ddeItem name="id64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43?req?ATVI_STK_SMART_USD_~/" advise="1">
        <values>
          <value t="nil">
            <val>1</val>
          </value>
        </values>
      </ddeItem>
      <ddeItem name="id643?tradingClass" advise="1">
        <values>
          <value t="str">
            <val>NMS</val>
          </value>
        </values>
      </ddeItem>
      <ddeItem name="id643?validExchanges" advise="1">
        <values>
          <value t="str">
            <val>SMART,CBOE,ISE,CHX,ARCA,ISLAND,VWAP,DRCTEDGE,NSX,BEX,BATS,EDGEA,CSFBALGO,JEFFALGO,BYX,IEX,TPLUS2,PSX</val>
          </value>
        </values>
      </ddeItem>
      <ddeItem name="id644?conid" advise="1">
        <values>
          <value>
            <val>2585769</val>
          </value>
        </values>
      </ddeItem>
      <ddeItem name="id644?marketName" advise="1">
        <values>
          <value t="str">
            <val>CVS</val>
          </value>
        </values>
      </ddeItem>
      <ddeItem name="id644?minTick" advise="1">
        <values>
          <value>
            <val>0.01</val>
          </value>
        </values>
      </ddeItem>
      <ddeItem name="id644?multiplier" advise="1">
        <values>
          <value t="nil">
            <val>1</val>
          </value>
        </values>
      </ddeItem>
      <ddeItem name="id64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44?req?CVS_STK_SMART_USD_~/" advise="1">
        <values>
          <value t="nil">
            <val>1</val>
          </value>
        </values>
      </ddeItem>
      <ddeItem name="id644?tradingClass" advise="1">
        <values>
          <value t="str">
            <val>CVS</val>
          </value>
        </values>
      </ddeItem>
      <ddeItem name="id644?validExchanges" advise="1">
        <values>
          <value t="str">
            <val>SMART,NYSE,CBOE,ISE,CHX,ARCA,ISLAND,VWAP,DRCTEDGE,NSX,BEX,BATS,EDGEA,CSFBALGO,JEFFALGO,BYX,IEX,TPLUS2,PSX</val>
          </value>
        </values>
      </ddeItem>
      <ddeItem name="id645?conid" advise="1">
        <values>
          <value>
            <val>661507</val>
          </value>
        </values>
      </ddeItem>
      <ddeItem name="id645?marketName" advise="1">
        <values>
          <value t="str">
            <val>LH</val>
          </value>
        </values>
      </ddeItem>
      <ddeItem name="id645?minTick" advise="1">
        <values>
          <value>
            <val>0.01</val>
          </value>
        </values>
      </ddeItem>
      <ddeItem name="id645?multiplier" advise="1">
        <values>
          <value t="nil">
            <val>1</val>
          </value>
        </values>
      </ddeItem>
      <ddeItem name="id64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45?req?LH_STK_SMART_USD_~/" advise="1">
        <values>
          <value t="nil">
            <val>1</val>
          </value>
        </values>
      </ddeItem>
      <ddeItem name="id645?tradingClass" advise="1">
        <values>
          <value t="str">
            <val>LH</val>
          </value>
        </values>
      </ddeItem>
      <ddeItem name="id645?validExchanges" advise="1">
        <values>
          <value t="str">
            <val>SMART,NYSE,CBOE,ISE,CHX,ARCA,ISLAND,VWAP,DRCTEDGE,NSX,BEX,BATS,EDGEA,CSFBALGO,JEFFALGO,BYX,IEX,TPLUS2,PSX</val>
          </value>
        </values>
      </ddeItem>
      <ddeItem name="id646?conid" advise="1">
        <values>
          <value>
            <val>272093</val>
          </value>
        </values>
      </ddeItem>
      <ddeItem name="id646?marketName" advise="1">
        <values>
          <value t="str">
            <val>NMS</val>
          </value>
        </values>
      </ddeItem>
      <ddeItem name="id646?minTick" advise="1">
        <values>
          <value>
            <val>0.01</val>
          </value>
        </values>
      </ddeItem>
      <ddeItem name="id646?multiplier" advise="1">
        <values>
          <value t="nil">
            <val>1</val>
          </value>
        </values>
      </ddeItem>
      <ddeItem name="id64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46?req?MSFT_STK_SMART_USD_~/" advise="1">
        <values>
          <value t="nil">
            <val>1</val>
          </value>
        </values>
      </ddeItem>
      <ddeItem name="id646?tradingClass" advise="1">
        <values>
          <value t="str">
            <val>NMS</val>
          </value>
        </values>
      </ddeItem>
      <ddeItem name="id646?validExchanges" advise="1">
        <values>
          <value t="str">
            <val>SMART,CBOE,ISE,CHX,ARCA,ISLAND,VWAP,DRCTEDGE,NSX,BEX,BATS,EDGEA,CSFBALGO,JEFFALGO,BYX,IEX,TPLUS2,PSX</val>
          </value>
        </values>
      </ddeItem>
      <ddeItem name="id647?conid" advise="1">
        <values>
          <value>
            <val>9939</val>
          </value>
        </values>
      </ddeItem>
      <ddeItem name="id647?marketName" advise="1">
        <values>
          <value t="str">
            <val>NMS</val>
          </value>
        </values>
      </ddeItem>
      <ddeItem name="id647?minTick" advise="1">
        <values>
          <value>
            <val>0.01</val>
          </value>
        </values>
      </ddeItem>
      <ddeItem name="id647?multiplier" advise="1">
        <values>
          <value t="nil">
            <val>1</val>
          </value>
        </values>
      </ddeItem>
      <ddeItem name="id64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47?req?MU_STK_SMART_USD_~/" advise="1">
        <values>
          <value t="nil">
            <val>1</val>
          </value>
        </values>
      </ddeItem>
      <ddeItem name="id647?tradingClass" advise="1">
        <values>
          <value t="str">
            <val>NMS</val>
          </value>
        </values>
      </ddeItem>
      <ddeItem name="id647?validExchanges" advise="1">
        <values>
          <value t="str">
            <val>SMART,CBOE,ISE,CHX,ARCA,ISLAND,VWAP,DRCTEDGE,NSX,BEX,BATS,EDGEA,CSFBALGO,JEFFALGO,BYX,IEX,TPLUS2,PSX</val>
          </value>
        </values>
      </ddeItem>
      <ddeItem name="id648?conid" advise="1">
        <values>
          <value>
            <val>271568</val>
          </value>
        </values>
      </ddeItem>
      <ddeItem name="id648?marketName" advise="1">
        <values>
          <value t="str">
            <val>NMS</val>
          </value>
        </values>
      </ddeItem>
      <ddeItem name="id648?minTick" advise="1">
        <values>
          <value>
            <val>0.01</val>
          </value>
        </values>
      </ddeItem>
      <ddeItem name="id648?multiplier" advise="1">
        <values>
          <value t="nil">
            <val>1</val>
          </value>
        </values>
      </ddeItem>
      <ddeItem name="id64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48?req?MCHP_STK_SMART_USD_~/" advise="1">
        <values>
          <value t="nil">
            <val>1</val>
          </value>
        </values>
      </ddeItem>
      <ddeItem name="id648?tradingClass" advise="1">
        <values>
          <value t="str">
            <val>NMS</val>
          </value>
        </values>
      </ddeItem>
      <ddeItem name="id648?validExchanges" advise="1">
        <values>
          <value t="str">
            <val>SMART,CBOE,ISE,CHX,ARCA,ISLAND,VWAP,DRCTEDGE,NSX,BEX,BATS,EDGEA,CSFBALGO,JEFFALGO,BYX,IEX,TPLUS2,PSX</val>
          </value>
        </values>
      </ddeItem>
      <ddeItem name="id649?conid" advise="1">
        <values>
          <value>
            <val>9720</val>
          </value>
        </values>
      </ddeItem>
      <ddeItem name="id649?marketName" advise="1">
        <values>
          <value t="str">
            <val>MMM</val>
          </value>
        </values>
      </ddeItem>
      <ddeItem name="id649?minTick" advise="1">
        <values>
          <value>
            <val>0.01</val>
          </value>
        </values>
      </ddeItem>
      <ddeItem name="id649?multiplier" advise="1">
        <values>
          <value t="nil">
            <val>1</val>
          </value>
        </values>
      </ddeItem>
      <ddeItem name="id64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49?req?MMM_STK_SMART_USD_~/" advise="1">
        <values>
          <value t="nil">
            <val>1</val>
          </value>
        </values>
      </ddeItem>
      <ddeItem name="id649?tradingClass" advise="1">
        <values>
          <value t="str">
            <val>MMM</val>
          </value>
        </values>
      </ddeItem>
      <ddeItem name="id649?validExchanges" advise="1">
        <values>
          <value t="str">
            <val>SMART,NYSE,CBOE,ISE,CHX,ARCA,ISLAND,VWAP,DRCTEDGE,NSX,BEX,BATS,EDGEA,CSFBALGO,JEFFALGO,BYX,IEX,TPLUS2,PSX</val>
          </value>
        </values>
      </ddeItem>
      <ddeItem name="id65?conid" advise="1">
        <values>
          <value>
            <val>6832</val>
          </value>
        </values>
      </ddeItem>
      <ddeItem name="id65?marketName" advise="1">
        <values>
          <value t="str">
            <val>EMN</val>
          </value>
        </values>
      </ddeItem>
      <ddeItem name="id65?minTick" advise="1">
        <values>
          <value>
            <val>0.01</val>
          </value>
        </values>
      </ddeItem>
      <ddeItem name="id65?multiplier" advise="1">
        <values>
          <value t="nil">
            <val>1</val>
          </value>
        </values>
      </ddeItem>
      <ddeItem name="id6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5?req?EMN_STK_SMART_USD_~/" advise="1">
        <values>
          <value t="nil">
            <val>1</val>
          </value>
        </values>
      </ddeItem>
      <ddeItem name="id65?tradingClass" advise="1">
        <values>
          <value t="str">
            <val>EMN</val>
          </value>
        </values>
      </ddeItem>
      <ddeItem name="id65?validExchanges" advise="1">
        <values>
          <value t="str">
            <val>SMART,NYSE,CBOE,ISE,CHX,ARCA,ISLAND,VWAP,DRCTEDGE,NSX,BEX,BATS,EDGEA,CSFBALGO,JEFFALGO,BYX,IEX,TPLUS2,PSX</val>
          </value>
        </values>
      </ddeItem>
      <ddeItem name="id650?conid" advise="1">
        <values>
          <value>
            <val>271967</val>
          </value>
        </values>
      </ddeItem>
      <ddeItem name="id650?marketName" advise="1">
        <values>
          <value t="str">
            <val>MHK</val>
          </value>
        </values>
      </ddeItem>
      <ddeItem name="id650?minTick" advise="1">
        <values>
          <value>
            <val>0.01</val>
          </value>
        </values>
      </ddeItem>
      <ddeItem name="id650?multiplier" advise="1">
        <values>
          <value t="nil">
            <val>1</val>
          </value>
        </values>
      </ddeItem>
      <ddeItem name="id65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50?req?MHK_STK_SMART_USD_~/" advise="1">
        <values>
          <value t="nil">
            <val>1</val>
          </value>
        </values>
      </ddeItem>
      <ddeItem name="id650?tradingClass" advise="1">
        <values>
          <value t="str">
            <val>MHK</val>
          </value>
        </values>
      </ddeItem>
      <ddeItem name="id650?validExchanges" advise="1">
        <values>
          <value t="str">
            <val>SMART,NYSE,CBOE,ISE,CHX,ARCA,ISLAND,VWAP,DRCTEDGE,NSX,BEX,BATS,EDGEA,CSFBALGO,JEFFALGO,BYX,IEX,TPLUS2,PSX</val>
          </value>
        </values>
      </ddeItem>
      <ddeItem name="id651?conid" advise="1">
        <values>
          <value>
            <val>8949</val>
          </value>
        </values>
      </ddeItem>
      <ddeItem name="id651?marketName" advise="1">
        <values>
          <value t="str">
            <val>KSU</val>
          </value>
        </values>
      </ddeItem>
      <ddeItem name="id651?minTick" advise="1">
        <values>
          <value>
            <val>0.01</val>
          </value>
        </values>
      </ddeItem>
      <ddeItem name="id651?multiplier" advise="1">
        <values>
          <value t="nil">
            <val>1</val>
          </value>
        </values>
      </ddeItem>
      <ddeItem name="id65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51?req?KSU_STK_SMART_USD_~/" advise="1">
        <values>
          <value t="nil">
            <val>1</val>
          </value>
        </values>
      </ddeItem>
      <ddeItem name="id651?tradingClass" advise="1">
        <values>
          <value t="str">
            <val>KSU</val>
          </value>
        </values>
      </ddeItem>
      <ddeItem name="id651?validExchanges" advise="1">
        <values>
          <value t="str">
            <val>SMART,NYSE,CBOE,ISE,CHX,ARCA,ISLAND,VWAP,DRCTEDGE,NSX,BEX,BATS,EDGEA,CSFBALGO,JEFFALGO,BYX,IEX,TPLUS2,PSX</val>
          </value>
        </values>
      </ddeItem>
      <ddeItem name="id652?conid" advise="1">
        <values>
          <value>
            <val>9952</val>
          </value>
        </values>
      </ddeItem>
      <ddeItem name="id652?marketName" advise="1">
        <values>
          <value t="str">
            <val>MUR</val>
          </value>
        </values>
      </ddeItem>
      <ddeItem name="id652?minTick" advise="1">
        <values>
          <value>
            <val>0.01</val>
          </value>
        </values>
      </ddeItem>
      <ddeItem name="id652?multiplier" advise="1">
        <values>
          <value t="nil">
            <val>1</val>
          </value>
        </values>
      </ddeItem>
      <ddeItem name="id65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52?req?MUR_STK_SMART_USD_~/" advise="1">
        <values>
          <value t="nil">
            <val>1</val>
          </value>
        </values>
      </ddeItem>
      <ddeItem name="id652?tradingClass" advise="1">
        <values>
          <value t="str">
            <val>MUR</val>
          </value>
        </values>
      </ddeItem>
      <ddeItem name="id652?validExchanges" advise="1">
        <values>
          <value t="str">
            <val>SMART,NYSE,CBOE,ISE,CHX,ARCA,ISLAND,VWAP,DRCTEDGE,NSX,BEX,BATS,EDGEA,CSFBALGO,JEFFALGO,BYX,IEX,TPLUS2,PSX</val>
          </value>
        </values>
      </ddeItem>
      <ddeItem name="id653?conid" advise="1">
        <values>
          <value>
            <val>9869443</val>
          </value>
        </values>
      </ddeItem>
      <ddeItem name="id653?marketName" advise="1">
        <values>
          <value t="str">
            <val>NMS</val>
          </value>
        </values>
      </ddeItem>
      <ddeItem name="id653?minTick" advise="1">
        <values>
          <value>
            <val>0.01</val>
          </value>
        </values>
      </ddeItem>
      <ddeItem name="id653?multiplier" advise="1">
        <values>
          <value t="nil">
            <val>1</val>
          </value>
        </values>
      </ddeItem>
      <ddeItem name="id65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53?req?ILMN_STK_SMART_USD_~/" advise="1">
        <values>
          <value t="nil">
            <val>1</val>
          </value>
        </values>
      </ddeItem>
      <ddeItem name="id653?tradingClass" advise="1">
        <values>
          <value t="str">
            <val>NMS</val>
          </value>
        </values>
      </ddeItem>
      <ddeItem name="id653?validExchanges" advise="1">
        <values>
          <value t="str">
            <val>SMART,CBOE,ISE,CHX,ARCA,ISLAND,DRCTEDGE,NSX,BEX,BATS,EDGEA,CSFBALGO,JEFFALGO,BYX,IEX,TPLUS2,PSX</val>
          </value>
        </values>
      </ddeItem>
      <ddeItem name="id654?conid" advise="1">
        <values>
          <value>
            <val>10517</val>
          </value>
        </values>
      </ddeItem>
      <ddeItem name="id654?marketName" advise="1">
        <values>
          <value t="str">
            <val>XEL</val>
          </value>
        </values>
      </ddeItem>
      <ddeItem name="id654?minTick" advise="1">
        <values>
          <value>
            <val>0.01</val>
          </value>
        </values>
      </ddeItem>
      <ddeItem name="id654?multiplier" advise="1">
        <values>
          <value t="nil">
            <val>1</val>
          </value>
        </values>
      </ddeItem>
      <ddeItem name="id65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54?req?XEL_STK_SMART_USD_~/" advise="1">
        <values>
          <value t="nil">
            <val>1</val>
          </value>
        </values>
      </ddeItem>
      <ddeItem name="id654?tradingClass" advise="1">
        <values>
          <value t="str">
            <val>XEL</val>
          </value>
        </values>
      </ddeItem>
      <ddeItem name="id654?validExchanges" advise="1">
        <values>
          <value t="str">
            <val>SMART,NYSE,CBOE,ISE,CHX,ARCA,ISLAND,VWAP,DRCTEDGE,NSX,BEX,BATS,EDGEA,CSFBALGO,JEFFALGO,BYX,IEX,TPLUS2,PSX</val>
          </value>
        </values>
      </ddeItem>
      <ddeItem name="id655?conid" advise="1">
        <values>
          <value>
            <val>9599491</val>
          </value>
        </values>
      </ddeItem>
      <ddeItem name="id655?marketName" advise="1">
        <values>
          <value t="str">
            <val>F</val>
          </value>
        </values>
      </ddeItem>
      <ddeItem name="id655?minTick" advise="1">
        <values>
          <value>
            <val>0.01</val>
          </value>
        </values>
      </ddeItem>
      <ddeItem name="id655?multiplier" advise="1">
        <values>
          <value t="nil">
            <val>1</val>
          </value>
        </values>
      </ddeItem>
      <ddeItem name="id65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55?req?F_STK_SMART_USD_~/" advise="1">
        <values>
          <value t="nil">
            <val>1</val>
          </value>
        </values>
      </ddeItem>
      <ddeItem name="id655?tradingClass" advise="1">
        <values>
          <value t="str">
            <val>F</val>
          </value>
        </values>
      </ddeItem>
      <ddeItem name="id655?validExchanges" advise="1">
        <values>
          <value t="str">
            <val>SMART,NYSE,CBOE,ISE,CHX,ARCA,ISLAND,VWAP,DRCTEDGE,NSX,BEX,BATS,EDGEA,CSFBALGO,JEFFALGO,BYX,IEX,TPLUS2,PSX</val>
          </value>
        </values>
      </ddeItem>
      <ddeItem name="id656?conid" advise="1">
        <values>
          <value>
            <val>2585583</val>
          </value>
        </values>
      </ddeItem>
      <ddeItem name="id656?marketName" advise="1">
        <values>
          <value t="str">
            <val>NOV</val>
          </value>
        </values>
      </ddeItem>
      <ddeItem name="id656?minTick" advise="1">
        <values>
          <value>
            <val>0.01</val>
          </value>
        </values>
      </ddeItem>
      <ddeItem name="id656?multiplier" advise="1">
        <values>
          <value t="nil">
            <val>1</val>
          </value>
        </values>
      </ddeItem>
      <ddeItem name="id65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56?req?NOV_STK_SMART_USD_~/" advise="1">
        <values>
          <value t="nil">
            <val>1</val>
          </value>
        </values>
      </ddeItem>
      <ddeItem name="id656?tradingClass" advise="1">
        <values>
          <value t="str">
            <val>NOV</val>
          </value>
        </values>
      </ddeItem>
      <ddeItem name="id656?validExchanges" advise="1">
        <values>
          <value t="str">
            <val>SMART,NYSE,CBOE,ISE,CHX,ARCA,ISLAND,VWAP,DRCTEDGE,NSX,BEX,BATS,EDGEA,CSFBALGO,JEFFALGO,BYX,IEX,TPLUS2,PSX</val>
          </value>
        </values>
      </ddeItem>
      <ddeItem name="id657?conid" advise="1">
        <values>
          <value>
            <val>49921110</val>
          </value>
        </values>
      </ddeItem>
      <ddeItem name="id657?marketName" advise="1">
        <values>
          <value t="str">
            <val>NMS</val>
          </value>
        </values>
      </ddeItem>
      <ddeItem name="id657?minTick" advise="1">
        <values>
          <value>
            <val>0.01</val>
          </value>
        </values>
      </ddeItem>
      <ddeItem name="id657?multiplier" advise="1">
        <values>
          <value t="nil">
            <val>1</val>
          </value>
        </values>
      </ddeItem>
      <ddeItem name="id65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57?req?NTAP_STK_SMART_USD_~/" advise="1">
        <values>
          <value t="nil">
            <val>1</val>
          </value>
        </values>
      </ddeItem>
      <ddeItem name="id657?tradingClass" advise="1">
        <values>
          <value t="str">
            <val>NMS</val>
          </value>
        </values>
      </ddeItem>
      <ddeItem name="id657?validExchanges" advise="1">
        <values>
          <value t="str">
            <val>SMART,CBOE,ISE,CHX,ARCA,ISLAND,VWAP,DRCTEDGE,NSX,BEX,BATS,EDGEA,CSFBALGO,JEFFALGO,BYX,IEX,TPLUS2,PSX</val>
          </value>
        </values>
      </ddeItem>
      <ddeItem name="id658?conid" advise="1">
        <values>
          <value>
            <val>10209</val>
          </value>
        </values>
      </ddeItem>
      <ddeItem name="id658?marketName" advise="1">
        <values>
          <value t="str">
            <val>NFX</val>
          </value>
        </values>
      </ddeItem>
      <ddeItem name="id658?minTick" advise="1">
        <values>
          <value>
            <val>0.01</val>
          </value>
        </values>
      </ddeItem>
      <ddeItem name="id658?multiplier" advise="1">
        <values>
          <value t="nil">
            <val>1</val>
          </value>
        </values>
      </ddeItem>
      <ddeItem name="id65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58?req?NFX_STK_SMART_USD_~/" advise="1">
        <values>
          <value t="nil">
            <val>1</val>
          </value>
        </values>
      </ddeItem>
      <ddeItem name="id658?tradingClass" advise="1">
        <values>
          <value t="str">
            <val>NFX</val>
          </value>
        </values>
      </ddeItem>
      <ddeItem name="id658?validExchanges" advise="1">
        <values>
          <value t="str">
            <val>SMART,NYSE,CBOE,ISE,CHX,ARCA,ISLAND,DRCTEDGE,NSX,BEX,BATS,EDGEA,CSFBALGO,JEFFALGO,BYX,IEX,TPLUS2,PSX</val>
          </value>
        </values>
      </ddeItem>
      <ddeItem name="id659?conid" advise="1">
        <values>
          <value>
            <val>10627</val>
          </value>
        </values>
      </ddeItem>
      <ddeItem name="id659?marketName" advise="1">
        <values>
          <value t="str">
            <val>NWL</val>
          </value>
        </values>
      </ddeItem>
      <ddeItem name="id659?minTick" advise="1">
        <values>
          <value>
            <val>0.01</val>
          </value>
        </values>
      </ddeItem>
      <ddeItem name="id659?multiplier" advise="1">
        <values>
          <value t="nil">
            <val>1</val>
          </value>
        </values>
      </ddeItem>
      <ddeItem name="id65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59?req?NWL_STK_SMART_USD_~/" advise="1">
        <values>
          <value t="nil">
            <val>1</val>
          </value>
        </values>
      </ddeItem>
      <ddeItem name="id659?tradingClass" advise="1">
        <values>
          <value t="str">
            <val>NWL</val>
          </value>
        </values>
      </ddeItem>
      <ddeItem name="id659?validExchanges" advise="1">
        <values>
          <value t="str">
            <val>SMART,NYSE,CBOE,ISE,CHX,ARCA,ISLAND,VWAP,DRCTEDGE,NSX,BEX,BATS,EDGEA,CSFBALGO,JEFFALGO,BYX,IEX,TPLUS2,PSX</val>
          </value>
        </values>
      </ddeItem>
      <ddeItem name="id66?conid" advise="1">
        <values>
          <value>
            <val>75961319</val>
          </value>
        </values>
      </ddeItem>
      <ddeItem name="id66?marketName" advise="1">
        <values>
          <value t="str">
            <val>NMS</val>
          </value>
        </values>
      </ddeItem>
      <ddeItem name="id66?minTick" advise="1">
        <values>
          <value>
            <val>0.01</val>
          </value>
        </values>
      </ddeItem>
      <ddeItem name="id66?multiplier" advise="1">
        <values>
          <value t="nil">
            <val>1</val>
          </value>
        </values>
      </ddeItem>
      <ddeItem name="id6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6?req?ETFC_STK_SMART_USD_~/" advise="1">
        <values>
          <value t="nil">
            <val>1</val>
          </value>
        </values>
      </ddeItem>
      <ddeItem name="id66?tradingClass" advise="1">
        <values>
          <value t="str">
            <val>NMS</val>
          </value>
        </values>
      </ddeItem>
      <ddeItem name="id66?validExchanges" advise="1">
        <values>
          <value t="str">
            <val>SMART,CBOE,ISE,CHX,ARCA,ISLAND,VWAP,DRCTEDGE,NSX,BEX,BATS,EDGEA,CSFBALGO,JEFFALGO,BYX,IEX,TPLUS2,PSX</val>
          </value>
        </values>
      </ddeItem>
      <ddeItem name="id660?conid" advise="1">
        <values>
          <value>
            <val>1715032</val>
          </value>
        </values>
      </ddeItem>
      <ddeItem name="id660?marketName" advise="1">
        <values>
          <value t="str">
            <val>DNB</val>
          </value>
        </values>
      </ddeItem>
      <ddeItem name="id660?minTick" advise="1">
        <values>
          <value>
            <val>0.01</val>
          </value>
        </values>
      </ddeItem>
      <ddeItem name="id660?multiplier" advise="1">
        <values>
          <value t="nil">
            <val>1</val>
          </value>
        </values>
      </ddeItem>
      <ddeItem name="id66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60?req?DNB_STK_SMART_USD_~/" advise="1">
        <values>
          <value t="nil">
            <val>1</val>
          </value>
        </values>
      </ddeItem>
      <ddeItem name="id660?tradingClass" advise="1">
        <values>
          <value t="str">
            <val>DNB</val>
          </value>
        </values>
      </ddeItem>
      <ddeItem name="id660?validExchanges" advise="1">
        <values>
          <value t="str">
            <val>SMART,NYSE,CBOE,ISE,CHX,ARCA,ISLAND,DRCTEDGE,NSX,BEX,BATS,EDGEA,CSFBALGO,JEFFALGO,BYX,IEX,TPLUS2,PSX</val>
          </value>
        </values>
      </ddeItem>
      <ddeItem name="id661?conid" advise="1">
        <values>
          <value>
            <val>10174</val>
          </value>
        </values>
      </ddeItem>
      <ddeItem name="id661?marketName" advise="1">
        <values>
          <value t="str">
            <val>NEM</val>
          </value>
        </values>
      </ddeItem>
      <ddeItem name="id661?minTick" advise="1">
        <values>
          <value>
            <val>0.01</val>
          </value>
        </values>
      </ddeItem>
      <ddeItem name="id661?multiplier" advise="1">
        <values>
          <value t="nil">
            <val>1</val>
          </value>
        </values>
      </ddeItem>
      <ddeItem name="id66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61?req?NEM_STK_SMART_USD_~/" advise="1">
        <values>
          <value t="nil">
            <val>1</val>
          </value>
        </values>
      </ddeItem>
      <ddeItem name="id661?tradingClass" advise="1">
        <values>
          <value t="str">
            <val>NEM</val>
          </value>
        </values>
      </ddeItem>
      <ddeItem name="id661?validExchanges" advise="1">
        <values>
          <value t="str">
            <val>SMART,NYSE,CBOE,ISE,CHX,ARCA,ISLAND,VWAP,DRCTEDGE,NSX,BEX,BATS,EDGEA,CSFBALGO,JEFFALGO,BYX,IEX,TPLUS2,PSX</val>
          </value>
        </values>
      </ddeItem>
      <ddeItem name="id662?conid" advise="1">
        <values>
          <value>
            <val>10291</val>
          </value>
        </values>
      </ddeItem>
      <ddeItem name="id662?marketName" advise="1">
        <values>
          <value t="str">
            <val>NKE</val>
          </value>
        </values>
      </ddeItem>
      <ddeItem name="id662?minTick" advise="1">
        <values>
          <value>
            <val>0.01</val>
          </value>
        </values>
      </ddeItem>
      <ddeItem name="id662?multiplier" advise="1">
        <values>
          <value t="nil">
            <val>1</val>
          </value>
        </values>
      </ddeItem>
      <ddeItem name="id66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62?req?NKE_STK_SMART_USD_~/" advise="1">
        <values>
          <value t="nil">
            <val>1</val>
          </value>
        </values>
      </ddeItem>
      <ddeItem name="id662?tradingClass" advise="1">
        <values>
          <value t="str">
            <val>NKE</val>
          </value>
        </values>
      </ddeItem>
      <ddeItem name="id662?validExchanges" advise="1">
        <values>
          <value t="str">
            <val>SMART,NYSE,CBOE,ISE,CHX,ARCA,ISLAND,VWAP,DRCTEDGE,NSX,BEX,BATS,EDGEA,CSFBALGO,JEFFALGO,BYX,IEX,TPLUS2,PSX</val>
          </value>
        </values>
      </ddeItem>
      <ddeItem name="id663?conid" advise="1">
        <values>
          <value>
            <val>10109</val>
          </value>
        </values>
      </ddeItem>
      <ddeItem name="id663?marketName" advise="1">
        <values>
          <value t="str">
            <val>NBL</val>
          </value>
        </values>
      </ddeItem>
      <ddeItem name="id663?minTick" advise="1">
        <values>
          <value>
            <val>0.01</val>
          </value>
        </values>
      </ddeItem>
      <ddeItem name="id663?multiplier" advise="1">
        <values>
          <value t="nil">
            <val>1</val>
          </value>
        </values>
      </ddeItem>
      <ddeItem name="id66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63?req?NBL_STK_SMART_USD_~/" advise="1">
        <values>
          <value t="nil">
            <val>1</val>
          </value>
        </values>
      </ddeItem>
      <ddeItem name="id663?tradingClass" advise="1">
        <values>
          <value t="str">
            <val>NBL</val>
          </value>
        </values>
      </ddeItem>
      <ddeItem name="id663?validExchanges" advise="1">
        <values>
          <value t="str">
            <val>SMART,NYSE,CBOE,ISE,CHX,ARCA,ISLAND,VWAP,DRCTEDGE,NSX,BEX,BATS,EDGEA,CSFBALGO,JEFFALGO,BYX,IEX,TPLUS2,PSX</val>
          </value>
        </values>
      </ddeItem>
      <ddeItem name="id664?conid" advise="1">
        <values>
          <value>
            <val>208813720</val>
          </value>
        </values>
      </ddeItem>
      <ddeItem name="id664?marketName" advise="1">
        <values>
          <value t="str">
            <val>NMS</val>
          </value>
        </values>
      </ddeItem>
      <ddeItem name="id664?minTick" advise="1">
        <values>
          <value>
            <val>0.01</val>
          </value>
        </values>
      </ddeItem>
      <ddeItem name="id664?multiplier" advise="1">
        <values>
          <value t="nil">
            <val>1</val>
          </value>
        </values>
      </ddeItem>
      <ddeItem name="id66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64?req?GOOG_STK_SMART_USD_~/" advise="1">
        <values>
          <value t="nil">
            <val>1</val>
          </value>
        </values>
      </ddeItem>
      <ddeItem name="id664?tradingClass" advise="1">
        <values>
          <value t="str">
            <val>NMS</val>
          </value>
        </values>
      </ddeItem>
      <ddeItem name="id664?validExchanges" advise="1">
        <values>
          <value t="str">
            <val>SMART,CBOE,ISE,CHX,ARCA,ISLAND,DRCTEDGE,NSX,BEX,BATS,EDGEA,CSFBALGO,JEFFALGO,BYX,IEX,TPLUS2,PSX</val>
          </value>
        </values>
      </ddeItem>
      <ddeItem name="id665?conid" advise="1">
        <values>
          <value>
            <val>3691937</val>
          </value>
        </values>
      </ddeItem>
      <ddeItem name="id665?marketName" advise="1">
        <values>
          <value t="str">
            <val>NMS</val>
          </value>
        </values>
      </ddeItem>
      <ddeItem name="id665?minTick" advise="1">
        <values>
          <value>
            <val>0.01</val>
          </value>
        </values>
      </ddeItem>
      <ddeItem name="id665?multiplier" advise="1">
        <values>
          <value t="nil">
            <val>1</val>
          </value>
        </values>
      </ddeItem>
      <ddeItem name="id66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65?req?AMZN_STK_SMART_USD_~/" advise="1">
        <values>
          <value t="nil">
            <val>1</val>
          </value>
        </values>
      </ddeItem>
      <ddeItem name="id665?tradingClass" advise="1">
        <values>
          <value t="str">
            <val>NMS</val>
          </value>
        </values>
      </ddeItem>
      <ddeItem name="id665?validExchanges" advise="1">
        <values>
          <value t="str">
            <val>SMART,CBOE,ISE,CHX,ARCA,ISLAND,VWAP,DRCTEDGE,NSX,BEX,BATS,EDGEA,CSFBALGO,JEFFALGO,BYX,IEX,TPLUS2,PSX</val>
          </value>
        </values>
      </ddeItem>
      <ddeItem name="id666?conid" advise="1">
        <values>
          <value>
            <val>4065</val>
          </value>
        </values>
      </ddeItem>
      <ddeItem name="id666?marketName" advise="1">
        <values>
          <value t="str">
            <val>ABT</val>
          </value>
        </values>
      </ddeItem>
      <ddeItem name="id666?minTick" advise="1">
        <values>
          <value>
            <val>0.01</val>
          </value>
        </values>
      </ddeItem>
      <ddeItem name="id666?multiplier" advise="1">
        <values>
          <value t="nil">
            <val>1</val>
          </value>
        </values>
      </ddeItem>
      <ddeItem name="id66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66?req?ABT_STK_SMART_USD_~/" advise="1">
        <values>
          <value t="nil">
            <val>1</val>
          </value>
        </values>
      </ddeItem>
      <ddeItem name="id666?tradingClass" advise="1">
        <values>
          <value t="str">
            <val>ABT</val>
          </value>
        </values>
      </ddeItem>
      <ddeItem name="id666?validExchanges" advise="1">
        <values>
          <value t="str">
            <val>SMART,NYSE,CBOE,ISE,CHX,ARCA,ISLAND,VWAP,DRCTEDGE,NSX,BEX,BATS,EDGEA,CSFBALGO,JEFFALGO,BYX,IEX,TPLUS2,PSX</val>
          </value>
        </values>
      </ddeItem>
      <ddeItem name="id667?conid" advise="1">
        <values>
          <value>
            <val>2560358</val>
          </value>
        </values>
      </ddeItem>
      <ddeItem name="id667?marketName" advise="1">
        <values>
          <value t="str">
            <val>AES</val>
          </value>
        </values>
      </ddeItem>
      <ddeItem name="id667?minTick" advise="1">
        <values>
          <value>
            <val>0.01</val>
          </value>
        </values>
      </ddeItem>
      <ddeItem name="id667?multiplier" advise="1">
        <values>
          <value t="nil">
            <val>1</val>
          </value>
        </values>
      </ddeItem>
      <ddeItem name="id66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67?req?AES_STK_SMART_USD_~/" advise="1">
        <values>
          <value t="nil">
            <val>1</val>
          </value>
        </values>
      </ddeItem>
      <ddeItem name="id667?tradingClass" advise="1">
        <values>
          <value t="str">
            <val>AES</val>
          </value>
        </values>
      </ddeItem>
      <ddeItem name="id667?validExchanges" advise="1">
        <values>
          <value t="str">
            <val>SMART,NYSE,CBOE,ISE,CHX,ARCA,ISLAND,VWAP,DRCTEDGE,NSX,BEX,BATS,EDGEA,CSFBALGO,JEFFALGO,BYX,IEX,TPLUS2,PSX</val>
          </value>
        </values>
      </ddeItem>
      <ddeItem name="id668?conid" advise="1">
        <values>
          <value>
            <val>8314</val>
          </value>
        </values>
      </ddeItem>
      <ddeItem name="id668?marketName" advise="1">
        <values>
          <value t="str">
            <val>IBM</val>
          </value>
        </values>
      </ddeItem>
      <ddeItem name="id668?minTick" advise="1">
        <values>
          <value>
            <val>0.01</val>
          </value>
        </values>
      </ddeItem>
      <ddeItem name="id668?multiplier" advise="1">
        <values>
          <value t="nil">
            <val>1</val>
          </value>
        </values>
      </ddeItem>
      <ddeItem name="id66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68?req?IBM_STK_SMART_USD_~/" advise="1">
        <values>
          <value t="nil">
            <val>1</val>
          </value>
        </values>
      </ddeItem>
      <ddeItem name="id668?tradingClass" advise="1">
        <values>
          <value t="str">
            <val>IBM</val>
          </value>
        </values>
      </ddeItem>
      <ddeItem name="id668?validExchanges" advise="1">
        <values>
          <value t="str">
            <val>SMART,NYSE,CBOE,ISE,CHX,ARCA,ISLAND,VWAP,DRCTEDGE,NSX,BEX,BATS,EDGEA,CSFBALGO,JEFFALGO,BYX,IEX,TPLUS2,PSX</val>
          </value>
        </values>
      </ddeItem>
      <ddeItem name="id669?conid" advise="1">
        <values>
          <value>
            <val>265768</val>
          </value>
        </values>
      </ddeItem>
      <ddeItem name="id669?marketName" advise="1">
        <values>
          <value t="str">
            <val>NMS</val>
          </value>
        </values>
      </ddeItem>
      <ddeItem name="id669?minTick" advise="1">
        <values>
          <value>
            <val>0.01</val>
          </value>
        </values>
      </ddeItem>
      <ddeItem name="id669?multiplier" advise="1">
        <values>
          <value t="nil">
            <val>1</val>
          </value>
        </values>
      </ddeItem>
      <ddeItem name="id66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69?req?ADBE_STK_SMART_USD_~/" advise="1">
        <values>
          <value t="nil">
            <val>1</val>
          </value>
        </values>
      </ddeItem>
      <ddeItem name="id669?tradingClass" advise="1">
        <values>
          <value t="str">
            <val>NMS</val>
          </value>
        </values>
      </ddeItem>
      <ddeItem name="id669?validExchanges" advise="1">
        <values>
          <value t="str">
            <val>SMART,CBOE,ISE,CHX,ARCA,ISLAND,VWAP,DRCTEDGE,NSX,BEX,BATS,EDGEA,CSFBALGO,JEFFALGO,BYX,IEX,TPLUS2,PSX</val>
          </value>
        </values>
      </ddeItem>
      <ddeItem name="id67?conid" advise="1">
        <values>
          <value>
            <val>6682</val>
          </value>
        </values>
      </ddeItem>
      <ddeItem name="id67?marketName" advise="1">
        <values>
          <value t="str">
            <val>ECL</val>
          </value>
        </values>
      </ddeItem>
      <ddeItem name="id67?minTick" advise="1">
        <values>
          <value>
            <val>0.01</val>
          </value>
        </values>
      </ddeItem>
      <ddeItem name="id67?multiplier" advise="1">
        <values>
          <value t="nil">
            <val>1</val>
          </value>
        </values>
      </ddeItem>
      <ddeItem name="id6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7?req?ECL_STK_SMART_USD_~/" advise="1">
        <values>
          <value t="nil">
            <val>1</val>
          </value>
        </values>
      </ddeItem>
      <ddeItem name="id67?tradingClass" advise="1">
        <values>
          <value t="str">
            <val>ECL</val>
          </value>
        </values>
      </ddeItem>
      <ddeItem name="id67?validExchanges" advise="1">
        <values>
          <value t="str">
            <val>SMART,NYSE,CBOE,ISE,CHX,ARCA,ISLAND,VWAP,DRCTEDGE,NSX,BEX,BATS,EDGEA,CSFBALGO,JEFFALGO,BYX,IEX,TPLUS2,PSX</val>
          </value>
        </values>
      </ddeItem>
      <ddeItem name="id670?conid" advise="1">
        <values>
          <value>
            <val>4487</val>
          </value>
        </values>
      </ddeItem>
      <ddeItem name="id670?marketName" advise="1">
        <values>
          <value t="str">
            <val>APD</val>
          </value>
        </values>
      </ddeItem>
      <ddeItem name="id670?minTick" advise="1">
        <values>
          <value>
            <val>0.01</val>
          </value>
        </values>
      </ddeItem>
      <ddeItem name="id670?multiplier" advise="1">
        <values>
          <value t="nil">
            <val>1</val>
          </value>
        </values>
      </ddeItem>
      <ddeItem name="id67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70?req?APD_STK_SMART_USD_~/" advise="1">
        <values>
          <value t="nil">
            <val>1</val>
          </value>
        </values>
      </ddeItem>
      <ddeItem name="id670?tradingClass" advise="1">
        <values>
          <value t="str">
            <val>APD</val>
          </value>
        </values>
      </ddeItem>
      <ddeItem name="id670?validExchanges" advise="1">
        <values>
          <value t="str">
            <val>SMART,NYSE,CBOE,ISE,CHX,ARCA,ISLAND,VWAP,DRCTEDGE,NSX,BEX,BATS,EDGEA,CSFBALGO,JEFFALGO,BYX,IEX,TPLUS2,PSX</val>
          </value>
        </values>
      </ddeItem>
      <ddeItem name="id671?conid" advise="1">
        <values>
          <value>
            <val>6366</val>
          </value>
        </values>
      </ddeItem>
      <ddeItem name="id671?marketName" advise="1">
        <values>
          <value t="str">
            <val>DD</val>
          </value>
        </values>
      </ddeItem>
      <ddeItem name="id671?minTick" advise="1">
        <values>
          <value>
            <val>0.01</val>
          </value>
        </values>
      </ddeItem>
      <ddeItem name="id671?multiplier" advise="1">
        <values>
          <value t="nil">
            <val>1</val>
          </value>
        </values>
      </ddeItem>
      <ddeItem name="id67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71?req?DD_STK_SMART_USD_~/" advise="1">
        <values>
          <value t="nil">
            <val>1</val>
          </value>
        </values>
      </ddeItem>
      <ddeItem name="id671?tradingClass" advise="1">
        <values>
          <value t="str">
            <val>DD</val>
          </value>
        </values>
      </ddeItem>
      <ddeItem name="id671?validExchanges" advise="1">
        <values>
          <value t="str">
            <val>SMART,NYSE,CBOE,ISE,CHX,ARCA,ISLAND,VWAP,DRCTEDGE,NSX,BEX,BATS,EDGEA,CSFBALGO,JEFFALGO,BYX,IEX,TPLUS2,PSX</val>
          </value>
        </values>
      </ddeItem>
      <ddeItem name="id672?conid" advise="1">
        <values>
          <value>
            <val>5021340</val>
          </value>
        </values>
      </ddeItem>
      <ddeItem name="id672?marketName" advise="1">
        <values>
          <value t="str">
            <val>BXP</val>
          </value>
        </values>
      </ddeItem>
      <ddeItem name="id672?minTick" advise="1">
        <values>
          <value>
            <val>0.01</val>
          </value>
        </values>
      </ddeItem>
      <ddeItem name="id672?multiplier" advise="1">
        <values>
          <value t="nil">
            <val>1</val>
          </value>
        </values>
      </ddeItem>
      <ddeItem name="id67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72?req?BXP_STK_SMART_USD_~/" advise="1">
        <values>
          <value t="nil">
            <val>1</val>
          </value>
        </values>
      </ddeItem>
      <ddeItem name="id672?tradingClass" advise="1">
        <values>
          <value t="str">
            <val>BXP</val>
          </value>
        </values>
      </ddeItem>
      <ddeItem name="id672?validExchanges" advise="1">
        <values>
          <value t="str">
            <val>SMART,NYSE,CBOE,ISE,CHX,ARCA,ISLAND,VWAP,DRCTEDGE,NSX,BEX,BATS,EDGEA,CSFBALGO,JEFFALGO,BYX,IEX,TPLUS2,PSX</val>
          </value>
        </values>
      </ddeItem>
      <ddeItem name="id673?conid" advise="1">
        <values>
          <value>
            <val>4357</val>
          </value>
        </values>
      </ddeItem>
      <ddeItem name="id673?marketName" advise="1">
        <values>
          <value t="str">
            <val>ALL</val>
          </value>
        </values>
      </ddeItem>
      <ddeItem name="id673?minTick" advise="1">
        <values>
          <value>
            <val>0.01</val>
          </value>
        </values>
      </ddeItem>
      <ddeItem name="id673?multiplier" advise="1">
        <values>
          <value t="nil">
            <val>1</val>
          </value>
        </values>
      </ddeItem>
      <ddeItem name="id67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73?req?ALL_STK_SMART_USD_~/" advise="1">
        <values>
          <value t="nil">
            <val>1</val>
          </value>
        </values>
      </ddeItem>
      <ddeItem name="id673?tradingClass" advise="1">
        <values>
          <value t="str">
            <val>ALL</val>
          </value>
        </values>
      </ddeItem>
      <ddeItem name="id673?validExchanges" advise="1">
        <values>
          <value t="str">
            <val>SMART,NYSE,CBOE,ISE,CHX,ARCA,ISLAND,VWAP,DRCTEDGE,NSX,BEX,BATS,EDGEA,CSFBALGO,JEFFALGO,BYX,IEX,TPLUS2,PSX</val>
          </value>
        </values>
      </ddeItem>
      <ddeItem name="id674?conid" advise="1">
        <values>
          <value>
            <val>4350</val>
          </value>
        </values>
      </ddeItem>
      <ddeItem name="id674?marketName" advise="1">
        <values>
          <value t="str">
            <val>HON</val>
          </value>
        </values>
      </ddeItem>
      <ddeItem name="id674?minTick" advise="1">
        <values>
          <value>
            <val>0.01</val>
          </value>
        </values>
      </ddeItem>
      <ddeItem name="id674?multiplier" advise="1">
        <values>
          <value t="nil">
            <val>1</val>
          </value>
        </values>
      </ddeItem>
      <ddeItem name="id67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74?req?HON_STK_SMART_USD_~/" advise="1">
        <values>
          <value t="nil">
            <val>1</val>
          </value>
        </values>
      </ddeItem>
      <ddeItem name="id674?tradingClass" advise="1">
        <values>
          <value t="str">
            <val>HON</val>
          </value>
        </values>
      </ddeItem>
      <ddeItem name="id674?validExchanges" advise="1">
        <values>
          <value t="str">
            <val>SMART,NYSE,CBOE,ISE,CHX,ARCA,ISLAND,VWAP,DRCTEDGE,NSX,BEX,BATS,EDGEA,CSFBALGO,JEFFALGO,BYX,IEX,TPLUS2,PSX</val>
          </value>
        </values>
      </ddeItem>
      <ddeItem name="id675?conid" advise="1">
        <values>
          <value>
            <val>4005</val>
          </value>
        </values>
      </ddeItem>
      <ddeItem name="id675?marketName" advise="1">
        <values>
          <value t="str">
            <val>AA</val>
          </value>
        </values>
      </ddeItem>
      <ddeItem name="id675?minTick" advise="1">
        <values>
          <value>
            <val>0.01</val>
          </value>
        </values>
      </ddeItem>
      <ddeItem name="id675?multiplier" advise="1">
        <values>
          <value t="nil">
            <val>1</val>
          </value>
        </values>
      </ddeItem>
      <ddeItem name="id67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75?req?AA_STK_SMART_USD_~/" advise="1">
        <values>
          <value t="nil">
            <val>1</val>
          </value>
        </values>
      </ddeItem>
      <ddeItem name="id675?tradingClass" advise="1">
        <values>
          <value t="str">
            <val>AA</val>
          </value>
        </values>
      </ddeItem>
      <ddeItem name="id675?validExchanges" advise="1">
        <values>
          <value t="str">
            <val>SMART,NYSE,CBOE,ISE,CHX,ARCA,ISLAND,VWAP,DRCTEDGE,NSX,BEX,BATS,EDGEA,CSFBALGO,JEFFALGO,BYX,IEX,TPLUS2,PSX</val>
          </value>
        </values>
      </ddeItem>
      <ddeItem name="id676?conid" advise="1">
        <values>
          <value>
            <val>266145</val>
          </value>
        </values>
      </ddeItem>
      <ddeItem name="id676?marketName" advise="1">
        <values>
          <value t="str">
            <val>NMS</val>
          </value>
        </values>
      </ddeItem>
      <ddeItem name="id676?minTick" advise="1">
        <values>
          <value>
            <val>0.01</val>
          </value>
        </values>
      </ddeItem>
      <ddeItem name="id676?multiplier" advise="1">
        <values>
          <value t="nil">
            <val>1</val>
          </value>
        </values>
      </ddeItem>
      <ddeItem name="id67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76?req?AMGN_STK_SMART_USD_~/" advise="1">
        <values>
          <value t="nil">
            <val>1</val>
          </value>
        </values>
      </ddeItem>
      <ddeItem name="id676?tradingClass" advise="1">
        <values>
          <value t="str">
            <val>NMS</val>
          </value>
        </values>
      </ddeItem>
      <ddeItem name="id676?validExchanges" advise="1">
        <values>
          <value t="str">
            <val>SMART,CBOE,ISE,CHX,ARCA,ISLAND,VWAP,DRCTEDGE,NSX,BEX,BATS,EDGEA,CSFBALGO,JEFFALGO,BYX,IEX,TPLUS2,PSX</val>
          </value>
        </values>
      </ddeItem>
      <ddeItem name="id677?conid" advise="1">
        <values>
          <value>
            <val>39118796</val>
          </value>
        </values>
      </ddeItem>
      <ddeItem name="id677?marketName" advise="1">
        <values>
          <value t="str">
            <val>HES</val>
          </value>
        </values>
      </ddeItem>
      <ddeItem name="id677?minTick" advise="1">
        <values>
          <value>
            <val>0.01</val>
          </value>
        </values>
      </ddeItem>
      <ddeItem name="id677?multiplier" advise="1">
        <values>
          <value t="nil">
            <val>1</val>
          </value>
        </values>
      </ddeItem>
      <ddeItem name="id67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77?req?HES_STK_SMART_USD_~/" advise="1">
        <values>
          <value t="nil">
            <val>1</val>
          </value>
        </values>
      </ddeItem>
      <ddeItem name="id677?tradingClass" advise="1">
        <values>
          <value t="str">
            <val>HES</val>
          </value>
        </values>
      </ddeItem>
      <ddeItem name="id677?validExchanges" advise="1">
        <values>
          <value t="str">
            <val>SMART,NYSE,CBOE,ISE,CHX,ARCA,ISLAND,VWAP,DRCTEDGE,NSX,BEX,BATS,EDGEA,CSFBALGO,JEFFALGO,BYX,IEX,TPLUS2,PSX</val>
          </value>
        </values>
      </ddeItem>
      <ddeItem name="id678?conid" advise="1">
        <values>
          <value>
            <val>4721</val>
          </value>
        </values>
      </ddeItem>
      <ddeItem name="id678?marketName" advise="1">
        <values>
          <value t="str">
            <val>AXP</val>
          </value>
        </values>
      </ddeItem>
      <ddeItem name="id678?minTick" advise="1">
        <values>
          <value>
            <val>0.01</val>
          </value>
        </values>
      </ddeItem>
      <ddeItem name="id678?multiplier" advise="1">
        <values>
          <value t="nil">
            <val>1</val>
          </value>
        </values>
      </ddeItem>
      <ddeItem name="id67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78?req?AXP_STK_SMART_USD_~/" advise="1">
        <values>
          <value t="nil">
            <val>1</val>
          </value>
        </values>
      </ddeItem>
      <ddeItem name="id678?tradingClass" advise="1">
        <values>
          <value t="str">
            <val>AXP</val>
          </value>
        </values>
      </ddeItem>
      <ddeItem name="id678?validExchanges" advise="1">
        <values>
          <value t="str">
            <val>SMART,NYSE,CBOE,ISE,CHX,ARCA,ISLAND,VWAP,DRCTEDGE,NSX,BEX,BATS,EDGEA,CSFBALGO,JEFFALGO,BYX,IEX,TPLUS2,PSX</val>
          </value>
        </values>
      </ddeItem>
      <ddeItem name="id679?conid" advise="1">
        <values>
          <value>
            <val>4211</val>
          </value>
        </values>
      </ddeItem>
      <ddeItem name="id679?marketName" advise="1">
        <values>
          <value t="str">
            <val>AEP</val>
          </value>
        </values>
      </ddeItem>
      <ddeItem name="id679?minTick" advise="1">
        <values>
          <value>
            <val>0.01</val>
          </value>
        </values>
      </ddeItem>
      <ddeItem name="id679?multiplier" advise="1">
        <values>
          <value t="nil">
            <val>1</val>
          </value>
        </values>
      </ddeItem>
      <ddeItem name="id67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79?req?AEP_STK_SMART_USD_~/" advise="1">
        <values>
          <value t="nil">
            <val>1</val>
          </value>
        </values>
      </ddeItem>
      <ddeItem name="id679?tradingClass" advise="1">
        <values>
          <value t="str">
            <val>AEP</val>
          </value>
        </values>
      </ddeItem>
      <ddeItem name="id679?validExchanges" advise="1">
        <values>
          <value t="str">
            <val>SMART,NYSE,CBOE,ISE,CHX,ARCA,ISLAND,VWAP,DRCTEDGE,NSX,BEX,BATS,EDGEA,CSFBALGO,JEFFALGO,BYX,IEX,TPLUS2,PSX</val>
          </value>
        </values>
      </ddeItem>
      <ddeItem name="id68?conid" advise="1">
        <values>
          <value>
            <val>6737</val>
          </value>
        </values>
      </ddeItem>
      <ddeItem name="id68?marketName" advise="1">
        <values>
          <value t="str">
            <val>PKI</val>
          </value>
        </values>
      </ddeItem>
      <ddeItem name="id68?minTick" advise="1">
        <values>
          <value>
            <val>0.01</val>
          </value>
        </values>
      </ddeItem>
      <ddeItem name="id68?multiplier" advise="1">
        <values>
          <value t="nil">
            <val>1</val>
          </value>
        </values>
      </ddeItem>
      <ddeItem name="id6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8?req?PKI_STK_SMART_USD_~/" advise="1">
        <values>
          <value t="nil">
            <val>1</val>
          </value>
        </values>
      </ddeItem>
      <ddeItem name="id68?tradingClass" advise="1">
        <values>
          <value t="str">
            <val>PKI</val>
          </value>
        </values>
      </ddeItem>
      <ddeItem name="id68?validExchanges" advise="1">
        <values>
          <value t="str">
            <val>SMART,NYSE,CBOE,ISE,CHX,ARCA,ISLAND,VWAP,DRCTEDGE,NSX,BEX,BATS,EDGEA,CSFBALGO,JEFFALGO,BYX,IEX,TPLUS2,PSX</val>
          </value>
        </values>
      </ddeItem>
      <ddeItem name="id680?conid" advise="1">
        <values>
          <value>
            <val>4227</val>
          </value>
        </values>
      </ddeItem>
      <ddeItem name="id680?marketName" advise="1">
        <values>
          <value t="str">
            <val>AFL</val>
          </value>
        </values>
      </ddeItem>
      <ddeItem name="id680?minTick" advise="1">
        <values>
          <value>
            <val>0.01</val>
          </value>
        </values>
      </ddeItem>
      <ddeItem name="id680?multiplier" advise="1">
        <values>
          <value t="nil">
            <val>1</val>
          </value>
        </values>
      </ddeItem>
      <ddeItem name="id68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80?req?AFL_STK_SMART_USD_~/" advise="1">
        <values>
          <value t="nil">
            <val>1</val>
          </value>
        </values>
      </ddeItem>
      <ddeItem name="id680?tradingClass" advise="1">
        <values>
          <value t="str">
            <val>AFL</val>
          </value>
        </values>
      </ddeItem>
      <ddeItem name="id680?validExchanges" advise="1">
        <values>
          <value t="str">
            <val>SMART,NYSE,CBOE,ISE,CHX,ARCA,ISLAND,VWAP,DRCTEDGE,NSX,BEX,BATS,EDGEA,CSFBALGO,JEFFALGO,BYX,IEX,TPLUS2,PSX</val>
          </value>
        </values>
      </ddeItem>
      <ddeItem name="id681?conid" advise="1">
        <values>
          <value>
            <val>61319701</val>
          </value>
        </values>
      </ddeItem>
      <ddeItem name="id681?marketName" advise="1">
        <values>
          <value t="str">
            <val>AIG</val>
          </value>
        </values>
      </ddeItem>
      <ddeItem name="id681?minTick" advise="1">
        <values>
          <value>
            <val>0.01</val>
          </value>
        </values>
      </ddeItem>
      <ddeItem name="id681?multiplier" advise="1">
        <values>
          <value t="nil">
            <val>1</val>
          </value>
        </values>
      </ddeItem>
      <ddeItem name="id68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81?req?AIG_STK_SMART_USD_~/" advise="1">
        <values>
          <value t="nil">
            <val>1</val>
          </value>
        </values>
      </ddeItem>
      <ddeItem name="id681?tradingClass" advise="1">
        <values>
          <value t="str">
            <val>AIG</val>
          </value>
        </values>
      </ddeItem>
      <ddeItem name="id681?validExchanges" advise="1">
        <values>
          <value t="str">
            <val>SMART,NYSE,CBOE,ISE,CHX,ARCA,ISLAND,DRCTEDGE,NSX,BEX,BATS,EDGEA,CSFBALGO,JEFFALGO,BYX,IEX,TPLUS2,PSX</val>
          </value>
        </values>
      </ddeItem>
      <ddeItem name="id682?conid" advise="1">
        <values>
          <value>
            <val>4157</val>
          </value>
        </values>
      </ddeItem>
      <ddeItem name="id682?marketName" advise="1">
        <values>
          <value t="str">
            <val>NMS</val>
          </value>
        </values>
      </ddeItem>
      <ddeItem name="id682?minTick" advise="1">
        <values>
          <value>
            <val>0.01</val>
          </value>
        </values>
      </ddeItem>
      <ddeItem name="id682?multiplier" advise="1">
        <values>
          <value t="nil">
            <val>1</val>
          </value>
        </values>
      </ddeItem>
      <ddeItem name="id68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82?req?ADI_STK_SMART_USD_~/" advise="1">
        <values>
          <value t="nil">
            <val>1</val>
          </value>
        </values>
      </ddeItem>
      <ddeItem name="id682?tradingClass" advise="1">
        <values>
          <value t="str">
            <val>NMS</val>
          </value>
        </values>
      </ddeItem>
      <ddeItem name="id682?validExchanges" advise="1">
        <values>
          <value t="str">
            <val>SMART,CBOE,ISE,CHX,ARCA,ISLAND,VWAP,DRCTEDGE,NSX,BEX,BATS,EDGEA,CSFBALGO,JEFFALGO,BYX,IEX,TPLUS2,PSX</val>
          </value>
        </values>
      </ddeItem>
      <ddeItem name="id683?conid" advise="1">
        <values>
          <value>
            <val>4482</val>
          </value>
        </values>
      </ddeItem>
      <ddeItem name="id683?marketName" advise="1">
        <values>
          <value t="str">
            <val>APC</val>
          </value>
        </values>
      </ddeItem>
      <ddeItem name="id683?minTick" advise="1">
        <values>
          <value>
            <val>0.01</val>
          </value>
        </values>
      </ddeItem>
      <ddeItem name="id683?multiplier" advise="1">
        <values>
          <value t="nil">
            <val>1</val>
          </value>
        </values>
      </ddeItem>
      <ddeItem name="id68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83?req?APC_STK_SMART_USD_~/" advise="1">
        <values>
          <value t="nil">
            <val>1</val>
          </value>
        </values>
      </ddeItem>
      <ddeItem name="id683?tradingClass" advise="1">
        <values>
          <value t="str">
            <val>APC</val>
          </value>
        </values>
      </ddeItem>
      <ddeItem name="id683?validExchanges" advise="1">
        <values>
          <value t="str">
            <val>SMART,NYSE,CBOE,ISE,CHX,ARCA,ISLAND,VWAP,DRCTEDGE,NSX,BEX,BATS,EDGEA,CSFBALGO,JEFFALGO,BYX,IEX,TPLUS2,PSX</val>
          </value>
        </values>
      </ddeItem>
      <ddeItem name="id684?conid" advise="1">
        <values>
          <value>
            <val>4726176</val>
          </value>
        </values>
      </ddeItem>
      <ddeItem name="id684?marketName" advise="1">
        <values>
          <value t="str">
            <val>NMS</val>
          </value>
        </values>
      </ddeItem>
      <ddeItem name="id684?minTick" advise="1">
        <values>
          <value>
            <val>0.01</val>
          </value>
        </values>
      </ddeItem>
      <ddeItem name="id684?multiplier" advise="1">
        <values>
          <value t="nil">
            <val>1</val>
          </value>
        </values>
      </ddeItem>
      <ddeItem name="id68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84?req?ALXN_STK_SMART_USD_~/" advise="1">
        <values>
          <value t="nil">
            <val>1</val>
          </value>
        </values>
      </ddeItem>
      <ddeItem name="id684?tradingClass" advise="1">
        <values>
          <value t="str">
            <val>NMS</val>
          </value>
        </values>
      </ddeItem>
      <ddeItem name="id684?validExchanges" advise="1">
        <values>
          <value t="str">
            <val>SMART,CBOE,ISE,CHX,ARCA,ISLAND,DRCTEDGE,NSX,BEX,BATS,EDGEA,CSFBALGO,JEFFALGO,BYX,IEX,TPLUS2,PSX</val>
          </value>
        </values>
      </ddeItem>
      <ddeItem name="id685?conid" advise="1">
        <values>
          <value>
            <val>13497</val>
          </value>
        </values>
      </ddeItem>
      <ddeItem name="id685?marketName" advise="1">
        <values>
          <value t="str">
            <val>VLO</val>
          </value>
        </values>
      </ddeItem>
      <ddeItem name="id685?minTick" advise="1">
        <values>
          <value>
            <val>0.01</val>
          </value>
        </values>
      </ddeItem>
      <ddeItem name="id685?multiplier" advise="1">
        <values>
          <value t="nil">
            <val>1</val>
          </value>
        </values>
      </ddeItem>
      <ddeItem name="id68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85?req?VLO_STK_SMART_USD_~/" advise="1">
        <values>
          <value t="nil">
            <val>1</val>
          </value>
        </values>
      </ddeItem>
      <ddeItem name="id685?tradingClass" advise="1">
        <values>
          <value t="str">
            <val>VLO</val>
          </value>
        </values>
      </ddeItem>
      <ddeItem name="id685?validExchanges" advise="1">
        <values>
          <value t="str">
            <val>SMART,NYSE,CBOE,ISE,CHX,ARCA,ISLAND,VWAP,DRCTEDGE,NSX,BEX,BATS,EDGEA,CSFBALGO,JEFFALGO,BYX,IEX,TPLUS2,PSX</val>
          </value>
        </values>
      </ddeItem>
      <ddeItem name="id686?conid" advise="1">
        <values>
          <value>
            <val>4472</val>
          </value>
        </values>
      </ddeItem>
      <ddeItem name="id686?marketName" advise="1">
        <values>
          <value t="str">
            <val>APA</val>
          </value>
        </values>
      </ddeItem>
      <ddeItem name="id686?minTick" advise="1">
        <values>
          <value>
            <val>0.01</val>
          </value>
        </values>
      </ddeItem>
      <ddeItem name="id686?multiplier" advise="1">
        <values>
          <value t="nil">
            <val>1</val>
          </value>
        </values>
      </ddeItem>
      <ddeItem name="id68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86?req?APA_STK_SMART_USD_~/" advise="1">
        <values>
          <value t="nil">
            <val>1</val>
          </value>
        </values>
      </ddeItem>
      <ddeItem name="id686?tradingClass" advise="1">
        <values>
          <value t="str">
            <val>APA</val>
          </value>
        </values>
      </ddeItem>
      <ddeItem name="id686?validExchanges" advise="1">
        <values>
          <value t="str">
            <val>SMART,NYSE,CBOE,ISE,CHX,ARCA,ISLAND,VWAP,DRCTEDGE,NSX,BEX,BATS,EDGEA,CSFBALGO,JEFFALGO,BYX,IEX,TPLUS2,PSX</val>
          </value>
        </values>
      </ddeItem>
      <ddeItem name="id687?conid" advise="1">
        <values>
          <value>
            <val>267748</val>
          </value>
        </values>
      </ddeItem>
      <ddeItem name="id687?marketName" advise="1">
        <values>
          <value t="str">
            <val>NMS</val>
          </value>
        </values>
      </ddeItem>
      <ddeItem name="id687?minTick" advise="1">
        <values>
          <value>
            <val>0.01</val>
          </value>
        </values>
      </ddeItem>
      <ddeItem name="id687?multiplier" advise="1">
        <values>
          <value t="nil">
            <val>1</val>
          </value>
        </values>
      </ddeItem>
      <ddeItem name="id68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87?req?CMCSA_STK_SMART_USD_~/" advise="1">
        <values>
          <value t="nil">
            <val>1</val>
          </value>
        </values>
      </ddeItem>
      <ddeItem name="id687?tradingClass" advise="1">
        <values>
          <value t="str">
            <val>NMS</val>
          </value>
        </values>
      </ddeItem>
      <ddeItem name="id687?validExchanges" advise="1">
        <values>
          <value t="str">
            <val>SMART,CBOE,ISE,CHX,ARCA,ISLAND,VWAP,DRCTEDGE,NSX,BEX,BATS,EDGEA,CSFBALGO,JEFFALGO,BYX,IEX,TPLUS2,PSX</val>
          </value>
        </values>
      </ddeItem>
      <ddeItem name="id688?conid" advise="1">
        <values>
          <value>
            <val>265598</val>
          </value>
        </values>
      </ddeItem>
      <ddeItem name="id688?marketName" advise="1">
        <values>
          <value t="str">
            <val>NMS</val>
          </value>
        </values>
      </ddeItem>
      <ddeItem name="id688?minTick" advise="1">
        <values>
          <value>
            <val>0.01</val>
          </value>
        </values>
      </ddeItem>
      <ddeItem name="id688?multiplier" advise="1">
        <values>
          <value t="nil">
            <val>1</val>
          </value>
        </values>
      </ddeItem>
      <ddeItem name="id68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88?req?AAPL_STK_SMART_USD_~/" advise="1">
        <values>
          <value t="nil">
            <val>1</val>
          </value>
        </values>
      </ddeItem>
      <ddeItem name="id688?tradingClass" advise="1">
        <values>
          <value t="str">
            <val>NMS</val>
          </value>
        </values>
      </ddeItem>
      <ddeItem name="id688?validExchanges" advise="1">
        <values>
          <value t="str">
            <val>SMART,CBOE,ISE,CHX,ARCA,ISLAND,VWAP,DRCTEDGE,NSX,BEX,BATS,EDGEA,CSFBALGO,JEFFALGO,BYX,IEX,TPLUS2,PSX</val>
          </value>
        </values>
      </ddeItem>
      <ddeItem name="id689?conid" advise="1">
        <values>
          <value>
            <val>266093</val>
          </value>
        </values>
      </ddeItem>
      <ddeItem name="id689?marketName" advise="1">
        <values>
          <value t="str">
            <val>NMS</val>
          </value>
        </values>
      </ddeItem>
      <ddeItem name="id689?minTick" advise="1">
        <values>
          <value>
            <val>0.01</val>
          </value>
        </values>
      </ddeItem>
      <ddeItem name="id689?multiplier" advise="1">
        <values>
          <value t="nil">
            <val>1</val>
          </value>
        </values>
      </ddeItem>
      <ddeItem name="id68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89?req?AMAT_STK_SMART_USD_~/" advise="1">
        <values>
          <value t="nil">
            <val>1</val>
          </value>
        </values>
      </ddeItem>
      <ddeItem name="id689?tradingClass" advise="1">
        <values>
          <value t="str">
            <val>NMS</val>
          </value>
        </values>
      </ddeItem>
      <ddeItem name="id689?validExchanges" advise="1">
        <values>
          <value t="str">
            <val>SMART,CBOE,ISE,CHX,ARCA,ISLAND,VWAP,DRCTEDGE,NSX,BEX,BATS,EDGEA,CSFBALGO,JEFFALGO,BYX,IEX,TPLUS2,PSX</val>
          </value>
        </values>
      </ddeItem>
      <ddeItem name="id69?conid" advise="1">
        <values>
          <value>
            <val>268995</val>
          </value>
        </values>
      </ddeItem>
      <ddeItem name="id69?marketName" advise="1">
        <values>
          <value t="str">
            <val>NMS</val>
          </value>
        </values>
      </ddeItem>
      <ddeItem name="id69?minTick" advise="1">
        <values>
          <value>
            <val>0.01</val>
          </value>
        </values>
      </ddeItem>
      <ddeItem name="id69?multiplier" advise="1">
        <values>
          <value t="nil">
            <val>1</val>
          </value>
        </values>
      </ddeItem>
      <ddeItem name="id6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9?req?EA_STK_SMART_USD_~/" advise="1">
        <values>
          <value t="nil">
            <val>1</val>
          </value>
        </values>
      </ddeItem>
      <ddeItem name="id69?tradingClass" advise="1">
        <values>
          <value t="str">
            <val>NMS</val>
          </value>
        </values>
      </ddeItem>
      <ddeItem name="id69?validExchanges" advise="1">
        <values>
          <value t="str">
            <val>SMART,CBOE,ISE,CHX,ARCA,ISLAND,VWAP,DRCTEDGE,NSX,BEX,BATS,EDGEA,CSFBALGO,JEFFALGO,BYX,IEX,TPLUS2,PSX</val>
          </value>
        </values>
      </ddeItem>
      <ddeItem name="id690?conid" advise="1">
        <values>
          <value>
            <val>4165</val>
          </value>
        </values>
      </ddeItem>
      <ddeItem name="id690?marketName" advise="1">
        <values>
          <value t="str">
            <val>ADM</val>
          </value>
        </values>
      </ddeItem>
      <ddeItem name="id690?minTick" advise="1">
        <values>
          <value>
            <val>0.01</val>
          </value>
        </values>
      </ddeItem>
      <ddeItem name="id690?multiplier" advise="1">
        <values>
          <value t="nil">
            <val>1</val>
          </value>
        </values>
      </ddeItem>
      <ddeItem name="id69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90?req?ADM_STK_SMART_USD_~/" advise="1">
        <values>
          <value t="nil">
            <val>1</val>
          </value>
        </values>
      </ddeItem>
      <ddeItem name="id690?tradingClass" advise="1">
        <values>
          <value t="str">
            <val>ADM</val>
          </value>
        </values>
      </ddeItem>
      <ddeItem name="id690?validExchanges" advise="1">
        <values>
          <value t="str">
            <val>SMART,NYSE,CBOE,ISE,CHX,ARCA,ISLAND,VWAP,DRCTEDGE,NSX,BEX,BATS,EDGEA,CSFBALGO,JEFFALGO,BYX,IEX,TPLUS2,PSX</val>
          </value>
        </values>
      </ddeItem>
      <ddeItem name="id691?conid" advise="1">
        <values>
          <value>
            <val>11257</val>
          </value>
        </values>
      </ddeItem>
      <ddeItem name="id691?marketName" advise="1">
        <values>
          <value t="str">
            <val>PNW</val>
          </value>
        </values>
      </ddeItem>
      <ddeItem name="id691?minTick" advise="1">
        <values>
          <value>
            <val>0.01</val>
          </value>
        </values>
      </ddeItem>
      <ddeItem name="id691?multiplier" advise="1">
        <values>
          <value t="nil">
            <val>1</val>
          </value>
        </values>
      </ddeItem>
      <ddeItem name="id69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91?req?PNW_STK_SMART_USD_~/" advise="1">
        <values>
          <value t="nil">
            <val>1</val>
          </value>
        </values>
      </ddeItem>
      <ddeItem name="id691?tradingClass" advise="1">
        <values>
          <value t="str">
            <val>PNW</val>
          </value>
        </values>
      </ddeItem>
      <ddeItem name="id691?validExchanges" advise="1">
        <values>
          <value t="str">
            <val>SMART,NYSE,ISE,CHX,ARCA,ISLAND,VWAP,DRCTEDGE,NSX,BEX,BATS,EDGEA,CSFBALGO,JEFFALGO,BYX,IEX,TPLUS2,PSX</val>
          </value>
        </values>
      </ddeItem>
      <ddeItem name="id692?conid" advise="1">
        <values>
          <value>
            <val>13181</val>
          </value>
        </values>
      </ddeItem>
      <ddeItem name="id692?marketName" advise="1">
        <values>
          <value t="str">
            <val>AEE</val>
          </value>
        </values>
      </ddeItem>
      <ddeItem name="id692?minTick" advise="1">
        <values>
          <value>
            <val>0.01</val>
          </value>
        </values>
      </ddeItem>
      <ddeItem name="id692?multiplier" advise="1">
        <values>
          <value t="nil">
            <val>1</val>
          </value>
        </values>
      </ddeItem>
      <ddeItem name="id69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92?req?AEE_STK_SMART_USD_~/" advise="1">
        <values>
          <value t="nil">
            <val>1</val>
          </value>
        </values>
      </ddeItem>
      <ddeItem name="id692?tradingClass" advise="1">
        <values>
          <value t="str">
            <val>AEE</val>
          </value>
        </values>
      </ddeItem>
      <ddeItem name="id692?validExchanges" advise="1">
        <values>
          <value t="str">
            <val>SMART,NYSE,CBOE,ISE,CHX,ARCA,ISLAND,VWAP,DRCTEDGE,NSX,BEX,BATS,EDGEA,CSFBALGO,JEFFALGO,BYX,IEX,TPLUS2,PSX</val>
          </value>
        </values>
      </ddeItem>
      <ddeItem name="id693?conid" advise="1">
        <values>
          <value>
            <val>4316</val>
          </value>
        </values>
      </ddeItem>
      <ddeItem name="id693?marketName" advise="1">
        <values>
          <value t="str">
            <val>AIV</val>
          </value>
        </values>
      </ddeItem>
      <ddeItem name="id693?minTick" advise="1">
        <values>
          <value>
            <val>0.01</val>
          </value>
        </values>
      </ddeItem>
      <ddeItem name="id693?multiplier" advise="1">
        <values>
          <value t="nil">
            <val>1</val>
          </value>
        </values>
      </ddeItem>
      <ddeItem name="id69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93?req?AIV_STK_SMART_USD_~/" advise="1">
        <values>
          <value t="nil">
            <val>1</val>
          </value>
        </values>
      </ddeItem>
      <ddeItem name="id693?tradingClass" advise="1">
        <values>
          <value t="str">
            <val>AIV</val>
          </value>
        </values>
      </ddeItem>
      <ddeItem name="id693?validExchanges" advise="1">
        <values>
          <value t="str">
            <val>SMART,NYSE,CBOE,ISE,CHX,ARCA,ISLAND,VWAP,DRCTEDGE,NSX,BEX,BATS,EDGEA,CSFBALGO,JEFFALGO,BYX,IEX,TPLUS2,PSX</val>
          </value>
        </values>
      </ddeItem>
      <ddeItem name="id695?conid" advise="1">
        <values>
          <value>
            <val>265681</val>
          </value>
        </values>
      </ddeItem>
      <ddeItem name="id695?marketName" advise="1">
        <values>
          <value t="str">
            <val>NMS</val>
          </value>
        </values>
      </ddeItem>
      <ddeItem name="id695?minTick" advise="1">
        <values>
          <value>
            <val>0.01</val>
          </value>
        </values>
      </ddeItem>
      <ddeItem name="id695?multiplier" advise="1">
        <values>
          <value t="nil">
            <val>1</val>
          </value>
        </values>
      </ddeItem>
      <ddeItem name="id69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95?req?ADSK_STK_SMART_USD_~/" advise="1">
        <values>
          <value t="nil">
            <val>1</val>
          </value>
        </values>
      </ddeItem>
      <ddeItem name="id695?tradingClass" advise="1">
        <values>
          <value t="str">
            <val>NMS</val>
          </value>
        </values>
      </ddeItem>
      <ddeItem name="id695?validExchanges" advise="1">
        <values>
          <value t="str">
            <val>SMART,CBOE,ISE,CHX,ARCA,ISLAND,VWAP,DRCTEDGE,NSX,BEX,BATS,EDGEA,CSFBALGO,JEFFALGO,BYX,IEX,TPLUS2,PSX</val>
          </value>
        </values>
      </ddeItem>
      <ddeItem name="id696?conid" advise="1">
        <values>
          <value>
            <val>4661</val>
          </value>
        </values>
      </ddeItem>
      <ddeItem name="id696?marketName" advise="1">
        <values>
          <value t="str">
            <val>NMS</val>
          </value>
        </values>
      </ddeItem>
      <ddeItem name="id696?minTick" advise="1">
        <values>
          <value>
            <val>0.01</val>
          </value>
        </values>
      </ddeItem>
      <ddeItem name="id696?multiplier" advise="1">
        <values>
          <value t="nil">
            <val>1</val>
          </value>
        </values>
      </ddeItem>
      <ddeItem name="id69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96?req?ADP_STK_SMART_USD_~/" advise="1">
        <values>
          <value t="nil">
            <val>1</val>
          </value>
        </values>
      </ddeItem>
      <ddeItem name="id696?tradingClass" advise="1">
        <values>
          <value t="str">
            <val>NMS</val>
          </value>
        </values>
      </ddeItem>
      <ddeItem name="id696?validExchanges" advise="1">
        <values>
          <value t="str">
            <val>SMART,CBOE,ISE,CHX,ARCA,ISLAND,VWAP,DRCTEDGE,NSX,BEX,BATS,EDGEA,CSFBALGO,JEFFALGO,BYX,IEX,TPLUS2,PSX</val>
          </value>
        </values>
      </ddeItem>
      <ddeItem name="id697?conid" advise="1">
        <values>
          <value>
            <val>4750</val>
          </value>
        </values>
      </ddeItem>
      <ddeItem name="id697?marketName" advise="1">
        <values>
          <value t="str">
            <val>AZO</val>
          </value>
        </values>
      </ddeItem>
      <ddeItem name="id697?minTick" advise="1">
        <values>
          <value>
            <val>0.01</val>
          </value>
        </values>
      </ddeItem>
      <ddeItem name="id697?multiplier" advise="1">
        <values>
          <value t="nil">
            <val>1</val>
          </value>
        </values>
      </ddeItem>
      <ddeItem name="id69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97?req?AZO_STK_SMART_USD_~/" advise="1">
        <values>
          <value t="nil">
            <val>1</val>
          </value>
        </values>
      </ddeItem>
      <ddeItem name="id697?tradingClass" advise="1">
        <values>
          <value t="str">
            <val>AZO</val>
          </value>
        </values>
      </ddeItem>
      <ddeItem name="id697?validExchanges" advise="1">
        <values>
          <value t="str">
            <val>SMART,NYSE,CBOE,ISE,CHX,ARCA,ISLAND,VWAP,DRCTEDGE,NSX,BEX,BATS,EDGEA,CSFBALGO,JEFFALGO,BYX,IEX,TPLUS2,PSX</val>
          </value>
        </values>
      </ddeItem>
      <ddeItem name="id698?conid" advise="1">
        <values>
          <value>
            <val>4694</val>
          </value>
        </values>
      </ddeItem>
      <ddeItem name="id698?marketName" advise="1">
        <values>
          <value t="str">
            <val>AVY</val>
          </value>
        </values>
      </ddeItem>
      <ddeItem name="id698?minTick" advise="1">
        <values>
          <value>
            <val>0.01</val>
          </value>
        </values>
      </ddeItem>
      <ddeItem name="id698?multiplier" advise="1">
        <values>
          <value t="nil">
            <val>1</val>
          </value>
        </values>
      </ddeItem>
      <ddeItem name="id69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98?req?AVY_STK_SMART_USD_~/" advise="1">
        <values>
          <value t="nil">
            <val>1</val>
          </value>
        </values>
      </ddeItem>
      <ddeItem name="id698?tradingClass" advise="1">
        <values>
          <value t="str">
            <val>AVY</val>
          </value>
        </values>
      </ddeItem>
      <ddeItem name="id698?validExchanges" advise="1">
        <values>
          <value t="str">
            <val>SMART,NYSE,CBOE,ISE,CHX,ARCA,ISLAND,VWAP,DRCTEDGE,NSX,BEX,BATS,EDGEA,CSFBALGO,JEFFALGO,BYX,IEX,TPLUS2,PSX</val>
          </value>
        </values>
      </ddeItem>
      <ddeItem name="id699?conid" advise="1">
        <values>
          <value>
            <val>4981</val>
          </value>
        </values>
      </ddeItem>
      <ddeItem name="id699?marketName" advise="1">
        <values>
          <value t="str">
            <val>BHI</val>
          </value>
        </values>
      </ddeItem>
      <ddeItem name="id699?minTick" advise="1">
        <values>
          <value>
            <val>0.01</val>
          </value>
        </values>
      </ddeItem>
      <ddeItem name="id699?multiplier" advise="1">
        <values>
          <value t="nil">
            <val>1</val>
          </value>
        </values>
      </ddeItem>
      <ddeItem name="id69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699?req?BHI_STK_SMART_USD_~/" advise="1">
        <values>
          <value t="nil">
            <val>1</val>
          </value>
        </values>
      </ddeItem>
      <ddeItem name="id699?tradingClass" advise="1">
        <values>
          <value t="str">
            <val>BHI</val>
          </value>
        </values>
      </ddeItem>
      <ddeItem name="id699?validExchanges" advise="1">
        <values>
          <value t="str">
            <val>SMART,NYSE,CBOE,ISE,CHX,ARCA,ISLAND,VWAP,DRCTEDGE,NSX,BEX,BATS,EDGEA,CSFBALGO,JEFFALGO,BYX,IEX,TPLUS2,PSX</val>
          </value>
        </values>
      </ddeItem>
      <ddeItem name="id7?conid" advise="1">
        <values>
          <value>
            <val>11020</val>
          </value>
        </values>
      </ddeItem>
      <ddeItem name="id7?marketName" advise="1">
        <values>
          <value t="str">
            <val>SRE</val>
          </value>
        </values>
      </ddeItem>
      <ddeItem name="id7?minTick" advise="1">
        <values>
          <value>
            <val>0.01</val>
          </value>
        </values>
      </ddeItem>
      <ddeItem name="id7?multiplier" advise="1">
        <values>
          <value t="nil">
            <val>1</val>
          </value>
        </values>
      </ddeItem>
      <ddeItem name="id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7?req?SRE_STK_SMART_USD_~/" advise="1">
        <values>
          <value t="nil">
            <val>1</val>
          </value>
        </values>
      </ddeItem>
      <ddeItem name="id7?tradingClass" advise="1">
        <values>
          <value t="str">
            <val>SRE</val>
          </value>
        </values>
      </ddeItem>
      <ddeItem name="id7?validExchanges" advise="1">
        <values>
          <value t="str">
            <val>SMART,NYSE,CBOE,ISE,CHX,ARCA,ISLAND,VWAP,DRCTEDGE,NSX,BEX,BATS,EDGEA,CSFBALGO,JEFFALGO,BYX,IEX,TPLUS2,PSX</val>
          </value>
        </values>
      </ddeItem>
      <ddeItem name="id70?conid" advise="1">
        <values>
          <value>
            <val>29624264</val>
          </value>
        </values>
      </ddeItem>
      <ddeItem name="id70?marketName" advise="1">
        <values>
          <value t="str">
            <val>CRM</val>
          </value>
        </values>
      </ddeItem>
      <ddeItem name="id70?minTick" advise="1">
        <values>
          <value>
            <val>0.01</val>
          </value>
        </values>
      </ddeItem>
      <ddeItem name="id70?multiplier" advise="1">
        <values>
          <value t="nil">
            <val>1</val>
          </value>
        </values>
      </ddeItem>
      <ddeItem name="id7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70?req?CRM_STK_SMART_USD_~/" advise="1">
        <values>
          <value t="nil">
            <val>1</val>
          </value>
        </values>
      </ddeItem>
      <ddeItem name="id70?tradingClass" advise="1">
        <values>
          <value t="str">
            <val>CRM</val>
          </value>
        </values>
      </ddeItem>
      <ddeItem name="id70?validExchanges" advise="1">
        <values>
          <value t="str">
            <val>SMART,NYSE,CBOE,ISE,CHX,ARCA,ISLAND,DRCTEDGE,NSX,BEX,BATS,EDGEA,CSFBALGO,JEFFALGO,BYX,IEX,TPLUS2,PSX</val>
          </value>
        </values>
      </ddeItem>
      <ddeItem name="id700?conid" advise="1">
        <values>
          <value>
            <val>5052</val>
          </value>
        </values>
      </ddeItem>
      <ddeItem name="id700?marketName" advise="1">
        <values>
          <value t="str">
            <val>BLL</val>
          </value>
        </values>
      </ddeItem>
      <ddeItem name="id700?minTick" advise="1">
        <values>
          <value>
            <val>0.01</val>
          </value>
        </values>
      </ddeItem>
      <ddeItem name="id700?multiplier" advise="1">
        <values>
          <value t="nil">
            <val>1</val>
          </value>
        </values>
      </ddeItem>
      <ddeItem name="id70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700?req?BLL_STK_SMART_USD_~/" advise="1">
        <values>
          <value t="nil">
            <val>1</val>
          </value>
        </values>
      </ddeItem>
      <ddeItem name="id700?tradingClass" advise="1">
        <values>
          <value t="str">
            <val>BLL</val>
          </value>
        </values>
      </ddeItem>
      <ddeItem name="id700?validExchanges" advise="1">
        <values>
          <value t="str">
            <val>SMART,NYSE,CBOE,ISE,CHX,ARCA,ISLAND,VWAP,DRCTEDGE,NSX,BEX,BATS,EDGEA,CSFBALGO,JEFFALGO,BYX,IEX,TPLUS2,PSX</val>
          </value>
        </values>
      </ddeItem>
      <ddeItem name="id701?conid" advise="1">
        <values>
          <value>
            <val>4851</val>
          </value>
        </values>
      </ddeItem>
      <ddeItem name="id701?marketName" advise="1">
        <values>
          <value t="str">
            <val>BCR</val>
          </value>
        </values>
      </ddeItem>
      <ddeItem name="id701?minTick" advise="1">
        <values>
          <value>
            <val>0.01</val>
          </value>
        </values>
      </ddeItem>
      <ddeItem name="id701?multiplier" advise="1">
        <values>
          <value t="nil">
            <val>1</val>
          </value>
        </values>
      </ddeItem>
      <ddeItem name="id70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701?req?BCR_STK_SMART_USD_~/" advise="1">
        <values>
          <value t="nil">
            <val>1</val>
          </value>
        </values>
      </ddeItem>
      <ddeItem name="id701?tradingClass" advise="1">
        <values>
          <value t="str">
            <val>BCR</val>
          </value>
        </values>
      </ddeItem>
      <ddeItem name="id701?validExchanges" advise="1">
        <values>
          <value t="str">
            <val>SMART,NYSE,CBOE,ISE,CHX,ARCA,ISLAND,VWAP,DRCTEDGE,NSX,BEX,BATS,EDGEA,CSFBALGO,JEFFALGO,BYX,IEX,TPLUS2,PSX</val>
          </value>
        </values>
      </ddeItem>
      <ddeItem name="id702?conid" advise="1">
        <values>
          <value>
            <val>8111188</val>
          </value>
        </values>
      </ddeItem>
      <ddeItem name="id702?marketName" advise="1">
        <values>
          <value t="str">
            <val>BAX</val>
          </value>
        </values>
      </ddeItem>
      <ddeItem name="id702?minTick" advise="1">
        <values>
          <value>
            <val>0.01</val>
          </value>
        </values>
      </ddeItem>
      <ddeItem name="id702?multiplier" advise="1">
        <values>
          <value t="nil">
            <val>1</val>
          </value>
        </values>
      </ddeItem>
      <ddeItem name="id70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702?req?BAX_STK_SMART_USD_~/" advise="1">
        <values>
          <value t="nil">
            <val>1</val>
          </value>
        </values>
      </ddeItem>
      <ddeItem name="id702?tradingClass" advise="1">
        <values>
          <value t="str">
            <val>BAX</val>
          </value>
        </values>
      </ddeItem>
      <ddeItem name="id702?validExchanges" advise="1">
        <values>
          <value t="str">
            <val>SMART,NYSE,CBOE,ISE,CHX,ARCA,ISLAND,VWAP,DRCTEDGE,NSX,BEX,BATS,EDGEA,CSFBALGO,JEFFALGO,BYX,IEX,TPLUS2,PSX</val>
          </value>
        </values>
      </ddeItem>
      <ddeItem name="id703?conid" advise="1">
        <values>
          <value>
            <val>266630</val>
          </value>
        </values>
      </ddeItem>
      <ddeItem name="id703?marketName" advise="1">
        <values>
          <value t="str">
            <val>NMS</val>
          </value>
        </values>
      </ddeItem>
      <ddeItem name="id703?minTick" advise="1">
        <values>
          <value>
            <val>0.01</val>
          </value>
        </values>
      </ddeItem>
      <ddeItem name="id703?multiplier" advise="1">
        <values>
          <value t="nil">
            <val>1</val>
          </value>
        </values>
      </ddeItem>
      <ddeItem name="id70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703?req?BBBY_STK_SMART_USD_~/" advise="1">
        <values>
          <value t="nil">
            <val>1</val>
          </value>
        </values>
      </ddeItem>
      <ddeItem name="id703?tradingClass" advise="1">
        <values>
          <value t="str">
            <val>NMS</val>
          </value>
        </values>
      </ddeItem>
      <ddeItem name="id703?validExchanges" advise="1">
        <values>
          <value t="str">
            <val>SMART,CBOE,ISE,CHX,ARCA,ISLAND,VWAP,DRCTEDGE,NSX,BEX,BATS,EDGEA,CSFBALGO,JEFFALGO,BYX,IEX,TPLUS2,PSX</val>
          </value>
        </values>
      </ddeItem>
      <ddeItem name="id704?conid" advise="1">
        <values>
          <value>
            <val>4886</val>
          </value>
        </values>
      </ddeItem>
      <ddeItem name="id704?marketName" advise="1">
        <values>
          <value t="str">
            <val>BDX</val>
          </value>
        </values>
      </ddeItem>
      <ddeItem name="id704?minTick" advise="1">
        <values>
          <value>
            <val>0.01</val>
          </value>
        </values>
      </ddeItem>
      <ddeItem name="id704?multiplier" advise="1">
        <values>
          <value t="nil">
            <val>1</val>
          </value>
        </values>
      </ddeItem>
      <ddeItem name="id70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704?req?BDX_STK_SMART_USD_~/" advise="1">
        <values>
          <value t="nil">
            <val>1</val>
          </value>
        </values>
      </ddeItem>
      <ddeItem name="id704?tradingClass" advise="1">
        <values>
          <value t="str">
            <val>BDX</val>
          </value>
        </values>
      </ddeItem>
      <ddeItem name="id704?validExchanges" advise="1">
        <values>
          <value t="str">
            <val>SMART,NYSE,CBOE,ISE,CHX,ARCA,ISLAND,VWAP,DRCTEDGE,NSX,BEX,BATS,EDGEA,CSFBALGO,JEFFALGO,BYX,IEX,TPLUS2,PSX</val>
          </value>
        </values>
      </ddeItem>
      <ddeItem name="id705?conid" advise="1">
        <values>
          <value>
            <val>4392</val>
          </value>
        </values>
      </ddeItem>
      <ddeItem name="id705?marketName" advise="1">
        <values>
          <value t="str">
            <val>AME</val>
          </value>
        </values>
      </ddeItem>
      <ddeItem name="id705?minTick" advise="1">
        <values>
          <value>
            <val>0.01</val>
          </value>
        </values>
      </ddeItem>
      <ddeItem name="id705?multiplier" advise="1">
        <values>
          <value t="nil">
            <val>1</val>
          </value>
        </values>
      </ddeItem>
      <ddeItem name="id70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705?req?AME_STK_SMART_USD_~/" advise="1">
        <values>
          <value t="nil">
            <val>1</val>
          </value>
        </values>
      </ddeItem>
      <ddeItem name="id705?tradingClass" advise="1">
        <values>
          <value t="str">
            <val>AME</val>
          </value>
        </values>
      </ddeItem>
      <ddeItem name="id705?validExchanges" advise="1">
        <values>
          <value t="str">
            <val>SMART,NYSE,CBOE,ISE,CHX,ARCA,ISLAND,DRCTEDGE,NSX,BEX,BATS,EDGEA,CSFBALGO,JEFFALGO,BYX,IEX,TPLUS2,PSX</val>
          </value>
        </values>
      </ddeItem>
      <ddeItem name="id706?conid" advise="1">
        <values>
          <value>
            <val>4901</val>
          </value>
        </values>
      </ddeItem>
      <ddeItem name="id706?marketName" advise="1">
        <values>
          <value t="str">
            <val>VZ</val>
          </value>
        </values>
      </ddeItem>
      <ddeItem name="id706?minTick" advise="1">
        <values>
          <value>
            <val>0.01</val>
          </value>
        </values>
      </ddeItem>
      <ddeItem name="id706?multiplier" advise="1">
        <values>
          <value t="nil">
            <val>1</val>
          </value>
        </values>
      </ddeItem>
      <ddeItem name="id70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706?req?VZ_STK_SMART_USD_~/" advise="1">
        <values>
          <value t="nil">
            <val>1</val>
          </value>
        </values>
      </ddeItem>
      <ddeItem name="id706?tradingClass" advise="1">
        <values>
          <value t="str">
            <val>VZ</val>
          </value>
        </values>
      </ddeItem>
      <ddeItem name="id706?validExchanges" advise="1">
        <values>
          <value t="str">
            <val>SMART,NYSE,CBOE,ISE,CHX,ARCA,ISLAND,VWAP,DRCTEDGE,NSX,BEX,BATS,EDGEA,CSFBALGO,JEFFALGO,BYX,IEX,TPLUS2,PSX</val>
          </value>
        </values>
      </ddeItem>
      <ddeItem name="id707?conid" advise="1">
        <values>
          <value>
            <val>4817</val>
          </value>
        </values>
      </ddeItem>
      <ddeItem name="id707?marketName" advise="1">
        <values>
          <value t="str">
            <val>BBY</val>
          </value>
        </values>
      </ddeItem>
      <ddeItem name="id707?minTick" advise="1">
        <values>
          <value>
            <val>0.01</val>
          </value>
        </values>
      </ddeItem>
      <ddeItem name="id707?multiplier" advise="1">
        <values>
          <value t="nil">
            <val>1</val>
          </value>
        </values>
      </ddeItem>
      <ddeItem name="id70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707?req?BBY_STK_SMART_USD_~/" advise="1">
        <values>
          <value t="nil">
            <val>1</val>
          </value>
        </values>
      </ddeItem>
      <ddeItem name="id707?tradingClass" advise="1">
        <values>
          <value t="str">
            <val>BBY</val>
          </value>
        </values>
      </ddeItem>
      <ddeItem name="id707?validExchanges" advise="1">
        <values>
          <value t="str">
            <val>SMART,NYSE,CBOE,ISE,CHX,ARCA,ISLAND,VWAP,DRCTEDGE,NSX,BEX,BATS,EDGEA,CSFBALGO,JEFFALGO,BYX,IEX,TPLUS2,PSX</val>
          </value>
        </values>
      </ddeItem>
      <ddeItem name="id708?conid" advise="1">
        <values>
          <value>
            <val>6608473</val>
          </value>
        </values>
      </ddeItem>
      <ddeItem name="id708?marketName" advise="1">
        <values>
          <value t="str">
            <val>SLG</val>
          </value>
        </values>
      </ddeItem>
      <ddeItem name="id708?minTick" advise="1">
        <values>
          <value>
            <val>0.01</val>
          </value>
        </values>
      </ddeItem>
      <ddeItem name="id708?multiplier" advise="1">
        <values>
          <value t="nil">
            <val>1</val>
          </value>
        </values>
      </ddeItem>
      <ddeItem name="id70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708?req?SLG_STK_SMART_USD_~/" advise="1">
        <values>
          <value t="nil">
            <val>1</val>
          </value>
        </values>
      </ddeItem>
      <ddeItem name="id708?tradingClass" advise="1">
        <values>
          <value t="str">
            <val>SLG</val>
          </value>
        </values>
      </ddeItem>
      <ddeItem name="id708?validExchanges" advise="1">
        <values>
          <value t="str">
            <val>SMART,NYSE,CBOE,ISE,CHX,ARCA,ISLAND,DRCTEDGE,NSX,BEX,BATS,EDGEA,CSFBALGO,JEFFALGO,BYX,IEX,TPLUS2,PSX</val>
          </value>
        </values>
      </ddeItem>
      <ddeItem name="id709?conid" advise="1">
        <values>
          <value>
            <val>3206042</val>
          </value>
        </values>
      </ddeItem>
      <ddeItem name="id709?marketName" advise="1">
        <values>
          <value t="str">
            <val>YUM</val>
          </value>
        </values>
      </ddeItem>
      <ddeItem name="id709?minTick" advise="1">
        <values>
          <value>
            <val>0.01</val>
          </value>
        </values>
      </ddeItem>
      <ddeItem name="id709?multiplier" advise="1">
        <values>
          <value t="nil">
            <val>1</val>
          </value>
        </values>
      </ddeItem>
      <ddeItem name="id70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709?req?YUM_STK_SMART_USD_~/" advise="1">
        <values>
          <value t="nil">
            <val>1</val>
          </value>
        </values>
      </ddeItem>
      <ddeItem name="id709?tradingClass" advise="1">
        <values>
          <value t="str">
            <val>YUM</val>
          </value>
        </values>
      </ddeItem>
      <ddeItem name="id709?validExchanges" advise="1">
        <values>
          <value t="str">
            <val>SMART,NYSE,CBOE,ISE,CHX,ARCA,ISLAND,VWAP,DRCTEDGE,NSX,BEX,BATS,EDGEA,CSFBALGO,JEFFALGO,BYX,IEX,TPLUS2,PSX</val>
          </value>
        </values>
      </ddeItem>
      <ddeItem name="id71?conid" advise="1">
        <values>
          <value>
            <val>6842</val>
          </value>
        </values>
      </ddeItem>
      <ddeItem name="id71?marketName" advise="1">
        <values>
          <value t="str">
            <val>EMR</val>
          </value>
        </values>
      </ddeItem>
      <ddeItem name="id71?minTick" advise="1">
        <values>
          <value>
            <val>0.01</val>
          </value>
        </values>
      </ddeItem>
      <ddeItem name="id71?multiplier" advise="1">
        <values>
          <value t="nil">
            <val>1</val>
          </value>
        </values>
      </ddeItem>
      <ddeItem name="id7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71?req?EMR_STK_SMART_USD_~/" advise="1">
        <values>
          <value t="nil">
            <val>1</val>
          </value>
        </values>
      </ddeItem>
      <ddeItem name="id71?tradingClass" advise="1">
        <values>
          <value t="str">
            <val>EMR</val>
          </value>
        </values>
      </ddeItem>
      <ddeItem name="id71?validExchanges" advise="1">
        <values>
          <value t="str">
            <val>SMART,NYSE,CBOE,ISE,CHX,ARCA,ISLAND,VWAP,DRCTEDGE,NSX,BEX,BATS,EDGEA,CSFBALGO,JEFFALGO,BYX,IEX,TPLUS2,PSX</val>
          </value>
        </values>
      </ddeItem>
      <ddeItem name="id710?conid" advise="1">
        <values>
          <value>
            <val>3265376</val>
          </value>
        </values>
      </ddeItem>
      <ddeItem name="id710?marketName" advise="1">
        <values>
          <value t="str">
            <val>FE</val>
          </value>
        </values>
      </ddeItem>
      <ddeItem name="id710?minTick" advise="1">
        <values>
          <value>
            <val>0.01</val>
          </value>
        </values>
      </ddeItem>
      <ddeItem name="id710?multiplier" advise="1">
        <values>
          <value t="nil">
            <val>1</val>
          </value>
        </values>
      </ddeItem>
      <ddeItem name="id71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710?req?FE_STK_SMART_USD_~/" advise="1">
        <values>
          <value t="nil">
            <val>1</val>
          </value>
        </values>
      </ddeItem>
      <ddeItem name="id710?tradingClass" advise="1">
        <values>
          <value t="str">
            <val>FE</val>
          </value>
        </values>
      </ddeItem>
      <ddeItem name="id710?validExchanges" advise="1">
        <values>
          <value t="str">
            <val>SMART,NYSE,CBOE,ISE,CHX,ARCA,ISLAND,VWAP,DRCTEDGE,NSX,BEX,BATS,EDGEA,CSFBALGO,JEFFALGO,BYX,IEX,TPLUS2,PSX</val>
          </value>
        </values>
      </ddeItem>
      <ddeItem name="id711?conid" advise="1">
        <values>
          <value>
            <val>8130</val>
          </value>
        </values>
      </ddeItem>
      <ddeItem name="id711?marketName" advise="1">
        <values>
          <value t="str">
            <val>HRB</val>
          </value>
        </values>
      </ddeItem>
      <ddeItem name="id711?minTick" advise="1">
        <values>
          <value>
            <val>0.01</val>
          </value>
        </values>
      </ddeItem>
      <ddeItem name="id711?multiplier" advise="1">
        <values>
          <value t="nil">
            <val>1</val>
          </value>
        </values>
      </ddeItem>
      <ddeItem name="id71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711?req?HRB_STK_SMART_USD_~/" advise="1">
        <values>
          <value t="nil">
            <val>1</val>
          </value>
        </values>
      </ddeItem>
      <ddeItem name="id711?tradingClass" advise="1">
        <values>
          <value t="str">
            <val>HRB</val>
          </value>
        </values>
      </ddeItem>
      <ddeItem name="id711?validExchanges" advise="1">
        <values>
          <value t="str">
            <val>SMART,NYSE,CBOE,ISE,CHX,ARCA,ISLAND,VWAP,DRCTEDGE,NSX,BEX,BATS,EDGEA,CSFBALGO,JEFFALGO,BYX,IEX,TPLUS2,PSX</val>
          </value>
        </values>
      </ddeItem>
      <ddeItem name="id712?conid" advise="1">
        <values>
          <value>
            <val>4762</val>
          </value>
        </values>
      </ddeItem>
      <ddeItem name="id712?marketName" advise="1">
        <values>
          <value t="str">
            <val>BA</val>
          </value>
        </values>
      </ddeItem>
      <ddeItem name="id712?minTick" advise="1">
        <values>
          <value>
            <val>0.01</val>
          </value>
        </values>
      </ddeItem>
      <ddeItem name="id712?multiplier" advise="1">
        <values>
          <value t="nil">
            <val>1</val>
          </value>
        </values>
      </ddeItem>
      <ddeItem name="id71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712?req?BA_STK_SMART_USD_~/" advise="1">
        <values>
          <value t="nil">
            <val>1</val>
          </value>
        </values>
      </ddeItem>
      <ddeItem name="id712?tradingClass" advise="1">
        <values>
          <value t="str">
            <val>BA</val>
          </value>
        </values>
      </ddeItem>
      <ddeItem name="id712?validExchanges" advise="1">
        <values>
          <value t="str">
            <val>SMART,NYSE,CBOE,ISE,CHX,ARCA,ISLAND,VWAP,DRCTEDGE,NSX,BEX,BATS,EDGEA,CSFBALGO,JEFFALGO,BYX,IEX,TPLUS2,PSX</val>
          </value>
        </values>
      </ddeItem>
      <ddeItem name="id713?conid" advise="1">
        <values>
          <value>
            <val>11634</val>
          </value>
        </values>
      </ddeItem>
      <ddeItem name="id713?marketName" advise="1">
        <values>
          <value t="str">
            <val>RHI</val>
          </value>
        </values>
      </ddeItem>
      <ddeItem name="id713?minTick" advise="1">
        <values>
          <value>
            <val>0.01</val>
          </value>
        </values>
      </ddeItem>
      <ddeItem name="id713?multiplier" advise="1">
        <values>
          <value t="nil">
            <val>1</val>
          </value>
        </values>
      </ddeItem>
      <ddeItem name="id71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713?req?RHI_STK_SMART_USD_~/" advise="1">
        <values>
          <value t="nil">
            <val>1</val>
          </value>
        </values>
      </ddeItem>
      <ddeItem name="id713?tradingClass" advise="1">
        <values>
          <value t="str">
            <val>RHI</val>
          </value>
        </values>
      </ddeItem>
      <ddeItem name="id713?validExchanges" advise="1">
        <values>
          <value t="str">
            <val>SMART,NYSE,CBOE,ISE,CHX,ARCA,ISLAND,VWAP,DRCTEDGE,NSX,BEX,BATS,EDGEA,CSFBALGO,JEFFALGO,BYX,IEX,TPLUS2,PSX</val>
          </value>
        </values>
      </ddeItem>
      <ddeItem name="id714?conid" advise="1">
        <values>
          <value>
            <val>5336</val>
          </value>
        </values>
      </ddeItem>
      <ddeItem name="id714?marketName" advise="1">
        <values>
          <value t="str">
            <val>BWA</val>
          </value>
        </values>
      </ddeItem>
      <ddeItem name="id714?minTick" advise="1">
        <values>
          <value>
            <val>0.01</val>
          </value>
        </values>
      </ddeItem>
      <ddeItem name="id714?multiplier" advise="1">
        <values>
          <value t="nil">
            <val>1</val>
          </value>
        </values>
      </ddeItem>
      <ddeItem name="id71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714?req?BWA_STK_SMART_USD_~/" advise="1">
        <values>
          <value t="nil">
            <val>1</val>
          </value>
        </values>
      </ddeItem>
      <ddeItem name="id714?tradingClass" advise="1">
        <values>
          <value t="str">
            <val>BWA</val>
          </value>
        </values>
      </ddeItem>
      <ddeItem name="id714?validExchanges" advise="1">
        <values>
          <value t="str">
            <val>SMART,NYSE,CBOE,ISE,CHX,ARCA,ISLAND,DRCTEDGE,NSX,BEX,BATS,EDGEA,CSFBALGO,JEFFALGO,BYX,IEX,TPLUS2,PSX</val>
          </value>
        </values>
      </ddeItem>
      <ddeItem name="id715?conid" advise="1">
        <values>
          <value>
            <val>5270</val>
          </value>
        </values>
      </ddeItem>
      <ddeItem name="id715?marketName" advise="1">
        <values>
          <value t="str">
            <val>BSX</val>
          </value>
        </values>
      </ddeItem>
      <ddeItem name="id715?minTick" advise="1">
        <values>
          <value>
            <val>0.01</val>
          </value>
        </values>
      </ddeItem>
      <ddeItem name="id715?multiplier" advise="1">
        <values>
          <value t="nil">
            <val>1</val>
          </value>
        </values>
      </ddeItem>
      <ddeItem name="id71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715?req?BSX_STK_SMART_USD_~/" advise="1">
        <values>
          <value t="nil">
            <val>1</val>
          </value>
        </values>
      </ddeItem>
      <ddeItem name="id715?tradingClass" advise="1">
        <values>
          <value t="str">
            <val>BSX</val>
          </value>
        </values>
      </ddeItem>
      <ddeItem name="id715?validExchanges" advise="1">
        <values>
          <value t="str">
            <val>SMART,NYSE,CBOE,ISE,CHX,ARCA,ISLAND,VWAP,DRCTEDGE,NSX,BEX,BATS,EDGEA,CSFBALGO,JEFFALGO,BYX,IEX,TPLUS2,PSX</val>
          </value>
        </values>
      </ddeItem>
      <ddeItem name="id716?conid" advise="1">
        <values>
          <value>
            <val>36320731</val>
          </value>
        </values>
      </ddeItem>
      <ddeItem name="id716?marketName" advise="1">
        <values>
          <value t="str">
            <val>NMS</val>
          </value>
        </values>
      </ddeItem>
      <ddeItem name="id716?minTick" advise="1">
        <values>
          <value>
            <val>0.01</val>
          </value>
        </values>
      </ddeItem>
      <ddeItem name="id716?multiplier" advise="1">
        <values>
          <value t="nil">
            <val>1</val>
          </value>
        </values>
      </ddeItem>
      <ddeItem name="id71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716?req?CHRW_STK_SMART_USD_~/" advise="1">
        <values>
          <value t="nil">
            <val>1</val>
          </value>
        </values>
      </ddeItem>
      <ddeItem name="id716?tradingClass" advise="1">
        <values>
          <value t="str">
            <val>NMS</val>
          </value>
        </values>
      </ddeItem>
      <ddeItem name="id716?validExchanges" advise="1">
        <values>
          <value t="str">
            <val>SMART,CBOE,ISE,CHX,ARCA,ISLAND,DRCTEDGE,NSX,BEX,BATS,EDGEA,CSFBALGO,JEFFALGO,BYX,IEX,TPLUS2,PSX</val>
          </value>
        </values>
      </ddeItem>
      <ddeItem name="id718?conid" advise="1">
        <values>
          <value>
            <val>5946</val>
          </value>
        </values>
      </ddeItem>
      <ddeItem name="id718?marketName" advise="1">
        <values>
          <value t="str">
            <val>COG</val>
          </value>
        </values>
      </ddeItem>
      <ddeItem name="id718?minTick" advise="1">
        <values>
          <value>
            <val>0.01</val>
          </value>
        </values>
      </ddeItem>
      <ddeItem name="id718?multiplier" advise="1">
        <values>
          <value t="nil">
            <val>1</val>
          </value>
        </values>
      </ddeItem>
      <ddeItem name="id71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718?req?COG_STK_SMART_USD_~/" advise="1">
        <values>
          <value t="nil">
            <val>1</val>
          </value>
        </values>
      </ddeItem>
      <ddeItem name="id718?tradingClass" advise="1">
        <values>
          <value t="str">
            <val>COG</val>
          </value>
        </values>
      </ddeItem>
      <ddeItem name="id718?validExchanges" advise="1">
        <values>
          <value t="str">
            <val>SMART,NYSE,CBOE,ISE,CHX,ARCA,ISLAND,DRCTEDGE,NSX,BEX,BATS,EDGEA,CSFBALGO,JEFFALGO,BYX,IEX,TPLUS2,PSX</val>
          </value>
        </values>
      </ddeItem>
      <ddeItem name="id72?conid" advise="1">
        <values>
          <value>
            <val>6946</val>
          </value>
        </values>
      </ddeItem>
      <ddeItem name="id72?marketName" advise="1">
        <values>
          <value t="str">
            <val>ESS</val>
          </value>
        </values>
      </ddeItem>
      <ddeItem name="id72?minTick" advise="1">
        <values>
          <value>
            <val>0.01</val>
          </value>
        </values>
      </ddeItem>
      <ddeItem name="id72?multiplier" advise="1">
        <values>
          <value t="nil">
            <val>1</val>
          </value>
        </values>
      </ddeItem>
      <ddeItem name="id7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72?req?ESS_STK_SMART_USD_~/" advise="1">
        <values>
          <value t="nil">
            <val>1</val>
          </value>
        </values>
      </ddeItem>
      <ddeItem name="id72?tradingClass" advise="1">
        <values>
          <value t="str">
            <val>ESS</val>
          </value>
        </values>
      </ddeItem>
      <ddeItem name="id72?validExchanges" advise="1">
        <values>
          <value t="str">
            <val>SMART,NYSE,CBOE,ISE,CHX,ARCA,ISLAND,DRCTEDGE,NSX,BEX,BATS,EDGEA,CSFBALGO,JEFFALGO,BYX,IEX,TPLUS2,PSX</val>
          </value>
        </values>
      </ddeItem>
      <ddeItem name="id73?conid" advise="1">
        <values>
          <value>
            <val>6969</val>
          </value>
        </values>
      </ddeItem>
      <ddeItem name="id73?marketName" advise="1">
        <values>
          <value t="str">
            <val>ETR</val>
          </value>
        </values>
      </ddeItem>
      <ddeItem name="id73?minTick" advise="1">
        <values>
          <value>
            <val>0.01</val>
          </value>
        </values>
      </ddeItem>
      <ddeItem name="id73?multiplier" advise="1">
        <values>
          <value t="nil">
            <val>1</val>
          </value>
        </values>
      </ddeItem>
      <ddeItem name="id7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73?req?ETR_STK_SMART_USD_~/" advise="1">
        <values>
          <value t="nil">
            <val>1</val>
          </value>
        </values>
      </ddeItem>
      <ddeItem name="id73?tradingClass" advise="1">
        <values>
          <value t="str">
            <val>ETR</val>
          </value>
        </values>
      </ddeItem>
      <ddeItem name="id73?validExchanges" advise="1">
        <values>
          <value t="str">
            <val>SMART,NYSE,CBOE,ISE,CHX,ARCA,ISLAND,VWAP,DRCTEDGE,NSX,BEX,BATS,EDGEA,CSFBALGO,JEFFALGO,BYX,IEX,TPLUS2,PSX</val>
          </value>
        </values>
      </ddeItem>
      <ddeItem name="id74?conid" advise="1">
        <values>
          <value>
            <val>6890</val>
          </value>
        </values>
      </ddeItem>
      <ddeItem name="id74?marketName" advise="1">
        <values>
          <value t="str">
            <val>EOG</val>
          </value>
        </values>
      </ddeItem>
      <ddeItem name="id74?minTick" advise="1">
        <values>
          <value>
            <val>0.01</val>
          </value>
        </values>
      </ddeItem>
      <ddeItem name="id74?multiplier" advise="1">
        <values>
          <value t="nil">
            <val>1</val>
          </value>
        </values>
      </ddeItem>
      <ddeItem name="id7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74?req?EOG_STK_SMART_USD_~/" advise="1">
        <values>
          <value t="nil">
            <val>1</val>
          </value>
        </values>
      </ddeItem>
      <ddeItem name="id74?tradingClass" advise="1">
        <values>
          <value t="str">
            <val>EOG</val>
          </value>
        </values>
      </ddeItem>
      <ddeItem name="id74?validExchanges" advise="1">
        <values>
          <value t="str">
            <val>SMART,NYSE,CBOE,ISE,CHX,ARCA,ISLAND,VWAP,DRCTEDGE,NSX,BEX,BATS,EDGEA,CSFBALGO,JEFFALGO,BYX,IEX,TPLUS2,PSX</val>
          </value>
        </values>
      </ddeItem>
      <ddeItem name="id75?conid" advise="1">
        <values>
          <value>
            <val>6735</val>
          </value>
        </values>
      </ddeItem>
      <ddeItem name="id75?marketName" advise="1">
        <values>
          <value t="str">
            <val>EFX</val>
          </value>
        </values>
      </ddeItem>
      <ddeItem name="id75?minTick" advise="1">
        <values>
          <value>
            <val>0.01</val>
          </value>
        </values>
      </ddeItem>
      <ddeItem name="id75?multiplier" advise="1">
        <values>
          <value t="nil">
            <val>1</val>
          </value>
        </values>
      </ddeItem>
      <ddeItem name="id7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75?req?EFX_STK_SMART_USD_~/" advise="1">
        <values>
          <value t="nil">
            <val>1</val>
          </value>
        </values>
      </ddeItem>
      <ddeItem name="id75?tradingClass" advise="1">
        <values>
          <value t="str">
            <val>EFX</val>
          </value>
        </values>
      </ddeItem>
      <ddeItem name="id75?validExchanges" advise="1">
        <values>
          <value t="str">
            <val>SMART,NYSE,ISE,CHX,ARCA,ISLAND,VWAP,DRCTEDGE,NSX,BEX,BATS,EDGEA,CSFBALGO,JEFFALGO,BYX,IEX,TPLUS2,PSX</val>
          </value>
        </values>
      </ddeItem>
      <ddeItem name="id76?conid" advise="1">
        <values>
          <value>
            <val>6917</val>
          </value>
        </values>
      </ddeItem>
      <ddeItem name="id76?marketName" advise="1">
        <values>
          <value t="str">
            <val>EQR</val>
          </value>
        </values>
      </ddeItem>
      <ddeItem name="id76?minTick" advise="1">
        <values>
          <value>
            <val>0.01</val>
          </value>
        </values>
      </ddeItem>
      <ddeItem name="id76?multiplier" advise="1">
        <values>
          <value t="nil">
            <val>1</val>
          </value>
        </values>
      </ddeItem>
      <ddeItem name="id7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76?req?EQR_STK_SMART_USD_~/" advise="1">
        <values>
          <value t="nil">
            <val>1</val>
          </value>
        </values>
      </ddeItem>
      <ddeItem name="id76?tradingClass" advise="1">
        <values>
          <value t="str">
            <val>EQR</val>
          </value>
        </values>
      </ddeItem>
      <ddeItem name="id76?validExchanges" advise="1">
        <values>
          <value t="str">
            <val>SMART,NYSE,CBOE,ISE,CHX,ARCA,ISLAND,VWAP,DRCTEDGE,NSX,BEX,BATS,EDGEA,CSFBALGO,JEFFALGO,BYX,IEX,TPLUS2,PSX</val>
          </value>
        </values>
      </ddeItem>
      <ddeItem name="id77?conid" advise="1">
        <values>
          <value>
            <val>57698865</val>
          </value>
        </values>
      </ddeItem>
      <ddeItem name="id77?marketName" advise="1">
        <values>
          <value t="str">
            <val>EQT</val>
          </value>
        </values>
      </ddeItem>
      <ddeItem name="id77?minTick" advise="1">
        <values>
          <value>
            <val>0.01</val>
          </value>
        </values>
      </ddeItem>
      <ddeItem name="id77?multiplier" advise="1">
        <values>
          <value t="nil">
            <val>1</val>
          </value>
        </values>
      </ddeItem>
      <ddeItem name="id7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77?req?EQT_STK_SMART_USD_~/" advise="1">
        <values>
          <value t="nil">
            <val>1</val>
          </value>
        </values>
      </ddeItem>
      <ddeItem name="id77?tradingClass" advise="1">
        <values>
          <value t="str">
            <val>EQT</val>
          </value>
        </values>
      </ddeItem>
      <ddeItem name="id77?validExchanges" advise="1">
        <values>
          <value t="str">
            <val>SMART,NYSE,CBOE,ISE,CHX,ARCA,ISLAND,DRCTEDGE,NSX,BEX,BATS,EDGEA,CSFBALGO,JEFFALGO,BYX,IEX,TPLUS2,PSX</val>
          </value>
        </values>
      </ddeItem>
      <ddeItem name="id78?conid" advise="1">
        <values>
          <value>
            <val>1448477</val>
          </value>
        </values>
      </ddeItem>
      <ddeItem name="id78?marketName" advise="1">
        <values>
          <value t="str">
            <val>EL</val>
          </value>
        </values>
      </ddeItem>
      <ddeItem name="id78?minTick" advise="1">
        <values>
          <value>
            <val>0.01</val>
          </value>
        </values>
      </ddeItem>
      <ddeItem name="id78?multiplier" advise="1">
        <values>
          <value t="nil">
            <val>1</val>
          </value>
        </values>
      </ddeItem>
      <ddeItem name="id7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78?req?EL_STK_SMART_USD_~/" advise="1">
        <values>
          <value t="nil">
            <val>1</val>
          </value>
        </values>
      </ddeItem>
      <ddeItem name="id78?tradingClass" advise="1">
        <values>
          <value t="str">
            <val>EL</val>
          </value>
        </values>
      </ddeItem>
      <ddeItem name="id78?validExchanges" advise="1">
        <values>
          <value t="str">
            <val>SMART,NYSE,CBOE,ISE,CHX,ARCA,ISLAND,VWAP,DRCTEDGE,NSX,BEX,BATS,EDGEA,CSFBALGO,JEFFALGO,BYX,IEX,TPLUS2,PSX</val>
          </value>
        </values>
      </ddeItem>
      <ddeItem name="id79?conid" advise="1">
        <values>
          <value>
            <val>269082</val>
          </value>
        </values>
      </ddeItem>
      <ddeItem name="id79?marketName" advise="1">
        <values>
          <value t="str">
            <val>NMS</val>
          </value>
        </values>
      </ddeItem>
      <ddeItem name="id79?minTick" advise="1">
        <values>
          <value>
            <val>0.01</val>
          </value>
        </values>
      </ddeItem>
      <ddeItem name="id79?multiplier" advise="1">
        <values>
          <value t="nil">
            <val>1</val>
          </value>
        </values>
      </ddeItem>
      <ddeItem name="id7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79?req?EXPD_STK_SMART_USD_~/" advise="1">
        <values>
          <value t="nil">
            <val>1</val>
          </value>
        </values>
      </ddeItem>
      <ddeItem name="id79?tradingClass" advise="1">
        <values>
          <value t="str">
            <val>NMS</val>
          </value>
        </values>
      </ddeItem>
      <ddeItem name="id79?validExchanges" advise="1">
        <values>
          <value t="str">
            <val>SMART,CBOE,ISE,CHX,ARCA,ISLAND,DRCTEDGE,NSX,BEX,BATS,EDGEA,CSFBALGO,JEFFALGO,BYX,IEX,TPLUS2,PSX</val>
          </value>
        </values>
      </ddeItem>
      <ddeItem name="id8?conid" advise="1">
        <values>
          <value>
            <val>5100583</val>
          </value>
        </values>
      </ddeItem>
      <ddeItem name="id8?marketName" advise="1">
        <values>
          <value t="str">
            <val>FDX</val>
          </value>
        </values>
      </ddeItem>
      <ddeItem name="id8?minTick" advise="1">
        <values>
          <value>
            <val>0.01</val>
          </value>
        </values>
      </ddeItem>
      <ddeItem name="id8?multiplier" advise="1">
        <values>
          <value t="nil">
            <val>1</val>
          </value>
        </values>
      </ddeItem>
      <ddeItem name="id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8?req?FDX_STK_SMART_USD_~/" advise="1">
        <values>
          <value t="nil">
            <val>1</val>
          </value>
        </values>
      </ddeItem>
      <ddeItem name="id8?tradingClass" advise="1">
        <values>
          <value t="str">
            <val>FDX</val>
          </value>
        </values>
      </ddeItem>
      <ddeItem name="id8?validExchanges" advise="1">
        <values>
          <value t="str">
            <val>SMART,NYSE,CBOE,ISE,CHX,ARCA,ISLAND,VWAP,DRCTEDGE,NSX,BEX,BATS,EDGEA,CSFBALGO,JEFFALGO,BYX,IEX,TPLUS2,PSX</val>
          </value>
        </values>
      </ddeItem>
      <ddeItem name="id80?conid" advise="1">
        <values>
          <value>
            <val>13977</val>
          </value>
        </values>
      </ddeItem>
      <ddeItem name="id80?marketName" advise="1">
        <values>
          <value t="str">
            <val>XOM</val>
          </value>
        </values>
      </ddeItem>
      <ddeItem name="id80?minTick" advise="1">
        <values>
          <value>
            <val>0.01</val>
          </value>
        </values>
      </ddeItem>
      <ddeItem name="id80?multiplier" advise="1">
        <values>
          <value t="nil">
            <val>1</val>
          </value>
        </values>
      </ddeItem>
      <ddeItem name="id8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80?req?XOM_STK_SMART_USD_~/" advise="1">
        <values>
          <value t="nil">
            <val>1</val>
          </value>
        </values>
      </ddeItem>
      <ddeItem name="id80?tradingClass" advise="1">
        <values>
          <value t="str">
            <val>XOM</val>
          </value>
        </values>
      </ddeItem>
      <ddeItem name="id80?validExchanges" advise="1">
        <values>
          <value t="str">
            <val>SMART,NYSE,CBOE,ISE,CHX,ARCA,ISLAND,VWAP,DRCTEDGE,NSX,BEX,BATS,EDGEA,CSFBALGO,JEFFALGO,BYX,IEX,TPLUS2,PSX</val>
          </value>
        </values>
      </ddeItem>
      <ddeItem name="id81?conid" advise="1">
        <values>
          <value>
            <val>7238</val>
          </value>
        </values>
      </ddeItem>
      <ddeItem name="id81?marketName" advise="1">
        <values>
          <value t="str">
            <val>FMC</val>
          </value>
        </values>
      </ddeItem>
      <ddeItem name="id81?minTick" advise="1">
        <values>
          <value>
            <val>0.01</val>
          </value>
        </values>
      </ddeItem>
      <ddeItem name="id81?multiplier" advise="1">
        <values>
          <value t="nil">
            <val>1</val>
          </value>
        </values>
      </ddeItem>
      <ddeItem name="id8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81?req?FMC_STK_SMART_USD_~/" advise="1">
        <values>
          <value t="nil">
            <val>1</val>
          </value>
        </values>
      </ddeItem>
      <ddeItem name="id81?tradingClass" advise="1">
        <values>
          <value t="str">
            <val>FMC</val>
          </value>
        </values>
      </ddeItem>
      <ddeItem name="id81?validExchanges" advise="1">
        <values>
          <value t="str">
            <val>SMART,NYSE,CBOE,ISE,CHX,ARCA,ISLAND,VWAP,DRCTEDGE,NSX,BEX,BATS,EDGEA,CSFBALGO,JEFFALGO,BYX,IEX,TPLUS2,PSX</val>
          </value>
        </values>
      </ddeItem>
      <ddeItem name="id82?conid" advise="1">
        <values>
          <value>
            <val>75960201</val>
          </value>
        </values>
      </ddeItem>
      <ddeItem name="id82?marketName" advise="1">
        <values>
          <value t="str">
            <val>NEE</val>
          </value>
        </values>
      </ddeItem>
      <ddeItem name="id82?minTick" advise="1">
        <values>
          <value>
            <val>0.01</val>
          </value>
        </values>
      </ddeItem>
      <ddeItem name="id82?multiplier" advise="1">
        <values>
          <value t="nil">
            <val>1</val>
          </value>
        </values>
      </ddeItem>
      <ddeItem name="id8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82?req?NEE_STK_SMART_USD_~/" advise="1">
        <values>
          <value t="nil">
            <val>1</val>
          </value>
        </values>
      </ddeItem>
      <ddeItem name="id82?tradingClass" advise="1">
        <values>
          <value t="str">
            <val>NEE</val>
          </value>
        </values>
      </ddeItem>
      <ddeItem name="id82?validExchanges" advise="1">
        <values>
          <value t="str">
            <val>SMART,NYSE,CBOE,ISE,CHX,ARCA,ISLAND,VWAP,DRCTEDGE,NSX,BEX,BATS,EDGEA,CSFBALGO,JEFFALGO,BYX,IEX,TPLUS2,PSX</val>
          </value>
        </values>
      </ddeItem>
      <ddeItem name="id83?conid" advise="1">
        <values>
          <value>
            <val>27727424</val>
          </value>
        </values>
      </ddeItem>
      <ddeItem name="id83?marketName" advise="1">
        <values>
          <value t="str">
            <val>AIZ</val>
          </value>
        </values>
      </ddeItem>
      <ddeItem name="id83?minTick" advise="1">
        <values>
          <value>
            <val>0.01</val>
          </value>
        </values>
      </ddeItem>
      <ddeItem name="id83?multiplier" advise="1">
        <values>
          <value t="nil">
            <val>1</val>
          </value>
        </values>
      </ddeItem>
      <ddeItem name="id8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83?req?AIZ_STK_SMART_USD_~/" advise="1">
        <values>
          <value t="nil">
            <val>1</val>
          </value>
        </values>
      </ddeItem>
      <ddeItem name="id83?tradingClass" advise="1">
        <values>
          <value t="str">
            <val>AIZ</val>
          </value>
        </values>
      </ddeItem>
      <ddeItem name="id83?validExchanges" advise="1">
        <values>
          <value t="str">
            <val>SMART,NYSE,CBOE,ISE,CHX,ARCA,ISLAND,DRCTEDGE,NSX,BEX,BATS,EDGEA,CSFBALGO,JEFFALGO,BYX,IEX,TPLUS2,PSX</val>
          </value>
        </values>
      </ddeItem>
      <ddeItem name="id84?conid" advise="1">
        <values>
          <value>
            <val>269120</val>
          </value>
        </values>
      </ddeItem>
      <ddeItem name="id84?marketName" advise="1">
        <values>
          <value t="str">
            <val>NMS</val>
          </value>
        </values>
      </ddeItem>
      <ddeItem name="id84?minTick" advise="1">
        <values>
          <value>
            <val>0.01</val>
          </value>
        </values>
      </ddeItem>
      <ddeItem name="id84?multiplier" advise="1">
        <values>
          <value t="nil">
            <val>1</val>
          </value>
        </values>
      </ddeItem>
      <ddeItem name="id8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84?req?FAST_STK_SMART_USD_~/" advise="1">
        <values>
          <value t="nil">
            <val>1</val>
          </value>
        </values>
      </ddeItem>
      <ddeItem name="id84?tradingClass" advise="1">
        <values>
          <value t="str">
            <val>NMS</val>
          </value>
        </values>
      </ddeItem>
      <ddeItem name="id84?validExchanges" advise="1">
        <values>
          <value t="str">
            <val>SMART,CBOE,ISE,CHX,ARCA,ISLAND,DRCTEDGE,NSX,BEX,BATS,EDGEA,CSFBALGO,JEFFALGO,BYX,IEX,TPLUS2,PSX</val>
          </value>
        </values>
      </ddeItem>
      <ddeItem name="id85?conid" advise="1">
        <values>
          <value>
            <val>269318</val>
          </value>
        </values>
      </ddeItem>
      <ddeItem name="id85?marketName" advise="1">
        <values>
          <value t="str">
            <val>NMS</val>
          </value>
        </values>
      </ddeItem>
      <ddeItem name="id85?minTick" advise="1">
        <values>
          <value>
            <val>0.01</val>
          </value>
        </values>
      </ddeItem>
      <ddeItem name="id85?multiplier" advise="1">
        <values>
          <value t="nil">
            <val>1</val>
          </value>
        </values>
      </ddeItem>
      <ddeItem name="id8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85?req?FITB_STK_SMART_USD_~/" advise="1">
        <values>
          <value t="nil">
            <val>1</val>
          </value>
        </values>
      </ddeItem>
      <ddeItem name="id85?tradingClass" advise="1">
        <values>
          <value t="str">
            <val>NMS</val>
          </value>
        </values>
      </ddeItem>
      <ddeItem name="id85?validExchanges" advise="1">
        <values>
          <value t="str">
            <val>SMART,CBOE,ISE,CHX,ARCA,ISLAND,VWAP,DRCTEDGE,NSX,BEX,BATS,EDGEA,CSFBALGO,JEFFALGO,BYX,IEX,TPLUS2,PSX</val>
          </value>
        </values>
      </ddeItem>
      <ddeItem name="id86?conid" advise="1">
        <values>
          <value>
            <val>2585323</val>
          </value>
        </values>
      </ddeItem>
      <ddeItem name="id86?marketName" advise="1">
        <values>
          <value t="str">
            <val>MTB</val>
          </value>
        </values>
      </ddeItem>
      <ddeItem name="id86?minTick" advise="1">
        <values>
          <value>
            <val>0.01</val>
          </value>
        </values>
      </ddeItem>
      <ddeItem name="id86?multiplier" advise="1">
        <values>
          <value t="nil">
            <val>1</val>
          </value>
        </values>
      </ddeItem>
      <ddeItem name="id8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86?req?MTB_STK_SMART_USD_~/" advise="1">
        <values>
          <value t="nil">
            <val>1</val>
          </value>
        </values>
      </ddeItem>
      <ddeItem name="id86?tradingClass" advise="1">
        <values>
          <value t="str">
            <val>MTB</val>
          </value>
        </values>
      </ddeItem>
      <ddeItem name="id86?validExchanges" advise="1">
        <values>
          <value t="str">
            <val>SMART,NYSE,CBOE,ISE,CHX,ARCA,ISLAND,VWAP,DRCTEDGE,NSX,BEX,BATS,EDGEA,CSFBALGO,JEFFALGO,BYX,IEX,TPLUS2,PSX</val>
          </value>
        </values>
      </ddeItem>
      <ddeItem name="id87?conid" advise="1">
        <values>
          <value>
            <val>269315</val>
          </value>
        </values>
      </ddeItem>
      <ddeItem name="id87?marketName" advise="1">
        <values>
          <value t="str">
            <val>NMS</val>
          </value>
        </values>
      </ddeItem>
      <ddeItem name="id87?minTick" advise="1">
        <values>
          <value>
            <val>0.01</val>
          </value>
        </values>
      </ddeItem>
      <ddeItem name="id87?multiplier" advise="1">
        <values>
          <value t="nil">
            <val>1</val>
          </value>
        </values>
      </ddeItem>
      <ddeItem name="id8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87?req?FISV_STK_SMART_USD_~/" advise="1">
        <values>
          <value t="nil">
            <val>1</val>
          </value>
        </values>
      </ddeItem>
      <ddeItem name="id87?tradingClass" advise="1">
        <values>
          <value t="str">
            <val>NMS</val>
          </value>
        </values>
      </ddeItem>
      <ddeItem name="id87?validExchanges" advise="1">
        <values>
          <value t="str">
            <val>SMART,CBOE,ISE,CHX,ARCA,ISLAND,VWAP,DRCTEDGE,NSX,BEX,BATS,EDGEA,CSFBALGO,JEFFALGO,BYX,IEX,TPLUS2,PSX</val>
          </value>
        </values>
      </ddeItem>
      <ddeItem name="id88?conid" advise="1">
        <values>
          <value>
            <val>269345</val>
          </value>
        </values>
      </ddeItem>
      <ddeItem name="id88?marketName" advise="1">
        <values>
          <value t="str">
            <val>NMS</val>
          </value>
        </values>
      </ddeItem>
      <ddeItem name="id88?minTick" advise="1">
        <values>
          <value>
            <val>0.01</val>
          </value>
        </values>
      </ddeItem>
      <ddeItem name="id88?multiplier" advise="1">
        <values>
          <value t="nil">
            <val>1</val>
          </value>
        </values>
      </ddeItem>
      <ddeItem name="id8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88?req?FLIR_STK_SMART_USD_~/" advise="1">
        <values>
          <value t="nil">
            <val>1</val>
          </value>
        </values>
      </ddeItem>
      <ddeItem name="id88?tradingClass" advise="1">
        <values>
          <value t="str">
            <val>NMS</val>
          </value>
        </values>
      </ddeItem>
      <ddeItem name="id88?validExchanges" advise="1">
        <values>
          <value t="str">
            <val>SMART,CBOE,ISE,CHX,ARCA,ISLAND,DRCTEDGE,NSX,BEX,BATS,EDGEA,CSFBALGO,JEFFALGO,BYX,IEX,TPLUS2,PSX</val>
          </value>
        </values>
      </ddeItem>
      <ddeItem name="id89?conid" advise="1">
        <values>
          <value>
            <val>44475946</val>
          </value>
        </values>
      </ddeItem>
      <ddeItem name="id89?marketName" advise="1">
        <values>
          <value t="str">
            <val>M</val>
          </value>
        </values>
      </ddeItem>
      <ddeItem name="id89?minTick" advise="1">
        <values>
          <value>
            <val>0.01</val>
          </value>
        </values>
      </ddeItem>
      <ddeItem name="id89?multiplier" advise="1">
        <values>
          <value t="nil">
            <val>1</val>
          </value>
        </values>
      </ddeItem>
      <ddeItem name="id8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89?req?M_STK_SMART_USD_~/" advise="1">
        <values>
          <value t="nil">
            <val>1</val>
          </value>
        </values>
      </ddeItem>
      <ddeItem name="id89?tradingClass" advise="1">
        <values>
          <value t="str">
            <val>M</val>
          </value>
        </values>
      </ddeItem>
      <ddeItem name="id89?validExchanges" advise="1">
        <values>
          <value t="str">
            <val>SMART,NYSE,CBOE,ISE,CHX,ARCA,ISLAND,DRCTEDGE,NSX,BEX,BATS,EDGEA,CSFBALGO,JEFFALGO,BYX,IEX,TPLUS2,PSX</val>
          </value>
        </values>
      </ddeItem>
      <ddeItem name="id9?conid" advise="1">
        <values>
          <value>
            <val>4173050</val>
          </value>
        </values>
      </ddeItem>
      <ddeItem name="id9?marketName" advise="1">
        <values>
          <value t="str">
            <val>NMS</val>
          </value>
        </values>
      </ddeItem>
      <ddeItem name="id9?minTick" advise="1">
        <values>
          <value>
            <val>0.01</val>
          </value>
        </values>
      </ddeItem>
      <ddeItem name="id9?multiplier" advise="1">
        <values>
          <value t="nil">
            <val>1</val>
          </value>
        </values>
      </ddeItem>
      <ddeItem name="id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9?req?VRSN_STK_SMART_USD_~/" advise="1">
        <values>
          <value t="nil">
            <val>1</val>
          </value>
        </values>
      </ddeItem>
      <ddeItem name="id9?tradingClass" advise="1">
        <values>
          <value t="str">
            <val>NMS</val>
          </value>
        </values>
      </ddeItem>
      <ddeItem name="id9?validExchanges" advise="1">
        <values>
          <value t="str">
            <val>SMART,CBOE,ISE,CHX,ARCA,ISLAND,VWAP,DRCTEDGE,NSX,BEX,BATS,EDGEA,CSFBALGO,JEFFALGO,BYX,IEX,TPLUS2,PSX</val>
          </value>
        </values>
      </ddeItem>
      <ddeItem name="id90?conid" advise="1">
        <values>
          <value>
            <val>4906</val>
          </value>
        </values>
      </ddeItem>
      <ddeItem name="id90?marketName" advise="1">
        <values>
          <value t="str">
            <val>BEN</val>
          </value>
        </values>
      </ddeItem>
      <ddeItem name="id90?minTick" advise="1">
        <values>
          <value>
            <val>0.01</val>
          </value>
        </values>
      </ddeItem>
      <ddeItem name="id90?multiplier" advise="1">
        <values>
          <value t="nil">
            <val>1</val>
          </value>
        </values>
      </ddeItem>
      <ddeItem name="id90?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90?req?BEN_STK_SMART_USD_~/" advise="1">
        <values>
          <value t="nil">
            <val>1</val>
          </value>
        </values>
      </ddeItem>
      <ddeItem name="id90?tradingClass" advise="1">
        <values>
          <value t="str">
            <val>BEN</val>
          </value>
        </values>
      </ddeItem>
      <ddeItem name="id90?validExchanges" advise="1">
        <values>
          <value t="str">
            <val>SMART,NYSE,CBOE,ISE,CHX,ARCA,ISLAND,VWAP,DRCTEDGE,NSX,BEX,BATS,EDGEA,CSFBALGO,JEFFALGO,BYX,IEX,TPLUS2,PSX</val>
          </value>
        </values>
      </ddeItem>
      <ddeItem name="id91?conid" advise="1">
        <values>
          <value>
            <val>7089</val>
          </value>
        </values>
      </ddeItem>
      <ddeItem name="id91?marketName" advise="1">
        <values>
          <value t="str">
            <val>FCX</val>
          </value>
        </values>
      </ddeItem>
      <ddeItem name="id91?minTick" advise="1">
        <values>
          <value>
            <val>0.01</val>
          </value>
        </values>
      </ddeItem>
      <ddeItem name="id91?multiplier" advise="1">
        <values>
          <value t="nil">
            <val>1</val>
          </value>
        </values>
      </ddeItem>
      <ddeItem name="id91?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91?req?FCX_STK_SMART_USD_~/" advise="1">
        <values>
          <value t="nil">
            <val>1</val>
          </value>
        </values>
      </ddeItem>
      <ddeItem name="id91?tradingClass" advise="1">
        <values>
          <value t="str">
            <val>FCX</val>
          </value>
        </values>
      </ddeItem>
      <ddeItem name="id91?validExchanges" advise="1">
        <values>
          <value t="str">
            <val>SMART,NYSE,CBOE,ISE,CHX,ARCA,ISLAND,VWAP,DRCTEDGE,NSX,BEX,BATS,EDGEA,CSFBALGO,JEFFALGO,BYX,IEX,TPLUS2,PSX</val>
          </value>
        </values>
      </ddeItem>
      <ddeItem name="id92?conid" advise="1">
        <values>
          <value>
            <val>7765</val>
          </value>
        </values>
      </ddeItem>
      <ddeItem name="id92?marketName" advise="1">
        <values>
          <value t="str">
            <val>GPS</val>
          </value>
        </values>
      </ddeItem>
      <ddeItem name="id92?minTick" advise="1">
        <values>
          <value>
            <val>0.01</val>
          </value>
        </values>
      </ddeItem>
      <ddeItem name="id92?multiplier" advise="1">
        <values>
          <value t="nil">
            <val>1</val>
          </value>
        </values>
      </ddeItem>
      <ddeItem name="id92?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92?req?GPS_STK_SMART_USD_~/" advise="1">
        <values>
          <value t="nil">
            <val>1</val>
          </value>
        </values>
      </ddeItem>
      <ddeItem name="id92?tradingClass" advise="1">
        <values>
          <value t="str">
            <val>GPS</val>
          </value>
        </values>
      </ddeItem>
      <ddeItem name="id92?validExchanges" advise="1">
        <values>
          <value t="str">
            <val>SMART,NYSE,CBOE,ISE,CHX,ARCA,ISLAND,VWAP,DRCTEDGE,NSX,BEX,BATS,EDGEA,CSFBALGO,JEFFALGO,BYX,IEX,TPLUS2,PSX</val>
          </value>
        </values>
      </ddeItem>
      <ddeItem name="id93?conid" advise="1">
        <values>
          <value>
            <val>224225737</val>
          </value>
        </values>
      </ddeItem>
      <ddeItem name="id93?marketName" advise="1">
        <values>
          <value t="str">
            <val>NMS</val>
          </value>
        </values>
      </ddeItem>
      <ddeItem name="id93?minTick" advise="1">
        <values>
          <value>
            <val>0.01</val>
          </value>
        </values>
      </ddeItem>
      <ddeItem name="id93?multiplier" advise="1">
        <values>
          <value t="nil">
            <val>1</val>
          </value>
        </values>
      </ddeItem>
      <ddeItem name="id93?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93?req?XRAY_STK_SMART_USD_~/" advise="1">
        <values>
          <value t="nil">
            <val>1</val>
          </value>
        </values>
      </ddeItem>
      <ddeItem name="id93?tradingClass" advise="1">
        <values>
          <value t="str">
            <val>NMS</val>
          </value>
        </values>
      </ddeItem>
      <ddeItem name="id93?validExchanges" advise="1">
        <values>
          <value t="str">
            <val>SMART,CBOE,ISE,CHX,ARCA,ISLAND,VWAP,DRCTEDGE,NSX,BEX,BATS,EDGEA,CSFBALGO,JEFFALGO,BYX,IEX,TPLUS2,PSX</val>
          </value>
        </values>
      </ddeItem>
      <ddeItem name="id94?conid" advise="1">
        <values>
          <value>
            <val>7496</val>
          </value>
        </values>
      </ddeItem>
      <ddeItem name="id94?marketName" advise="1">
        <values>
          <value t="str">
            <val>GD</val>
          </value>
        </values>
      </ddeItem>
      <ddeItem name="id94?minTick" advise="1">
        <values>
          <value>
            <val>0.01</val>
          </value>
        </values>
      </ddeItem>
      <ddeItem name="id94?multiplier" advise="1">
        <values>
          <value t="nil">
            <val>1</val>
          </value>
        </values>
      </ddeItem>
      <ddeItem name="id94?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94?req?GD_STK_SMART_USD_~/" advise="1">
        <values>
          <value t="nil">
            <val>1</val>
          </value>
        </values>
      </ddeItem>
      <ddeItem name="id94?tradingClass" advise="1">
        <values>
          <value t="str">
            <val>GD</val>
          </value>
        </values>
      </ddeItem>
      <ddeItem name="id94?validExchanges" advise="1">
        <values>
          <value t="str">
            <val>SMART,NYSE,CBOE,ISE,CHX,ARCA,ISLAND,VWAP,DRCTEDGE,NSX,BEX,BATS,EDGEA,CSFBALGO,JEFFALGO,BYX,IEX,TPLUS2,PSX</val>
          </value>
        </values>
      </ddeItem>
      <ddeItem name="id95?conid" advise="1">
        <values>
          <value>
            <val>7616</val>
          </value>
        </values>
      </ddeItem>
      <ddeItem name="id95?marketName" advise="1">
        <values>
          <value t="str">
            <val>GIS</val>
          </value>
        </values>
      </ddeItem>
      <ddeItem name="id95?minTick" advise="1">
        <values>
          <value>
            <val>0.01</val>
          </value>
        </values>
      </ddeItem>
      <ddeItem name="id95?multiplier" advise="1">
        <values>
          <value t="nil">
            <val>1</val>
          </value>
        </values>
      </ddeItem>
      <ddeItem name="id95?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95?req?GIS_STK_SMART_USD_~/" advise="1">
        <values>
          <value t="nil">
            <val>1</val>
          </value>
        </values>
      </ddeItem>
      <ddeItem name="id95?tradingClass" advise="1">
        <values>
          <value t="str">
            <val>GIS</val>
          </value>
        </values>
      </ddeItem>
      <ddeItem name="id95?validExchanges" advise="1">
        <values>
          <value t="str">
            <val>SMART,NYSE,CBOE,ISE,CHX,ARCA,ISLAND,VWAP,DRCTEDGE,NSX,BEX,BATS,EDGEA,CSFBALGO,JEFFALGO,BYX,IEX,TPLUS2,PSX</val>
          </value>
        </values>
      </ddeItem>
      <ddeItem name="id96?conid" advise="1">
        <values>
          <value>
            <val>7745</val>
          </value>
        </values>
      </ddeItem>
      <ddeItem name="id96?marketName" advise="1">
        <values>
          <value t="str">
            <val>GPC</val>
          </value>
        </values>
      </ddeItem>
      <ddeItem name="id96?minTick" advise="1">
        <values>
          <value>
            <val>0.01</val>
          </value>
        </values>
      </ddeItem>
      <ddeItem name="id96?multiplier" advise="1">
        <values>
          <value t="nil">
            <val>1</val>
          </value>
        </values>
      </ddeItem>
      <ddeItem name="id96?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96?req?GPC_STK_SMART_USD_~/" advise="1">
        <values>
          <value t="nil">
            <val>1</val>
          </value>
        </values>
      </ddeItem>
      <ddeItem name="id96?tradingClass" advise="1">
        <values>
          <value t="str">
            <val>GPC</val>
          </value>
        </values>
      </ddeItem>
      <ddeItem name="id96?validExchanges" advise="1">
        <values>
          <value t="str">
            <val>SMART,NYSE,CBOE,ISE,CHX,ARCA,ISLAND,VWAP,DRCTEDGE,NSX,BEX,BATS,EDGEA,CSFBALGO,JEFFALGO,BYX,IEX,TPLUS2,PSX</val>
          </value>
        </values>
      </ddeItem>
      <ddeItem name="id97?conid" advise="1">
        <values>
          <value>
            <val>269753</val>
          </value>
        </values>
      </ddeItem>
      <ddeItem name="id97?marketName" advise="1">
        <values>
          <value t="str">
            <val>NMS</val>
          </value>
        </values>
      </ddeItem>
      <ddeItem name="id97?minTick" advise="1">
        <values>
          <value>
            <val>0.01</val>
          </value>
        </values>
      </ddeItem>
      <ddeItem name="id97?multiplier" advise="1">
        <values>
          <value t="nil">
            <val>1</val>
          </value>
        </values>
      </ddeItem>
      <ddeItem name="id97?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97?req?GILD_STK_SMART_USD_~/" advise="1">
        <values>
          <value t="nil">
            <val>1</val>
          </value>
        </values>
      </ddeItem>
      <ddeItem name="id97?tradingClass" advise="1">
        <values>
          <value t="str">
            <val>NMS</val>
          </value>
        </values>
      </ddeItem>
      <ddeItem name="id97?validExchanges" advise="1">
        <values>
          <value t="str">
            <val>SMART,CBOE,ISE,CHX,ARCA,ISLAND,VWAP,DRCTEDGE,NSX,BEX,BATS,EDGEA,CSFBALGO,JEFFALGO,BYX,IEX,TPLUS2,PSX</val>
          </value>
        </values>
      </ddeItem>
      <ddeItem name="id98?conid" advise="1">
        <values>
          <value>
            <val>7830</val>
          </value>
        </values>
      </ddeItem>
      <ddeItem name="id98?marketName" advise="1">
        <values>
          <value t="str">
            <val>NMS</val>
          </value>
        </values>
      </ddeItem>
      <ddeItem name="id98?minTick" advise="1">
        <values>
          <value>
            <val>0.01</val>
          </value>
        </values>
      </ddeItem>
      <ddeItem name="id98?multiplier" advise="1">
        <values>
          <value t="nil">
            <val>1</val>
          </value>
        </values>
      </ddeItem>
      <ddeItem name="id98?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98?req?GT_STK_SMART_USD_~/" advise="1">
        <values>
          <value t="nil">
            <val>1</val>
          </value>
        </values>
      </ddeItem>
      <ddeItem name="id98?tradingClass" advise="1">
        <values>
          <value t="str">
            <val>NMS</val>
          </value>
        </values>
      </ddeItem>
      <ddeItem name="id98?validExchanges" advise="1">
        <values>
          <value t="str">
            <val>SMART,CBOE,ISE,CHX,ARCA,ISLAND,VWAP,DRCTEDGE,NSX,BEX,BATS,EDGEA,CSFBALGO,JEFFALGO,BYX,IEX,TPLUS2,PSX</val>
          </value>
        </values>
      </ddeItem>
      <ddeItem name="id99?conid" advise="1">
        <values>
          <value>
            <val>9657</val>
          </value>
        </values>
      </ddeItem>
      <ddeItem name="id99?marketName" advise="1">
        <values>
          <value t="str">
            <val>MCK</val>
          </value>
        </values>
      </ddeItem>
      <ddeItem name="id99?minTick" advise="1">
        <values>
          <value>
            <val>0.01</val>
          </value>
        </values>
      </ddeItem>
      <ddeItem name="id99?multiplier" advise="1">
        <values>
          <value t="nil">
            <val>1</val>
          </value>
        </values>
      </ddeItem>
      <ddeItem name="id99?orderTypes" advise="1">
        <values>
          <value t="str">
            <val>ACTIVETIM,ADJUST,ALERT,ALGO,ALLOC,AON,AVGCOST,BASKET,COND,CONDORDER,DARKONLY,DARKPOLL,DAY,DEACT,DEACTDIS,DEACTEOD,DIS,GAT,GTC,GTD,GTT,HID,IBKRATS,ICE,IMB,IOC,LIT,LMT,LOC,MIT,MKT,MOC,MTL,NGCOMB,NODARK,NONALGO,OCA,OPG,OPGREROUT,PEGBENCH,POSTONLY,PREOPGRTH,R</val>
          </value>
        </values>
      </ddeItem>
      <ddeItem name="id99?req?MCK_STK_SMART_USD_~/" advise="1">
        <values>
          <value t="nil">
            <val>1</val>
          </value>
        </values>
      </ddeItem>
      <ddeItem name="id99?tradingClass" advise="1">
        <values>
          <value t="str">
            <val>MCK</val>
          </value>
        </values>
      </ddeItem>
      <ddeItem name="id99?validExchanges" advise="1">
        <values>
          <value t="str">
            <val>SMART,NYSE,CBOE,ISE,CHX,ARCA,ISLAND,VWAP,DRCTEDGE,NSX,BEX,BATS,EDGEA,CSFBALGO,JEFFALGO,BYX,IEX,TPLUS2,PSX</val>
          </value>
        </values>
      </ddeItem>
      <ddeItem name="StdDocumentName" ole="1" advise="1"/>
    </ddeItems>
  </ddeLin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Sgudny678" ddeTopic="hist">
    <ddeItems>
      <ddeItem name="id0?req?CCE_STK_SMART_USD_~/20160205singleSpace23singleColon59singleColon59_50singleSpaceD_11_TRADES_0_1" advise="1">
        <values>
          <value t="str">
            <val>PROCESSING</val>
          </value>
        </values>
      </ddeItem>
      <ddeItem name="id0?req2?FSMIsingleSpaceMARsingleSpace15_FUT_SOFFEX_CHF_~/20140801singleSpace23singleColon59singleColon59_2singleSpaceD_16_BID_ASK_0_1" advise="1">
        <values>
          <value t="str">
            <val>FINISHED</val>
          </value>
        </values>
      </ddeItem>
      <ddeItem name="id1?req?CCE_STK_SMART_USD_~/20160205singleSpace14singleColon35singleColon00_600singleSpaceS_1_TRADES_0_1" advise="1">
        <values>
          <value t="str">
            <val>PROCESSING</val>
          </value>
        </values>
      </ddeItem>
      <ddeItem name="id1?req?CCE_STK_SMART_USD_~/20160205singleSpace21singleColon05singleColon00_600singleSpaceS_3_ASK_0_1" advise="1">
        <values>
          <value t="str">
            <val>PROCESSING</val>
          </value>
        </values>
      </ddeItem>
      <ddeItem name="id1?req2?FCEM6_FUT_MONEP_EUR_~/20140801singleSpace23singleColon59singleColon59_300singleSpaceS_2_TRADES_0_1" advise="1">
        <values>
          <value t="str">
            <val>PROCESSING</val>
          </value>
        </values>
      </ddeItem>
      <ddeItem name="id8?req?EUR_CASH_IDEALPRO_USD_~/20150801singleSpace23singleColon59singleColon59_300singleSpaceS_1_MIDPOINT_1_1" advise="1">
        <values>
          <value t="str">
            <val>PROCESSING</val>
          </value>
        </values>
      </ddeItem>
      <ddeItem name="StdDocumentName" ole="1" advise="1"/>
    </ddeItems>
  </dd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2.vml"/><Relationship Id="rId7" Type="http://schemas.openxmlformats.org/officeDocument/2006/relationships/ctrlProp" Target="../ctrlProps/ctrlProp1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vmlDrawing" Target="../drawings/vmlDrawing3.vml"/><Relationship Id="rId7" Type="http://schemas.openxmlformats.org/officeDocument/2006/relationships/ctrlProp" Target="../ctrlProps/ctrlProp2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vmlDrawing" Target="../drawings/vmlDrawing4.vml"/><Relationship Id="rId7" Type="http://schemas.openxmlformats.org/officeDocument/2006/relationships/ctrlProp" Target="../ctrlProps/ctrlProp26.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 Id="rId9"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31.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35.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vmlDrawing" Target="../drawings/vmlDrawing8.vml"/><Relationship Id="rId7" Type="http://schemas.openxmlformats.org/officeDocument/2006/relationships/ctrlProp" Target="../ctrlProps/ctrlProp4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47.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56.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61.xml"/><Relationship Id="rId3" Type="http://schemas.openxmlformats.org/officeDocument/2006/relationships/vmlDrawing" Target="../drawings/vmlDrawing13.vml"/><Relationship Id="rId7" Type="http://schemas.openxmlformats.org/officeDocument/2006/relationships/ctrlProp" Target="../ctrlProps/ctrlProp60.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59.xml"/><Relationship Id="rId5" Type="http://schemas.openxmlformats.org/officeDocument/2006/relationships/ctrlProp" Target="../ctrlProps/ctrlProp58.xml"/><Relationship Id="rId4" Type="http://schemas.openxmlformats.org/officeDocument/2006/relationships/ctrlProp" Target="../ctrlProps/ctrlProp57.xml"/><Relationship Id="rId9"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trlProp" Target="../ctrlProps/ctrlProp65.x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trlProp" Target="../ctrlProps/ctrlProp64.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70.xml"/><Relationship Id="rId3" Type="http://schemas.openxmlformats.org/officeDocument/2006/relationships/vmlDrawing" Target="../drawings/vmlDrawing15.vml"/><Relationship Id="rId7" Type="http://schemas.openxmlformats.org/officeDocument/2006/relationships/ctrlProp" Target="../ctrlProps/ctrlProp69.x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trlProp" Target="../ctrlProps/ctrlProp68.xml"/><Relationship Id="rId11" Type="http://schemas.openxmlformats.org/officeDocument/2006/relationships/ctrlProp" Target="../ctrlProps/ctrlProp73.xml"/><Relationship Id="rId5" Type="http://schemas.openxmlformats.org/officeDocument/2006/relationships/ctrlProp" Target="../ctrlProps/ctrlProp67.xml"/><Relationship Id="rId10" Type="http://schemas.openxmlformats.org/officeDocument/2006/relationships/ctrlProp" Target="../ctrlProps/ctrlProp72.xml"/><Relationship Id="rId4" Type="http://schemas.openxmlformats.org/officeDocument/2006/relationships/ctrlProp" Target="../ctrlProps/ctrlProp66.xml"/><Relationship Id="rId9" Type="http://schemas.openxmlformats.org/officeDocument/2006/relationships/ctrlProp" Target="../ctrlProps/ctrlProp7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7.bin"/><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80.xml"/><Relationship Id="rId3" Type="http://schemas.openxmlformats.org/officeDocument/2006/relationships/vmlDrawing" Target="../drawings/vmlDrawing17.vml"/><Relationship Id="rId7" Type="http://schemas.openxmlformats.org/officeDocument/2006/relationships/ctrlProp" Target="../ctrlProps/ctrlProp79.x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trlProp" Target="../ctrlProps/ctrlProp78.xml"/><Relationship Id="rId5" Type="http://schemas.openxmlformats.org/officeDocument/2006/relationships/ctrlProp" Target="../ctrlProps/ctrlProp77.xml"/><Relationship Id="rId4" Type="http://schemas.openxmlformats.org/officeDocument/2006/relationships/ctrlProp" Target="../ctrlProps/ctrlProp76.xml"/><Relationship Id="rId9"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G165"/>
  <sheetViews>
    <sheetView zoomScale="80" zoomScaleNormal="80" workbookViewId="0">
      <pane ySplit="9" topLeftCell="A10" activePane="bottomLeft" state="frozenSplit"/>
      <selection activeCell="A3" sqref="A3:I4"/>
      <selection pane="bottomLeft" activeCell="R20" sqref="A18:R20"/>
    </sheetView>
  </sheetViews>
  <sheetFormatPr defaultRowHeight="12.75" x14ac:dyDescent="0.2"/>
  <cols>
    <col min="1" max="1" width="16.42578125" customWidth="1"/>
    <col min="3" max="3" width="14.85546875" customWidth="1"/>
    <col min="5" max="5" width="9.140625" style="58"/>
    <col min="7" max="7" width="12.42578125" customWidth="1"/>
    <col min="8" max="8" width="10.42578125" customWidth="1"/>
    <col min="9" max="9" width="16.7109375" customWidth="1"/>
    <col min="10" max="10" width="8.7109375" customWidth="1"/>
    <col min="11" max="11" width="9.85546875" customWidth="1"/>
    <col min="12" max="12" width="9.5703125" customWidth="1"/>
    <col min="13" max="14" width="10" customWidth="1"/>
    <col min="15" max="15" width="9" customWidth="1"/>
    <col min="16" max="16" width="8.28515625" customWidth="1"/>
    <col min="17" max="17" width="10.5703125" customWidth="1"/>
    <col min="18" max="18" width="11.42578125" customWidth="1"/>
    <col min="19" max="19" width="11.140625" customWidth="1"/>
    <col min="20" max="20" width="9.85546875" customWidth="1"/>
    <col min="21" max="21" width="10.7109375" customWidth="1"/>
    <col min="22" max="22" width="11" customWidth="1"/>
    <col min="23" max="23" width="10.5703125" customWidth="1"/>
    <col min="24" max="24" width="12.85546875" customWidth="1"/>
    <col min="25" max="25" width="12" customWidth="1"/>
    <col min="26" max="26" width="11.42578125" customWidth="1"/>
    <col min="27" max="27" width="11.5703125" customWidth="1"/>
    <col min="28" max="28" width="10" bestFit="1" customWidth="1"/>
    <col min="31" max="31" width="11" customWidth="1"/>
    <col min="33" max="33" width="13.85546875" customWidth="1"/>
    <col min="34" max="34" width="16" customWidth="1"/>
    <col min="39" max="39" width="11.5703125" bestFit="1" customWidth="1"/>
    <col min="40" max="40" width="10" customWidth="1"/>
    <col min="41" max="41" width="10.28515625" customWidth="1"/>
    <col min="42" max="42" width="9.28515625" customWidth="1"/>
    <col min="43" max="43" width="9.7109375" customWidth="1"/>
    <col min="44" max="44" width="10.85546875" customWidth="1"/>
    <col min="45" max="45" width="15.85546875" bestFit="1" customWidth="1"/>
    <col min="46" max="46" width="18.42578125" bestFit="1" customWidth="1"/>
    <col min="47" max="47" width="11.7109375" bestFit="1" customWidth="1"/>
    <col min="48" max="48" width="10.85546875" bestFit="1" customWidth="1"/>
    <col min="49" max="49" width="13" bestFit="1" customWidth="1"/>
    <col min="50" max="50" width="14.85546875" bestFit="1" customWidth="1"/>
    <col min="51" max="51" width="11.7109375" bestFit="1" customWidth="1"/>
    <col min="52" max="52" width="10.85546875" bestFit="1" customWidth="1"/>
    <col min="53" max="53" width="13" bestFit="1" customWidth="1"/>
    <col min="54" max="54" width="14.85546875" bestFit="1" customWidth="1"/>
    <col min="55" max="55" width="11.7109375" bestFit="1" customWidth="1"/>
    <col min="56" max="56" width="10.85546875" bestFit="1" customWidth="1"/>
    <col min="57" max="57" width="13" bestFit="1" customWidth="1"/>
    <col min="58" max="58" width="14.85546875" bestFit="1" customWidth="1"/>
  </cols>
  <sheetData>
    <row r="1" spans="1:59" ht="12.75" customHeight="1" x14ac:dyDescent="0.2">
      <c r="A1" s="264" t="s">
        <v>48</v>
      </c>
      <c r="B1" s="265"/>
      <c r="C1" s="265"/>
      <c r="D1" s="265"/>
      <c r="E1" s="265"/>
      <c r="F1" s="265"/>
      <c r="G1" s="265"/>
      <c r="H1" s="265"/>
      <c r="I1" s="265"/>
      <c r="J1" s="265"/>
      <c r="K1" s="265"/>
      <c r="L1" s="265"/>
      <c r="M1" s="265"/>
      <c r="N1" s="265"/>
      <c r="O1" s="265"/>
      <c r="P1" s="265"/>
      <c r="Q1" s="265"/>
      <c r="R1" s="265"/>
      <c r="S1" s="265"/>
      <c r="T1" s="265"/>
      <c r="U1" s="266"/>
      <c r="V1" s="266"/>
      <c r="W1" s="31"/>
    </row>
    <row r="2" spans="1:59" ht="28.5" customHeight="1" x14ac:dyDescent="0.2">
      <c r="A2" s="267"/>
      <c r="B2" s="265"/>
      <c r="C2" s="265"/>
      <c r="D2" s="265"/>
      <c r="E2" s="265"/>
      <c r="F2" s="265"/>
      <c r="G2" s="265"/>
      <c r="H2" s="265"/>
      <c r="I2" s="265"/>
      <c r="J2" s="265"/>
      <c r="K2" s="265"/>
      <c r="L2" s="265"/>
      <c r="M2" s="265"/>
      <c r="N2" s="265"/>
      <c r="O2" s="265"/>
      <c r="P2" s="265"/>
      <c r="Q2" s="265"/>
      <c r="R2" s="265"/>
      <c r="S2" s="265"/>
      <c r="T2" s="265"/>
      <c r="U2" s="266"/>
      <c r="V2" s="266"/>
      <c r="X2" s="270" t="s">
        <v>306</v>
      </c>
      <c r="Y2" s="271"/>
      <c r="Z2" s="271"/>
      <c r="AA2" s="271"/>
      <c r="AB2" s="272"/>
    </row>
    <row r="3" spans="1:59" x14ac:dyDescent="0.2">
      <c r="A3" s="283"/>
      <c r="B3" s="283"/>
      <c r="C3" s="283"/>
      <c r="D3" s="283"/>
      <c r="E3" s="283"/>
      <c r="F3" s="283"/>
      <c r="G3" s="283"/>
      <c r="H3" s="283"/>
      <c r="I3" s="283"/>
      <c r="J3" s="19"/>
      <c r="K3" s="19"/>
      <c r="L3" s="19"/>
      <c r="M3" s="19"/>
      <c r="N3" s="19"/>
      <c r="O3" s="19"/>
      <c r="P3" s="19"/>
      <c r="R3" s="142"/>
      <c r="S3" s="19"/>
      <c r="T3" s="19"/>
    </row>
    <row r="4" spans="1:59" ht="12.75" customHeight="1" x14ac:dyDescent="0.2">
      <c r="A4" s="86" t="s">
        <v>244</v>
      </c>
      <c r="B4" s="87"/>
      <c r="C4" s="87"/>
      <c r="D4" s="87"/>
      <c r="E4" s="96"/>
      <c r="F4" s="96"/>
      <c r="G4" s="96"/>
      <c r="H4" s="96"/>
      <c r="I4" s="96"/>
      <c r="J4" s="97"/>
      <c r="X4" s="273" t="s">
        <v>468</v>
      </c>
      <c r="Y4" s="274"/>
      <c r="Z4" s="274"/>
      <c r="AA4" s="274"/>
      <c r="AB4" s="274"/>
      <c r="AC4" s="274"/>
      <c r="AD4" s="274"/>
      <c r="AE4" s="274"/>
      <c r="AF4" s="274"/>
      <c r="AG4" s="274"/>
      <c r="AH4" s="274"/>
      <c r="AI4" s="274"/>
      <c r="AJ4" s="274"/>
      <c r="AK4" s="275"/>
    </row>
    <row r="5" spans="1:59" ht="12.75" customHeight="1" x14ac:dyDescent="0.2">
      <c r="A5" s="75" t="s">
        <v>59</v>
      </c>
      <c r="B5" s="179" t="s">
        <v>571</v>
      </c>
      <c r="C5" s="269" t="s">
        <v>111</v>
      </c>
      <c r="D5" s="269"/>
      <c r="E5" s="39">
        <v>250</v>
      </c>
      <c r="F5" s="269" t="s">
        <v>315</v>
      </c>
      <c r="G5" s="269"/>
      <c r="H5" s="39">
        <v>250</v>
      </c>
      <c r="I5" s="99" t="s">
        <v>329</v>
      </c>
      <c r="J5" s="98">
        <v>5</v>
      </c>
      <c r="X5" s="276"/>
      <c r="Y5" s="277"/>
      <c r="Z5" s="277"/>
      <c r="AA5" s="277"/>
      <c r="AB5" s="277"/>
      <c r="AC5" s="277"/>
      <c r="AD5" s="277"/>
      <c r="AE5" s="277"/>
      <c r="AF5" s="277"/>
      <c r="AG5" s="277"/>
      <c r="AH5" s="277"/>
      <c r="AI5" s="277"/>
      <c r="AJ5" s="277"/>
      <c r="AK5" s="278"/>
    </row>
    <row r="6" spans="1:59" x14ac:dyDescent="0.2">
      <c r="A6" s="100"/>
      <c r="B6" s="100"/>
      <c r="C6" s="100"/>
      <c r="D6" s="19"/>
      <c r="E6"/>
      <c r="I6" s="19"/>
    </row>
    <row r="7" spans="1:59" s="7" customFormat="1" x14ac:dyDescent="0.2">
      <c r="A7" s="289" t="s">
        <v>50</v>
      </c>
      <c r="B7" s="289"/>
      <c r="C7" s="289"/>
      <c r="D7" s="289"/>
      <c r="E7" s="289"/>
      <c r="F7" s="289"/>
      <c r="G7" s="289"/>
      <c r="H7" s="289"/>
      <c r="I7" s="289"/>
      <c r="J7" s="289"/>
      <c r="K7" s="289"/>
      <c r="L7" s="289"/>
      <c r="M7" s="289"/>
      <c r="N7" s="289"/>
      <c r="O7" s="289"/>
      <c r="P7" s="289"/>
      <c r="Q7" s="289"/>
      <c r="R7" s="289"/>
      <c r="S7" s="289"/>
      <c r="T7" s="289"/>
      <c r="U7" s="289"/>
      <c r="V7" s="289"/>
      <c r="W7" s="289"/>
      <c r="X7" s="289"/>
      <c r="Y7" s="289"/>
      <c r="Z7" s="289"/>
      <c r="AA7" s="289"/>
      <c r="AB7" s="289"/>
      <c r="AC7" s="289"/>
      <c r="AD7" s="289"/>
      <c r="AE7" s="289"/>
      <c r="AF7" s="289"/>
      <c r="AG7" s="289"/>
      <c r="AH7" s="289"/>
      <c r="AI7" s="289"/>
      <c r="AJ7" s="289"/>
      <c r="AK7" s="289"/>
      <c r="AL7" s="289"/>
      <c r="AM7" s="289"/>
      <c r="AN7" s="289"/>
      <c r="AO7" s="289"/>
      <c r="AP7" s="289"/>
      <c r="AQ7" s="289"/>
      <c r="AR7" s="289"/>
      <c r="AS7" s="289"/>
      <c r="AT7" s="289"/>
      <c r="AU7" s="289"/>
      <c r="AV7" s="289"/>
      <c r="AW7" s="289"/>
      <c r="AX7" s="289"/>
      <c r="AY7" s="289"/>
      <c r="AZ7" s="289"/>
      <c r="BA7" s="289"/>
      <c r="BB7" s="289"/>
      <c r="BC7" s="289"/>
      <c r="BD7" s="289"/>
      <c r="BE7" s="289"/>
      <c r="BF7" s="289"/>
      <c r="BG7" s="289"/>
    </row>
    <row r="8" spans="1:59" ht="12.75" customHeight="1" x14ac:dyDescent="0.2">
      <c r="A8" s="279" t="s">
        <v>28</v>
      </c>
      <c r="B8" s="282"/>
      <c r="C8" s="282"/>
      <c r="D8" s="282"/>
      <c r="E8" s="282"/>
      <c r="F8" s="282"/>
      <c r="G8" s="282"/>
      <c r="H8" s="282"/>
      <c r="I8" s="282"/>
      <c r="J8" s="282"/>
      <c r="K8" s="290"/>
      <c r="L8" s="284" t="s">
        <v>467</v>
      </c>
      <c r="M8" s="285"/>
      <c r="N8" s="286"/>
      <c r="O8" s="287" t="s">
        <v>487</v>
      </c>
      <c r="P8" s="279" t="s">
        <v>51</v>
      </c>
      <c r="Q8" s="280"/>
      <c r="R8" s="282"/>
      <c r="S8" s="282"/>
      <c r="T8" s="282"/>
      <c r="U8" s="282"/>
      <c r="V8" s="282"/>
      <c r="W8" s="282"/>
      <c r="X8" s="282"/>
      <c r="Y8" s="282"/>
      <c r="Z8" s="282"/>
      <c r="AA8" s="282"/>
      <c r="AB8" s="282"/>
      <c r="AC8" s="282"/>
      <c r="AD8" s="282"/>
      <c r="AE8" s="282"/>
      <c r="AF8" s="282"/>
      <c r="AG8" s="282"/>
      <c r="AH8" s="222" t="s">
        <v>487</v>
      </c>
      <c r="AI8" s="268" t="s">
        <v>459</v>
      </c>
      <c r="AJ8" s="268" t="s">
        <v>469</v>
      </c>
      <c r="AK8" s="279" t="s">
        <v>264</v>
      </c>
      <c r="AL8" s="280"/>
      <c r="AM8" s="280"/>
      <c r="AN8" s="280"/>
      <c r="AO8" s="280"/>
      <c r="AP8" s="280"/>
      <c r="AQ8" s="280"/>
      <c r="AR8" s="281"/>
      <c r="AS8" s="279" t="s">
        <v>371</v>
      </c>
      <c r="AT8" s="282"/>
      <c r="AU8" s="282"/>
      <c r="AV8" s="279" t="s">
        <v>370</v>
      </c>
      <c r="AW8" s="282"/>
      <c r="AX8" s="282"/>
      <c r="AY8" s="282"/>
      <c r="AZ8" s="279" t="s">
        <v>372</v>
      </c>
      <c r="BA8" s="282"/>
      <c r="BB8" s="282"/>
      <c r="BC8" s="282"/>
      <c r="BD8" s="279" t="s">
        <v>373</v>
      </c>
      <c r="BE8" s="282"/>
      <c r="BF8" s="282"/>
      <c r="BG8" s="282"/>
    </row>
    <row r="9" spans="1:59" s="7" customFormat="1" x14ac:dyDescent="0.2">
      <c r="A9" s="9" t="s">
        <v>10</v>
      </c>
      <c r="B9" s="9" t="s">
        <v>22</v>
      </c>
      <c r="C9" s="9" t="s">
        <v>565</v>
      </c>
      <c r="D9" s="9" t="s">
        <v>11</v>
      </c>
      <c r="E9" s="49" t="s">
        <v>24</v>
      </c>
      <c r="F9" s="9" t="s">
        <v>88</v>
      </c>
      <c r="G9" s="9" t="s">
        <v>87</v>
      </c>
      <c r="H9" s="9" t="s">
        <v>13</v>
      </c>
      <c r="I9" s="49" t="s">
        <v>141</v>
      </c>
      <c r="J9" s="9" t="s">
        <v>41</v>
      </c>
      <c r="K9" s="9" t="s">
        <v>115</v>
      </c>
      <c r="L9" s="103" t="s">
        <v>457</v>
      </c>
      <c r="M9" s="215" t="s">
        <v>205</v>
      </c>
      <c r="N9" s="103" t="s">
        <v>458</v>
      </c>
      <c r="O9" s="288"/>
      <c r="P9" s="110" t="s">
        <v>23</v>
      </c>
      <c r="Q9" s="110" t="s">
        <v>488</v>
      </c>
      <c r="R9" s="111" t="s">
        <v>198</v>
      </c>
      <c r="S9" s="111" t="s">
        <v>202</v>
      </c>
      <c r="T9" s="111" t="s">
        <v>53</v>
      </c>
      <c r="U9" s="111" t="s">
        <v>54</v>
      </c>
      <c r="V9" s="111" t="s">
        <v>55</v>
      </c>
      <c r="W9" s="111" t="s">
        <v>58</v>
      </c>
      <c r="X9" s="112" t="s">
        <v>199</v>
      </c>
      <c r="Y9" s="112" t="s">
        <v>203</v>
      </c>
      <c r="Z9" s="112" t="s">
        <v>56</v>
      </c>
      <c r="AA9" s="112" t="s">
        <v>57</v>
      </c>
      <c r="AB9" s="112" t="s">
        <v>200</v>
      </c>
      <c r="AC9" s="112" t="s">
        <v>201</v>
      </c>
      <c r="AD9" s="113" t="s">
        <v>81</v>
      </c>
      <c r="AE9" s="113" t="s">
        <v>80</v>
      </c>
      <c r="AF9" s="113" t="s">
        <v>82</v>
      </c>
      <c r="AG9" s="113" t="s">
        <v>83</v>
      </c>
      <c r="AH9" s="221" t="s">
        <v>486</v>
      </c>
      <c r="AI9" s="268"/>
      <c r="AJ9" s="268"/>
      <c r="AK9" s="108" t="s">
        <v>205</v>
      </c>
      <c r="AL9" s="108" t="s">
        <v>163</v>
      </c>
      <c r="AM9" s="108" t="s">
        <v>466</v>
      </c>
      <c r="AN9" s="109" t="s">
        <v>263</v>
      </c>
      <c r="AO9" s="109" t="s">
        <v>462</v>
      </c>
      <c r="AP9" s="109" t="s">
        <v>463</v>
      </c>
      <c r="AQ9" s="109" t="s">
        <v>464</v>
      </c>
      <c r="AR9" s="109" t="s">
        <v>465</v>
      </c>
      <c r="AS9" s="109" t="s">
        <v>365</v>
      </c>
      <c r="AT9" s="109" t="s">
        <v>368</v>
      </c>
      <c r="AU9" s="109" t="s">
        <v>369</v>
      </c>
      <c r="AV9" s="109" t="s">
        <v>363</v>
      </c>
      <c r="AW9" s="109" t="s">
        <v>364</v>
      </c>
      <c r="AX9" s="109" t="s">
        <v>367</v>
      </c>
      <c r="AY9" s="109" t="s">
        <v>366</v>
      </c>
      <c r="AZ9" s="109" t="s">
        <v>363</v>
      </c>
      <c r="BA9" s="109" t="s">
        <v>364</v>
      </c>
      <c r="BB9" s="109" t="s">
        <v>367</v>
      </c>
      <c r="BC9" s="109" t="s">
        <v>366</v>
      </c>
      <c r="BD9" s="109" t="s">
        <v>363</v>
      </c>
      <c r="BE9" s="109" t="s">
        <v>364</v>
      </c>
      <c r="BF9" s="109" t="s">
        <v>367</v>
      </c>
      <c r="BG9" s="109" t="s">
        <v>366</v>
      </c>
    </row>
    <row r="10" spans="1:59" s="7" customFormat="1" x14ac:dyDescent="0.2">
      <c r="A10" s="10"/>
      <c r="B10" s="11"/>
      <c r="C10" s="11"/>
      <c r="D10" s="11"/>
      <c r="E10" s="65"/>
      <c r="F10" s="11"/>
      <c r="G10" s="11"/>
      <c r="H10" s="11"/>
      <c r="I10" s="11"/>
      <c r="J10" s="11"/>
      <c r="K10" s="11"/>
      <c r="L10" s="11"/>
      <c r="M10" s="11"/>
      <c r="N10" s="11"/>
      <c r="O10" s="11"/>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row>
    <row r="11" spans="1:59" x14ac:dyDescent="0.2">
      <c r="A11" s="12"/>
      <c r="B11" s="13"/>
      <c r="C11" s="13"/>
      <c r="D11" s="13"/>
      <c r="E11" s="63"/>
      <c r="F11" s="13"/>
      <c r="G11" s="13"/>
      <c r="H11" s="13"/>
      <c r="I11" s="13"/>
      <c r="J11" s="13"/>
      <c r="K11" s="101"/>
      <c r="L11" s="101"/>
      <c r="M11" s="101"/>
      <c r="N11" s="101"/>
      <c r="O11" s="223"/>
      <c r="P11" s="6"/>
      <c r="Q11" s="6"/>
      <c r="R11" s="6"/>
      <c r="S11" s="6"/>
      <c r="T11" s="6"/>
      <c r="U11" s="6"/>
      <c r="V11" s="6"/>
      <c r="W11" s="6"/>
      <c r="X11" s="6"/>
      <c r="Y11" s="6"/>
      <c r="Z11" s="6"/>
      <c r="AA11" s="6"/>
      <c r="AB11" s="6"/>
      <c r="AC11" s="6"/>
      <c r="AD11" s="6"/>
      <c r="AE11" s="6"/>
      <c r="AF11" s="6"/>
      <c r="AG11" s="6"/>
      <c r="AH11" s="6"/>
      <c r="AI11" s="6"/>
      <c r="AJ11" s="6"/>
      <c r="AK11" s="6"/>
      <c r="AL11" s="6"/>
      <c r="AM11" s="6"/>
      <c r="AN11" s="6"/>
      <c r="AO11" s="6"/>
      <c r="AP11" s="6"/>
      <c r="AQ11" s="6"/>
      <c r="AR11" s="6"/>
      <c r="AS11" s="6"/>
      <c r="AT11" s="6"/>
      <c r="AU11" s="6"/>
      <c r="AV11" s="6"/>
      <c r="AW11" s="6"/>
      <c r="AX11" s="6"/>
      <c r="AY11" s="6"/>
      <c r="AZ11" s="6"/>
      <c r="BA11" s="6"/>
      <c r="BB11" s="6"/>
      <c r="BC11" s="6"/>
      <c r="BD11" s="6"/>
      <c r="BE11" s="6"/>
      <c r="BF11" s="6"/>
      <c r="BG11" s="6"/>
    </row>
    <row r="12" spans="1:59" x14ac:dyDescent="0.2">
      <c r="A12" s="12" t="s">
        <v>513</v>
      </c>
      <c r="B12" s="13"/>
      <c r="C12" s="13"/>
      <c r="D12" s="13"/>
      <c r="E12" s="63"/>
      <c r="F12" s="13"/>
      <c r="G12" s="13"/>
      <c r="H12" s="13"/>
      <c r="I12" s="13"/>
      <c r="J12" s="13"/>
      <c r="K12" s="101"/>
      <c r="L12" s="101"/>
      <c r="M12" s="101"/>
      <c r="N12" s="101"/>
      <c r="O12" s="224"/>
      <c r="P12" s="6"/>
      <c r="Q12" s="6"/>
      <c r="R12" s="6"/>
      <c r="S12" s="6"/>
      <c r="T12" s="6"/>
      <c r="U12" s="6"/>
      <c r="V12" s="6"/>
      <c r="W12" s="6"/>
      <c r="X12" s="6"/>
      <c r="Y12" s="6"/>
      <c r="Z12" s="6"/>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c r="BA12" s="6"/>
      <c r="BB12" s="6"/>
      <c r="BC12" s="6"/>
      <c r="BD12" s="6"/>
      <c r="BE12" s="6"/>
      <c r="BF12" s="6"/>
      <c r="BG12" s="6"/>
    </row>
    <row r="13" spans="1:59" x14ac:dyDescent="0.2">
      <c r="A13" s="13" t="s">
        <v>42</v>
      </c>
      <c r="B13" s="13" t="s">
        <v>43</v>
      </c>
      <c r="C13" s="13"/>
      <c r="D13" s="13"/>
      <c r="E13" s="63"/>
      <c r="F13" s="13"/>
      <c r="G13" s="13"/>
      <c r="H13" s="13" t="s">
        <v>491</v>
      </c>
      <c r="I13" s="13"/>
      <c r="J13" s="13" t="s">
        <v>44</v>
      </c>
      <c r="K13" s="101"/>
      <c r="L13" s="101"/>
      <c r="M13" s="101"/>
      <c r="N13" s="101"/>
      <c r="O13" s="224"/>
      <c r="P13" s="6">
        <f>[1]!'id7?req?EUR_CASH_IDEALPRO_USD_~/'</f>
        <v>0</v>
      </c>
      <c r="Q13" s="6"/>
      <c r="R13" s="6"/>
      <c r="S13" s="6"/>
      <c r="T13" s="6">
        <f>[1]!id7?bidSize</f>
        <v>0</v>
      </c>
      <c r="U13" s="6">
        <f>[1]!id7?bid</f>
        <v>0</v>
      </c>
      <c r="V13" s="6">
        <f>[1]!id7?ask</f>
        <v>0</v>
      </c>
      <c r="W13" s="6">
        <f>[1]!id7?askSize</f>
        <v>0</v>
      </c>
      <c r="X13" s="6"/>
      <c r="Y13" s="6"/>
      <c r="Z13" s="6">
        <f>[1]!id7?last</f>
        <v>0</v>
      </c>
      <c r="AA13" s="6">
        <f>[1]!id7?lastSize</f>
        <v>0</v>
      </c>
      <c r="AB13" s="6"/>
      <c r="AC13" s="6"/>
      <c r="AD13" s="6">
        <f>[1]!id7?high</f>
        <v>0</v>
      </c>
      <c r="AE13" s="6">
        <f>[1]!id7?low</f>
        <v>0</v>
      </c>
      <c r="AF13" s="6">
        <f>[1]!id7?volume</f>
        <v>0</v>
      </c>
      <c r="AG13" s="6">
        <f>[1]!id7?close</f>
        <v>0</v>
      </c>
      <c r="AH13" s="6"/>
      <c r="AI13" s="6"/>
      <c r="AJ13" s="6"/>
      <c r="AK13" s="6"/>
      <c r="AL13" s="6"/>
      <c r="AM13" s="6"/>
      <c r="AN13" s="6"/>
      <c r="AO13" s="6"/>
      <c r="AP13" s="6"/>
      <c r="AQ13" s="6"/>
      <c r="AR13" s="6"/>
      <c r="AS13" s="6"/>
      <c r="AT13" s="6"/>
      <c r="AU13" s="6"/>
      <c r="AV13" s="6"/>
      <c r="AW13" s="6"/>
      <c r="AX13" s="6"/>
      <c r="AY13" s="6"/>
      <c r="AZ13" s="6"/>
      <c r="BA13" s="6"/>
      <c r="BB13" s="6"/>
      <c r="BC13" s="6"/>
      <c r="BD13" s="6"/>
      <c r="BE13" s="6"/>
      <c r="BF13" s="6"/>
      <c r="BG13" s="6"/>
    </row>
    <row r="14" spans="1:59" x14ac:dyDescent="0.2">
      <c r="A14" s="14" t="s">
        <v>42</v>
      </c>
      <c r="B14" s="14" t="s">
        <v>43</v>
      </c>
      <c r="C14" s="13"/>
      <c r="D14" s="13"/>
      <c r="E14" s="63"/>
      <c r="F14" s="13"/>
      <c r="G14" s="13"/>
      <c r="H14" s="14" t="s">
        <v>491</v>
      </c>
      <c r="I14" s="13"/>
      <c r="J14" s="14" t="s">
        <v>194</v>
      </c>
      <c r="K14" s="101"/>
      <c r="L14" s="101"/>
      <c r="M14" s="101"/>
      <c r="N14" s="101"/>
      <c r="O14" s="224"/>
      <c r="P14" s="6">
        <f>[1]!'id8?req?EUR_CASH_IDEALPRO_GBP_~/'</f>
        <v>0</v>
      </c>
      <c r="Q14" s="6"/>
      <c r="R14" s="6"/>
      <c r="S14" s="6"/>
      <c r="T14" s="6">
        <f>[1]!id8?bidSize</f>
        <v>0</v>
      </c>
      <c r="U14" s="6">
        <f>[1]!id8?bid</f>
        <v>0</v>
      </c>
      <c r="V14" s="6">
        <f>[1]!id8?ask</f>
        <v>0</v>
      </c>
      <c r="W14" s="6">
        <f>[1]!id8?askSize</f>
        <v>0</v>
      </c>
      <c r="X14" s="6"/>
      <c r="Y14" s="6"/>
      <c r="Z14" s="6">
        <f>[1]!id8?last</f>
        <v>0</v>
      </c>
      <c r="AA14" s="6">
        <f>[1]!id8?lastSize</f>
        <v>0</v>
      </c>
      <c r="AB14" s="6"/>
      <c r="AC14" s="6"/>
      <c r="AD14" s="6">
        <f>[1]!id8?high</f>
        <v>0</v>
      </c>
      <c r="AE14" s="6">
        <f>[1]!id8?low</f>
        <v>0</v>
      </c>
      <c r="AF14" s="6">
        <f>[1]!id8?volume</f>
        <v>0</v>
      </c>
      <c r="AG14" s="6">
        <f>[1]!id8?close</f>
        <v>0</v>
      </c>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row>
    <row r="15" spans="1:59" x14ac:dyDescent="0.2">
      <c r="A15" s="13"/>
      <c r="B15" s="13"/>
      <c r="C15" s="13"/>
      <c r="D15" s="13"/>
      <c r="E15" s="63"/>
      <c r="F15" s="13"/>
      <c r="G15" s="13"/>
      <c r="H15" s="13"/>
      <c r="I15" s="13"/>
      <c r="J15" s="13"/>
      <c r="K15" s="101"/>
      <c r="L15" s="101"/>
      <c r="M15" s="101"/>
      <c r="N15" s="101"/>
      <c r="O15" s="224"/>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row>
    <row r="16" spans="1:59" x14ac:dyDescent="0.2">
      <c r="A16" s="5"/>
      <c r="B16" s="5"/>
      <c r="C16" s="5"/>
      <c r="D16" s="5"/>
      <c r="E16" s="64"/>
      <c r="F16" s="5"/>
      <c r="G16" s="5"/>
      <c r="H16" s="5"/>
      <c r="I16" s="5"/>
      <c r="J16" s="5"/>
      <c r="K16" s="101"/>
      <c r="L16" s="101"/>
      <c r="M16" s="101"/>
      <c r="N16" s="101"/>
      <c r="O16" s="224"/>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row>
    <row r="17" spans="1:59" x14ac:dyDescent="0.2">
      <c r="A17" s="12" t="s">
        <v>33</v>
      </c>
      <c r="B17" s="5"/>
      <c r="C17" s="5"/>
      <c r="D17" s="5"/>
      <c r="E17" s="241"/>
      <c r="F17" s="5"/>
      <c r="G17" s="5"/>
      <c r="H17" s="5"/>
      <c r="I17" s="5"/>
      <c r="J17" s="5"/>
      <c r="K17" s="101"/>
      <c r="L17" s="101"/>
      <c r="M17" s="101"/>
      <c r="N17" s="101"/>
      <c r="O17" s="224"/>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row>
    <row r="18" spans="1:59" x14ac:dyDescent="0.2">
      <c r="A18" s="13" t="s">
        <v>69</v>
      </c>
      <c r="B18" s="13" t="s">
        <v>12</v>
      </c>
      <c r="C18" s="13"/>
      <c r="D18" s="13"/>
      <c r="E18" s="63"/>
      <c r="F18" s="13"/>
      <c r="G18" s="13"/>
      <c r="H18" s="13" t="s">
        <v>68</v>
      </c>
      <c r="I18" s="13"/>
      <c r="J18" s="13" t="s">
        <v>44</v>
      </c>
      <c r="K18" s="101"/>
      <c r="L18" s="101"/>
      <c r="M18" s="101"/>
      <c r="N18" s="101"/>
      <c r="O18" s="224"/>
      <c r="P18" s="6">
        <f>[1]!'id9?req?MSFT_STK_SMART_USD_~/'</f>
        <v>0</v>
      </c>
      <c r="Q18" s="6"/>
      <c r="R18" s="6"/>
      <c r="S18" s="6"/>
      <c r="T18" s="6">
        <f>[1]!id9?bidSize</f>
        <v>0</v>
      </c>
      <c r="U18" s="6">
        <f>[1]!id9?bid</f>
        <v>0</v>
      </c>
      <c r="V18" s="6">
        <f>[1]!id9?ask</f>
        <v>0</v>
      </c>
      <c r="W18" s="6">
        <f>[1]!id9?askSize</f>
        <v>0</v>
      </c>
      <c r="X18" s="6"/>
      <c r="Y18" s="6"/>
      <c r="Z18" s="6">
        <f>[1]!id9?last</f>
        <v>0</v>
      </c>
      <c r="AA18" s="6">
        <f>[1]!id9?lastSize</f>
        <v>0</v>
      </c>
      <c r="AB18" s="6"/>
      <c r="AC18" s="6"/>
      <c r="AD18" s="6">
        <f>[1]!id9?high</f>
        <v>0</v>
      </c>
      <c r="AE18" s="6">
        <f>[1]!id9?low</f>
        <v>0</v>
      </c>
      <c r="AF18" s="6">
        <f>[1]!id9?volume</f>
        <v>0</v>
      </c>
      <c r="AG18" s="6">
        <f>[1]!id9?close</f>
        <v>0</v>
      </c>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row>
    <row r="19" spans="1:59" x14ac:dyDescent="0.2">
      <c r="A19" s="13" t="s">
        <v>70</v>
      </c>
      <c r="B19" s="13" t="s">
        <v>12</v>
      </c>
      <c r="C19" s="13"/>
      <c r="D19" s="13"/>
      <c r="E19" s="63"/>
      <c r="F19" s="13"/>
      <c r="G19" s="13"/>
      <c r="H19" s="13" t="s">
        <v>68</v>
      </c>
      <c r="I19" s="13"/>
      <c r="J19" s="13" t="s">
        <v>44</v>
      </c>
      <c r="K19" s="101"/>
      <c r="L19" s="101"/>
      <c r="M19" s="101"/>
      <c r="N19" s="101"/>
      <c r="O19" s="223"/>
      <c r="P19" s="6">
        <f>[1]!'id10?req?YHOO_STK_SMART_USD_~/'</f>
        <v>0</v>
      </c>
      <c r="Q19" s="6"/>
      <c r="R19" s="6"/>
      <c r="S19" s="6"/>
      <c r="T19" s="6">
        <f>[1]!id10?bidSize</f>
        <v>16</v>
      </c>
      <c r="U19" s="6">
        <f>[1]!id10?bid</f>
        <v>42.7</v>
      </c>
      <c r="V19" s="6">
        <f>[1]!id10?ask</f>
        <v>43.08</v>
      </c>
      <c r="W19" s="6">
        <f>[1]!id10?askSize</f>
        <v>5</v>
      </c>
      <c r="X19" s="6"/>
      <c r="Y19" s="6"/>
      <c r="Z19" s="6">
        <f>[1]!id10?last</f>
        <v>42.93</v>
      </c>
      <c r="AA19" s="6">
        <f>[1]!id10?lastSize</f>
        <v>31</v>
      </c>
      <c r="AB19" s="6"/>
      <c r="AC19" s="6"/>
      <c r="AD19" s="6">
        <f>[1]!id10?high</f>
        <v>43.1</v>
      </c>
      <c r="AE19" s="6">
        <f>[1]!id10?low</f>
        <v>42.72</v>
      </c>
      <c r="AF19" s="6">
        <f>[1]!id10?volume</f>
        <v>51328</v>
      </c>
      <c r="AG19" s="6">
        <f>[1]!id10?close</f>
        <v>42.75</v>
      </c>
      <c r="AH19" s="6"/>
      <c r="AI19" s="6"/>
      <c r="AJ19" s="6"/>
      <c r="AK19" s="6"/>
      <c r="AL19" s="6"/>
      <c r="AM19" s="6"/>
      <c r="AN19" s="6"/>
      <c r="AO19" s="6"/>
      <c r="AP19" s="6"/>
      <c r="AQ19" s="6"/>
      <c r="AR19" s="6"/>
      <c r="AS19" s="6"/>
      <c r="AT19" s="6"/>
      <c r="AU19" s="6"/>
      <c r="AV19" s="6"/>
      <c r="AW19" s="6"/>
      <c r="AX19" s="6"/>
      <c r="AY19" s="6"/>
      <c r="AZ19" s="6"/>
      <c r="BA19" s="6"/>
      <c r="BB19" s="6"/>
      <c r="BC19" s="6"/>
      <c r="BD19" s="6"/>
      <c r="BE19" s="6"/>
      <c r="BF19" s="6"/>
      <c r="BG19" s="6"/>
    </row>
    <row r="20" spans="1:59" x14ac:dyDescent="0.2">
      <c r="A20" s="13" t="s">
        <v>89</v>
      </c>
      <c r="B20" s="13" t="s">
        <v>12</v>
      </c>
      <c r="C20" s="13"/>
      <c r="D20" s="13"/>
      <c r="E20" s="63"/>
      <c r="F20" s="13"/>
      <c r="G20" s="13"/>
      <c r="H20" s="13" t="s">
        <v>68</v>
      </c>
      <c r="I20" s="13"/>
      <c r="J20" s="13" t="s">
        <v>44</v>
      </c>
      <c r="K20" s="101"/>
      <c r="L20" s="101"/>
      <c r="M20" s="101"/>
      <c r="N20" s="101"/>
      <c r="O20" s="223"/>
      <c r="P20" s="6">
        <f>[1]!'id11?req?GE_STK_SMART_USD_~/'</f>
        <v>0</v>
      </c>
      <c r="Q20" s="6"/>
      <c r="R20" s="6"/>
      <c r="S20" s="6"/>
      <c r="T20" s="6">
        <f>[1]!id11?bidSize</f>
        <v>0</v>
      </c>
      <c r="U20" s="6">
        <f>[1]!id11?bid</f>
        <v>0</v>
      </c>
      <c r="V20" s="6">
        <f>[1]!id11?ask</f>
        <v>0</v>
      </c>
      <c r="W20" s="6">
        <f>[1]!id11?askSize</f>
        <v>0</v>
      </c>
      <c r="X20" s="6"/>
      <c r="Y20" s="6"/>
      <c r="Z20" s="6">
        <f>[1]!id11?last</f>
        <v>0</v>
      </c>
      <c r="AA20" s="6">
        <f>[1]!id11?lastSize</f>
        <v>0</v>
      </c>
      <c r="AB20" s="6"/>
      <c r="AC20" s="6"/>
      <c r="AD20" s="6">
        <f>[1]!id11?high</f>
        <v>0</v>
      </c>
      <c r="AE20" s="6">
        <f>[1]!id11?low</f>
        <v>0</v>
      </c>
      <c r="AF20" s="6">
        <f>[1]!id11?volume</f>
        <v>0</v>
      </c>
      <c r="AG20" s="6">
        <f>[1]!id11?close</f>
        <v>0</v>
      </c>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row>
    <row r="21" spans="1:59" x14ac:dyDescent="0.2">
      <c r="A21" s="13" t="s">
        <v>197</v>
      </c>
      <c r="B21" s="13" t="s">
        <v>12</v>
      </c>
      <c r="C21" s="13"/>
      <c r="D21" s="13"/>
      <c r="E21" s="63"/>
      <c r="F21" s="13"/>
      <c r="G21" s="13"/>
      <c r="H21" s="14" t="s">
        <v>512</v>
      </c>
      <c r="I21" s="13"/>
      <c r="J21" s="13" t="s">
        <v>44</v>
      </c>
      <c r="K21" s="101"/>
      <c r="L21" s="101"/>
      <c r="M21" s="101"/>
      <c r="N21" s="101"/>
      <c r="O21" s="223"/>
      <c r="P21" s="6">
        <f>[1]!'id12?req?GOOG_STK_ISLAND_USD_~/'</f>
        <v>0</v>
      </c>
      <c r="Q21" s="6"/>
      <c r="R21" s="6"/>
      <c r="S21" s="6"/>
      <c r="T21" s="6">
        <f>[1]!id12?bidSize</f>
        <v>0</v>
      </c>
      <c r="U21" s="6">
        <f>[1]!id12?bid</f>
        <v>0</v>
      </c>
      <c r="V21" s="6">
        <f>[1]!id12?ask</f>
        <v>0</v>
      </c>
      <c r="W21" s="6">
        <f>[1]!id12?askSize</f>
        <v>0</v>
      </c>
      <c r="X21" s="6"/>
      <c r="Y21" s="6"/>
      <c r="Z21" s="6">
        <f>[1]!id12?last</f>
        <v>0</v>
      </c>
      <c r="AA21" s="6">
        <f>[1]!id12?lastSize</f>
        <v>0</v>
      </c>
      <c r="AB21" s="6"/>
      <c r="AC21" s="6"/>
      <c r="AD21" s="6">
        <f>[1]!id12?high</f>
        <v>0</v>
      </c>
      <c r="AE21" s="6">
        <f>[1]!id12?low</f>
        <v>0</v>
      </c>
      <c r="AF21" s="6">
        <f>[1]!id12?volume</f>
        <v>0</v>
      </c>
      <c r="AG21" s="6">
        <f>[1]!id12?close</f>
        <v>0</v>
      </c>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row>
    <row r="22" spans="1:59" x14ac:dyDescent="0.2">
      <c r="A22" s="3" t="s">
        <v>520</v>
      </c>
      <c r="B22" s="5" t="s">
        <v>12</v>
      </c>
      <c r="C22" s="5"/>
      <c r="D22" s="5"/>
      <c r="E22" s="64"/>
      <c r="F22" s="5"/>
      <c r="G22" s="5"/>
      <c r="H22" s="3" t="s">
        <v>512</v>
      </c>
      <c r="I22" s="5"/>
      <c r="J22" s="5" t="s">
        <v>44</v>
      </c>
      <c r="K22" s="101"/>
      <c r="L22" s="101"/>
      <c r="M22" s="101"/>
      <c r="N22" s="101"/>
      <c r="O22" s="223"/>
      <c r="P22" s="6">
        <f>[1]!'id13?req?IBKR_STK_ISLAND_USD_~/'</f>
        <v>0</v>
      </c>
      <c r="Q22" s="6"/>
      <c r="R22" s="6"/>
      <c r="S22" s="6"/>
      <c r="T22" s="6">
        <f>[1]!id13?bidSize</f>
        <v>0</v>
      </c>
      <c r="U22" s="6">
        <f>[1]!id13?bid</f>
        <v>0</v>
      </c>
      <c r="V22" s="6">
        <f>[1]!id13?ask</f>
        <v>0</v>
      </c>
      <c r="W22" s="6">
        <f>[1]!id13?askSize</f>
        <v>0</v>
      </c>
      <c r="X22" s="6"/>
      <c r="Y22" s="6"/>
      <c r="Z22" s="6">
        <f>[1]!id13?last</f>
        <v>0</v>
      </c>
      <c r="AA22" s="6">
        <f>[1]!id13?lastSize</f>
        <v>0</v>
      </c>
      <c r="AB22" s="6"/>
      <c r="AC22" s="6"/>
      <c r="AD22" s="6">
        <f>[1]!id13?high</f>
        <v>0</v>
      </c>
      <c r="AE22" s="6">
        <f>[1]!id13?low</f>
        <v>0</v>
      </c>
      <c r="AF22" s="6">
        <f>[1]!id13?volume</f>
        <v>0</v>
      </c>
      <c r="AG22" s="6">
        <f>[1]!id13?close</f>
        <v>0</v>
      </c>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row>
    <row r="23" spans="1:59" x14ac:dyDescent="0.2">
      <c r="A23" s="5" t="s">
        <v>26</v>
      </c>
      <c r="B23" s="5" t="s">
        <v>12</v>
      </c>
      <c r="C23" s="5"/>
      <c r="D23" s="5"/>
      <c r="E23" s="64"/>
      <c r="F23" s="5"/>
      <c r="G23" s="5"/>
      <c r="H23" s="5" t="s">
        <v>514</v>
      </c>
      <c r="I23" s="5"/>
      <c r="J23" s="5" t="s">
        <v>44</v>
      </c>
      <c r="K23" s="101"/>
      <c r="L23" s="101"/>
      <c r="M23" s="101"/>
      <c r="N23" s="101"/>
      <c r="O23" s="223"/>
      <c r="P23" s="6">
        <f>[1]!'id14?req?IBM_STK_NYSE_USD_~/'</f>
        <v>0</v>
      </c>
      <c r="Q23" s="6"/>
      <c r="R23" s="6"/>
      <c r="S23" s="6"/>
      <c r="T23" s="6">
        <f>[1]!id14?bidSize</f>
        <v>0</v>
      </c>
      <c r="U23" s="6">
        <f>[1]!id14?bid</f>
        <v>0</v>
      </c>
      <c r="V23" s="6">
        <f>[1]!id14?ask</f>
        <v>0</v>
      </c>
      <c r="W23" s="6">
        <f>[1]!id14?askSize</f>
        <v>0</v>
      </c>
      <c r="X23" s="6"/>
      <c r="Y23" s="6"/>
      <c r="Z23" s="6">
        <f>[1]!id14?last</f>
        <v>0</v>
      </c>
      <c r="AA23" s="6">
        <f>[1]!id14?lastSize</f>
        <v>0</v>
      </c>
      <c r="AB23" s="6"/>
      <c r="AC23" s="6"/>
      <c r="AD23" s="6">
        <f>[1]!id14?high</f>
        <v>0</v>
      </c>
      <c r="AE23" s="6">
        <f>[1]!id14?low</f>
        <v>0</v>
      </c>
      <c r="AF23" s="6">
        <f>[1]!id14?volume</f>
        <v>0</v>
      </c>
      <c r="AG23" s="6">
        <f>[1]!id14?close</f>
        <v>0</v>
      </c>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row>
    <row r="24" spans="1:59" x14ac:dyDescent="0.2">
      <c r="A24" s="3" t="s">
        <v>460</v>
      </c>
      <c r="B24" s="5" t="s">
        <v>12</v>
      </c>
      <c r="C24" s="5"/>
      <c r="D24" s="5"/>
      <c r="E24" s="64"/>
      <c r="F24" s="5"/>
      <c r="G24" s="5"/>
      <c r="H24" s="3" t="s">
        <v>461</v>
      </c>
      <c r="I24" s="5"/>
      <c r="J24" s="3" t="s">
        <v>194</v>
      </c>
      <c r="K24" s="101"/>
      <c r="L24" s="101"/>
      <c r="M24" s="101"/>
      <c r="N24" s="101"/>
      <c r="O24" s="223"/>
      <c r="P24" s="6">
        <f>[1]!'id15?req?VOD_STK_LSE_GBP_~/'</f>
        <v>0</v>
      </c>
      <c r="Q24" s="6"/>
      <c r="R24" s="6"/>
      <c r="S24" s="6"/>
      <c r="T24" s="6">
        <f>[1]!id15?bidSize</f>
        <v>0</v>
      </c>
      <c r="U24" s="6">
        <f>[1]!id15?bid</f>
        <v>0</v>
      </c>
      <c r="V24" s="6">
        <f>[1]!id15?ask</f>
        <v>0</v>
      </c>
      <c r="W24" s="6">
        <f>[1]!id15?askSize</f>
        <v>0</v>
      </c>
      <c r="X24" s="6"/>
      <c r="Y24" s="6"/>
      <c r="Z24" s="6">
        <f>[1]!id15?last</f>
        <v>0</v>
      </c>
      <c r="AA24" s="6">
        <f>[1]!id15?lastSize</f>
        <v>0</v>
      </c>
      <c r="AB24" s="6"/>
      <c r="AC24" s="6"/>
      <c r="AD24" s="6">
        <f>[1]!id15?high</f>
        <v>0</v>
      </c>
      <c r="AE24" s="6">
        <f>[1]!id15?low</f>
        <v>0</v>
      </c>
      <c r="AF24" s="6">
        <f>[1]!id15?volume</f>
        <v>0</v>
      </c>
      <c r="AG24" s="6">
        <f>[1]!id15?close</f>
        <v>0</v>
      </c>
      <c r="AH24" s="6"/>
      <c r="AI24" s="6"/>
      <c r="AJ24" s="6"/>
      <c r="AK24" s="6"/>
      <c r="AL24" s="6"/>
      <c r="AM24" s="6"/>
      <c r="AN24" s="6"/>
      <c r="AO24" s="6"/>
      <c r="AP24" s="6"/>
      <c r="AQ24" s="6"/>
      <c r="AR24" s="6"/>
      <c r="AS24" s="6"/>
      <c r="AT24" s="6"/>
      <c r="AU24" s="6"/>
      <c r="AV24" s="6"/>
      <c r="AW24" s="6"/>
      <c r="AX24" s="6"/>
      <c r="AY24" s="6"/>
      <c r="AZ24" s="6"/>
      <c r="BA24" s="6"/>
      <c r="BB24" s="6"/>
      <c r="BC24" s="6"/>
      <c r="BD24" s="6"/>
      <c r="BE24" s="6"/>
      <c r="BF24" s="6"/>
      <c r="BG24" s="6"/>
    </row>
    <row r="25" spans="1:59" x14ac:dyDescent="0.2">
      <c r="A25" s="5"/>
      <c r="B25" s="5"/>
      <c r="C25" s="5"/>
      <c r="D25" s="5"/>
      <c r="E25" s="64"/>
      <c r="F25" s="5"/>
      <c r="G25" s="5"/>
      <c r="H25" s="5"/>
      <c r="I25" s="5"/>
      <c r="J25" s="5"/>
      <c r="K25" s="101"/>
      <c r="L25" s="101"/>
      <c r="M25" s="101"/>
      <c r="N25" s="101"/>
      <c r="O25" s="223"/>
      <c r="P25" s="6"/>
      <c r="Q25" s="6"/>
      <c r="R25" s="6"/>
      <c r="S25" s="6"/>
      <c r="T25" s="6"/>
      <c r="U25" s="6"/>
      <c r="V25" s="6"/>
      <c r="W25" s="6"/>
      <c r="X25" s="6"/>
      <c r="Y25" s="6"/>
      <c r="Z25" s="6"/>
      <c r="AA25" s="6"/>
      <c r="AB25" s="6"/>
      <c r="AC25" s="6"/>
      <c r="AD25" s="6"/>
      <c r="AE25" s="6"/>
      <c r="AF25" s="6"/>
      <c r="AG25" s="6"/>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row>
    <row r="26" spans="1:59" x14ac:dyDescent="0.2">
      <c r="A26" s="8" t="s">
        <v>509</v>
      </c>
      <c r="B26" s="5"/>
      <c r="C26" s="5"/>
      <c r="D26" s="5"/>
      <c r="E26" s="64"/>
      <c r="F26" s="5"/>
      <c r="G26" s="5"/>
      <c r="H26" s="5"/>
      <c r="I26" s="5"/>
      <c r="J26" s="5"/>
      <c r="K26" s="101"/>
      <c r="L26" s="101"/>
      <c r="M26" s="101"/>
      <c r="N26" s="101"/>
      <c r="O26" s="223"/>
      <c r="P26" s="6"/>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row>
    <row r="27" spans="1:59" x14ac:dyDescent="0.2">
      <c r="A27" s="3" t="s">
        <v>510</v>
      </c>
      <c r="B27" s="3" t="s">
        <v>32</v>
      </c>
      <c r="C27" s="5"/>
      <c r="D27" s="5"/>
      <c r="E27" s="64"/>
      <c r="F27" s="5"/>
      <c r="G27" s="5"/>
      <c r="H27" s="3" t="s">
        <v>328</v>
      </c>
      <c r="I27" s="5"/>
      <c r="J27" s="3" t="s">
        <v>44</v>
      </c>
      <c r="K27" s="101"/>
      <c r="L27" s="101"/>
      <c r="M27" s="101"/>
      <c r="N27" s="101"/>
      <c r="O27" s="223"/>
      <c r="P27" s="6">
        <f>[1]!'id9?req2?ESU5_FUT_GLOBEX_USD_~/'</f>
        <v>0</v>
      </c>
      <c r="Q27" s="6"/>
      <c r="R27" s="6"/>
      <c r="S27" s="6"/>
      <c r="T27" s="6">
        <f>[1]!id9?bidSize</f>
        <v>0</v>
      </c>
      <c r="U27" s="6">
        <f>[1]!id9?bid</f>
        <v>0</v>
      </c>
      <c r="V27" s="6">
        <f>[1]!id9?ask</f>
        <v>0</v>
      </c>
      <c r="W27" s="6">
        <f>[1]!id9?askSize</f>
        <v>0</v>
      </c>
      <c r="X27" s="6"/>
      <c r="Y27" s="6"/>
      <c r="Z27" s="6">
        <f>[1]!id9?last</f>
        <v>0</v>
      </c>
      <c r="AA27" s="6">
        <f>[1]!id9?lastSize</f>
        <v>0</v>
      </c>
      <c r="AB27" s="6"/>
      <c r="AC27" s="6"/>
      <c r="AD27" s="6">
        <f>[1]!id9?high</f>
        <v>0</v>
      </c>
      <c r="AE27" s="6">
        <f>[1]!id9?low</f>
        <v>0</v>
      </c>
      <c r="AF27" s="6">
        <f>[1]!id9?volume</f>
        <v>0</v>
      </c>
      <c r="AG27" s="6">
        <f>[1]!id9?close</f>
        <v>0</v>
      </c>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row>
    <row r="28" spans="1:59" x14ac:dyDescent="0.2">
      <c r="A28" s="14" t="s">
        <v>515</v>
      </c>
      <c r="B28" s="14" t="s">
        <v>32</v>
      </c>
      <c r="C28" s="13"/>
      <c r="D28" s="13"/>
      <c r="E28" s="63"/>
      <c r="F28" s="13"/>
      <c r="G28" s="13"/>
      <c r="H28" s="14" t="s">
        <v>193</v>
      </c>
      <c r="I28" s="13"/>
      <c r="J28" s="14" t="s">
        <v>194</v>
      </c>
      <c r="K28" s="101"/>
      <c r="L28" s="101"/>
      <c r="M28" s="101"/>
      <c r="N28" s="101"/>
      <c r="O28" s="223"/>
      <c r="P28" s="6">
        <f>[1]!'id10?req2?ZM5_FUT_LIFFE_GBP_~/'</f>
        <v>0</v>
      </c>
      <c r="Q28" s="6"/>
      <c r="R28" s="6"/>
      <c r="S28" s="6"/>
      <c r="T28" s="6">
        <f>[1]!id10?bidSize</f>
        <v>16</v>
      </c>
      <c r="U28" s="6">
        <f>[1]!id10?bid</f>
        <v>42.7</v>
      </c>
      <c r="V28" s="6">
        <f>[1]!id10?ask</f>
        <v>43.08</v>
      </c>
      <c r="W28" s="6">
        <f>[1]!id10?askSize</f>
        <v>5</v>
      </c>
      <c r="X28" s="6"/>
      <c r="Y28" s="6"/>
      <c r="Z28" s="6">
        <f>[1]!id10?last</f>
        <v>42.93</v>
      </c>
      <c r="AA28" s="6">
        <f>[1]!id10?lastSize</f>
        <v>31</v>
      </c>
      <c r="AB28" s="6"/>
      <c r="AC28" s="6"/>
      <c r="AD28" s="6">
        <f>[1]!id10?high</f>
        <v>43.1</v>
      </c>
      <c r="AE28" s="6">
        <f>[1]!id10?low</f>
        <v>42.72</v>
      </c>
      <c r="AF28" s="6">
        <f>[1]!id10?volume</f>
        <v>51328</v>
      </c>
      <c r="AG28" s="6">
        <f>[1]!id10?close</f>
        <v>42.75</v>
      </c>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row>
    <row r="29" spans="1:59" x14ac:dyDescent="0.2">
      <c r="A29" s="14" t="s">
        <v>519</v>
      </c>
      <c r="B29" s="14" t="s">
        <v>32</v>
      </c>
      <c r="C29" s="13"/>
      <c r="D29" s="13"/>
      <c r="E29" s="63"/>
      <c r="F29" s="13"/>
      <c r="G29" s="13"/>
      <c r="H29" s="14" t="s">
        <v>476</v>
      </c>
      <c r="I29" s="13"/>
      <c r="J29" s="14" t="s">
        <v>477</v>
      </c>
      <c r="K29" s="101"/>
      <c r="L29" s="101"/>
      <c r="M29" s="101"/>
      <c r="N29" s="101"/>
      <c r="O29" s="223"/>
      <c r="P29" s="6">
        <f>[1]!'id11?req2?FSMIsingleSpaceMARsingleSpace15_FUT_SOFFEX_CHF_~/'</f>
        <v>0</v>
      </c>
      <c r="Q29" s="6"/>
      <c r="R29" s="6"/>
      <c r="S29" s="6"/>
      <c r="T29" s="6">
        <f>[1]!id11?bidSize</f>
        <v>0</v>
      </c>
      <c r="U29" s="6">
        <f>[1]!id11?bid</f>
        <v>0</v>
      </c>
      <c r="V29" s="6">
        <f>[1]!id11?ask</f>
        <v>0</v>
      </c>
      <c r="W29" s="6">
        <f>[1]!id11?askSize</f>
        <v>0</v>
      </c>
      <c r="X29" s="6"/>
      <c r="Y29" s="6"/>
      <c r="Z29" s="6">
        <f>[1]!id11?last</f>
        <v>0</v>
      </c>
      <c r="AA29" s="6">
        <f>[1]!id11?lastSize</f>
        <v>0</v>
      </c>
      <c r="AB29" s="6"/>
      <c r="AC29" s="6"/>
      <c r="AD29" s="6">
        <f>[1]!id11?high</f>
        <v>0</v>
      </c>
      <c r="AE29" s="6">
        <f>[1]!id11?low</f>
        <v>0</v>
      </c>
      <c r="AF29" s="6">
        <f>[1]!id11?volume</f>
        <v>0</v>
      </c>
      <c r="AG29" s="6">
        <f>[1]!id11?close</f>
        <v>0</v>
      </c>
      <c r="AH29" s="6"/>
      <c r="AI29" s="6"/>
      <c r="AJ29" s="6"/>
      <c r="AK29" s="6"/>
      <c r="AL29" s="6"/>
      <c r="AM29" s="6"/>
      <c r="AN29" s="6"/>
      <c r="AO29" s="6"/>
      <c r="AP29" s="6"/>
      <c r="AQ29" s="6"/>
      <c r="AR29" s="6"/>
      <c r="AS29" s="6"/>
      <c r="AT29" s="6"/>
      <c r="AU29" s="6"/>
      <c r="AV29" s="6"/>
      <c r="AW29" s="6"/>
      <c r="AX29" s="6"/>
      <c r="AY29" s="6"/>
      <c r="AZ29" s="6"/>
      <c r="BA29" s="6"/>
      <c r="BB29" s="6"/>
      <c r="BC29" s="6"/>
      <c r="BD29" s="6"/>
      <c r="BE29" s="6"/>
      <c r="BF29" s="6"/>
      <c r="BG29" s="6"/>
    </row>
    <row r="30" spans="1:59" x14ac:dyDescent="0.2">
      <c r="A30" s="14" t="s">
        <v>525</v>
      </c>
      <c r="B30" s="14" t="s">
        <v>32</v>
      </c>
      <c r="C30" s="13"/>
      <c r="D30" s="13"/>
      <c r="E30" s="63"/>
      <c r="F30" s="13"/>
      <c r="G30" s="13"/>
      <c r="H30" s="14" t="s">
        <v>524</v>
      </c>
      <c r="I30" s="13"/>
      <c r="J30" s="14" t="s">
        <v>42</v>
      </c>
      <c r="K30" s="101"/>
      <c r="L30" s="101"/>
      <c r="M30" s="101"/>
      <c r="N30" s="101"/>
      <c r="O30" s="223"/>
      <c r="P30" s="6">
        <f>[1]!'id12?req2?FCEM6_FUT_MONEP_EUR_~/'</f>
        <v>0</v>
      </c>
      <c r="Q30" s="6"/>
      <c r="R30" s="6"/>
      <c r="S30" s="6"/>
      <c r="T30" s="6">
        <f>[1]!id12?bidSize</f>
        <v>0</v>
      </c>
      <c r="U30" s="6">
        <f>[1]!id12?bid</f>
        <v>0</v>
      </c>
      <c r="V30" s="6">
        <f>[1]!id12?ask</f>
        <v>0</v>
      </c>
      <c r="W30" s="6">
        <f>[1]!id12?askSize</f>
        <v>0</v>
      </c>
      <c r="X30" s="6"/>
      <c r="Y30" s="6"/>
      <c r="Z30" s="6">
        <f>[1]!id12?last</f>
        <v>0</v>
      </c>
      <c r="AA30" s="6">
        <f>[1]!id12?lastSize</f>
        <v>0</v>
      </c>
      <c r="AB30" s="6"/>
      <c r="AC30" s="6"/>
      <c r="AD30" s="6">
        <f>[1]!id12?high</f>
        <v>0</v>
      </c>
      <c r="AE30" s="6">
        <f>[1]!id12?low</f>
        <v>0</v>
      </c>
      <c r="AF30" s="6">
        <f>[1]!id12?volume</f>
        <v>0</v>
      </c>
      <c r="AG30" s="6">
        <f>[1]!id12?close</f>
        <v>0</v>
      </c>
      <c r="AH30" s="6"/>
      <c r="AI30" s="6"/>
      <c r="AJ30" s="6"/>
      <c r="AK30" s="6"/>
      <c r="AL30" s="6"/>
      <c r="AM30" s="6"/>
      <c r="AN30" s="6"/>
      <c r="AO30" s="6"/>
      <c r="AP30" s="6"/>
      <c r="AQ30" s="6"/>
      <c r="AR30" s="6"/>
      <c r="AS30" s="6"/>
      <c r="AT30" s="6"/>
      <c r="AU30" s="6"/>
      <c r="AV30" s="6"/>
      <c r="AW30" s="6"/>
      <c r="AX30" s="6"/>
      <c r="AY30" s="6"/>
      <c r="AZ30" s="6"/>
      <c r="BA30" s="6"/>
      <c r="BB30" s="6"/>
      <c r="BC30" s="6"/>
      <c r="BD30" s="6"/>
      <c r="BE30" s="6"/>
      <c r="BF30" s="6"/>
      <c r="BG30" s="6"/>
    </row>
    <row r="31" spans="1:59" x14ac:dyDescent="0.2">
      <c r="A31" s="13"/>
      <c r="B31" s="13"/>
      <c r="C31" s="13"/>
      <c r="D31" s="13"/>
      <c r="E31" s="63"/>
      <c r="F31" s="13"/>
      <c r="G31" s="13"/>
      <c r="H31" s="13"/>
      <c r="I31" s="13"/>
      <c r="J31" s="13"/>
      <c r="K31" s="101"/>
      <c r="L31" s="101"/>
      <c r="M31" s="101"/>
      <c r="N31" s="101"/>
      <c r="O31" s="223"/>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6"/>
      <c r="AX31" s="6"/>
      <c r="AY31" s="6"/>
      <c r="AZ31" s="6"/>
      <c r="BA31" s="6"/>
      <c r="BB31" s="6"/>
      <c r="BC31" s="6"/>
      <c r="BD31" s="6"/>
      <c r="BE31" s="6"/>
      <c r="BF31" s="6"/>
      <c r="BG31" s="6"/>
    </row>
    <row r="32" spans="1:59" x14ac:dyDescent="0.2">
      <c r="A32" s="14"/>
      <c r="B32" s="13"/>
      <c r="C32" s="13"/>
      <c r="D32" s="13"/>
      <c r="E32" s="63"/>
      <c r="F32" s="13"/>
      <c r="G32" s="13"/>
      <c r="H32" s="13"/>
      <c r="I32" s="13"/>
      <c r="J32" s="13"/>
      <c r="K32" s="101"/>
      <c r="L32" s="101"/>
      <c r="M32" s="101"/>
      <c r="N32" s="101"/>
      <c r="O32" s="223"/>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6"/>
      <c r="AX32" s="6"/>
      <c r="AY32" s="6"/>
      <c r="AZ32" s="6"/>
      <c r="BA32" s="6"/>
      <c r="BB32" s="6"/>
      <c r="BC32" s="6"/>
      <c r="BD32" s="6"/>
      <c r="BE32" s="6"/>
      <c r="BF32" s="6"/>
      <c r="BG32" s="6"/>
    </row>
    <row r="33" spans="1:59" x14ac:dyDescent="0.2">
      <c r="A33" s="12" t="s">
        <v>34</v>
      </c>
      <c r="B33" s="13"/>
      <c r="C33" s="13"/>
      <c r="D33" s="13"/>
      <c r="E33" s="63"/>
      <c r="F33" s="13"/>
      <c r="G33" s="13"/>
      <c r="H33" s="13"/>
      <c r="I33" s="13"/>
      <c r="J33" s="13"/>
      <c r="K33" s="101"/>
      <c r="L33" s="101"/>
      <c r="M33" s="101"/>
      <c r="N33" s="101"/>
      <c r="O33" s="223"/>
      <c r="P33" s="6"/>
      <c r="Q33" s="6"/>
      <c r="R33" s="6"/>
      <c r="S33" s="6"/>
      <c r="T33" s="6"/>
      <c r="U33" s="6"/>
      <c r="V33" s="6"/>
      <c r="W33" s="6"/>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6"/>
      <c r="BA33" s="6"/>
      <c r="BB33" s="6"/>
      <c r="BC33" s="6"/>
      <c r="BD33" s="6"/>
      <c r="BE33" s="6"/>
      <c r="BF33" s="6"/>
      <c r="BG33" s="6"/>
    </row>
    <row r="34" spans="1:59" x14ac:dyDescent="0.2">
      <c r="A34" s="13" t="s">
        <v>197</v>
      </c>
      <c r="B34" s="13" t="s">
        <v>31</v>
      </c>
      <c r="C34" s="13">
        <v>20160115</v>
      </c>
      <c r="D34" s="13">
        <v>570</v>
      </c>
      <c r="E34" s="63" t="s">
        <v>36</v>
      </c>
      <c r="F34" s="13">
        <v>100</v>
      </c>
      <c r="G34" s="13"/>
      <c r="H34" s="13" t="s">
        <v>68</v>
      </c>
      <c r="I34" s="13"/>
      <c r="J34" s="13" t="s">
        <v>44</v>
      </c>
      <c r="K34" s="101"/>
      <c r="L34" s="101"/>
      <c r="M34" s="101"/>
      <c r="N34" s="101"/>
      <c r="O34" s="223"/>
      <c r="P34" s="6">
        <f>[1]!'id13?req?GOOG_OPT_20160115_570_C_100_SMART_USD_~_~/'</f>
        <v>0</v>
      </c>
      <c r="Q34" s="6"/>
      <c r="R34" s="6">
        <f>[1]!id13?bidImpliedVol</f>
        <v>0</v>
      </c>
      <c r="S34" s="6">
        <f>[1]!id13?bidDelta</f>
        <v>0</v>
      </c>
      <c r="T34" s="6">
        <f>[1]!id13?bidSize</f>
        <v>0</v>
      </c>
      <c r="U34" s="6">
        <f>[1]!id13?bid</f>
        <v>0</v>
      </c>
      <c r="V34" s="6">
        <f>[1]!id13?ask</f>
        <v>0</v>
      </c>
      <c r="W34" s="6">
        <f>[1]!id13?askSize</f>
        <v>0</v>
      </c>
      <c r="X34" s="6">
        <f>[1]!id13?askImpliedVol</f>
        <v>0</v>
      </c>
      <c r="Y34" s="6">
        <f>[1]!id13?askDelta</f>
        <v>0</v>
      </c>
      <c r="Z34" s="6">
        <f>[1]!id13?last</f>
        <v>0</v>
      </c>
      <c r="AA34" s="6">
        <f>[1]!id13?lastSize</f>
        <v>0</v>
      </c>
      <c r="AB34" s="6">
        <f>[1]!id13?lastImpliedVol</f>
        <v>0</v>
      </c>
      <c r="AC34" s="6">
        <f>[1]!id13?lastDelta</f>
        <v>0</v>
      </c>
      <c r="AD34" s="6">
        <f>[1]!id13?high</f>
        <v>0</v>
      </c>
      <c r="AE34" s="6">
        <f>[1]!id13?low</f>
        <v>0</v>
      </c>
      <c r="AF34" s="6">
        <f>[1]!id13?volume</f>
        <v>0</v>
      </c>
      <c r="AG34" s="6">
        <f>[1]!id13?close</f>
        <v>0</v>
      </c>
      <c r="AH34" s="6"/>
      <c r="AI34" s="6"/>
      <c r="AJ34" s="6"/>
      <c r="AK34" s="6">
        <f>[1]!id13?modelVolatility</f>
        <v>0</v>
      </c>
      <c r="AL34" s="6">
        <f>[1]!id13?modelDelta</f>
        <v>0</v>
      </c>
      <c r="AM34" s="6">
        <f>[1]!id13?modelPrice</f>
        <v>0</v>
      </c>
      <c r="AN34" s="6">
        <f>[1]!id13?pvDividend</f>
        <v>0</v>
      </c>
      <c r="AO34" s="6">
        <f>[1]!id13?modelGamma</f>
        <v>0</v>
      </c>
      <c r="AP34" s="6">
        <f>[1]!id13?modelVega</f>
        <v>0</v>
      </c>
      <c r="AQ34" s="6">
        <f>[1]!id13?modelTheta</f>
        <v>0</v>
      </c>
      <c r="AR34" s="6">
        <f>[1]!id13?modelUndPrice</f>
        <v>0</v>
      </c>
      <c r="AS34" s="6"/>
      <c r="AT34" s="6"/>
      <c r="AU34" s="6"/>
      <c r="AV34" s="6"/>
      <c r="AW34" s="6"/>
      <c r="AX34" s="6"/>
      <c r="AY34" s="6"/>
      <c r="AZ34" s="6"/>
      <c r="BA34" s="6"/>
      <c r="BB34" s="6"/>
      <c r="BC34" s="6"/>
      <c r="BD34" s="6"/>
      <c r="BE34" s="6"/>
      <c r="BF34" s="6"/>
      <c r="BG34" s="6"/>
    </row>
    <row r="35" spans="1:59" x14ac:dyDescent="0.2">
      <c r="A35" s="14" t="s">
        <v>26</v>
      </c>
      <c r="B35" s="14" t="s">
        <v>31</v>
      </c>
      <c r="C35" s="13">
        <v>20160115</v>
      </c>
      <c r="D35" s="13">
        <v>100</v>
      </c>
      <c r="E35" s="181" t="s">
        <v>36</v>
      </c>
      <c r="F35" s="13">
        <v>100</v>
      </c>
      <c r="G35" s="13"/>
      <c r="H35" s="14" t="s">
        <v>68</v>
      </c>
      <c r="I35" s="13"/>
      <c r="J35" s="14" t="s">
        <v>44</v>
      </c>
      <c r="K35" s="101"/>
      <c r="L35" s="101"/>
      <c r="M35" s="101"/>
      <c r="N35" s="101"/>
      <c r="O35" s="223"/>
      <c r="P35" s="6">
        <f>[1]!'id14?req?IBM_OPT_20160115_100_C_100_SMART_USD_~_~/'</f>
        <v>0</v>
      </c>
      <c r="Q35" s="6"/>
      <c r="R35" s="6">
        <f>[1]!id14?bidImpliedVol</f>
        <v>0</v>
      </c>
      <c r="S35" s="6">
        <f>[1]!id14?bidDelta</f>
        <v>0</v>
      </c>
      <c r="T35" s="6">
        <f>[1]!id14?bidSize</f>
        <v>0</v>
      </c>
      <c r="U35" s="6">
        <f>[1]!id14?bid</f>
        <v>0</v>
      </c>
      <c r="V35" s="6">
        <f>[1]!id14?ask</f>
        <v>0</v>
      </c>
      <c r="W35" s="6">
        <f>[1]!id14?askSize</f>
        <v>0</v>
      </c>
      <c r="X35" s="6">
        <f>[1]!id14?askImpliedVol</f>
        <v>0</v>
      </c>
      <c r="Y35" s="6">
        <f>[1]!id14?askDelta</f>
        <v>0</v>
      </c>
      <c r="Z35" s="6">
        <f>[1]!id14?last</f>
        <v>0</v>
      </c>
      <c r="AA35" s="6">
        <f>[1]!id14?lastSize</f>
        <v>0</v>
      </c>
      <c r="AB35" s="6">
        <f>[1]!id14?lastImpliedVol</f>
        <v>0</v>
      </c>
      <c r="AC35" s="6">
        <f>[1]!id14?lastDelta</f>
        <v>0</v>
      </c>
      <c r="AD35" s="6">
        <f>[1]!id14?high</f>
        <v>0</v>
      </c>
      <c r="AE35" s="6">
        <f>[1]!id14?low</f>
        <v>0</v>
      </c>
      <c r="AF35" s="6">
        <f>[1]!id14?volume</f>
        <v>0</v>
      </c>
      <c r="AG35" s="6">
        <f>[1]!id14?close</f>
        <v>0</v>
      </c>
      <c r="AH35" s="6"/>
      <c r="AI35" s="6"/>
      <c r="AJ35" s="6"/>
      <c r="AK35" s="6">
        <f>[1]!id14?modelVolatility</f>
        <v>0</v>
      </c>
      <c r="AL35" s="6">
        <f>[1]!id14?modelDelta</f>
        <v>0</v>
      </c>
      <c r="AM35" s="6">
        <f>[1]!id14?modelPrice</f>
        <v>0</v>
      </c>
      <c r="AN35" s="6">
        <f>[1]!id14?pvDividend</f>
        <v>0</v>
      </c>
      <c r="AO35" s="6">
        <f>[1]!id14?modelGamma</f>
        <v>0</v>
      </c>
      <c r="AP35" s="6">
        <f>[1]!id14?modelVega</f>
        <v>0</v>
      </c>
      <c r="AQ35" s="6">
        <f>[1]!id14?modelTheta</f>
        <v>0</v>
      </c>
      <c r="AR35" s="6">
        <f>[1]!id14?modelUndPrice</f>
        <v>0</v>
      </c>
      <c r="AS35" s="6"/>
      <c r="AT35" s="6"/>
      <c r="AU35" s="6"/>
      <c r="AV35" s="6"/>
      <c r="AW35" s="6"/>
      <c r="AX35" s="6"/>
      <c r="AY35" s="6"/>
      <c r="AZ35" s="6"/>
      <c r="BA35" s="6"/>
      <c r="BB35" s="6"/>
      <c r="BC35" s="6"/>
      <c r="BD35" s="6"/>
      <c r="BE35" s="6"/>
      <c r="BF35" s="6"/>
      <c r="BG35" s="6"/>
    </row>
    <row r="36" spans="1:59" x14ac:dyDescent="0.2">
      <c r="A36" s="14" t="s">
        <v>492</v>
      </c>
      <c r="B36" s="14" t="s">
        <v>31</v>
      </c>
      <c r="C36" s="13">
        <v>20160115</v>
      </c>
      <c r="D36" s="13">
        <v>100</v>
      </c>
      <c r="E36" s="181" t="s">
        <v>27</v>
      </c>
      <c r="F36" s="13">
        <v>100</v>
      </c>
      <c r="G36" s="13"/>
      <c r="H36" s="14" t="s">
        <v>521</v>
      </c>
      <c r="I36" s="13"/>
      <c r="J36" s="14" t="s">
        <v>44</v>
      </c>
      <c r="K36" s="101"/>
      <c r="L36" s="101"/>
      <c r="M36" s="101"/>
      <c r="N36" s="101"/>
      <c r="O36" s="223"/>
      <c r="P36" s="6">
        <f>[1]!'id15?req?AAPL_OPT_20160115_100_P_100_AMEX_USD_~_~/'</f>
        <v>0</v>
      </c>
      <c r="Q36" s="6"/>
      <c r="R36" s="6">
        <f>[1]!id15?bidImpliedVol</f>
        <v>0</v>
      </c>
      <c r="S36" s="6">
        <f>[1]!id15?bidDelta</f>
        <v>0</v>
      </c>
      <c r="T36" s="6">
        <f>[1]!id15?bidSize</f>
        <v>0</v>
      </c>
      <c r="U36" s="6">
        <f>[1]!id15?bid</f>
        <v>0</v>
      </c>
      <c r="V36" s="6">
        <f>[1]!id15?ask</f>
        <v>0</v>
      </c>
      <c r="W36" s="6">
        <f>[1]!id15?askSize</f>
        <v>0</v>
      </c>
      <c r="X36" s="6">
        <f>[1]!id15?askImpliedVol</f>
        <v>0</v>
      </c>
      <c r="Y36" s="6">
        <f>[1]!id15?askDelta</f>
        <v>0</v>
      </c>
      <c r="Z36" s="6">
        <f>[1]!id15?last</f>
        <v>0</v>
      </c>
      <c r="AA36" s="6">
        <f>[1]!id15?lastSize</f>
        <v>0</v>
      </c>
      <c r="AB36" s="6">
        <f>[1]!id15?lastImpliedVol</f>
        <v>0</v>
      </c>
      <c r="AC36" s="6">
        <f>[1]!id15?lastDelta</f>
        <v>0</v>
      </c>
      <c r="AD36" s="6">
        <f>[1]!id15?high</f>
        <v>0</v>
      </c>
      <c r="AE36" s="6">
        <f>[1]!id15?low</f>
        <v>0</v>
      </c>
      <c r="AF36" s="6">
        <f>[1]!id15?volume</f>
        <v>0</v>
      </c>
      <c r="AG36" s="6">
        <f>[1]!id15?close</f>
        <v>0</v>
      </c>
      <c r="AH36" s="6"/>
      <c r="AI36" s="6"/>
      <c r="AJ36" s="6"/>
      <c r="AK36" s="6">
        <f>[1]!id15?modelVolatility</f>
        <v>0</v>
      </c>
      <c r="AL36" s="6">
        <f>[1]!id15?modelDelta</f>
        <v>0</v>
      </c>
      <c r="AM36" s="6">
        <f>[1]!id15?modelPrice</f>
        <v>0</v>
      </c>
      <c r="AN36" s="6">
        <f>[1]!id15?pvDividend</f>
        <v>0</v>
      </c>
      <c r="AO36" s="6">
        <f>[1]!id15?modelGamma</f>
        <v>0</v>
      </c>
      <c r="AP36" s="6">
        <f>[1]!id15?modelVega</f>
        <v>0</v>
      </c>
      <c r="AQ36" s="6">
        <f>[1]!id15?modelTheta</f>
        <v>0</v>
      </c>
      <c r="AR36" s="6">
        <f>[1]!id15?modelUndPrice</f>
        <v>0</v>
      </c>
      <c r="AS36" s="6"/>
      <c r="AT36" s="6"/>
      <c r="AU36" s="6"/>
      <c r="AV36" s="6"/>
      <c r="AW36" s="6"/>
      <c r="AX36" s="6"/>
      <c r="AY36" s="6"/>
      <c r="AZ36" s="6"/>
      <c r="BA36" s="6"/>
      <c r="BB36" s="6"/>
      <c r="BC36" s="6"/>
      <c r="BD36" s="6"/>
      <c r="BE36" s="6"/>
      <c r="BF36" s="6"/>
      <c r="BG36" s="6"/>
    </row>
    <row r="37" spans="1:59" x14ac:dyDescent="0.2">
      <c r="A37" s="12"/>
      <c r="B37" s="13"/>
      <c r="C37" s="13"/>
      <c r="D37" s="13"/>
      <c r="E37" s="63"/>
      <c r="F37" s="13"/>
      <c r="G37" s="13"/>
      <c r="H37" s="13"/>
      <c r="I37" s="13"/>
      <c r="J37" s="13"/>
      <c r="K37" s="101"/>
      <c r="L37" s="101"/>
      <c r="M37" s="101"/>
      <c r="N37" s="101"/>
      <c r="O37" s="223"/>
      <c r="P37" s="6"/>
      <c r="Q37" s="6"/>
      <c r="R37" s="6"/>
      <c r="S37" s="6"/>
      <c r="T37" s="6"/>
      <c r="U37" s="6"/>
      <c r="V37" s="6"/>
      <c r="W37" s="6"/>
      <c r="X37" s="6"/>
      <c r="Y37" s="6"/>
      <c r="Z37" s="6"/>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row>
    <row r="38" spans="1:59" x14ac:dyDescent="0.2">
      <c r="A38" s="13"/>
      <c r="B38" s="13"/>
      <c r="C38" s="13"/>
      <c r="D38" s="13"/>
      <c r="E38" s="63"/>
      <c r="F38" s="13"/>
      <c r="G38" s="13"/>
      <c r="H38" s="13"/>
      <c r="I38" s="13"/>
      <c r="J38" s="13"/>
      <c r="K38" s="101"/>
      <c r="L38" s="101"/>
      <c r="M38" s="101"/>
      <c r="N38" s="101"/>
      <c r="O38" s="223"/>
      <c r="P38" s="6"/>
      <c r="Q38" s="6"/>
      <c r="R38" s="6"/>
      <c r="S38" s="6"/>
      <c r="T38" s="6"/>
      <c r="U38" s="6"/>
      <c r="V38" s="6"/>
      <c r="W38" s="6"/>
      <c r="X38" s="6"/>
      <c r="Y38" s="6"/>
      <c r="Z38" s="6"/>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c r="BA38" s="6"/>
      <c r="BB38" s="6"/>
      <c r="BC38" s="6"/>
      <c r="BD38" s="6"/>
      <c r="BE38" s="6"/>
      <c r="BF38" s="6"/>
      <c r="BG38" s="6"/>
    </row>
    <row r="39" spans="1:59" x14ac:dyDescent="0.2">
      <c r="A39" s="13"/>
      <c r="B39" s="13"/>
      <c r="C39" s="13"/>
      <c r="D39" s="13"/>
      <c r="E39" s="63"/>
      <c r="F39" s="13"/>
      <c r="G39" s="13"/>
      <c r="H39" s="13"/>
      <c r="I39" s="13"/>
      <c r="J39" s="13"/>
      <c r="K39" s="101"/>
      <c r="L39" s="101"/>
      <c r="M39" s="101"/>
      <c r="N39" s="101"/>
      <c r="O39" s="223"/>
      <c r="P39" s="6"/>
      <c r="Q39" s="6"/>
      <c r="R39" s="6"/>
      <c r="S39" s="6"/>
      <c r="T39" s="6"/>
      <c r="U39" s="6"/>
      <c r="V39" s="6"/>
      <c r="W39" s="6"/>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6"/>
      <c r="BA39" s="6"/>
      <c r="BB39" s="6"/>
      <c r="BC39" s="6"/>
      <c r="BD39" s="6"/>
      <c r="BE39" s="6"/>
      <c r="BF39" s="6"/>
      <c r="BG39" s="6"/>
    </row>
    <row r="40" spans="1:59" x14ac:dyDescent="0.2">
      <c r="A40" s="12" t="s">
        <v>522</v>
      </c>
      <c r="B40" s="14"/>
      <c r="C40" s="13"/>
      <c r="D40" s="13"/>
      <c r="E40" s="63"/>
      <c r="F40" s="13"/>
      <c r="G40" s="13"/>
      <c r="H40" s="14"/>
      <c r="I40" s="13"/>
      <c r="J40" s="14"/>
      <c r="K40" s="101"/>
      <c r="L40" s="101"/>
      <c r="M40" s="101"/>
      <c r="N40" s="101"/>
      <c r="O40" s="223"/>
      <c r="P40" s="6"/>
      <c r="Q40" s="6"/>
      <c r="R40" s="6"/>
      <c r="S40" s="6"/>
      <c r="T40" s="6"/>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row>
    <row r="41" spans="1:59" x14ac:dyDescent="0.2">
      <c r="A41" s="5" t="s">
        <v>42</v>
      </c>
      <c r="B41" s="5" t="s">
        <v>117</v>
      </c>
      <c r="C41" s="5">
        <v>20150605</v>
      </c>
      <c r="D41" s="5">
        <v>1.33</v>
      </c>
      <c r="E41" s="64" t="s">
        <v>36</v>
      </c>
      <c r="F41" s="5">
        <v>125000</v>
      </c>
      <c r="G41" s="5" t="s">
        <v>511</v>
      </c>
      <c r="H41" s="5" t="s">
        <v>328</v>
      </c>
      <c r="I41" s="5"/>
      <c r="J41" s="5" t="s">
        <v>44</v>
      </c>
      <c r="K41" s="101"/>
      <c r="L41" s="101"/>
      <c r="M41" s="101"/>
      <c r="N41" s="101"/>
      <c r="O41" s="223"/>
      <c r="P41" s="6">
        <f>[1]!'id16?req?EUR_FOP_20150605_1.33_C_125000_GLOBEX_USD_~_XT/'</f>
        <v>0</v>
      </c>
      <c r="Q41" s="6"/>
      <c r="R41" s="6">
        <f>[1]!id16?bidImpliedVol</f>
        <v>0</v>
      </c>
      <c r="S41" s="6">
        <f>[1]!id16?bidDelta</f>
        <v>0</v>
      </c>
      <c r="T41" s="6">
        <f>[1]!id16?bidSize</f>
        <v>0</v>
      </c>
      <c r="U41" s="6">
        <f>[1]!id16?bid</f>
        <v>0</v>
      </c>
      <c r="V41" s="6">
        <f>[1]!id16?ask</f>
        <v>0</v>
      </c>
      <c r="W41" s="6">
        <f>[1]!id16?askSize</f>
        <v>0</v>
      </c>
      <c r="X41" s="6">
        <f>[1]!id16?askImpliedVol</f>
        <v>0</v>
      </c>
      <c r="Y41" s="6">
        <f>[1]!id16?askDelta</f>
        <v>0</v>
      </c>
      <c r="Z41" s="6">
        <f>[1]!id16?last</f>
        <v>0</v>
      </c>
      <c r="AA41" s="6">
        <f>[1]!id16?lastSize</f>
        <v>0</v>
      </c>
      <c r="AB41" s="6">
        <f>[1]!id16?lastImpliedVol</f>
        <v>0</v>
      </c>
      <c r="AC41" s="6">
        <f>[1]!id16?lastDelta</f>
        <v>0</v>
      </c>
      <c r="AD41" s="6">
        <f>[1]!id16?high</f>
        <v>0</v>
      </c>
      <c r="AE41" s="6">
        <f>[1]!id16?low</f>
        <v>0</v>
      </c>
      <c r="AF41" s="6">
        <f>[1]!id16?volume</f>
        <v>0</v>
      </c>
      <c r="AG41" s="6">
        <f>[1]!id16?close</f>
        <v>0</v>
      </c>
      <c r="AH41" s="6"/>
      <c r="AI41" s="6"/>
      <c r="AJ41" s="6"/>
      <c r="AK41" s="6">
        <f>[1]!id16?modelVolatility</f>
        <v>0</v>
      </c>
      <c r="AL41" s="6">
        <f>[1]!id16?modelDelta</f>
        <v>0</v>
      </c>
      <c r="AM41" s="6">
        <f>[1]!id16?modelPrice</f>
        <v>0</v>
      </c>
      <c r="AN41" s="6">
        <f>[1]!id16?pvDividend</f>
        <v>0</v>
      </c>
      <c r="AO41" s="6">
        <f>[1]!id16?modelGamma</f>
        <v>0</v>
      </c>
      <c r="AP41" s="6">
        <f>[1]!id16?modelVega</f>
        <v>0</v>
      </c>
      <c r="AQ41" s="6">
        <f>[1]!id16?modelTheta</f>
        <v>0</v>
      </c>
      <c r="AR41" s="6">
        <f>[1]!id16?modelUndPrice</f>
        <v>0</v>
      </c>
      <c r="AS41" s="6"/>
      <c r="AT41" s="6"/>
      <c r="AU41" s="6"/>
      <c r="AV41" s="6"/>
      <c r="AW41" s="6"/>
      <c r="AX41" s="6"/>
      <c r="AY41" s="6"/>
      <c r="AZ41" s="6"/>
      <c r="BA41" s="6"/>
      <c r="BB41" s="6"/>
      <c r="BC41" s="6"/>
      <c r="BD41" s="6"/>
      <c r="BE41" s="6"/>
      <c r="BF41" s="6"/>
      <c r="BG41" s="6"/>
    </row>
    <row r="42" spans="1:59" x14ac:dyDescent="0.2">
      <c r="A42" s="14" t="s">
        <v>390</v>
      </c>
      <c r="B42" s="14" t="s">
        <v>117</v>
      </c>
      <c r="C42" s="13">
        <v>20150619</v>
      </c>
      <c r="D42" s="13">
        <v>750</v>
      </c>
      <c r="E42" s="181" t="s">
        <v>36</v>
      </c>
      <c r="F42" s="13">
        <v>50</v>
      </c>
      <c r="G42" s="14"/>
      <c r="H42" s="14" t="s">
        <v>328</v>
      </c>
      <c r="I42" s="13"/>
      <c r="J42" s="14" t="s">
        <v>44</v>
      </c>
      <c r="K42" s="101"/>
      <c r="L42" s="101"/>
      <c r="M42" s="101"/>
      <c r="N42" s="101"/>
      <c r="O42" s="223"/>
      <c r="P42" s="6">
        <f>[1]!'id17?req?ES_FOP_20150619_750_C_50_GLOBEX_USD_~_~/'</f>
        <v>0</v>
      </c>
      <c r="Q42" s="6"/>
      <c r="R42" s="6">
        <f>[1]!id17?bidImpliedVol</f>
        <v>0</v>
      </c>
      <c r="S42" s="6">
        <f>[1]!id17?bidDelta</f>
        <v>0</v>
      </c>
      <c r="T42" s="6">
        <f>[1]!id17?bidSize</f>
        <v>0</v>
      </c>
      <c r="U42" s="6">
        <f>[1]!id17?bid</f>
        <v>0</v>
      </c>
      <c r="V42" s="6">
        <f>[1]!id17?ask</f>
        <v>0</v>
      </c>
      <c r="W42" s="6">
        <f>[1]!id17?askSize</f>
        <v>0</v>
      </c>
      <c r="X42" s="6">
        <f>[1]!id17?askImpliedVol</f>
        <v>0</v>
      </c>
      <c r="Y42" s="6">
        <f>[1]!id17?askDelta</f>
        <v>0</v>
      </c>
      <c r="Z42" s="6">
        <f>[1]!id17?last</f>
        <v>0</v>
      </c>
      <c r="AA42" s="6">
        <f>[1]!id17?lastSize</f>
        <v>0</v>
      </c>
      <c r="AB42" s="6">
        <f>[1]!id17?lastImpliedVol</f>
        <v>0</v>
      </c>
      <c r="AC42" s="6">
        <f>[1]!id17?lastDelta</f>
        <v>0</v>
      </c>
      <c r="AD42" s="6">
        <f>[1]!id17?high</f>
        <v>0</v>
      </c>
      <c r="AE42" s="6">
        <f>[1]!id17?low</f>
        <v>0</v>
      </c>
      <c r="AF42" s="6">
        <f>[1]!id17?volume</f>
        <v>0</v>
      </c>
      <c r="AG42" s="6">
        <f>[1]!id17?close</f>
        <v>0</v>
      </c>
      <c r="AH42" s="6"/>
      <c r="AI42" s="6"/>
      <c r="AJ42" s="6"/>
      <c r="AK42" s="6">
        <f>[1]!id17?modelVolatility</f>
        <v>0</v>
      </c>
      <c r="AL42" s="6">
        <f>[1]!id17?modelDelta</f>
        <v>0</v>
      </c>
      <c r="AM42" s="6">
        <f>[1]!id17?modelPrice</f>
        <v>0</v>
      </c>
      <c r="AN42" s="6">
        <f>[1]!id17?pvDividend</f>
        <v>0</v>
      </c>
      <c r="AO42" s="6">
        <f>[1]!id17?modelGamma</f>
        <v>0</v>
      </c>
      <c r="AP42" s="6">
        <f>[1]!id17?modelVega</f>
        <v>0</v>
      </c>
      <c r="AQ42" s="6">
        <f>[1]!id17?modelTheta</f>
        <v>0</v>
      </c>
      <c r="AR42" s="6">
        <f>[1]!id17?modelUndPrice</f>
        <v>0</v>
      </c>
      <c r="AS42" s="6"/>
      <c r="AT42" s="6"/>
      <c r="AU42" s="6"/>
      <c r="AV42" s="6"/>
      <c r="AW42" s="6"/>
      <c r="AX42" s="6"/>
      <c r="AY42" s="6"/>
      <c r="AZ42" s="6"/>
      <c r="BA42" s="6"/>
      <c r="BB42" s="6"/>
      <c r="BC42" s="6"/>
      <c r="BD42" s="6"/>
      <c r="BE42" s="6"/>
      <c r="BF42" s="6"/>
      <c r="BG42" s="6"/>
    </row>
    <row r="43" spans="1:59" x14ac:dyDescent="0.2">
      <c r="A43" s="13"/>
      <c r="B43" s="13"/>
      <c r="C43" s="13"/>
      <c r="D43" s="13"/>
      <c r="E43" s="63"/>
      <c r="F43" s="13"/>
      <c r="G43" s="13"/>
      <c r="H43" s="13"/>
      <c r="I43" s="13"/>
      <c r="J43" s="13"/>
      <c r="K43" s="101"/>
      <c r="L43" s="101"/>
      <c r="M43" s="101"/>
      <c r="N43" s="101"/>
      <c r="O43" s="223"/>
      <c r="P43" s="6"/>
      <c r="Q43" s="6"/>
      <c r="R43" s="6"/>
      <c r="S43" s="6"/>
      <c r="T43" s="6"/>
      <c r="U43" s="6"/>
      <c r="V43" s="6"/>
      <c r="W43" s="6"/>
      <c r="X43" s="6"/>
      <c r="Y43" s="6"/>
      <c r="Z43" s="6"/>
      <c r="AA43" s="6"/>
      <c r="AB43" s="6"/>
      <c r="AC43" s="6"/>
      <c r="AD43" s="6"/>
      <c r="AE43" s="6"/>
      <c r="AF43" s="6"/>
      <c r="AG43" s="6"/>
      <c r="AH43" s="6"/>
      <c r="AI43" s="6"/>
      <c r="AJ43" s="6"/>
      <c r="AK43" s="6"/>
      <c r="AL43" s="6"/>
      <c r="AM43" s="6"/>
      <c r="AN43" s="6"/>
      <c r="AO43" s="6"/>
      <c r="AP43" s="6"/>
      <c r="AQ43" s="6"/>
      <c r="AR43" s="6"/>
      <c r="AS43" s="6"/>
      <c r="AT43" s="6"/>
      <c r="AU43" s="6"/>
      <c r="AV43" s="6"/>
      <c r="AW43" s="6"/>
      <c r="AX43" s="6"/>
      <c r="AY43" s="6"/>
      <c r="AZ43" s="6"/>
      <c r="BA43" s="6"/>
      <c r="BB43" s="6"/>
      <c r="BC43" s="6"/>
      <c r="BD43" s="6"/>
      <c r="BE43" s="6"/>
      <c r="BF43" s="6"/>
      <c r="BG43" s="6"/>
    </row>
    <row r="44" spans="1:59" x14ac:dyDescent="0.2">
      <c r="A44" s="12" t="s">
        <v>37</v>
      </c>
      <c r="B44" s="13"/>
      <c r="C44" s="13"/>
      <c r="D44" s="13"/>
      <c r="E44" s="63"/>
      <c r="F44" s="13"/>
      <c r="G44" s="13"/>
      <c r="H44" s="13"/>
      <c r="I44" s="13"/>
      <c r="J44" s="13"/>
      <c r="K44" s="101"/>
      <c r="L44" s="180"/>
      <c r="M44" s="180"/>
      <c r="N44" s="180"/>
      <c r="O44" s="224"/>
      <c r="P44" s="6"/>
      <c r="Q44" s="6"/>
      <c r="R44" s="6"/>
      <c r="S44" s="6"/>
      <c r="T44" s="6"/>
      <c r="U44" s="6"/>
      <c r="V44" s="6"/>
      <c r="W44" s="6"/>
      <c r="X44" s="6"/>
      <c r="Y44" s="6"/>
      <c r="Z44" s="6"/>
      <c r="AA44" s="6"/>
      <c r="AB44" s="6"/>
      <c r="AC44" s="6"/>
      <c r="AD44" s="6"/>
      <c r="AE44" s="6"/>
      <c r="AF44" s="6"/>
      <c r="AG44" s="6"/>
      <c r="AH44" s="6"/>
      <c r="AI44" s="6"/>
      <c r="AJ44" s="6"/>
      <c r="AK44" s="6"/>
      <c r="AL44" s="6"/>
      <c r="AM44" s="6"/>
      <c r="AN44" s="6"/>
      <c r="AO44" s="6"/>
      <c r="AP44" s="6"/>
      <c r="AQ44" s="6"/>
      <c r="AR44" s="6"/>
      <c r="AS44" s="6"/>
      <c r="AT44" s="6"/>
      <c r="AU44" s="6"/>
      <c r="AV44" s="6"/>
      <c r="AW44" s="6"/>
      <c r="AX44" s="6"/>
      <c r="AY44" s="6"/>
      <c r="AZ44" s="6"/>
      <c r="BA44" s="6"/>
      <c r="BB44" s="6"/>
      <c r="BC44" s="6"/>
      <c r="BD44" s="6"/>
      <c r="BE44" s="6"/>
      <c r="BF44" s="6"/>
      <c r="BG44" s="6"/>
    </row>
    <row r="45" spans="1:59" x14ac:dyDescent="0.2">
      <c r="A45" s="14" t="s">
        <v>390</v>
      </c>
      <c r="B45" s="14" t="s">
        <v>39</v>
      </c>
      <c r="C45" s="13"/>
      <c r="D45" s="13"/>
      <c r="E45" s="63"/>
      <c r="F45" s="13"/>
      <c r="G45" s="13"/>
      <c r="H45" s="14" t="s">
        <v>328</v>
      </c>
      <c r="I45" s="13"/>
      <c r="J45" s="14" t="s">
        <v>44</v>
      </c>
      <c r="K45" s="101"/>
      <c r="L45" s="101"/>
      <c r="M45" s="101"/>
      <c r="N45" s="101"/>
      <c r="O45" s="223"/>
      <c r="P45" s="6">
        <f>[1]!'id18?req?ES_IND_GLOBEX_USD_~/'</f>
        <v>0</v>
      </c>
      <c r="Q45" s="6"/>
      <c r="R45" s="6"/>
      <c r="S45" s="6"/>
      <c r="T45" s="6">
        <f>[1]!id18?bidSize</f>
        <v>0</v>
      </c>
      <c r="U45" s="6">
        <f>[1]!id18?bid</f>
        <v>0</v>
      </c>
      <c r="V45" s="6">
        <f>[1]!id18?ask</f>
        <v>0</v>
      </c>
      <c r="W45" s="6">
        <f>[1]!id18?askSize</f>
        <v>0</v>
      </c>
      <c r="X45" s="6"/>
      <c r="Y45" s="6"/>
      <c r="Z45" s="6">
        <f>[1]!id18?last</f>
        <v>0</v>
      </c>
      <c r="AA45" s="6">
        <f>[1]!id18?lastSize</f>
        <v>0</v>
      </c>
      <c r="AB45" s="6"/>
      <c r="AC45" s="6"/>
      <c r="AD45" s="6">
        <f>[1]!id18?high</f>
        <v>0</v>
      </c>
      <c r="AE45" s="6">
        <f>[1]!id18?low</f>
        <v>0</v>
      </c>
      <c r="AF45" s="6">
        <f>[1]!id18?volume</f>
        <v>0</v>
      </c>
      <c r="AG45" s="6">
        <f>[1]!id18?close</f>
        <v>0</v>
      </c>
      <c r="AH45" s="6"/>
      <c r="AI45" s="6"/>
      <c r="AJ45" s="6"/>
      <c r="AK45" s="6"/>
      <c r="AL45" s="6"/>
      <c r="AM45" s="6"/>
      <c r="AN45" s="6"/>
      <c r="AO45" s="6"/>
      <c r="AP45" s="6"/>
      <c r="AQ45" s="6"/>
      <c r="AR45" s="6"/>
      <c r="AS45" s="6"/>
      <c r="AT45" s="6"/>
      <c r="AU45" s="6"/>
      <c r="AV45" s="6"/>
      <c r="AW45" s="6"/>
      <c r="AX45" s="6"/>
      <c r="AY45" s="6"/>
      <c r="AZ45" s="6"/>
      <c r="BA45" s="6"/>
      <c r="BB45" s="6"/>
      <c r="BC45" s="6"/>
      <c r="BD45" s="6"/>
      <c r="BE45" s="6"/>
      <c r="BF45" s="6"/>
      <c r="BG45" s="6"/>
    </row>
    <row r="46" spans="1:59" x14ac:dyDescent="0.2">
      <c r="A46" s="14" t="s">
        <v>523</v>
      </c>
      <c r="B46" s="14" t="s">
        <v>39</v>
      </c>
      <c r="C46" s="13"/>
      <c r="D46" s="13"/>
      <c r="E46" s="63"/>
      <c r="F46" s="13"/>
      <c r="G46" s="13"/>
      <c r="H46" s="14" t="s">
        <v>524</v>
      </c>
      <c r="I46" s="13"/>
      <c r="J46" s="14" t="s">
        <v>42</v>
      </c>
      <c r="K46" s="101"/>
      <c r="L46" s="101"/>
      <c r="M46" s="101"/>
      <c r="N46" s="101"/>
      <c r="O46" s="223"/>
      <c r="P46" s="6">
        <f>[1]!'id19?req?CAC40_IND_MONEP_EUR_~/'</f>
        <v>0</v>
      </c>
      <c r="Q46" s="6"/>
      <c r="R46" s="6"/>
      <c r="S46" s="6"/>
      <c r="T46" s="6">
        <f>[1]!id19?bidSize</f>
        <v>0</v>
      </c>
      <c r="U46" s="6">
        <f>[1]!id19?bid</f>
        <v>0</v>
      </c>
      <c r="V46" s="6">
        <f>[1]!id19?ask</f>
        <v>0</v>
      </c>
      <c r="W46" s="6">
        <f>[1]!id19?askSize</f>
        <v>0</v>
      </c>
      <c r="X46" s="6"/>
      <c r="Y46" s="6"/>
      <c r="Z46" s="6">
        <f>[1]!id19?last</f>
        <v>0</v>
      </c>
      <c r="AA46" s="6">
        <f>[1]!id19?lastSize</f>
        <v>0</v>
      </c>
      <c r="AB46" s="6"/>
      <c r="AC46" s="6"/>
      <c r="AD46" s="6">
        <f>[1]!id19?high</f>
        <v>0</v>
      </c>
      <c r="AE46" s="6">
        <f>[1]!id19?low</f>
        <v>0</v>
      </c>
      <c r="AF46" s="6">
        <f>[1]!id19?volume</f>
        <v>0</v>
      </c>
      <c r="AG46" s="6">
        <f>[1]!id19?close</f>
        <v>0</v>
      </c>
      <c r="AH46" s="6"/>
      <c r="AI46" s="6"/>
      <c r="AJ46" s="6"/>
      <c r="AK46" s="6"/>
      <c r="AL46" s="6"/>
      <c r="AM46" s="6"/>
      <c r="AN46" s="6"/>
      <c r="AO46" s="6"/>
      <c r="AP46" s="6"/>
      <c r="AQ46" s="6"/>
      <c r="AR46" s="6"/>
      <c r="AS46" s="6"/>
      <c r="AT46" s="6"/>
      <c r="AU46" s="6"/>
      <c r="AV46" s="6"/>
      <c r="AW46" s="6"/>
      <c r="AX46" s="6"/>
      <c r="AY46" s="6"/>
      <c r="AZ46" s="6"/>
      <c r="BA46" s="6"/>
      <c r="BB46" s="6"/>
      <c r="BC46" s="6"/>
      <c r="BD46" s="6"/>
      <c r="BE46" s="6"/>
      <c r="BF46" s="6"/>
      <c r="BG46" s="6"/>
    </row>
    <row r="47" spans="1:59" x14ac:dyDescent="0.2">
      <c r="A47" s="14"/>
      <c r="B47" s="13"/>
      <c r="C47" s="13"/>
      <c r="D47" s="13"/>
      <c r="E47" s="63"/>
      <c r="F47" s="13"/>
      <c r="G47" s="13"/>
      <c r="H47" s="13"/>
      <c r="I47" s="13"/>
      <c r="J47" s="13"/>
      <c r="K47" s="101"/>
      <c r="L47" s="101"/>
      <c r="M47" s="101"/>
      <c r="N47" s="101"/>
      <c r="O47" s="223"/>
      <c r="P47" s="6"/>
      <c r="Q47" s="6"/>
      <c r="R47" s="6"/>
      <c r="S47" s="6"/>
      <c r="T47" s="6"/>
      <c r="U47" s="6"/>
      <c r="V47" s="6"/>
      <c r="W47" s="6"/>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6"/>
      <c r="BA47" s="6"/>
      <c r="BB47" s="6"/>
      <c r="BC47" s="6"/>
      <c r="BD47" s="6"/>
      <c r="BE47" s="6"/>
      <c r="BF47" s="6"/>
      <c r="BG47" s="6"/>
    </row>
    <row r="48" spans="1:59" x14ac:dyDescent="0.2">
      <c r="A48" s="12" t="s">
        <v>526</v>
      </c>
      <c r="B48" s="13"/>
      <c r="C48" s="13"/>
      <c r="D48" s="13"/>
      <c r="E48" s="63"/>
      <c r="F48" s="13"/>
      <c r="G48" s="13"/>
      <c r="H48" s="13"/>
      <c r="I48" s="13"/>
      <c r="J48" s="13"/>
      <c r="K48" s="101"/>
      <c r="L48" s="101"/>
      <c r="M48" s="101"/>
      <c r="N48" s="101"/>
      <c r="O48" s="223"/>
      <c r="P48" s="6"/>
      <c r="Q48" s="6"/>
      <c r="R48" s="6"/>
      <c r="S48" s="6"/>
      <c r="T48" s="6"/>
      <c r="U48" s="6"/>
      <c r="V48" s="6"/>
      <c r="W48" s="6"/>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6"/>
      <c r="BA48" s="6"/>
      <c r="BB48" s="6"/>
      <c r="BC48" s="6"/>
      <c r="BD48" s="6"/>
      <c r="BE48" s="6"/>
      <c r="BF48" s="6"/>
      <c r="BG48" s="6"/>
    </row>
    <row r="49" spans="1:59" x14ac:dyDescent="0.2">
      <c r="A49" s="14" t="s">
        <v>44</v>
      </c>
      <c r="B49" s="14" t="s">
        <v>527</v>
      </c>
      <c r="C49" s="13"/>
      <c r="D49" s="13"/>
      <c r="E49" s="63"/>
      <c r="F49" s="13"/>
      <c r="G49" s="13"/>
      <c r="H49" s="14" t="s">
        <v>68</v>
      </c>
      <c r="I49" s="13"/>
      <c r="J49" s="14" t="s">
        <v>44</v>
      </c>
      <c r="K49" s="101" t="s">
        <v>528</v>
      </c>
      <c r="L49" s="101"/>
      <c r="M49" s="101"/>
      <c r="N49" s="101"/>
      <c r="O49" s="223"/>
      <c r="P49" s="6">
        <f>[1]!'id20?req?USD_BAG_SMART_USD_CMBLGS_2_109385219_1_BUY_SMART_0_9408_1_SELL_SMART_0_CMBLGS_~/'</f>
        <v>0</v>
      </c>
      <c r="Q49" s="6"/>
      <c r="R49" s="6"/>
      <c r="S49" s="6"/>
      <c r="T49" s="6">
        <f>[1]!id20?bidSize</f>
        <v>0</v>
      </c>
      <c r="U49" s="6">
        <f>[1]!id20?bid</f>
        <v>0</v>
      </c>
      <c r="V49" s="6">
        <f>[1]!id20?ask</f>
        <v>0</v>
      </c>
      <c r="W49" s="6">
        <f>[1]!id20?askSize</f>
        <v>0</v>
      </c>
      <c r="X49" s="6"/>
      <c r="Y49" s="6"/>
      <c r="Z49" s="6">
        <f>[1]!id20?last</f>
        <v>0</v>
      </c>
      <c r="AA49" s="6">
        <f>[1]!id20?lastSize</f>
        <v>0</v>
      </c>
      <c r="AB49" s="6"/>
      <c r="AC49" s="6"/>
      <c r="AD49" s="6">
        <f>[1]!id20?high</f>
        <v>0</v>
      </c>
      <c r="AE49" s="6">
        <f>[1]!id20?low</f>
        <v>0</v>
      </c>
      <c r="AF49" s="6">
        <f>[1]!id20?volume</f>
        <v>0</v>
      </c>
      <c r="AG49" s="6">
        <f>[1]!id20?close</f>
        <v>0</v>
      </c>
      <c r="AH49" s="6"/>
      <c r="AI49" s="6"/>
      <c r="AJ49" s="6"/>
      <c r="AK49" s="6"/>
      <c r="AL49" s="6"/>
      <c r="AM49" s="6"/>
      <c r="AN49" s="6"/>
      <c r="AO49" s="6"/>
      <c r="AP49" s="6"/>
      <c r="AQ49" s="6"/>
      <c r="AR49" s="6"/>
      <c r="AS49" s="6"/>
      <c r="AT49" s="6"/>
      <c r="AU49" s="6"/>
      <c r="AV49" s="6"/>
      <c r="AW49" s="6"/>
      <c r="AX49" s="6"/>
      <c r="AY49" s="6"/>
      <c r="AZ49" s="6"/>
      <c r="BA49" s="6"/>
      <c r="BB49" s="6"/>
      <c r="BC49" s="6"/>
      <c r="BD49" s="6"/>
      <c r="BE49" s="6"/>
      <c r="BF49" s="6"/>
      <c r="BG49" s="6"/>
    </row>
    <row r="50" spans="1:59" x14ac:dyDescent="0.2">
      <c r="A50" s="13"/>
      <c r="B50" s="13"/>
      <c r="C50" s="13"/>
      <c r="D50" s="13"/>
      <c r="E50" s="63"/>
      <c r="F50" s="13"/>
      <c r="G50" s="13"/>
      <c r="H50" s="13"/>
      <c r="I50" s="13"/>
      <c r="J50" s="13"/>
      <c r="K50" s="101"/>
      <c r="L50" s="101"/>
      <c r="M50" s="101"/>
      <c r="N50" s="101"/>
      <c r="O50" s="223"/>
      <c r="P50" s="6"/>
      <c r="Q50" s="6"/>
      <c r="R50" s="6"/>
      <c r="S50" s="6"/>
      <c r="T50" s="6"/>
      <c r="U50" s="6"/>
      <c r="V50" s="6"/>
      <c r="W50" s="6"/>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6"/>
      <c r="BA50" s="6"/>
      <c r="BB50" s="6"/>
      <c r="BC50" s="6"/>
      <c r="BD50" s="6"/>
      <c r="BE50" s="6"/>
      <c r="BF50" s="6"/>
      <c r="BG50" s="6"/>
    </row>
    <row r="51" spans="1:59" x14ac:dyDescent="0.2">
      <c r="A51" s="13"/>
      <c r="B51" s="13"/>
      <c r="C51" s="13"/>
      <c r="D51" s="13"/>
      <c r="E51" s="63"/>
      <c r="F51" s="13"/>
      <c r="G51" s="13"/>
      <c r="H51" s="13"/>
      <c r="I51" s="13"/>
      <c r="J51" s="13"/>
      <c r="K51" s="101"/>
      <c r="L51" s="101"/>
      <c r="M51" s="101"/>
      <c r="N51" s="101"/>
      <c r="O51" s="223"/>
      <c r="P51" s="6"/>
      <c r="Q51" s="6"/>
      <c r="R51" s="6"/>
      <c r="S51" s="6"/>
      <c r="T51" s="6"/>
      <c r="U51" s="6"/>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row>
    <row r="52" spans="1:59" x14ac:dyDescent="0.2">
      <c r="A52" s="13"/>
      <c r="B52" s="13"/>
      <c r="C52" s="13"/>
      <c r="D52" s="13"/>
      <c r="E52" s="63"/>
      <c r="F52" s="13"/>
      <c r="G52" s="13"/>
      <c r="H52" s="13"/>
      <c r="I52" s="13"/>
      <c r="J52" s="13"/>
      <c r="K52" s="101"/>
      <c r="L52" s="101"/>
      <c r="M52" s="101"/>
      <c r="N52" s="101"/>
      <c r="O52" s="223"/>
      <c r="P52" s="6"/>
      <c r="Q52" s="6"/>
      <c r="R52" s="6"/>
      <c r="S52" s="6"/>
      <c r="T52" s="6"/>
      <c r="U52" s="6"/>
      <c r="V52" s="6"/>
      <c r="W52" s="6"/>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6"/>
      <c r="BA52" s="6"/>
      <c r="BB52" s="6"/>
      <c r="BC52" s="6"/>
      <c r="BD52" s="6"/>
      <c r="BE52" s="6"/>
      <c r="BF52" s="6"/>
      <c r="BG52" s="6"/>
    </row>
    <row r="53" spans="1:59" x14ac:dyDescent="0.2">
      <c r="A53" s="12"/>
      <c r="B53" s="13"/>
      <c r="C53" s="13"/>
      <c r="D53" s="13"/>
      <c r="E53" s="63"/>
      <c r="F53" s="13"/>
      <c r="G53" s="13"/>
      <c r="H53" s="13"/>
      <c r="I53" s="13"/>
      <c r="J53" s="13"/>
      <c r="K53" s="101"/>
      <c r="L53" s="101"/>
      <c r="M53" s="101"/>
      <c r="N53" s="101"/>
      <c r="O53" s="223"/>
      <c r="P53" s="6"/>
      <c r="Q53" s="6"/>
      <c r="R53" s="6"/>
      <c r="S53" s="6"/>
      <c r="T53" s="6"/>
      <c r="U53" s="6"/>
      <c r="V53" s="6"/>
      <c r="W53" s="6"/>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6"/>
      <c r="BA53" s="6"/>
      <c r="BB53" s="6"/>
      <c r="BC53" s="6"/>
      <c r="BD53" s="6"/>
      <c r="BE53" s="6"/>
      <c r="BF53" s="6"/>
      <c r="BG53" s="6"/>
    </row>
    <row r="54" spans="1:59" x14ac:dyDescent="0.2">
      <c r="A54" s="13"/>
      <c r="B54" s="13"/>
      <c r="C54" s="13"/>
      <c r="D54" s="13"/>
      <c r="E54" s="63"/>
      <c r="F54" s="13"/>
      <c r="G54" s="13"/>
      <c r="H54" s="13"/>
      <c r="I54" s="13"/>
      <c r="J54" s="13"/>
      <c r="K54" s="101"/>
      <c r="L54" s="101"/>
      <c r="M54" s="101"/>
      <c r="N54" s="101"/>
      <c r="O54" s="223"/>
      <c r="P54" s="6"/>
      <c r="Q54" s="6"/>
      <c r="R54" s="6"/>
      <c r="S54" s="6"/>
      <c r="T54" s="6"/>
      <c r="U54" s="6"/>
      <c r="V54" s="6"/>
      <c r="W54" s="6"/>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6"/>
      <c r="BA54" s="6"/>
      <c r="BB54" s="6"/>
      <c r="BC54" s="6"/>
      <c r="BD54" s="6"/>
      <c r="BE54" s="6"/>
      <c r="BF54" s="6"/>
      <c r="BG54" s="6"/>
    </row>
    <row r="55" spans="1:59" x14ac:dyDescent="0.2">
      <c r="A55" s="13"/>
      <c r="B55" s="13"/>
      <c r="C55" s="13"/>
      <c r="D55" s="13"/>
      <c r="E55" s="63"/>
      <c r="F55" s="13"/>
      <c r="G55" s="13"/>
      <c r="H55" s="13"/>
      <c r="I55" s="13"/>
      <c r="J55" s="13"/>
      <c r="K55" s="101"/>
      <c r="L55" s="101"/>
      <c r="M55" s="101"/>
      <c r="N55" s="101"/>
      <c r="O55" s="223"/>
      <c r="P55" s="6"/>
      <c r="Q55" s="6"/>
      <c r="R55" s="6"/>
      <c r="S55" s="6"/>
      <c r="T55" s="6"/>
      <c r="U55" s="6"/>
      <c r="V55" s="6"/>
      <c r="W55" s="6"/>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6"/>
      <c r="BA55" s="6"/>
      <c r="BB55" s="6"/>
      <c r="BC55" s="6"/>
      <c r="BD55" s="6"/>
      <c r="BE55" s="6"/>
      <c r="BF55" s="6"/>
      <c r="BG55" s="6"/>
    </row>
    <row r="56" spans="1:59" x14ac:dyDescent="0.2">
      <c r="A56" s="13"/>
      <c r="B56" s="56"/>
      <c r="C56" s="56"/>
      <c r="D56" s="56"/>
      <c r="E56" s="65"/>
      <c r="F56" s="56"/>
      <c r="G56" s="56"/>
      <c r="H56" s="56"/>
      <c r="I56" s="56"/>
      <c r="J56" s="56"/>
      <c r="K56" s="56"/>
      <c r="L56" s="56"/>
      <c r="M56" s="56"/>
      <c r="N56" s="56"/>
      <c r="O56" s="225"/>
      <c r="P56" s="6"/>
      <c r="Q56" s="6"/>
      <c r="R56" s="6"/>
      <c r="S56" s="6"/>
      <c r="T56" s="6"/>
      <c r="U56" s="6"/>
      <c r="V56" s="6"/>
      <c r="W56" s="6"/>
      <c r="X56" s="6"/>
      <c r="Y56" s="6"/>
      <c r="Z56" s="6"/>
      <c r="AA56" s="6"/>
      <c r="AB56" s="6"/>
      <c r="AC56" s="6"/>
      <c r="AD56" s="6"/>
      <c r="AE56" s="6"/>
      <c r="AF56" s="6"/>
      <c r="AG56" s="6"/>
      <c r="AH56" s="6"/>
      <c r="AI56" s="6"/>
      <c r="AJ56" s="6"/>
      <c r="AK56" s="6"/>
      <c r="AL56" s="6"/>
      <c r="AM56" s="6"/>
      <c r="AN56" s="6"/>
      <c r="AO56" s="6"/>
      <c r="AP56" s="6"/>
      <c r="AQ56" s="6"/>
      <c r="AR56" s="6"/>
      <c r="AS56" s="6"/>
      <c r="AT56" s="6"/>
      <c r="AU56" s="6"/>
      <c r="AV56" s="6"/>
      <c r="AW56" s="6"/>
      <c r="AX56" s="6"/>
      <c r="AY56" s="6"/>
      <c r="AZ56" s="6"/>
      <c r="BA56" s="6"/>
      <c r="BB56" s="6"/>
      <c r="BC56" s="6"/>
      <c r="BD56" s="6"/>
      <c r="BE56" s="6"/>
      <c r="BF56" s="6"/>
      <c r="BG56" s="6"/>
    </row>
    <row r="57" spans="1:59" x14ac:dyDescent="0.2">
      <c r="A57" s="12"/>
      <c r="B57" s="11"/>
      <c r="C57" s="11"/>
      <c r="D57" s="11"/>
      <c r="E57" s="65"/>
      <c r="F57" s="11"/>
      <c r="G57" s="11"/>
      <c r="H57" s="11"/>
      <c r="I57" s="11"/>
      <c r="J57" s="11"/>
      <c r="K57" s="11"/>
      <c r="L57" s="11"/>
      <c r="M57" s="11"/>
      <c r="N57" s="11"/>
      <c r="O57" s="226"/>
      <c r="P57" s="6"/>
      <c r="Q57" s="6"/>
      <c r="R57" s="6"/>
      <c r="S57" s="6"/>
      <c r="T57" s="6"/>
      <c r="U57" s="6"/>
      <c r="V57" s="6"/>
      <c r="W57" s="6"/>
      <c r="X57" s="6"/>
      <c r="Y57" s="6"/>
      <c r="Z57" s="6"/>
      <c r="AA57" s="6"/>
      <c r="AB57" s="6"/>
      <c r="AC57" s="6"/>
      <c r="AD57" s="6"/>
      <c r="AE57" s="6"/>
      <c r="AF57" s="6"/>
      <c r="AG57" s="6"/>
      <c r="AH57" s="6"/>
      <c r="AI57" s="6"/>
      <c r="AJ57" s="6"/>
      <c r="AK57" s="6"/>
      <c r="AL57" s="6"/>
      <c r="AM57" s="6"/>
      <c r="AN57" s="6"/>
      <c r="AO57" s="6"/>
      <c r="AP57" s="6"/>
      <c r="AQ57" s="6"/>
      <c r="AR57" s="6"/>
      <c r="AS57" s="6"/>
      <c r="AT57" s="6"/>
      <c r="AU57" s="6"/>
      <c r="AV57" s="6"/>
      <c r="AW57" s="6"/>
      <c r="AX57" s="6"/>
      <c r="AY57" s="6"/>
      <c r="AZ57" s="6"/>
      <c r="BA57" s="6"/>
      <c r="BB57" s="6"/>
      <c r="BC57" s="6"/>
      <c r="BD57" s="6"/>
      <c r="BE57" s="6"/>
      <c r="BF57" s="6"/>
      <c r="BG57" s="6"/>
    </row>
    <row r="58" spans="1:59" x14ac:dyDescent="0.2">
      <c r="A58" s="14"/>
      <c r="B58" s="13"/>
      <c r="C58" s="13"/>
      <c r="D58" s="13"/>
      <c r="E58" s="63"/>
      <c r="F58" s="13"/>
      <c r="G58" s="13"/>
      <c r="H58" s="14"/>
      <c r="I58" s="13"/>
      <c r="J58" s="13"/>
      <c r="K58" s="180"/>
      <c r="L58" s="101"/>
      <c r="M58" s="101"/>
      <c r="N58" s="101"/>
      <c r="O58" s="223"/>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6"/>
      <c r="AV58" s="6"/>
      <c r="AW58" s="6"/>
      <c r="AX58" s="6"/>
      <c r="AY58" s="6"/>
      <c r="AZ58" s="6"/>
      <c r="BA58" s="6"/>
      <c r="BB58" s="6"/>
      <c r="BC58" s="6"/>
      <c r="BD58" s="6"/>
      <c r="BE58" s="6"/>
      <c r="BF58" s="6"/>
      <c r="BG58" s="6"/>
    </row>
    <row r="59" spans="1:59" x14ac:dyDescent="0.2">
      <c r="A59" s="13"/>
      <c r="B59" s="13"/>
      <c r="C59" s="13"/>
      <c r="D59" s="13"/>
      <c r="E59" s="63"/>
      <c r="F59" s="13"/>
      <c r="G59" s="13"/>
      <c r="H59" s="13"/>
      <c r="I59" s="13"/>
      <c r="J59" s="13"/>
      <c r="K59" s="101"/>
      <c r="L59" s="101"/>
      <c r="M59" s="101"/>
      <c r="N59" s="101"/>
      <c r="O59" s="224"/>
      <c r="P59" s="6"/>
      <c r="Q59" s="6"/>
      <c r="R59" s="6"/>
      <c r="S59" s="6"/>
      <c r="T59" s="6"/>
      <c r="U59" s="6"/>
      <c r="V59" s="6"/>
      <c r="W59" s="6"/>
      <c r="X59" s="6"/>
      <c r="Y59" s="6"/>
      <c r="Z59" s="6"/>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row>
    <row r="60" spans="1:59" x14ac:dyDescent="0.2">
      <c r="A60" s="5"/>
      <c r="B60" s="5"/>
      <c r="C60" s="5"/>
      <c r="D60" s="5"/>
      <c r="E60" s="64"/>
      <c r="F60" s="5"/>
      <c r="G60" s="5"/>
      <c r="H60" s="5"/>
      <c r="I60" s="5"/>
      <c r="J60" s="5"/>
      <c r="K60" s="101"/>
      <c r="L60" s="101"/>
      <c r="M60" s="101"/>
      <c r="N60" s="101"/>
      <c r="O60" s="224"/>
      <c r="P60" s="6"/>
      <c r="Q60" s="6"/>
      <c r="R60" s="6"/>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row>
    <row r="61" spans="1:59" x14ac:dyDescent="0.2">
      <c r="A61" s="5"/>
      <c r="B61" s="5"/>
      <c r="C61" s="5"/>
      <c r="D61" s="5"/>
      <c r="E61" s="241"/>
      <c r="F61" s="5"/>
      <c r="G61" s="5"/>
      <c r="H61" s="5"/>
      <c r="I61" s="5"/>
      <c r="J61" s="5"/>
      <c r="K61" s="101"/>
      <c r="L61" s="101"/>
      <c r="M61" s="101"/>
      <c r="N61" s="101"/>
      <c r="O61" s="224"/>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G61" s="6"/>
    </row>
    <row r="62" spans="1:59" x14ac:dyDescent="0.2">
      <c r="A62" s="3"/>
      <c r="B62" s="5"/>
      <c r="C62" s="5"/>
      <c r="D62" s="5"/>
      <c r="E62" s="64"/>
      <c r="F62" s="5"/>
      <c r="G62" s="5"/>
      <c r="H62" s="3"/>
      <c r="I62" s="5"/>
      <c r="J62" s="3"/>
      <c r="K62" s="101"/>
      <c r="L62" s="101"/>
      <c r="M62" s="101"/>
      <c r="N62" s="101"/>
      <c r="O62" s="224"/>
      <c r="P62" s="6"/>
      <c r="Q62" s="6"/>
      <c r="R62" s="6"/>
      <c r="S62" s="6"/>
      <c r="T62" s="6"/>
      <c r="U62" s="6"/>
      <c r="V62" s="6"/>
      <c r="W62" s="6"/>
      <c r="X62" s="6"/>
      <c r="Y62" s="6"/>
      <c r="Z62" s="6"/>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G62" s="6"/>
    </row>
    <row r="63" spans="1:59" x14ac:dyDescent="0.2">
      <c r="A63" s="3"/>
      <c r="B63" s="3"/>
      <c r="C63" s="5"/>
      <c r="D63" s="5"/>
      <c r="E63" s="64"/>
      <c r="F63" s="5"/>
      <c r="G63" s="5"/>
      <c r="H63" s="3"/>
      <c r="I63" s="5"/>
      <c r="J63" s="3"/>
      <c r="K63" s="101"/>
      <c r="L63" s="101"/>
      <c r="M63" s="101"/>
      <c r="N63" s="101"/>
      <c r="O63" s="223"/>
      <c r="P63" s="6"/>
      <c r="Q63" s="6"/>
      <c r="R63" s="6"/>
      <c r="S63" s="6"/>
      <c r="T63" s="6"/>
      <c r="U63" s="6"/>
      <c r="V63" s="6"/>
      <c r="W63" s="6"/>
      <c r="X63" s="6"/>
      <c r="Y63" s="6"/>
      <c r="Z63" s="6"/>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6"/>
      <c r="BA63" s="6"/>
      <c r="BB63" s="6"/>
      <c r="BC63" s="6"/>
      <c r="BD63" s="6"/>
      <c r="BE63" s="6"/>
      <c r="BF63" s="6"/>
      <c r="BG63" s="6"/>
    </row>
    <row r="64" spans="1:59" x14ac:dyDescent="0.2">
      <c r="A64" s="12"/>
      <c r="B64" s="13"/>
      <c r="C64" s="13"/>
      <c r="D64" s="13"/>
      <c r="E64" s="63"/>
      <c r="F64" s="13"/>
      <c r="G64" s="13"/>
      <c r="H64" s="13"/>
      <c r="I64" s="13"/>
      <c r="J64" s="13"/>
      <c r="K64" s="101"/>
      <c r="L64" s="101"/>
      <c r="M64" s="101"/>
      <c r="N64" s="101"/>
      <c r="O64" s="223"/>
      <c r="P64" s="6"/>
      <c r="Q64" s="6"/>
      <c r="R64" s="6"/>
      <c r="S64" s="6"/>
      <c r="T64" s="6"/>
      <c r="U64" s="6"/>
      <c r="V64" s="6"/>
      <c r="W64" s="6"/>
      <c r="X64" s="6"/>
      <c r="Y64" s="6"/>
      <c r="Z64" s="6"/>
      <c r="AA64" s="6"/>
      <c r="AB64" s="6"/>
      <c r="AC64" s="6"/>
      <c r="AD64" s="6"/>
      <c r="AE64" s="6"/>
      <c r="AF64" s="6"/>
      <c r="AG64" s="6"/>
      <c r="AH64" s="6"/>
      <c r="AI64" s="6"/>
      <c r="AJ64" s="6"/>
      <c r="AK64" s="6"/>
      <c r="AL64" s="6"/>
      <c r="AM64" s="6"/>
      <c r="AN64" s="6"/>
      <c r="AO64" s="6"/>
      <c r="AP64" s="6"/>
      <c r="AQ64" s="6"/>
      <c r="AR64" s="6"/>
      <c r="AS64" s="6"/>
      <c r="AT64" s="6"/>
      <c r="AU64" s="6"/>
      <c r="AV64" s="6"/>
      <c r="AW64" s="6"/>
      <c r="AX64" s="6"/>
      <c r="AY64" s="6"/>
      <c r="AZ64" s="6"/>
      <c r="BA64" s="6"/>
      <c r="BB64" s="6"/>
      <c r="BC64" s="6"/>
      <c r="BD64" s="6"/>
      <c r="BE64" s="6"/>
      <c r="BF64" s="6"/>
      <c r="BG64" s="6"/>
    </row>
    <row r="65" spans="1:59" x14ac:dyDescent="0.2">
      <c r="A65" s="14"/>
      <c r="B65" s="14"/>
      <c r="C65" s="13"/>
      <c r="D65" s="13"/>
      <c r="E65" s="181"/>
      <c r="F65" s="13"/>
      <c r="G65" s="14"/>
      <c r="H65" s="14"/>
      <c r="I65" s="13"/>
      <c r="J65" s="14"/>
      <c r="K65" s="101"/>
      <c r="L65" s="101"/>
      <c r="M65" s="101"/>
      <c r="N65" s="101"/>
      <c r="O65" s="223"/>
      <c r="P65" s="6"/>
      <c r="Q65" s="6"/>
      <c r="R65" s="6"/>
      <c r="S65" s="6"/>
      <c r="T65" s="6"/>
      <c r="U65" s="6"/>
      <c r="V65" s="6"/>
      <c r="W65" s="6"/>
      <c r="X65" s="6"/>
      <c r="Y65" s="6"/>
      <c r="Z65" s="6"/>
      <c r="AA65" s="6"/>
      <c r="AB65" s="6"/>
      <c r="AC65" s="6"/>
      <c r="AD65" s="6"/>
      <c r="AE65" s="6"/>
      <c r="AF65" s="6"/>
      <c r="AG65" s="6"/>
      <c r="AH65" s="6"/>
      <c r="AI65" s="6"/>
      <c r="AJ65" s="6"/>
      <c r="AK65" s="6"/>
      <c r="AL65" s="6"/>
      <c r="AM65" s="6"/>
      <c r="AN65" s="6"/>
      <c r="AO65" s="6"/>
      <c r="AP65" s="6"/>
      <c r="AQ65" s="6"/>
      <c r="AR65" s="6"/>
      <c r="AS65" s="6"/>
      <c r="AT65" s="6"/>
      <c r="AU65" s="6"/>
      <c r="AV65" s="6"/>
      <c r="AW65" s="6"/>
      <c r="AX65" s="6"/>
      <c r="AY65" s="6"/>
      <c r="AZ65" s="6"/>
      <c r="BA65" s="6"/>
      <c r="BB65" s="6"/>
      <c r="BC65" s="6"/>
      <c r="BD65" s="6"/>
      <c r="BE65" s="6"/>
      <c r="BF65" s="6"/>
      <c r="BG65" s="6"/>
    </row>
    <row r="66" spans="1:59" x14ac:dyDescent="0.2">
      <c r="A66" s="13"/>
      <c r="B66" s="13"/>
      <c r="C66" s="13"/>
      <c r="D66" s="13"/>
      <c r="E66" s="63"/>
      <c r="F66" s="13"/>
      <c r="G66" s="13"/>
      <c r="H66" s="13"/>
      <c r="I66" s="13"/>
      <c r="J66" s="13"/>
      <c r="K66" s="101"/>
      <c r="L66" s="101"/>
      <c r="M66" s="101"/>
      <c r="N66" s="101"/>
      <c r="O66" s="223"/>
      <c r="P66" s="6"/>
      <c r="Q66" s="6"/>
      <c r="R66" s="6"/>
      <c r="S66" s="6"/>
      <c r="T66" s="6"/>
      <c r="U66" s="6"/>
      <c r="V66" s="6"/>
      <c r="W66" s="6"/>
      <c r="X66" s="6"/>
      <c r="Y66" s="6"/>
      <c r="Z66" s="6"/>
      <c r="AA66" s="6"/>
      <c r="AB66" s="6"/>
      <c r="AC66" s="6"/>
      <c r="AD66" s="6"/>
      <c r="AE66" s="6"/>
      <c r="AF66" s="6"/>
      <c r="AG66" s="6"/>
      <c r="AH66" s="6"/>
      <c r="AI66" s="6"/>
      <c r="AJ66" s="6"/>
      <c r="AK66" s="6"/>
      <c r="AL66" s="6"/>
      <c r="AM66" s="6"/>
      <c r="AN66" s="6"/>
      <c r="AO66" s="6"/>
      <c r="AP66" s="6"/>
      <c r="AQ66" s="6"/>
      <c r="AR66" s="6"/>
      <c r="AS66" s="6"/>
      <c r="AT66" s="6"/>
      <c r="AU66" s="6"/>
      <c r="AV66" s="6"/>
      <c r="AW66" s="6"/>
      <c r="AX66" s="6"/>
      <c r="AY66" s="6"/>
      <c r="AZ66" s="6"/>
      <c r="BA66" s="6"/>
      <c r="BB66" s="6"/>
      <c r="BC66" s="6"/>
      <c r="BD66" s="6"/>
      <c r="BE66" s="6"/>
      <c r="BF66" s="6"/>
      <c r="BG66" s="6"/>
    </row>
    <row r="67" spans="1:59" x14ac:dyDescent="0.2">
      <c r="A67" s="13"/>
      <c r="B67" s="13"/>
      <c r="C67" s="13"/>
      <c r="D67" s="13"/>
      <c r="E67" s="63"/>
      <c r="F67" s="13"/>
      <c r="G67" s="13"/>
      <c r="H67" s="14"/>
      <c r="I67" s="13"/>
      <c r="J67" s="13"/>
      <c r="K67" s="101"/>
      <c r="L67" s="101"/>
      <c r="M67" s="101"/>
      <c r="N67" s="101"/>
      <c r="O67" s="223"/>
      <c r="P67" s="6"/>
      <c r="Q67" s="6"/>
      <c r="R67" s="6"/>
      <c r="S67" s="6"/>
      <c r="T67" s="6"/>
      <c r="U67" s="6"/>
      <c r="V67" s="6"/>
      <c r="W67" s="6"/>
      <c r="X67" s="6"/>
      <c r="Y67" s="6"/>
      <c r="Z67" s="6"/>
      <c r="AA67" s="6"/>
      <c r="AB67" s="6"/>
      <c r="AC67" s="6"/>
      <c r="AD67" s="6"/>
      <c r="AE67" s="6"/>
      <c r="AF67" s="6"/>
      <c r="AG67" s="6"/>
      <c r="AH67" s="6"/>
      <c r="AI67" s="6"/>
      <c r="AJ67" s="6"/>
      <c r="AK67" s="6"/>
      <c r="AL67" s="6"/>
      <c r="AM67" s="6"/>
      <c r="AN67" s="6"/>
      <c r="AO67" s="6"/>
      <c r="AP67" s="6"/>
      <c r="AQ67" s="6"/>
      <c r="AR67" s="6"/>
      <c r="AS67" s="6"/>
      <c r="AT67" s="6"/>
      <c r="AU67" s="6"/>
      <c r="AV67" s="6"/>
      <c r="AW67" s="6"/>
      <c r="AX67" s="6"/>
      <c r="AY67" s="6"/>
      <c r="AZ67" s="6"/>
      <c r="BA67" s="6"/>
      <c r="BB67" s="6"/>
      <c r="BC67" s="6"/>
      <c r="BD67" s="6"/>
      <c r="BE67" s="6"/>
      <c r="BF67" s="6"/>
      <c r="BG67" s="6"/>
    </row>
    <row r="68" spans="1:59" x14ac:dyDescent="0.2">
      <c r="A68" s="13"/>
      <c r="B68" s="13"/>
      <c r="C68" s="13"/>
      <c r="D68" s="13"/>
      <c r="E68" s="63"/>
      <c r="F68" s="13"/>
      <c r="G68" s="13"/>
      <c r="H68" s="13"/>
      <c r="I68" s="13"/>
      <c r="J68" s="13"/>
      <c r="K68" s="101"/>
      <c r="L68" s="101"/>
      <c r="M68" s="101"/>
      <c r="N68" s="101"/>
      <c r="O68" s="223"/>
      <c r="P68" s="6"/>
      <c r="Q68" s="6"/>
      <c r="R68" s="6"/>
      <c r="S68" s="6"/>
      <c r="T68" s="6"/>
      <c r="U68" s="6"/>
      <c r="V68" s="6"/>
      <c r="W68" s="6"/>
      <c r="X68" s="6"/>
      <c r="Y68" s="6"/>
      <c r="Z68" s="6"/>
      <c r="AA68" s="6"/>
      <c r="AB68" s="6"/>
      <c r="AC68" s="6"/>
      <c r="AD68" s="6"/>
      <c r="AE68" s="6"/>
      <c r="AF68" s="6"/>
      <c r="AG68" s="6"/>
      <c r="AH68" s="6"/>
      <c r="AI68" s="6"/>
      <c r="AJ68" s="6"/>
      <c r="AK68" s="6"/>
      <c r="AL68" s="6"/>
      <c r="AM68" s="6"/>
      <c r="AN68" s="6"/>
      <c r="AO68" s="6"/>
      <c r="AP68" s="6"/>
      <c r="AQ68" s="6"/>
      <c r="AR68" s="6"/>
      <c r="AS68" s="6"/>
      <c r="AT68" s="6"/>
      <c r="AU68" s="6"/>
      <c r="AV68" s="6"/>
      <c r="AW68" s="6"/>
      <c r="AX68" s="6"/>
      <c r="AY68" s="6"/>
      <c r="AZ68" s="6"/>
      <c r="BA68" s="6"/>
      <c r="BB68" s="6"/>
      <c r="BC68" s="6"/>
      <c r="BD68" s="6"/>
      <c r="BE68" s="6"/>
      <c r="BF68" s="6"/>
      <c r="BG68" s="6"/>
    </row>
    <row r="69" spans="1:59" x14ac:dyDescent="0.2">
      <c r="A69" s="5"/>
      <c r="B69" s="5"/>
      <c r="C69" s="5"/>
      <c r="D69" s="5"/>
      <c r="E69" s="64"/>
      <c r="F69" s="5"/>
      <c r="G69" s="5"/>
      <c r="H69" s="5"/>
      <c r="I69" s="5"/>
      <c r="J69" s="5"/>
      <c r="K69" s="101"/>
      <c r="L69" s="101"/>
      <c r="M69" s="101"/>
      <c r="N69" s="101"/>
      <c r="O69" s="223"/>
      <c r="P69" s="6"/>
      <c r="Q69" s="6"/>
      <c r="R69" s="6"/>
      <c r="S69" s="6"/>
      <c r="T69" s="6"/>
      <c r="U69" s="6"/>
      <c r="V69" s="6"/>
      <c r="W69" s="6"/>
      <c r="X69" s="6"/>
      <c r="Y69" s="6"/>
      <c r="Z69" s="6"/>
      <c r="AA69" s="6"/>
      <c r="AB69" s="6"/>
      <c r="AC69" s="6"/>
      <c r="AD69" s="6"/>
      <c r="AE69" s="6"/>
      <c r="AF69" s="6"/>
      <c r="AG69" s="6"/>
      <c r="AH69" s="6"/>
      <c r="AI69" s="6"/>
      <c r="AJ69" s="6"/>
      <c r="AK69" s="6"/>
      <c r="AL69" s="6"/>
      <c r="AM69" s="6"/>
      <c r="AN69" s="6"/>
      <c r="AO69" s="6"/>
      <c r="AP69" s="6"/>
      <c r="AQ69" s="6"/>
      <c r="AR69" s="6"/>
      <c r="AS69" s="6"/>
      <c r="AT69" s="6"/>
      <c r="AU69" s="6"/>
      <c r="AV69" s="6"/>
      <c r="AW69" s="6"/>
      <c r="AX69" s="6"/>
      <c r="AY69" s="6"/>
      <c r="AZ69" s="6"/>
      <c r="BA69" s="6"/>
      <c r="BB69" s="6"/>
      <c r="BC69" s="6"/>
      <c r="BD69" s="6"/>
      <c r="BE69" s="6"/>
      <c r="BF69" s="6"/>
      <c r="BG69" s="6"/>
    </row>
    <row r="70" spans="1:59" x14ac:dyDescent="0.2">
      <c r="A70" s="5"/>
      <c r="B70" s="5"/>
      <c r="C70" s="5"/>
      <c r="D70" s="5"/>
      <c r="E70" s="64"/>
      <c r="F70" s="5"/>
      <c r="G70" s="5"/>
      <c r="H70" s="5"/>
      <c r="I70" s="5"/>
      <c r="J70" s="5"/>
      <c r="K70" s="101"/>
      <c r="L70" s="101"/>
      <c r="M70" s="101"/>
      <c r="N70" s="101"/>
      <c r="O70" s="223"/>
      <c r="P70" s="6"/>
      <c r="Q70" s="6"/>
      <c r="R70" s="6"/>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6"/>
      <c r="AV70" s="6"/>
      <c r="AW70" s="6"/>
      <c r="AX70" s="6"/>
      <c r="AY70" s="6"/>
      <c r="AZ70" s="6"/>
      <c r="BA70" s="6"/>
      <c r="BB70" s="6"/>
      <c r="BC70" s="6"/>
      <c r="BD70" s="6"/>
      <c r="BE70" s="6"/>
      <c r="BF70" s="6"/>
      <c r="BG70" s="6"/>
    </row>
    <row r="71" spans="1:59" x14ac:dyDescent="0.2">
      <c r="A71" s="14"/>
      <c r="B71" s="14"/>
      <c r="C71" s="13"/>
      <c r="D71" s="13"/>
      <c r="E71" s="181"/>
      <c r="F71" s="13"/>
      <c r="G71" s="13"/>
      <c r="H71" s="14"/>
      <c r="I71" s="13"/>
      <c r="J71" s="14"/>
      <c r="K71" s="101"/>
      <c r="L71" s="101"/>
      <c r="M71" s="101"/>
      <c r="N71" s="101"/>
      <c r="O71" s="223"/>
      <c r="P71" s="6"/>
      <c r="Q71" s="6"/>
      <c r="R71" s="6"/>
      <c r="S71" s="6"/>
      <c r="T71" s="6"/>
      <c r="U71" s="6"/>
      <c r="V71" s="6"/>
      <c r="W71" s="6"/>
      <c r="X71" s="6"/>
      <c r="Y71" s="6"/>
      <c r="Z71" s="6"/>
      <c r="AA71" s="6"/>
      <c r="AB71" s="6"/>
      <c r="AC71" s="6"/>
      <c r="AD71" s="6"/>
      <c r="AE71" s="6"/>
      <c r="AF71" s="6"/>
      <c r="AG71" s="6"/>
      <c r="AH71" s="6"/>
      <c r="AI71" s="6"/>
      <c r="AJ71" s="6"/>
      <c r="AK71" s="6"/>
      <c r="AL71" s="6"/>
      <c r="AM71" s="6"/>
      <c r="AN71" s="6"/>
      <c r="AO71" s="6"/>
      <c r="AP71" s="6"/>
      <c r="AQ71" s="6"/>
      <c r="AR71" s="6"/>
      <c r="AS71" s="6"/>
      <c r="AT71" s="6"/>
      <c r="AU71" s="6"/>
      <c r="AV71" s="6"/>
      <c r="AW71" s="6"/>
      <c r="AX71" s="6"/>
      <c r="AY71" s="6"/>
      <c r="AZ71" s="6"/>
      <c r="BA71" s="6"/>
      <c r="BB71" s="6"/>
      <c r="BC71" s="6"/>
      <c r="BD71" s="6"/>
      <c r="BE71" s="6"/>
      <c r="BF71" s="6"/>
      <c r="BG71" s="6"/>
    </row>
    <row r="72" spans="1:59" x14ac:dyDescent="0.2">
      <c r="A72" s="13"/>
      <c r="B72" s="13"/>
      <c r="C72" s="13"/>
      <c r="D72" s="13"/>
      <c r="E72" s="63"/>
      <c r="F72" s="13"/>
      <c r="G72" s="13"/>
      <c r="H72" s="13"/>
      <c r="I72" s="13"/>
      <c r="J72" s="13"/>
      <c r="K72" s="101"/>
      <c r="L72" s="101"/>
      <c r="M72" s="101"/>
      <c r="N72" s="101"/>
      <c r="O72" s="223"/>
      <c r="P72" s="6"/>
      <c r="Q72" s="6"/>
      <c r="R72" s="6"/>
      <c r="S72" s="6"/>
      <c r="T72" s="6"/>
      <c r="U72" s="6"/>
      <c r="V72" s="6"/>
      <c r="W72" s="6"/>
      <c r="X72" s="6"/>
      <c r="Y72" s="6"/>
      <c r="Z72" s="6"/>
      <c r="AA72" s="6"/>
      <c r="AB72" s="6"/>
      <c r="AC72" s="6"/>
      <c r="AD72" s="6"/>
      <c r="AE72" s="6"/>
      <c r="AF72" s="6"/>
      <c r="AG72" s="6"/>
      <c r="AH72" s="6"/>
      <c r="AI72" s="6"/>
      <c r="AJ72" s="6"/>
      <c r="AK72" s="6"/>
      <c r="AL72" s="6"/>
      <c r="AM72" s="6"/>
      <c r="AN72" s="6"/>
      <c r="AO72" s="6"/>
      <c r="AP72" s="6"/>
      <c r="AQ72" s="6"/>
      <c r="AR72" s="6"/>
      <c r="AS72" s="6"/>
      <c r="AT72" s="6"/>
      <c r="AU72" s="6"/>
      <c r="AV72" s="6"/>
      <c r="AW72" s="6"/>
      <c r="AX72" s="6"/>
      <c r="AY72" s="6"/>
      <c r="AZ72" s="6"/>
      <c r="BA72" s="6"/>
      <c r="BB72" s="6"/>
      <c r="BC72" s="6"/>
      <c r="BD72" s="6"/>
      <c r="BE72" s="6"/>
      <c r="BF72" s="6"/>
      <c r="BG72" s="6"/>
    </row>
    <row r="73" spans="1:59" x14ac:dyDescent="0.2">
      <c r="A73" s="13"/>
      <c r="B73" s="13"/>
      <c r="C73" s="13"/>
      <c r="D73" s="13"/>
      <c r="E73" s="63"/>
      <c r="F73" s="13"/>
      <c r="G73" s="13"/>
      <c r="H73" s="13"/>
      <c r="I73" s="13"/>
      <c r="J73" s="13"/>
      <c r="K73" s="101"/>
      <c r="L73" s="101"/>
      <c r="M73" s="101"/>
      <c r="N73" s="101"/>
      <c r="O73" s="223"/>
      <c r="P73" s="6"/>
      <c r="Q73" s="6"/>
      <c r="R73" s="6"/>
      <c r="S73" s="6"/>
      <c r="T73" s="6"/>
      <c r="U73" s="6"/>
      <c r="V73" s="6"/>
      <c r="W73" s="6"/>
      <c r="X73" s="6"/>
      <c r="Y73" s="6"/>
      <c r="Z73" s="6"/>
      <c r="AA73" s="6"/>
      <c r="AB73" s="6"/>
      <c r="AC73" s="6"/>
      <c r="AD73" s="6"/>
      <c r="AE73" s="6"/>
      <c r="AF73" s="6"/>
      <c r="AG73" s="6"/>
      <c r="AH73" s="6"/>
      <c r="AI73" s="6"/>
      <c r="AJ73" s="6"/>
      <c r="AK73" s="6"/>
      <c r="AL73" s="6"/>
      <c r="AM73" s="6"/>
      <c r="AN73" s="6"/>
      <c r="AO73" s="6"/>
      <c r="AP73" s="6"/>
      <c r="AQ73" s="6"/>
      <c r="AR73" s="6"/>
      <c r="AS73" s="6"/>
      <c r="AT73" s="6"/>
      <c r="AU73" s="6"/>
      <c r="AV73" s="6"/>
      <c r="AW73" s="6"/>
      <c r="AX73" s="6"/>
      <c r="AY73" s="6"/>
      <c r="AZ73" s="6"/>
      <c r="BA73" s="6"/>
      <c r="BB73" s="6"/>
      <c r="BC73" s="6"/>
      <c r="BD73" s="6"/>
      <c r="BE73" s="6"/>
      <c r="BF73" s="6"/>
      <c r="BG73" s="6"/>
    </row>
    <row r="74" spans="1:59" x14ac:dyDescent="0.2">
      <c r="A74" s="13"/>
      <c r="B74" s="13"/>
      <c r="C74" s="13"/>
      <c r="D74" s="13"/>
      <c r="E74" s="63"/>
      <c r="F74" s="13"/>
      <c r="G74" s="13"/>
      <c r="H74" s="13"/>
      <c r="I74" s="13"/>
      <c r="J74" s="13"/>
      <c r="K74" s="101"/>
      <c r="L74" s="101"/>
      <c r="M74" s="101"/>
      <c r="N74" s="101"/>
      <c r="O74" s="223"/>
      <c r="P74" s="6"/>
      <c r="Q74" s="6"/>
      <c r="R74" s="6"/>
      <c r="S74" s="6"/>
      <c r="T74" s="6"/>
      <c r="U74" s="6"/>
      <c r="V74" s="6"/>
      <c r="W74" s="6"/>
      <c r="X74" s="6"/>
      <c r="Y74" s="6"/>
      <c r="Z74" s="6"/>
      <c r="AA74" s="6"/>
      <c r="AB74" s="6"/>
      <c r="AC74" s="6"/>
      <c r="AD74" s="6"/>
      <c r="AE74" s="6"/>
      <c r="AF74" s="6"/>
      <c r="AG74" s="6"/>
      <c r="AH74" s="6"/>
      <c r="AI74" s="6"/>
      <c r="AJ74" s="6"/>
      <c r="AK74" s="6"/>
      <c r="AL74" s="6"/>
      <c r="AM74" s="6"/>
      <c r="AN74" s="6"/>
      <c r="AO74" s="6"/>
      <c r="AP74" s="6"/>
      <c r="AQ74" s="6"/>
      <c r="AR74" s="6"/>
      <c r="AS74" s="6"/>
      <c r="AT74" s="6"/>
      <c r="AU74" s="6"/>
      <c r="AV74" s="6"/>
      <c r="AW74" s="6"/>
      <c r="AX74" s="6"/>
      <c r="AY74" s="6"/>
      <c r="AZ74" s="6"/>
      <c r="BA74" s="6"/>
      <c r="BB74" s="6"/>
      <c r="BC74" s="6"/>
      <c r="BD74" s="6"/>
      <c r="BE74" s="6"/>
      <c r="BF74" s="6"/>
      <c r="BG74" s="6"/>
    </row>
    <row r="75" spans="1:59" x14ac:dyDescent="0.2">
      <c r="A75" s="13"/>
      <c r="B75" s="13"/>
      <c r="C75" s="13"/>
      <c r="D75" s="13"/>
      <c r="E75" s="63"/>
      <c r="F75" s="13"/>
      <c r="G75" s="13"/>
      <c r="H75" s="13"/>
      <c r="I75" s="13"/>
      <c r="J75" s="13"/>
      <c r="K75" s="101"/>
      <c r="L75" s="101"/>
      <c r="M75" s="101"/>
      <c r="N75" s="101"/>
      <c r="O75" s="223"/>
      <c r="P75" s="6"/>
      <c r="Q75" s="6"/>
      <c r="R75" s="6"/>
      <c r="S75" s="6"/>
      <c r="T75" s="6"/>
      <c r="U75" s="6"/>
      <c r="V75" s="6"/>
      <c r="W75" s="6"/>
      <c r="X75" s="6"/>
      <c r="Y75" s="6"/>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c r="AZ75" s="6"/>
      <c r="BA75" s="6"/>
      <c r="BB75" s="6"/>
      <c r="BC75" s="6"/>
      <c r="BD75" s="6"/>
      <c r="BE75" s="6"/>
      <c r="BF75" s="6"/>
      <c r="BG75" s="6"/>
    </row>
    <row r="76" spans="1:59" x14ac:dyDescent="0.2">
      <c r="A76" s="13"/>
      <c r="B76" s="13"/>
      <c r="C76" s="13"/>
      <c r="D76" s="13"/>
      <c r="E76" s="63"/>
      <c r="F76" s="13"/>
      <c r="G76" s="13"/>
      <c r="H76" s="13"/>
      <c r="I76" s="13"/>
      <c r="J76" s="13"/>
      <c r="K76" s="101"/>
      <c r="L76" s="101"/>
      <c r="M76" s="101"/>
      <c r="N76" s="101"/>
      <c r="O76" s="223"/>
      <c r="P76" s="6"/>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6"/>
      <c r="AS76" s="6"/>
      <c r="AT76" s="6"/>
      <c r="AU76" s="6"/>
      <c r="AV76" s="6"/>
      <c r="AW76" s="6"/>
      <c r="AX76" s="6"/>
      <c r="AY76" s="6"/>
      <c r="AZ76" s="6"/>
      <c r="BA76" s="6"/>
      <c r="BB76" s="6"/>
      <c r="BC76" s="6"/>
      <c r="BD76" s="6"/>
      <c r="BE76" s="6"/>
      <c r="BF76" s="6"/>
      <c r="BG76" s="6"/>
    </row>
    <row r="77" spans="1:59" x14ac:dyDescent="0.2">
      <c r="A77" s="13"/>
      <c r="B77" s="13"/>
      <c r="C77" s="13"/>
      <c r="D77" s="13"/>
      <c r="E77" s="63"/>
      <c r="F77" s="13"/>
      <c r="G77" s="13"/>
      <c r="H77" s="13"/>
      <c r="I77" s="13"/>
      <c r="J77" s="13"/>
      <c r="K77" s="101"/>
      <c r="L77" s="101"/>
      <c r="M77" s="101"/>
      <c r="N77" s="101"/>
      <c r="O77" s="223"/>
      <c r="P77" s="6"/>
      <c r="Q77" s="6"/>
      <c r="R77" s="6"/>
      <c r="S77" s="6"/>
      <c r="T77" s="6"/>
      <c r="U77" s="6"/>
      <c r="V77" s="6"/>
      <c r="W77" s="6"/>
      <c r="X77" s="6"/>
      <c r="Y77" s="6"/>
      <c r="Z77" s="6"/>
      <c r="AA77" s="6"/>
      <c r="AB77" s="6"/>
      <c r="AC77" s="6"/>
      <c r="AD77" s="6"/>
      <c r="AE77" s="6"/>
      <c r="AF77" s="6"/>
      <c r="AG77" s="6"/>
      <c r="AH77" s="6"/>
      <c r="AI77" s="6"/>
      <c r="AJ77" s="6"/>
      <c r="AK77" s="6"/>
      <c r="AL77" s="6"/>
      <c r="AM77" s="6"/>
      <c r="AN77" s="6"/>
      <c r="AO77" s="6"/>
      <c r="AP77" s="6"/>
      <c r="AQ77" s="6"/>
      <c r="AR77" s="6"/>
      <c r="AS77" s="6"/>
      <c r="AT77" s="6"/>
      <c r="AU77" s="6"/>
      <c r="AV77" s="6"/>
      <c r="AW77" s="6"/>
      <c r="AX77" s="6"/>
      <c r="AY77" s="6"/>
      <c r="AZ77" s="6"/>
      <c r="BA77" s="6"/>
      <c r="BB77" s="6"/>
      <c r="BC77" s="6"/>
      <c r="BD77" s="6"/>
      <c r="BE77" s="6"/>
      <c r="BF77" s="6"/>
      <c r="BG77" s="6"/>
    </row>
    <row r="78" spans="1:59" x14ac:dyDescent="0.2">
      <c r="A78" s="13"/>
      <c r="B78" s="13"/>
      <c r="C78" s="13"/>
      <c r="D78" s="13"/>
      <c r="E78" s="63"/>
      <c r="F78" s="13"/>
      <c r="G78" s="13"/>
      <c r="H78" s="13"/>
      <c r="I78" s="13"/>
      <c r="J78" s="13"/>
      <c r="K78" s="101"/>
      <c r="L78" s="101"/>
      <c r="M78" s="101"/>
      <c r="N78" s="101"/>
      <c r="O78" s="223"/>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c r="AT78" s="6"/>
      <c r="AU78" s="6"/>
      <c r="AV78" s="6"/>
      <c r="AW78" s="6"/>
      <c r="AX78" s="6"/>
      <c r="AY78" s="6"/>
      <c r="AZ78" s="6"/>
      <c r="BA78" s="6"/>
      <c r="BB78" s="6"/>
      <c r="BC78" s="6"/>
      <c r="BD78" s="6"/>
      <c r="BE78" s="6"/>
      <c r="BF78" s="6"/>
      <c r="BG78" s="6"/>
    </row>
    <row r="79" spans="1:59" x14ac:dyDescent="0.2">
      <c r="A79" s="13"/>
      <c r="B79" s="13"/>
      <c r="C79" s="13"/>
      <c r="D79" s="13"/>
      <c r="E79" s="63"/>
      <c r="F79" s="13"/>
      <c r="G79" s="13"/>
      <c r="H79" s="13"/>
      <c r="I79" s="13"/>
      <c r="J79" s="13"/>
      <c r="K79" s="101"/>
      <c r="L79" s="101"/>
      <c r="M79" s="101"/>
      <c r="N79" s="101"/>
      <c r="O79" s="223"/>
      <c r="P79" s="6"/>
      <c r="Q79" s="6"/>
      <c r="R79" s="6"/>
      <c r="S79" s="6"/>
      <c r="T79" s="6"/>
      <c r="U79" s="6"/>
      <c r="V79" s="6"/>
      <c r="W79" s="6"/>
      <c r="X79" s="6"/>
      <c r="Y79" s="6"/>
      <c r="Z79" s="6"/>
      <c r="AA79" s="6"/>
      <c r="AB79" s="6"/>
      <c r="AC79" s="6"/>
      <c r="AD79" s="6"/>
      <c r="AE79" s="6"/>
      <c r="AF79" s="6"/>
      <c r="AG79" s="6"/>
      <c r="AH79" s="6"/>
      <c r="AI79" s="6"/>
      <c r="AJ79" s="6"/>
      <c r="AK79" s="6"/>
      <c r="AL79" s="6"/>
      <c r="AM79" s="6"/>
      <c r="AN79" s="6"/>
      <c r="AO79" s="6"/>
      <c r="AP79" s="6"/>
      <c r="AQ79" s="6"/>
      <c r="AR79" s="6"/>
      <c r="AS79" s="6"/>
      <c r="AT79" s="6"/>
      <c r="AU79" s="6"/>
      <c r="AV79" s="6"/>
      <c r="AW79" s="6"/>
      <c r="AX79" s="6"/>
      <c r="AY79" s="6"/>
      <c r="AZ79" s="6"/>
      <c r="BA79" s="6"/>
      <c r="BB79" s="6"/>
      <c r="BC79" s="6"/>
      <c r="BD79" s="6"/>
      <c r="BE79" s="6"/>
      <c r="BF79" s="6"/>
      <c r="BG79" s="6"/>
    </row>
    <row r="80" spans="1:59" x14ac:dyDescent="0.2">
      <c r="A80" s="13"/>
      <c r="B80" s="13"/>
      <c r="C80" s="13"/>
      <c r="D80" s="13"/>
      <c r="E80" s="63"/>
      <c r="F80" s="13"/>
      <c r="G80" s="13"/>
      <c r="H80" s="13"/>
      <c r="I80" s="13"/>
      <c r="J80" s="13"/>
      <c r="K80" s="101"/>
      <c r="L80" s="101"/>
      <c r="M80" s="101"/>
      <c r="N80" s="101"/>
      <c r="O80" s="223"/>
      <c r="P80" s="6"/>
      <c r="Q80" s="6"/>
      <c r="R80" s="6"/>
      <c r="S80" s="6"/>
      <c r="T80" s="6"/>
      <c r="U80" s="6"/>
      <c r="V80" s="6"/>
      <c r="W80" s="6"/>
      <c r="X80" s="6"/>
      <c r="Y80" s="6"/>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c r="AZ80" s="6"/>
      <c r="BA80" s="6"/>
      <c r="BB80" s="6"/>
      <c r="BC80" s="6"/>
      <c r="BD80" s="6"/>
      <c r="BE80" s="6"/>
      <c r="BF80" s="6"/>
      <c r="BG80" s="6"/>
    </row>
    <row r="81" spans="1:59" x14ac:dyDescent="0.2">
      <c r="A81" s="13"/>
      <c r="B81" s="13"/>
      <c r="C81" s="13"/>
      <c r="D81" s="13"/>
      <c r="E81" s="63"/>
      <c r="F81" s="13"/>
      <c r="G81" s="13"/>
      <c r="H81" s="13"/>
      <c r="I81" s="13"/>
      <c r="J81" s="13"/>
      <c r="K81" s="101"/>
      <c r="L81" s="101"/>
      <c r="M81" s="101"/>
      <c r="N81" s="101"/>
      <c r="O81" s="223"/>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6"/>
      <c r="AV81" s="6"/>
      <c r="AW81" s="6"/>
      <c r="AX81" s="6"/>
      <c r="AY81" s="6"/>
      <c r="AZ81" s="6"/>
      <c r="BA81" s="6"/>
      <c r="BB81" s="6"/>
      <c r="BC81" s="6"/>
      <c r="BD81" s="6"/>
      <c r="BE81" s="6"/>
      <c r="BF81" s="6"/>
      <c r="BG81" s="6"/>
    </row>
    <row r="82" spans="1:59" x14ac:dyDescent="0.2">
      <c r="A82" s="13"/>
      <c r="B82" s="13"/>
      <c r="C82" s="13"/>
      <c r="D82" s="13"/>
      <c r="E82" s="63"/>
      <c r="F82" s="13"/>
      <c r="G82" s="13"/>
      <c r="H82" s="13"/>
      <c r="I82" s="13"/>
      <c r="J82" s="13"/>
      <c r="K82" s="101"/>
      <c r="L82" s="101"/>
      <c r="M82" s="101"/>
      <c r="N82" s="101"/>
      <c r="O82" s="223"/>
      <c r="P82" s="6"/>
      <c r="Q82" s="6"/>
      <c r="R82" s="6"/>
      <c r="S82" s="6"/>
      <c r="T82" s="6"/>
      <c r="U82" s="6"/>
      <c r="V82" s="6"/>
      <c r="W82" s="6"/>
      <c r="X82" s="6"/>
      <c r="Y82" s="6"/>
      <c r="Z82" s="6"/>
      <c r="AA82" s="6"/>
      <c r="AB82" s="6"/>
      <c r="AC82" s="6"/>
      <c r="AD82" s="6"/>
      <c r="AE82" s="6"/>
      <c r="AF82" s="6"/>
      <c r="AG82" s="6"/>
      <c r="AH82" s="6"/>
      <c r="AI82" s="6"/>
      <c r="AJ82" s="6"/>
      <c r="AK82" s="6"/>
      <c r="AL82" s="6"/>
      <c r="AM82" s="6"/>
      <c r="AN82" s="6"/>
      <c r="AO82" s="6"/>
      <c r="AP82" s="6"/>
      <c r="AQ82" s="6"/>
      <c r="AR82" s="6"/>
      <c r="AS82" s="6"/>
      <c r="AT82" s="6"/>
      <c r="AU82" s="6"/>
      <c r="AV82" s="6"/>
      <c r="AW82" s="6"/>
      <c r="AX82" s="6"/>
      <c r="AY82" s="6"/>
      <c r="AZ82" s="6"/>
      <c r="BA82" s="6"/>
      <c r="BB82" s="6"/>
      <c r="BC82" s="6"/>
      <c r="BD82" s="6"/>
      <c r="BE82" s="6"/>
      <c r="BF82" s="6"/>
      <c r="BG82" s="6"/>
    </row>
    <row r="83" spans="1:59" x14ac:dyDescent="0.2">
      <c r="A83" s="13"/>
      <c r="B83" s="13"/>
      <c r="C83" s="13"/>
      <c r="D83" s="13"/>
      <c r="E83" s="63"/>
      <c r="F83" s="13"/>
      <c r="G83" s="13"/>
      <c r="H83" s="13"/>
      <c r="I83" s="13"/>
      <c r="J83" s="13"/>
      <c r="K83" s="101"/>
      <c r="L83" s="101"/>
      <c r="M83" s="101"/>
      <c r="N83" s="101"/>
      <c r="O83" s="223"/>
      <c r="P83" s="6"/>
      <c r="Q83" s="6"/>
      <c r="R83" s="6"/>
      <c r="S83" s="6"/>
      <c r="T83" s="6"/>
      <c r="U83" s="6"/>
      <c r="V83" s="6"/>
      <c r="W83" s="6"/>
      <c r="X83" s="6"/>
      <c r="Y83" s="6"/>
      <c r="Z83" s="6"/>
      <c r="AA83" s="6"/>
      <c r="AB83" s="6"/>
      <c r="AC83" s="6"/>
      <c r="AD83" s="6"/>
      <c r="AE83" s="6"/>
      <c r="AF83" s="6"/>
      <c r="AG83" s="6"/>
      <c r="AH83" s="6"/>
      <c r="AI83" s="6"/>
      <c r="AJ83" s="6"/>
      <c r="AK83" s="6"/>
      <c r="AL83" s="6"/>
      <c r="AM83" s="6"/>
      <c r="AN83" s="6"/>
      <c r="AO83" s="6"/>
      <c r="AP83" s="6"/>
      <c r="AQ83" s="6"/>
      <c r="AR83" s="6"/>
      <c r="AS83" s="6"/>
      <c r="AT83" s="6"/>
      <c r="AU83" s="6"/>
      <c r="AV83" s="6"/>
      <c r="AW83" s="6"/>
      <c r="AX83" s="6"/>
      <c r="AY83" s="6"/>
      <c r="AZ83" s="6"/>
      <c r="BA83" s="6"/>
      <c r="BB83" s="6"/>
      <c r="BC83" s="6"/>
      <c r="BD83" s="6"/>
      <c r="BE83" s="6"/>
      <c r="BF83" s="6"/>
      <c r="BG83" s="6"/>
    </row>
    <row r="84" spans="1:59" x14ac:dyDescent="0.2">
      <c r="A84" s="13"/>
      <c r="B84" s="13"/>
      <c r="C84" s="13"/>
      <c r="D84" s="13"/>
      <c r="E84" s="63"/>
      <c r="F84" s="13"/>
      <c r="G84" s="13"/>
      <c r="H84" s="13"/>
      <c r="I84" s="13"/>
      <c r="J84" s="13"/>
      <c r="K84" s="101"/>
      <c r="L84" s="101"/>
      <c r="M84" s="101"/>
      <c r="N84" s="101"/>
      <c r="O84" s="223"/>
      <c r="P84" s="6"/>
      <c r="Q84" s="6"/>
      <c r="R84" s="6"/>
      <c r="S84" s="6"/>
      <c r="T84" s="6"/>
      <c r="U84" s="6"/>
      <c r="V84" s="6"/>
      <c r="W84" s="6"/>
      <c r="X84" s="6"/>
      <c r="Y84" s="6"/>
      <c r="Z84" s="6"/>
      <c r="AA84" s="6"/>
      <c r="AB84" s="6"/>
      <c r="AC84" s="6"/>
      <c r="AD84" s="6"/>
      <c r="AE84" s="6"/>
      <c r="AF84" s="6"/>
      <c r="AG84" s="6"/>
      <c r="AH84" s="6"/>
      <c r="AI84" s="6"/>
      <c r="AJ84" s="6"/>
      <c r="AK84" s="6"/>
      <c r="AL84" s="6"/>
      <c r="AM84" s="6"/>
      <c r="AN84" s="6"/>
      <c r="AO84" s="6"/>
      <c r="AP84" s="6"/>
      <c r="AQ84" s="6"/>
      <c r="AR84" s="6"/>
      <c r="AS84" s="6"/>
      <c r="AT84" s="6"/>
      <c r="AU84" s="6"/>
      <c r="AV84" s="6"/>
      <c r="AW84" s="6"/>
      <c r="AX84" s="6"/>
      <c r="AY84" s="6"/>
      <c r="AZ84" s="6"/>
      <c r="BA84" s="6"/>
      <c r="BB84" s="6"/>
      <c r="BC84" s="6"/>
      <c r="BD84" s="6"/>
      <c r="BE84" s="6"/>
      <c r="BF84" s="6"/>
      <c r="BG84" s="6"/>
    </row>
    <row r="85" spans="1:59" x14ac:dyDescent="0.2">
      <c r="A85" s="13"/>
      <c r="B85" s="13"/>
      <c r="C85" s="13"/>
      <c r="D85" s="13"/>
      <c r="E85" s="63"/>
      <c r="F85" s="13"/>
      <c r="G85" s="13"/>
      <c r="H85" s="13"/>
      <c r="I85" s="13"/>
      <c r="J85" s="13"/>
      <c r="K85" s="101"/>
      <c r="L85" s="101"/>
      <c r="M85" s="101"/>
      <c r="N85" s="101"/>
      <c r="O85" s="223"/>
      <c r="P85" s="6"/>
      <c r="Q85" s="6"/>
      <c r="R85" s="6"/>
      <c r="S85" s="6"/>
      <c r="T85" s="6"/>
      <c r="U85" s="6"/>
      <c r="V85" s="6"/>
      <c r="W85" s="6"/>
      <c r="X85" s="6"/>
      <c r="Y85" s="6"/>
      <c r="Z85" s="6"/>
      <c r="AA85" s="6"/>
      <c r="AB85" s="6"/>
      <c r="AC85" s="6"/>
      <c r="AD85" s="6"/>
      <c r="AE85" s="6"/>
      <c r="AF85" s="6"/>
      <c r="AG85" s="6"/>
      <c r="AH85" s="6"/>
      <c r="AI85" s="6"/>
      <c r="AJ85" s="6"/>
      <c r="AK85" s="6"/>
      <c r="AL85" s="6"/>
      <c r="AM85" s="6"/>
      <c r="AN85" s="6"/>
      <c r="AO85" s="6"/>
      <c r="AP85" s="6"/>
      <c r="AQ85" s="6"/>
      <c r="AR85" s="6"/>
      <c r="AS85" s="6"/>
      <c r="AT85" s="6"/>
      <c r="AU85" s="6"/>
      <c r="AV85" s="6"/>
      <c r="AW85" s="6"/>
      <c r="AX85" s="6"/>
      <c r="AY85" s="6"/>
      <c r="AZ85" s="6"/>
      <c r="BA85" s="6"/>
      <c r="BB85" s="6"/>
      <c r="BC85" s="6"/>
      <c r="BD85" s="6"/>
      <c r="BE85" s="6"/>
      <c r="BF85" s="6"/>
      <c r="BG85" s="6"/>
    </row>
    <row r="86" spans="1:59" x14ac:dyDescent="0.2">
      <c r="A86" s="13"/>
      <c r="B86" s="13"/>
      <c r="C86" s="13"/>
      <c r="D86" s="13"/>
      <c r="E86" s="63"/>
      <c r="F86" s="13"/>
      <c r="G86" s="13"/>
      <c r="H86" s="13"/>
      <c r="I86" s="13"/>
      <c r="J86" s="13"/>
      <c r="K86" s="101"/>
      <c r="L86" s="101"/>
      <c r="M86" s="101"/>
      <c r="N86" s="101"/>
      <c r="O86" s="223"/>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row>
    <row r="87" spans="1:59" x14ac:dyDescent="0.2">
      <c r="A87" s="13"/>
      <c r="B87" s="13"/>
      <c r="C87" s="13"/>
      <c r="D87" s="13"/>
      <c r="E87" s="63"/>
      <c r="F87" s="13"/>
      <c r="G87" s="13"/>
      <c r="H87" s="13"/>
      <c r="I87" s="13"/>
      <c r="J87" s="13"/>
      <c r="K87" s="101"/>
      <c r="L87" s="101"/>
      <c r="M87" s="101"/>
      <c r="N87" s="101"/>
      <c r="O87" s="223"/>
      <c r="P87" s="6"/>
      <c r="Q87" s="6"/>
      <c r="R87" s="6"/>
      <c r="S87" s="6"/>
      <c r="T87" s="6"/>
      <c r="U87" s="6"/>
      <c r="V87" s="6"/>
      <c r="W87" s="6"/>
      <c r="X87" s="6"/>
      <c r="Y87" s="6"/>
      <c r="Z87" s="6"/>
      <c r="AA87" s="6"/>
      <c r="AB87" s="6"/>
      <c r="AC87" s="6"/>
      <c r="AD87" s="6"/>
      <c r="AE87" s="6"/>
      <c r="AF87" s="6"/>
      <c r="AG87" s="6"/>
      <c r="AH87" s="6"/>
      <c r="AI87" s="6"/>
      <c r="AJ87" s="6"/>
      <c r="AK87" s="6"/>
      <c r="AL87" s="6"/>
      <c r="AM87" s="6"/>
      <c r="AN87" s="6"/>
      <c r="AO87" s="6"/>
      <c r="AP87" s="6"/>
      <c r="AQ87" s="6"/>
      <c r="AR87" s="6"/>
      <c r="AS87" s="6"/>
      <c r="AT87" s="6"/>
      <c r="AU87" s="6"/>
      <c r="AV87" s="6"/>
      <c r="AW87" s="6"/>
      <c r="AX87" s="6"/>
      <c r="AY87" s="6"/>
      <c r="AZ87" s="6"/>
      <c r="BA87" s="6"/>
      <c r="BB87" s="6"/>
      <c r="BC87" s="6"/>
      <c r="BD87" s="6"/>
      <c r="BE87" s="6"/>
      <c r="BF87" s="6"/>
      <c r="BG87" s="6"/>
    </row>
    <row r="88" spans="1:59" x14ac:dyDescent="0.2">
      <c r="A88" s="13"/>
      <c r="B88" s="13"/>
      <c r="C88" s="13"/>
      <c r="D88" s="13"/>
      <c r="E88" s="63"/>
      <c r="F88" s="13"/>
      <c r="G88" s="13"/>
      <c r="H88" s="13"/>
      <c r="I88" s="13"/>
      <c r="J88" s="13"/>
      <c r="K88" s="101"/>
      <c r="L88" s="101"/>
      <c r="M88" s="101"/>
      <c r="N88" s="101"/>
      <c r="O88" s="223"/>
      <c r="P88" s="6"/>
      <c r="Q88" s="6"/>
      <c r="R88" s="6"/>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c r="AT88" s="6"/>
      <c r="AU88" s="6"/>
      <c r="AV88" s="6"/>
      <c r="AW88" s="6"/>
      <c r="AX88" s="6"/>
      <c r="AY88" s="6"/>
      <c r="AZ88" s="6"/>
      <c r="BA88" s="6"/>
      <c r="BB88" s="6"/>
      <c r="BC88" s="6"/>
      <c r="BD88" s="6"/>
      <c r="BE88" s="6"/>
      <c r="BF88" s="6"/>
      <c r="BG88" s="6"/>
    </row>
    <row r="89" spans="1:59" x14ac:dyDescent="0.2">
      <c r="A89" s="13"/>
      <c r="B89" s="13"/>
      <c r="C89" s="13"/>
      <c r="D89" s="13"/>
      <c r="E89" s="63"/>
      <c r="F89" s="13"/>
      <c r="G89" s="13"/>
      <c r="H89" s="13"/>
      <c r="I89" s="13"/>
      <c r="J89" s="13"/>
      <c r="K89" s="101"/>
      <c r="L89" s="101"/>
      <c r="M89" s="101"/>
      <c r="N89" s="101"/>
      <c r="O89" s="223"/>
      <c r="P89" s="6"/>
      <c r="Q89" s="6"/>
      <c r="R89" s="6"/>
      <c r="S89" s="6"/>
      <c r="T89" s="6"/>
      <c r="U89" s="6"/>
      <c r="V89" s="6"/>
      <c r="W89" s="6"/>
      <c r="X89" s="6"/>
      <c r="Y89" s="6"/>
      <c r="Z89" s="6"/>
      <c r="AA89" s="6"/>
      <c r="AB89" s="6"/>
      <c r="AC89" s="6"/>
      <c r="AD89" s="6"/>
      <c r="AE89" s="6"/>
      <c r="AF89" s="6"/>
      <c r="AG89" s="6"/>
      <c r="AH89" s="6"/>
      <c r="AI89" s="6"/>
      <c r="AJ89" s="6"/>
      <c r="AK89" s="6"/>
      <c r="AL89" s="6"/>
      <c r="AM89" s="6"/>
      <c r="AN89" s="6"/>
      <c r="AO89" s="6"/>
      <c r="AP89" s="6"/>
      <c r="AQ89" s="6"/>
      <c r="AR89" s="6"/>
      <c r="AS89" s="6"/>
      <c r="AT89" s="6"/>
      <c r="AU89" s="6"/>
      <c r="AV89" s="6"/>
      <c r="AW89" s="6"/>
      <c r="AX89" s="6"/>
      <c r="AY89" s="6"/>
      <c r="AZ89" s="6"/>
      <c r="BA89" s="6"/>
      <c r="BB89" s="6"/>
      <c r="BC89" s="6"/>
      <c r="BD89" s="6"/>
      <c r="BE89" s="6"/>
      <c r="BF89" s="6"/>
      <c r="BG89" s="6"/>
    </row>
    <row r="90" spans="1:59" x14ac:dyDescent="0.2">
      <c r="A90" s="13"/>
      <c r="B90" s="13"/>
      <c r="C90" s="13"/>
      <c r="D90" s="13"/>
      <c r="E90" s="63"/>
      <c r="F90" s="13"/>
      <c r="G90" s="13"/>
      <c r="H90" s="13"/>
      <c r="I90" s="13"/>
      <c r="J90" s="13"/>
      <c r="K90" s="101"/>
      <c r="L90" s="101"/>
      <c r="M90" s="101"/>
      <c r="N90" s="101"/>
      <c r="O90" s="223"/>
      <c r="P90" s="6"/>
      <c r="Q90" s="6"/>
      <c r="R90" s="6"/>
      <c r="S90" s="6"/>
      <c r="T90" s="6"/>
      <c r="U90" s="6"/>
      <c r="V90" s="6"/>
      <c r="W90" s="6"/>
      <c r="X90" s="6"/>
      <c r="Y90" s="6"/>
      <c r="Z90" s="6"/>
      <c r="AA90" s="6"/>
      <c r="AB90" s="6"/>
      <c r="AC90" s="6"/>
      <c r="AD90" s="6"/>
      <c r="AE90" s="6"/>
      <c r="AF90" s="6"/>
      <c r="AG90" s="6"/>
      <c r="AH90" s="6"/>
      <c r="AI90" s="6"/>
      <c r="AJ90" s="6"/>
      <c r="AK90" s="6"/>
      <c r="AL90" s="6"/>
      <c r="AM90" s="6"/>
      <c r="AN90" s="6"/>
      <c r="AO90" s="6"/>
      <c r="AP90" s="6"/>
      <c r="AQ90" s="6"/>
      <c r="AR90" s="6"/>
      <c r="AS90" s="6"/>
      <c r="AT90" s="6"/>
      <c r="AU90" s="6"/>
      <c r="AV90" s="6"/>
      <c r="AW90" s="6"/>
      <c r="AX90" s="6"/>
      <c r="AY90" s="6"/>
      <c r="AZ90" s="6"/>
      <c r="BA90" s="6"/>
      <c r="BB90" s="6"/>
      <c r="BC90" s="6"/>
      <c r="BD90" s="6"/>
      <c r="BE90" s="6"/>
      <c r="BF90" s="6"/>
      <c r="BG90" s="6"/>
    </row>
    <row r="91" spans="1:59" x14ac:dyDescent="0.2">
      <c r="A91" s="13"/>
      <c r="B91" s="13"/>
      <c r="C91" s="13"/>
      <c r="D91" s="13"/>
      <c r="E91" s="63"/>
      <c r="F91" s="13"/>
      <c r="G91" s="13"/>
      <c r="H91" s="13"/>
      <c r="I91" s="13"/>
      <c r="J91" s="13"/>
      <c r="K91" s="101"/>
      <c r="L91" s="101"/>
      <c r="M91" s="101"/>
      <c r="N91" s="101"/>
      <c r="O91" s="223"/>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row>
    <row r="92" spans="1:59" x14ac:dyDescent="0.2">
      <c r="A92" s="13"/>
      <c r="B92" s="13"/>
      <c r="C92" s="13"/>
      <c r="D92" s="13"/>
      <c r="E92" s="63"/>
      <c r="F92" s="13"/>
      <c r="G92" s="13"/>
      <c r="H92" s="13"/>
      <c r="I92" s="13"/>
      <c r="J92" s="13"/>
      <c r="K92" s="101"/>
      <c r="L92" s="101"/>
      <c r="M92" s="101"/>
      <c r="N92" s="101"/>
      <c r="O92" s="223"/>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row>
    <row r="93" spans="1:59" x14ac:dyDescent="0.2">
      <c r="A93" s="13"/>
      <c r="B93" s="13"/>
      <c r="C93" s="13"/>
      <c r="D93" s="13"/>
      <c r="E93" s="63"/>
      <c r="F93" s="13"/>
      <c r="G93" s="13"/>
      <c r="H93" s="13"/>
      <c r="I93" s="13"/>
      <c r="J93" s="13"/>
      <c r="K93" s="101"/>
      <c r="L93" s="101"/>
      <c r="M93" s="101"/>
      <c r="N93" s="101"/>
      <c r="O93" s="223"/>
      <c r="P93" s="6"/>
      <c r="Q93" s="6"/>
      <c r="R93" s="6"/>
      <c r="S93" s="6"/>
      <c r="T93" s="6"/>
      <c r="U93" s="6"/>
      <c r="V93" s="6"/>
      <c r="W93" s="6"/>
      <c r="X93" s="6"/>
      <c r="Y93" s="6"/>
      <c r="Z93" s="6"/>
      <c r="AA93" s="6"/>
      <c r="AB93" s="6"/>
      <c r="AC93" s="6"/>
      <c r="AD93" s="6"/>
      <c r="AE93" s="6"/>
      <c r="AF93" s="6"/>
      <c r="AG93" s="6"/>
      <c r="AH93" s="6"/>
      <c r="AI93" s="6"/>
      <c r="AJ93" s="6"/>
      <c r="AK93" s="6"/>
      <c r="AL93" s="6"/>
      <c r="AM93" s="6"/>
      <c r="AN93" s="6"/>
      <c r="AO93" s="6"/>
      <c r="AP93" s="6"/>
      <c r="AQ93" s="6"/>
      <c r="AR93" s="6"/>
      <c r="AS93" s="6"/>
      <c r="AT93" s="6"/>
      <c r="AU93" s="6"/>
      <c r="AV93" s="6"/>
      <c r="AW93" s="6"/>
      <c r="AX93" s="6"/>
      <c r="AY93" s="6"/>
      <c r="AZ93" s="6"/>
      <c r="BA93" s="6"/>
      <c r="BB93" s="6"/>
      <c r="BC93" s="6"/>
      <c r="BD93" s="6"/>
      <c r="BE93" s="6"/>
      <c r="BF93" s="6"/>
      <c r="BG93" s="6"/>
    </row>
    <row r="94" spans="1:59" x14ac:dyDescent="0.2">
      <c r="A94" s="13"/>
      <c r="B94" s="13"/>
      <c r="C94" s="13"/>
      <c r="D94" s="13"/>
      <c r="E94" s="63"/>
      <c r="F94" s="13"/>
      <c r="G94" s="13"/>
      <c r="H94" s="13"/>
      <c r="I94" s="13"/>
      <c r="J94" s="13"/>
      <c r="K94" s="101"/>
      <c r="L94" s="101"/>
      <c r="M94" s="101"/>
      <c r="N94" s="101"/>
      <c r="O94" s="223"/>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row>
    <row r="95" spans="1:59" x14ac:dyDescent="0.2">
      <c r="A95" s="13"/>
      <c r="B95" s="13"/>
      <c r="C95" s="13"/>
      <c r="D95" s="13"/>
      <c r="E95" s="63"/>
      <c r="F95" s="13"/>
      <c r="G95" s="13"/>
      <c r="H95" s="13"/>
      <c r="I95" s="13"/>
      <c r="J95" s="13"/>
      <c r="K95" s="101"/>
      <c r="L95" s="101"/>
      <c r="M95" s="101"/>
      <c r="N95" s="101"/>
      <c r="O95" s="223"/>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row>
    <row r="96" spans="1:59" x14ac:dyDescent="0.2">
      <c r="A96" s="13"/>
      <c r="B96" s="13"/>
      <c r="C96" s="13"/>
      <c r="D96" s="13"/>
      <c r="E96" s="63"/>
      <c r="F96" s="13"/>
      <c r="G96" s="13"/>
      <c r="H96" s="13"/>
      <c r="I96" s="13"/>
      <c r="J96" s="13"/>
      <c r="K96" s="101"/>
      <c r="L96" s="101"/>
      <c r="M96" s="101"/>
      <c r="N96" s="101"/>
      <c r="O96" s="223"/>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row>
    <row r="97" spans="1:59" x14ac:dyDescent="0.2">
      <c r="A97" s="13"/>
      <c r="B97" s="13"/>
      <c r="C97" s="13"/>
      <c r="D97" s="13"/>
      <c r="E97" s="63"/>
      <c r="F97" s="13"/>
      <c r="G97" s="13"/>
      <c r="H97" s="13"/>
      <c r="I97" s="13"/>
      <c r="J97" s="13"/>
      <c r="K97" s="101"/>
      <c r="L97" s="101"/>
      <c r="M97" s="101"/>
      <c r="N97" s="101"/>
      <c r="O97" s="223"/>
      <c r="P97" s="6"/>
      <c r="Q97" s="6"/>
      <c r="R97" s="6"/>
      <c r="S97" s="6"/>
      <c r="T97" s="6"/>
      <c r="U97" s="6"/>
      <c r="V97" s="6"/>
      <c r="W97" s="6"/>
      <c r="X97" s="6"/>
      <c r="Y97" s="6"/>
      <c r="Z97" s="6"/>
      <c r="AA97" s="6"/>
      <c r="AB97" s="6"/>
      <c r="AC97" s="6"/>
      <c r="AD97" s="6"/>
      <c r="AE97" s="6"/>
      <c r="AF97" s="6"/>
      <c r="AG97" s="6"/>
      <c r="AH97" s="6"/>
      <c r="AI97" s="6"/>
      <c r="AJ97" s="6"/>
      <c r="AK97" s="6"/>
      <c r="AL97" s="6"/>
      <c r="AM97" s="6"/>
      <c r="AN97" s="6"/>
      <c r="AO97" s="6"/>
      <c r="AP97" s="6"/>
      <c r="AQ97" s="6"/>
      <c r="AR97" s="6"/>
      <c r="AS97" s="6"/>
      <c r="AT97" s="6"/>
      <c r="AU97" s="6"/>
      <c r="AV97" s="6"/>
      <c r="AW97" s="6"/>
      <c r="AX97" s="6"/>
      <c r="AY97" s="6"/>
      <c r="AZ97" s="6"/>
      <c r="BA97" s="6"/>
      <c r="BB97" s="6"/>
      <c r="BC97" s="6"/>
      <c r="BD97" s="6"/>
      <c r="BE97" s="6"/>
      <c r="BF97" s="6"/>
      <c r="BG97" s="6"/>
    </row>
    <row r="98" spans="1:59" x14ac:dyDescent="0.2">
      <c r="A98" s="13"/>
      <c r="B98" s="13"/>
      <c r="C98" s="13"/>
      <c r="D98" s="13"/>
      <c r="E98" s="63"/>
      <c r="F98" s="13"/>
      <c r="G98" s="13"/>
      <c r="H98" s="13"/>
      <c r="I98" s="13"/>
      <c r="J98" s="13"/>
      <c r="K98" s="101"/>
      <c r="L98" s="101"/>
      <c r="M98" s="101"/>
      <c r="N98" s="101"/>
      <c r="O98" s="223"/>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row>
    <row r="99" spans="1:59" x14ac:dyDescent="0.2">
      <c r="A99" s="13"/>
      <c r="B99" s="13"/>
      <c r="C99" s="13"/>
      <c r="D99" s="13"/>
      <c r="E99" s="63"/>
      <c r="F99" s="13"/>
      <c r="G99" s="13"/>
      <c r="H99" s="13"/>
      <c r="I99" s="13"/>
      <c r="J99" s="13"/>
      <c r="K99" s="101"/>
      <c r="L99" s="101"/>
      <c r="M99" s="101"/>
      <c r="N99" s="101"/>
      <c r="O99" s="223"/>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6"/>
      <c r="AV99" s="6"/>
      <c r="AW99" s="6"/>
      <c r="AX99" s="6"/>
      <c r="AY99" s="6"/>
      <c r="AZ99" s="6"/>
      <c r="BA99" s="6"/>
      <c r="BB99" s="6"/>
      <c r="BC99" s="6"/>
      <c r="BD99" s="6"/>
      <c r="BE99" s="6"/>
      <c r="BF99" s="6"/>
      <c r="BG99" s="6"/>
    </row>
    <row r="100" spans="1:59" x14ac:dyDescent="0.2">
      <c r="A100" s="13"/>
      <c r="B100" s="13"/>
      <c r="C100" s="13"/>
      <c r="D100" s="13"/>
      <c r="E100" s="63"/>
      <c r="F100" s="13"/>
      <c r="G100" s="13"/>
      <c r="H100" s="13"/>
      <c r="I100" s="13"/>
      <c r="J100" s="13"/>
      <c r="K100" s="101"/>
      <c r="L100" s="101"/>
      <c r="M100" s="101"/>
      <c r="N100" s="101"/>
      <c r="O100" s="223"/>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6"/>
      <c r="AV100" s="6"/>
      <c r="AW100" s="6"/>
      <c r="AX100" s="6"/>
      <c r="AY100" s="6"/>
      <c r="AZ100" s="6"/>
      <c r="BA100" s="6"/>
      <c r="BB100" s="6"/>
      <c r="BC100" s="6"/>
      <c r="BD100" s="6"/>
      <c r="BE100" s="6"/>
      <c r="BF100" s="6"/>
      <c r="BG100" s="6"/>
    </row>
    <row r="101" spans="1:59" x14ac:dyDescent="0.2">
      <c r="A101" s="13"/>
      <c r="B101" s="13"/>
      <c r="C101" s="13"/>
      <c r="D101" s="13"/>
      <c r="E101" s="63"/>
      <c r="F101" s="13"/>
      <c r="G101" s="13"/>
      <c r="H101" s="13"/>
      <c r="I101" s="13"/>
      <c r="J101" s="13"/>
      <c r="K101" s="101"/>
      <c r="L101" s="101"/>
      <c r="M101" s="101"/>
      <c r="N101" s="101"/>
      <c r="O101" s="223"/>
      <c r="P101" s="6"/>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6"/>
      <c r="AV101" s="6"/>
      <c r="AW101" s="6"/>
      <c r="AX101" s="6"/>
      <c r="AY101" s="6"/>
      <c r="AZ101" s="6"/>
      <c r="BA101" s="6"/>
      <c r="BB101" s="6"/>
      <c r="BC101" s="6"/>
      <c r="BD101" s="6"/>
      <c r="BE101" s="6"/>
      <c r="BF101" s="6"/>
      <c r="BG101" s="6"/>
    </row>
    <row r="102" spans="1:59" x14ac:dyDescent="0.2">
      <c r="A102" s="13"/>
      <c r="B102" s="13"/>
      <c r="C102" s="13"/>
      <c r="D102" s="13"/>
      <c r="E102" s="63"/>
      <c r="F102" s="13"/>
      <c r="G102" s="13"/>
      <c r="H102" s="13"/>
      <c r="I102" s="13"/>
      <c r="J102" s="13"/>
      <c r="K102" s="101"/>
      <c r="L102" s="101"/>
      <c r="M102" s="101"/>
      <c r="N102" s="101"/>
      <c r="O102" s="223"/>
      <c r="P102" s="6"/>
      <c r="Q102" s="6"/>
      <c r="R102" s="6"/>
      <c r="S102" s="6"/>
      <c r="T102" s="6"/>
      <c r="U102" s="6"/>
      <c r="V102" s="6"/>
      <c r="W102" s="6"/>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6"/>
      <c r="AV102" s="6"/>
      <c r="AW102" s="6"/>
      <c r="AX102" s="6"/>
      <c r="AY102" s="6"/>
      <c r="AZ102" s="6"/>
      <c r="BA102" s="6"/>
      <c r="BB102" s="6"/>
      <c r="BC102" s="6"/>
      <c r="BD102" s="6"/>
      <c r="BE102" s="6"/>
      <c r="BF102" s="6"/>
      <c r="BG102" s="6"/>
    </row>
    <row r="103" spans="1:59" x14ac:dyDescent="0.2">
      <c r="A103" s="13"/>
      <c r="B103" s="13"/>
      <c r="C103" s="13"/>
      <c r="D103" s="13"/>
      <c r="E103" s="63"/>
      <c r="F103" s="13"/>
      <c r="G103" s="13"/>
      <c r="H103" s="13"/>
      <c r="I103" s="13"/>
      <c r="J103" s="13"/>
      <c r="K103" s="101"/>
      <c r="L103" s="101"/>
      <c r="M103" s="101"/>
      <c r="N103" s="101"/>
      <c r="O103" s="223"/>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6"/>
      <c r="AV103" s="6"/>
      <c r="AW103" s="6"/>
      <c r="AX103" s="6"/>
      <c r="AY103" s="6"/>
      <c r="AZ103" s="6"/>
      <c r="BA103" s="6"/>
      <c r="BB103" s="6"/>
      <c r="BC103" s="6"/>
      <c r="BD103" s="6"/>
      <c r="BE103" s="6"/>
      <c r="BF103" s="6"/>
      <c r="BG103" s="6"/>
    </row>
    <row r="104" spans="1:59" x14ac:dyDescent="0.2">
      <c r="A104" s="13"/>
      <c r="B104" s="13"/>
      <c r="C104" s="13"/>
      <c r="D104" s="13"/>
      <c r="E104" s="63"/>
      <c r="F104" s="13"/>
      <c r="G104" s="13"/>
      <c r="H104" s="13"/>
      <c r="I104" s="13"/>
      <c r="J104" s="13"/>
      <c r="K104" s="101"/>
      <c r="L104" s="101"/>
      <c r="M104" s="101"/>
      <c r="N104" s="101"/>
      <c r="O104" s="223"/>
      <c r="P104" s="6"/>
      <c r="Q104" s="6"/>
      <c r="R104" s="6"/>
      <c r="S104" s="6"/>
      <c r="T104" s="6"/>
      <c r="U104" s="6"/>
      <c r="V104" s="6"/>
      <c r="W104" s="6"/>
      <c r="X104" s="6"/>
      <c r="Y104" s="6"/>
      <c r="Z104" s="6"/>
      <c r="AA104" s="6"/>
      <c r="AB104" s="6"/>
      <c r="AC104" s="6"/>
      <c r="AD104" s="6"/>
      <c r="AE104" s="6"/>
      <c r="AF104" s="6"/>
      <c r="AG104" s="6"/>
      <c r="AH104" s="6"/>
      <c r="AI104" s="6"/>
      <c r="AJ104" s="6"/>
      <c r="AK104" s="6"/>
      <c r="AL104" s="6"/>
      <c r="AM104" s="6"/>
      <c r="AN104" s="6"/>
      <c r="AO104" s="6"/>
      <c r="AP104" s="6"/>
      <c r="AQ104" s="6"/>
      <c r="AR104" s="6"/>
      <c r="AS104" s="6"/>
      <c r="AT104" s="6"/>
      <c r="AU104" s="6"/>
      <c r="AV104" s="6"/>
      <c r="AW104" s="6"/>
      <c r="AX104" s="6"/>
      <c r="AY104" s="6"/>
      <c r="AZ104" s="6"/>
      <c r="BA104" s="6"/>
      <c r="BB104" s="6"/>
      <c r="BC104" s="6"/>
      <c r="BD104" s="6"/>
      <c r="BE104" s="6"/>
      <c r="BF104" s="6"/>
      <c r="BG104" s="6"/>
    </row>
    <row r="105" spans="1:59" x14ac:dyDescent="0.2">
      <c r="A105" s="13"/>
      <c r="B105" s="13"/>
      <c r="C105" s="13"/>
      <c r="D105" s="13"/>
      <c r="E105" s="63"/>
      <c r="F105" s="13"/>
      <c r="G105" s="13"/>
      <c r="H105" s="13"/>
      <c r="I105" s="13"/>
      <c r="J105" s="13"/>
      <c r="K105" s="101"/>
      <c r="L105" s="101"/>
      <c r="M105" s="101"/>
      <c r="N105" s="101"/>
      <c r="O105" s="223"/>
      <c r="P105" s="6"/>
      <c r="Q105" s="6"/>
      <c r="R105" s="6"/>
      <c r="S105" s="6"/>
      <c r="T105" s="6"/>
      <c r="U105" s="6"/>
      <c r="V105" s="6"/>
      <c r="W105" s="6"/>
      <c r="X105" s="6"/>
      <c r="Y105" s="6"/>
      <c r="Z105" s="6"/>
      <c r="AA105" s="6"/>
      <c r="AB105" s="6"/>
      <c r="AC105" s="6"/>
      <c r="AD105" s="6"/>
      <c r="AE105" s="6"/>
      <c r="AF105" s="6"/>
      <c r="AG105" s="6"/>
      <c r="AH105" s="6"/>
      <c r="AI105" s="6"/>
      <c r="AJ105" s="6"/>
      <c r="AK105" s="6"/>
      <c r="AL105" s="6"/>
      <c r="AM105" s="6"/>
      <c r="AN105" s="6"/>
      <c r="AO105" s="6"/>
      <c r="AP105" s="6"/>
      <c r="AQ105" s="6"/>
      <c r="AR105" s="6"/>
      <c r="AS105" s="6"/>
      <c r="AT105" s="6"/>
      <c r="AU105" s="6"/>
      <c r="AV105" s="6"/>
      <c r="AW105" s="6"/>
      <c r="AX105" s="6"/>
      <c r="AY105" s="6"/>
      <c r="AZ105" s="6"/>
      <c r="BA105" s="6"/>
      <c r="BB105" s="6"/>
      <c r="BC105" s="6"/>
      <c r="BD105" s="6"/>
      <c r="BE105" s="6"/>
      <c r="BF105" s="6"/>
      <c r="BG105" s="6"/>
    </row>
    <row r="106" spans="1:59" x14ac:dyDescent="0.2">
      <c r="A106" s="13"/>
      <c r="B106" s="13"/>
      <c r="C106" s="13"/>
      <c r="D106" s="13"/>
      <c r="E106" s="63"/>
      <c r="F106" s="13"/>
      <c r="G106" s="13"/>
      <c r="H106" s="13"/>
      <c r="I106" s="13"/>
      <c r="J106" s="13"/>
      <c r="K106" s="101"/>
      <c r="L106" s="101"/>
      <c r="M106" s="101"/>
      <c r="N106" s="101"/>
      <c r="O106" s="223"/>
      <c r="P106" s="6"/>
      <c r="Q106" s="6"/>
      <c r="R106" s="6"/>
      <c r="S106" s="6"/>
      <c r="T106" s="6"/>
      <c r="U106" s="6"/>
      <c r="V106" s="6"/>
      <c r="W106" s="6"/>
      <c r="X106" s="6"/>
      <c r="Y106" s="6"/>
      <c r="Z106" s="6"/>
      <c r="AA106" s="6"/>
      <c r="AB106" s="6"/>
      <c r="AC106" s="6"/>
      <c r="AD106" s="6"/>
      <c r="AE106" s="6"/>
      <c r="AF106" s="6"/>
      <c r="AG106" s="6"/>
      <c r="AH106" s="6"/>
      <c r="AI106" s="6"/>
      <c r="AJ106" s="6"/>
      <c r="AK106" s="6"/>
      <c r="AL106" s="6"/>
      <c r="AM106" s="6"/>
      <c r="AN106" s="6"/>
      <c r="AO106" s="6"/>
      <c r="AP106" s="6"/>
      <c r="AQ106" s="6"/>
      <c r="AR106" s="6"/>
      <c r="AS106" s="6"/>
      <c r="AT106" s="6"/>
      <c r="AU106" s="6"/>
      <c r="AV106" s="6"/>
      <c r="AW106" s="6"/>
      <c r="AX106" s="6"/>
      <c r="AY106" s="6"/>
      <c r="AZ106" s="6"/>
      <c r="BA106" s="6"/>
      <c r="BB106" s="6"/>
      <c r="BC106" s="6"/>
      <c r="BD106" s="6"/>
      <c r="BE106" s="6"/>
      <c r="BF106" s="6"/>
      <c r="BG106" s="6"/>
    </row>
    <row r="107" spans="1:59" x14ac:dyDescent="0.2">
      <c r="A107" s="13"/>
      <c r="B107" s="13"/>
      <c r="C107" s="13"/>
      <c r="D107" s="13"/>
      <c r="E107" s="63"/>
      <c r="F107" s="13"/>
      <c r="G107" s="13"/>
      <c r="H107" s="13"/>
      <c r="I107" s="13"/>
      <c r="J107" s="13"/>
      <c r="K107" s="101"/>
      <c r="L107" s="101"/>
      <c r="M107" s="101"/>
      <c r="N107" s="101"/>
      <c r="O107" s="223"/>
      <c r="P107" s="6"/>
      <c r="Q107" s="6"/>
      <c r="R107" s="6"/>
      <c r="S107" s="6"/>
      <c r="T107" s="6"/>
      <c r="U107" s="6"/>
      <c r="V107" s="6"/>
      <c r="W107" s="6"/>
      <c r="X107" s="6"/>
      <c r="Y107" s="6"/>
      <c r="Z107" s="6"/>
      <c r="AA107" s="6"/>
      <c r="AB107" s="6"/>
      <c r="AC107" s="6"/>
      <c r="AD107" s="6"/>
      <c r="AE107" s="6"/>
      <c r="AF107" s="6"/>
      <c r="AG107" s="6"/>
      <c r="AH107" s="6"/>
      <c r="AI107" s="6"/>
      <c r="AJ107" s="6"/>
      <c r="AK107" s="6"/>
      <c r="AL107" s="6"/>
      <c r="AM107" s="6"/>
      <c r="AN107" s="6"/>
      <c r="AO107" s="6"/>
      <c r="AP107" s="6"/>
      <c r="AQ107" s="6"/>
      <c r="AR107" s="6"/>
      <c r="AS107" s="6"/>
      <c r="AT107" s="6"/>
      <c r="AU107" s="6"/>
      <c r="AV107" s="6"/>
      <c r="AW107" s="6"/>
      <c r="AX107" s="6"/>
      <c r="AY107" s="6"/>
      <c r="AZ107" s="6"/>
      <c r="BA107" s="6"/>
      <c r="BB107" s="6"/>
      <c r="BC107" s="6"/>
      <c r="BD107" s="6"/>
      <c r="BE107" s="6"/>
      <c r="BF107" s="6"/>
      <c r="BG107" s="6"/>
    </row>
    <row r="108" spans="1:59" x14ac:dyDescent="0.2">
      <c r="A108" s="13"/>
      <c r="B108" s="13"/>
      <c r="C108" s="13"/>
      <c r="D108" s="13"/>
      <c r="E108" s="63"/>
      <c r="F108" s="13"/>
      <c r="G108" s="13"/>
      <c r="H108" s="13"/>
      <c r="I108" s="13"/>
      <c r="J108" s="13"/>
      <c r="K108" s="101"/>
      <c r="L108" s="101"/>
      <c r="M108" s="101"/>
      <c r="N108" s="101"/>
      <c r="O108" s="223"/>
      <c r="P108" s="6"/>
      <c r="Q108" s="6"/>
      <c r="R108" s="6"/>
      <c r="S108" s="6"/>
      <c r="T108" s="6"/>
      <c r="U108" s="6"/>
      <c r="V108" s="6"/>
      <c r="W108" s="6"/>
      <c r="X108" s="6"/>
      <c r="Y108" s="6"/>
      <c r="Z108" s="6"/>
      <c r="AA108" s="6"/>
      <c r="AB108" s="6"/>
      <c r="AC108" s="6"/>
      <c r="AD108" s="6"/>
      <c r="AE108" s="6"/>
      <c r="AF108" s="6"/>
      <c r="AG108" s="6"/>
      <c r="AH108" s="6"/>
      <c r="AI108" s="6"/>
      <c r="AJ108" s="6"/>
      <c r="AK108" s="6"/>
      <c r="AL108" s="6"/>
      <c r="AM108" s="6"/>
      <c r="AN108" s="6"/>
      <c r="AO108" s="6"/>
      <c r="AP108" s="6"/>
      <c r="AQ108" s="6"/>
      <c r="AR108" s="6"/>
      <c r="AS108" s="6"/>
      <c r="AT108" s="6"/>
      <c r="AU108" s="6"/>
      <c r="AV108" s="6"/>
      <c r="AW108" s="6"/>
      <c r="AX108" s="6"/>
      <c r="AY108" s="6"/>
      <c r="AZ108" s="6"/>
      <c r="BA108" s="6"/>
      <c r="BB108" s="6"/>
      <c r="BC108" s="6"/>
      <c r="BD108" s="6"/>
      <c r="BE108" s="6"/>
      <c r="BF108" s="6"/>
      <c r="BG108" s="6"/>
    </row>
    <row r="109" spans="1:59" x14ac:dyDescent="0.2">
      <c r="A109" s="13"/>
      <c r="B109" s="13"/>
      <c r="C109" s="13"/>
      <c r="D109" s="13"/>
      <c r="E109" s="63"/>
      <c r="F109" s="13"/>
      <c r="G109" s="13"/>
      <c r="H109" s="13"/>
      <c r="I109" s="13"/>
      <c r="J109" s="13"/>
      <c r="K109" s="101"/>
      <c r="L109" s="101"/>
      <c r="M109" s="101"/>
      <c r="N109" s="101"/>
      <c r="O109" s="223"/>
      <c r="P109" s="6"/>
      <c r="Q109" s="6"/>
      <c r="R109" s="6"/>
      <c r="S109" s="6"/>
      <c r="T109" s="6"/>
      <c r="U109" s="6"/>
      <c r="V109" s="6"/>
      <c r="W109" s="6"/>
      <c r="X109" s="6"/>
      <c r="Y109" s="6"/>
      <c r="Z109" s="6"/>
      <c r="AA109" s="6"/>
      <c r="AB109" s="6"/>
      <c r="AC109" s="6"/>
      <c r="AD109" s="6"/>
      <c r="AE109" s="6"/>
      <c r="AF109" s="6"/>
      <c r="AG109" s="6"/>
      <c r="AH109" s="6"/>
      <c r="AI109" s="6"/>
      <c r="AJ109" s="6"/>
      <c r="AK109" s="6"/>
      <c r="AL109" s="6"/>
      <c r="AM109" s="6"/>
      <c r="AN109" s="6"/>
      <c r="AO109" s="6"/>
      <c r="AP109" s="6"/>
      <c r="AQ109" s="6"/>
      <c r="AR109" s="6"/>
      <c r="AS109" s="6"/>
      <c r="AT109" s="6"/>
      <c r="AU109" s="6"/>
      <c r="AV109" s="6"/>
      <c r="AW109" s="6"/>
      <c r="AX109" s="6"/>
      <c r="AY109" s="6"/>
      <c r="AZ109" s="6"/>
      <c r="BA109" s="6"/>
      <c r="BB109" s="6"/>
      <c r="BC109" s="6"/>
      <c r="BD109" s="6"/>
      <c r="BE109" s="6"/>
      <c r="BF109" s="6"/>
      <c r="BG109" s="6"/>
    </row>
    <row r="110" spans="1:59" x14ac:dyDescent="0.2">
      <c r="A110" s="13"/>
      <c r="B110" s="13"/>
      <c r="C110" s="13"/>
      <c r="D110" s="13"/>
      <c r="E110" s="63"/>
      <c r="F110" s="13"/>
      <c r="G110" s="13"/>
      <c r="H110" s="13"/>
      <c r="I110" s="13"/>
      <c r="J110" s="13"/>
      <c r="K110" s="101"/>
      <c r="L110" s="101"/>
      <c r="M110" s="101"/>
      <c r="N110" s="101"/>
      <c r="O110" s="223"/>
      <c r="P110" s="6"/>
      <c r="Q110" s="6"/>
      <c r="R110" s="6"/>
      <c r="S110" s="6"/>
      <c r="T110" s="6"/>
      <c r="U110" s="6"/>
      <c r="V110" s="6"/>
      <c r="W110" s="6"/>
      <c r="X110" s="6"/>
      <c r="Y110" s="6"/>
      <c r="Z110" s="6"/>
      <c r="AA110" s="6"/>
      <c r="AB110" s="6"/>
      <c r="AC110" s="6"/>
      <c r="AD110" s="6"/>
      <c r="AE110" s="6"/>
      <c r="AF110" s="6"/>
      <c r="AG110" s="6"/>
      <c r="AH110" s="6"/>
      <c r="AI110" s="6"/>
      <c r="AJ110" s="6"/>
      <c r="AK110" s="6"/>
      <c r="AL110" s="6"/>
      <c r="AM110" s="6"/>
      <c r="AN110" s="6"/>
      <c r="AO110" s="6"/>
      <c r="AP110" s="6"/>
      <c r="AQ110" s="6"/>
      <c r="AR110" s="6"/>
      <c r="AS110" s="6"/>
      <c r="AT110" s="6"/>
      <c r="AU110" s="6"/>
      <c r="AV110" s="6"/>
      <c r="AW110" s="6"/>
      <c r="AX110" s="6"/>
      <c r="AY110" s="6"/>
      <c r="AZ110" s="6"/>
      <c r="BA110" s="6"/>
      <c r="BB110" s="6"/>
      <c r="BC110" s="6"/>
      <c r="BD110" s="6"/>
      <c r="BE110" s="6"/>
      <c r="BF110" s="6"/>
      <c r="BG110" s="6"/>
    </row>
    <row r="111" spans="1:59" x14ac:dyDescent="0.2">
      <c r="A111" s="13"/>
      <c r="B111" s="13"/>
      <c r="C111" s="13"/>
      <c r="D111" s="13"/>
      <c r="E111" s="63"/>
      <c r="F111" s="13"/>
      <c r="G111" s="13"/>
      <c r="H111" s="13"/>
      <c r="I111" s="13"/>
      <c r="J111" s="13"/>
      <c r="K111" s="101"/>
      <c r="L111" s="101"/>
      <c r="M111" s="101"/>
      <c r="N111" s="101"/>
      <c r="O111" s="223"/>
      <c r="P111" s="6"/>
      <c r="Q111" s="6"/>
      <c r="R111" s="6"/>
      <c r="S111" s="6"/>
      <c r="T111" s="6"/>
      <c r="U111" s="6"/>
      <c r="V111" s="6"/>
      <c r="W111" s="6"/>
      <c r="X111" s="6"/>
      <c r="Y111" s="6"/>
      <c r="Z111" s="6"/>
      <c r="AA111" s="6"/>
      <c r="AB111" s="6"/>
      <c r="AC111" s="6"/>
      <c r="AD111" s="6"/>
      <c r="AE111" s="6"/>
      <c r="AF111" s="6"/>
      <c r="AG111" s="6"/>
      <c r="AH111" s="6"/>
      <c r="AI111" s="6"/>
      <c r="AJ111" s="6"/>
      <c r="AK111" s="6"/>
      <c r="AL111" s="6"/>
      <c r="AM111" s="6"/>
      <c r="AN111" s="6"/>
      <c r="AO111" s="6"/>
      <c r="AP111" s="6"/>
      <c r="AQ111" s="6"/>
      <c r="AR111" s="6"/>
      <c r="AS111" s="6"/>
      <c r="AT111" s="6"/>
      <c r="AU111" s="6"/>
      <c r="AV111" s="6"/>
      <c r="AW111" s="6"/>
      <c r="AX111" s="6"/>
      <c r="AY111" s="6"/>
      <c r="AZ111" s="6"/>
      <c r="BA111" s="6"/>
      <c r="BB111" s="6"/>
      <c r="BC111" s="6"/>
      <c r="BD111" s="6"/>
      <c r="BE111" s="6"/>
      <c r="BF111" s="6"/>
      <c r="BG111" s="6"/>
    </row>
    <row r="112" spans="1:59" x14ac:dyDescent="0.2">
      <c r="A112" s="13"/>
      <c r="B112" s="13"/>
      <c r="C112" s="13"/>
      <c r="D112" s="13"/>
      <c r="E112" s="63"/>
      <c r="F112" s="13"/>
      <c r="G112" s="13"/>
      <c r="H112" s="13"/>
      <c r="I112" s="13"/>
      <c r="J112" s="13"/>
      <c r="K112" s="101"/>
      <c r="L112" s="101"/>
      <c r="M112" s="101"/>
      <c r="N112" s="101"/>
      <c r="O112" s="223"/>
      <c r="P112" s="6"/>
      <c r="Q112" s="6"/>
      <c r="R112" s="6"/>
      <c r="S112" s="6"/>
      <c r="T112" s="6"/>
      <c r="U112" s="6"/>
      <c r="V112" s="6"/>
      <c r="W112" s="6"/>
      <c r="X112" s="6"/>
      <c r="Y112" s="6"/>
      <c r="Z112" s="6"/>
      <c r="AA112" s="6"/>
      <c r="AB112" s="6"/>
      <c r="AC112" s="6"/>
      <c r="AD112" s="6"/>
      <c r="AE112" s="6"/>
      <c r="AF112" s="6"/>
      <c r="AG112" s="6"/>
      <c r="AH112" s="6"/>
      <c r="AI112" s="6"/>
      <c r="AJ112" s="6"/>
      <c r="AK112" s="6"/>
      <c r="AL112" s="6"/>
      <c r="AM112" s="6"/>
      <c r="AN112" s="6"/>
      <c r="AO112" s="6"/>
      <c r="AP112" s="6"/>
      <c r="AQ112" s="6"/>
      <c r="AR112" s="6"/>
      <c r="AS112" s="6"/>
      <c r="AT112" s="6"/>
      <c r="AU112" s="6"/>
      <c r="AV112" s="6"/>
      <c r="AW112" s="6"/>
      <c r="AX112" s="6"/>
      <c r="AY112" s="6"/>
      <c r="AZ112" s="6"/>
      <c r="BA112" s="6"/>
      <c r="BB112" s="6"/>
      <c r="BC112" s="6"/>
      <c r="BD112" s="6"/>
      <c r="BE112" s="6"/>
      <c r="BF112" s="6"/>
      <c r="BG112" s="6"/>
    </row>
    <row r="113" spans="1:59" x14ac:dyDescent="0.2">
      <c r="A113" s="13"/>
      <c r="B113" s="13"/>
      <c r="C113" s="13"/>
      <c r="D113" s="13"/>
      <c r="E113" s="63"/>
      <c r="F113" s="13"/>
      <c r="G113" s="13"/>
      <c r="H113" s="13"/>
      <c r="I113" s="13"/>
      <c r="J113" s="13"/>
      <c r="K113" s="101"/>
      <c r="L113" s="101"/>
      <c r="M113" s="101"/>
      <c r="N113" s="101"/>
      <c r="O113" s="223"/>
      <c r="P113" s="6"/>
      <c r="Q113" s="6"/>
      <c r="R113" s="6"/>
      <c r="S113" s="6"/>
      <c r="T113" s="6"/>
      <c r="U113" s="6"/>
      <c r="V113" s="6"/>
      <c r="W113" s="6"/>
      <c r="X113" s="6"/>
      <c r="Y113" s="6"/>
      <c r="Z113" s="6"/>
      <c r="AA113" s="6"/>
      <c r="AB113" s="6"/>
      <c r="AC113" s="6"/>
      <c r="AD113" s="6"/>
      <c r="AE113" s="6"/>
      <c r="AF113" s="6"/>
      <c r="AG113" s="6"/>
      <c r="AH113" s="6"/>
      <c r="AI113" s="6"/>
      <c r="AJ113" s="6"/>
      <c r="AK113" s="6"/>
      <c r="AL113" s="6"/>
      <c r="AM113" s="6"/>
      <c r="AN113" s="6"/>
      <c r="AO113" s="6"/>
      <c r="AP113" s="6"/>
      <c r="AQ113" s="6"/>
      <c r="AR113" s="6"/>
      <c r="AS113" s="6"/>
      <c r="AT113" s="6"/>
      <c r="AU113" s="6"/>
      <c r="AV113" s="6"/>
      <c r="AW113" s="6"/>
      <c r="AX113" s="6"/>
      <c r="AY113" s="6"/>
      <c r="AZ113" s="6"/>
      <c r="BA113" s="6"/>
      <c r="BB113" s="6"/>
      <c r="BC113" s="6"/>
      <c r="BD113" s="6"/>
      <c r="BE113" s="6"/>
      <c r="BF113" s="6"/>
      <c r="BG113" s="6"/>
    </row>
    <row r="114" spans="1:59" x14ac:dyDescent="0.2">
      <c r="A114" s="13"/>
      <c r="B114" s="13"/>
      <c r="C114" s="13"/>
      <c r="D114" s="13"/>
      <c r="E114" s="63"/>
      <c r="F114" s="13"/>
      <c r="G114" s="13"/>
      <c r="H114" s="13"/>
      <c r="I114" s="13"/>
      <c r="J114" s="13"/>
      <c r="K114" s="101"/>
      <c r="L114" s="101"/>
      <c r="M114" s="101"/>
      <c r="N114" s="101"/>
      <c r="O114" s="223"/>
      <c r="P114" s="6"/>
      <c r="Q114" s="6"/>
      <c r="R114" s="6"/>
      <c r="S114" s="6"/>
      <c r="T114" s="6"/>
      <c r="U114" s="6"/>
      <c r="V114" s="6"/>
      <c r="W114" s="6"/>
      <c r="X114" s="6"/>
      <c r="Y114" s="6"/>
      <c r="Z114" s="6"/>
      <c r="AA114" s="6"/>
      <c r="AB114" s="6"/>
      <c r="AC114" s="6"/>
      <c r="AD114" s="6"/>
      <c r="AE114" s="6"/>
      <c r="AF114" s="6"/>
      <c r="AG114" s="6"/>
      <c r="AH114" s="6"/>
      <c r="AI114" s="6"/>
      <c r="AJ114" s="6"/>
      <c r="AK114" s="6"/>
      <c r="AL114" s="6"/>
      <c r="AM114" s="6"/>
      <c r="AN114" s="6"/>
      <c r="AO114" s="6"/>
      <c r="AP114" s="6"/>
      <c r="AQ114" s="6"/>
      <c r="AR114" s="6"/>
      <c r="AS114" s="6"/>
      <c r="AT114" s="6"/>
      <c r="AU114" s="6"/>
      <c r="AV114" s="6"/>
      <c r="AW114" s="6"/>
      <c r="AX114" s="6"/>
      <c r="AY114" s="6"/>
      <c r="AZ114" s="6"/>
      <c r="BA114" s="6"/>
      <c r="BB114" s="6"/>
      <c r="BC114" s="6"/>
      <c r="BD114" s="6"/>
      <c r="BE114" s="6"/>
      <c r="BF114" s="6"/>
      <c r="BG114" s="6"/>
    </row>
    <row r="115" spans="1:59" x14ac:dyDescent="0.2">
      <c r="A115" s="13"/>
      <c r="B115" s="13"/>
      <c r="C115" s="13"/>
      <c r="D115" s="13"/>
      <c r="E115" s="63"/>
      <c r="F115" s="13"/>
      <c r="G115" s="13"/>
      <c r="H115" s="13"/>
      <c r="I115" s="13"/>
      <c r="J115" s="13"/>
      <c r="K115" s="101"/>
      <c r="L115" s="101"/>
      <c r="M115" s="101"/>
      <c r="N115" s="101"/>
      <c r="O115" s="223"/>
      <c r="P115" s="6"/>
      <c r="Q115" s="6"/>
      <c r="R115" s="6"/>
      <c r="S115" s="6"/>
      <c r="T115" s="6"/>
      <c r="U115" s="6"/>
      <c r="V115" s="6"/>
      <c r="W115" s="6"/>
      <c r="X115" s="6"/>
      <c r="Y115" s="6"/>
      <c r="Z115" s="6"/>
      <c r="AA115" s="6"/>
      <c r="AB115" s="6"/>
      <c r="AC115" s="6"/>
      <c r="AD115" s="6"/>
      <c r="AE115" s="6"/>
      <c r="AF115" s="6"/>
      <c r="AG115" s="6"/>
      <c r="AH115" s="6"/>
      <c r="AI115" s="6"/>
      <c r="AJ115" s="6"/>
      <c r="AK115" s="6"/>
      <c r="AL115" s="6"/>
      <c r="AM115" s="6"/>
      <c r="AN115" s="6"/>
      <c r="AO115" s="6"/>
      <c r="AP115" s="6"/>
      <c r="AQ115" s="6"/>
      <c r="AR115" s="6"/>
      <c r="AS115" s="6"/>
      <c r="AT115" s="6"/>
      <c r="AU115" s="6"/>
      <c r="AV115" s="6"/>
      <c r="AW115" s="6"/>
      <c r="AX115" s="6"/>
      <c r="AY115" s="6"/>
      <c r="AZ115" s="6"/>
      <c r="BA115" s="6"/>
      <c r="BB115" s="6"/>
      <c r="BC115" s="6"/>
      <c r="BD115" s="6"/>
      <c r="BE115" s="6"/>
      <c r="BF115" s="6"/>
      <c r="BG115" s="6"/>
    </row>
    <row r="116" spans="1:59" x14ac:dyDescent="0.2">
      <c r="A116" s="13"/>
      <c r="B116" s="13"/>
      <c r="C116" s="13"/>
      <c r="D116" s="13"/>
      <c r="E116" s="63"/>
      <c r="F116" s="13"/>
      <c r="G116" s="13"/>
      <c r="H116" s="13"/>
      <c r="I116" s="13"/>
      <c r="J116" s="13"/>
      <c r="K116" s="101"/>
      <c r="L116" s="101"/>
      <c r="M116" s="101"/>
      <c r="N116" s="101"/>
      <c r="O116" s="223"/>
      <c r="P116" s="6"/>
      <c r="Q116" s="6"/>
      <c r="R116" s="6"/>
      <c r="S116" s="6"/>
      <c r="T116" s="6"/>
      <c r="U116" s="6"/>
      <c r="V116" s="6"/>
      <c r="W116" s="6"/>
      <c r="X116" s="6"/>
      <c r="Y116" s="6"/>
      <c r="Z116" s="6"/>
      <c r="AA116" s="6"/>
      <c r="AB116" s="6"/>
      <c r="AC116" s="6"/>
      <c r="AD116" s="6"/>
      <c r="AE116" s="6"/>
      <c r="AF116" s="6"/>
      <c r="AG116" s="6"/>
      <c r="AH116" s="6"/>
      <c r="AI116" s="6"/>
      <c r="AJ116" s="6"/>
      <c r="AK116" s="6"/>
      <c r="AL116" s="6"/>
      <c r="AM116" s="6"/>
      <c r="AN116" s="6"/>
      <c r="AO116" s="6"/>
      <c r="AP116" s="6"/>
      <c r="AQ116" s="6"/>
      <c r="AR116" s="6"/>
      <c r="AS116" s="6"/>
      <c r="AT116" s="6"/>
      <c r="AU116" s="6"/>
      <c r="AV116" s="6"/>
      <c r="AW116" s="6"/>
      <c r="AX116" s="6"/>
      <c r="AY116" s="6"/>
      <c r="AZ116" s="6"/>
      <c r="BA116" s="6"/>
      <c r="BB116" s="6"/>
      <c r="BC116" s="6"/>
      <c r="BD116" s="6"/>
      <c r="BE116" s="6"/>
      <c r="BF116" s="6"/>
      <c r="BG116" s="6"/>
    </row>
    <row r="117" spans="1:59" x14ac:dyDescent="0.2">
      <c r="A117" s="13"/>
      <c r="B117" s="13"/>
      <c r="C117" s="13"/>
      <c r="D117" s="13"/>
      <c r="E117" s="63"/>
      <c r="F117" s="13"/>
      <c r="G117" s="13"/>
      <c r="H117" s="13"/>
      <c r="I117" s="13"/>
      <c r="J117" s="13"/>
      <c r="K117" s="101"/>
      <c r="L117" s="101"/>
      <c r="M117" s="101"/>
      <c r="N117" s="101"/>
      <c r="O117" s="223"/>
      <c r="P117" s="6"/>
      <c r="Q117" s="6"/>
      <c r="R117" s="6"/>
      <c r="S117" s="6"/>
      <c r="T117" s="6"/>
      <c r="U117" s="6"/>
      <c r="V117" s="6"/>
      <c r="W117" s="6"/>
      <c r="X117" s="6"/>
      <c r="Y117" s="6"/>
      <c r="Z117" s="6"/>
      <c r="AA117" s="6"/>
      <c r="AB117" s="6"/>
      <c r="AC117" s="6"/>
      <c r="AD117" s="6"/>
      <c r="AE117" s="6"/>
      <c r="AF117" s="6"/>
      <c r="AG117" s="6"/>
      <c r="AH117" s="6"/>
      <c r="AI117" s="6"/>
      <c r="AJ117" s="6"/>
      <c r="AK117" s="6"/>
      <c r="AL117" s="6"/>
      <c r="AM117" s="6"/>
      <c r="AN117" s="6"/>
      <c r="AO117" s="6"/>
      <c r="AP117" s="6"/>
      <c r="AQ117" s="6"/>
      <c r="AR117" s="6"/>
      <c r="AS117" s="6"/>
      <c r="AT117" s="6"/>
      <c r="AU117" s="6"/>
      <c r="AV117" s="6"/>
      <c r="AW117" s="6"/>
      <c r="AX117" s="6"/>
      <c r="AY117" s="6"/>
      <c r="AZ117" s="6"/>
      <c r="BA117" s="6"/>
      <c r="BB117" s="6"/>
      <c r="BC117" s="6"/>
      <c r="BD117" s="6"/>
      <c r="BE117" s="6"/>
      <c r="BF117" s="6"/>
      <c r="BG117" s="6"/>
    </row>
    <row r="118" spans="1:59" x14ac:dyDescent="0.2">
      <c r="A118" s="13"/>
      <c r="B118" s="13"/>
      <c r="C118" s="13"/>
      <c r="D118" s="13"/>
      <c r="E118" s="63"/>
      <c r="F118" s="13"/>
      <c r="G118" s="13"/>
      <c r="H118" s="13"/>
      <c r="I118" s="13"/>
      <c r="J118" s="13"/>
      <c r="K118" s="101"/>
      <c r="L118" s="101"/>
      <c r="M118" s="101"/>
      <c r="N118" s="101"/>
      <c r="O118" s="223"/>
      <c r="P118" s="6"/>
      <c r="Q118" s="6"/>
      <c r="R118" s="6"/>
      <c r="S118" s="6"/>
      <c r="T118" s="6"/>
      <c r="U118" s="6"/>
      <c r="V118" s="6"/>
      <c r="W118" s="6"/>
      <c r="X118" s="6"/>
      <c r="Y118" s="6"/>
      <c r="Z118" s="6"/>
      <c r="AA118" s="6"/>
      <c r="AB118" s="6"/>
      <c r="AC118" s="6"/>
      <c r="AD118" s="6"/>
      <c r="AE118" s="6"/>
      <c r="AF118" s="6"/>
      <c r="AG118" s="6"/>
      <c r="AH118" s="6"/>
      <c r="AI118" s="6"/>
      <c r="AJ118" s="6"/>
      <c r="AK118" s="6"/>
      <c r="AL118" s="6"/>
      <c r="AM118" s="6"/>
      <c r="AN118" s="6"/>
      <c r="AO118" s="6"/>
      <c r="AP118" s="6"/>
      <c r="AQ118" s="6"/>
      <c r="AR118" s="6"/>
      <c r="AS118" s="6"/>
      <c r="AT118" s="6"/>
      <c r="AU118" s="6"/>
      <c r="AV118" s="6"/>
      <c r="AW118" s="6"/>
      <c r="AX118" s="6"/>
      <c r="AY118" s="6"/>
      <c r="AZ118" s="6"/>
      <c r="BA118" s="6"/>
      <c r="BB118" s="6"/>
      <c r="BC118" s="6"/>
      <c r="BD118" s="6"/>
      <c r="BE118" s="6"/>
      <c r="BF118" s="6"/>
      <c r="BG118" s="6"/>
    </row>
    <row r="119" spans="1:59" x14ac:dyDescent="0.2">
      <c r="A119" s="13"/>
      <c r="B119" s="13"/>
      <c r="C119" s="13"/>
      <c r="D119" s="13"/>
      <c r="E119" s="63"/>
      <c r="F119" s="13"/>
      <c r="G119" s="13"/>
      <c r="H119" s="13"/>
      <c r="I119" s="13"/>
      <c r="J119" s="13"/>
      <c r="K119" s="101"/>
      <c r="L119" s="101"/>
      <c r="M119" s="101"/>
      <c r="N119" s="101"/>
      <c r="O119" s="223"/>
      <c r="P119" s="6"/>
      <c r="Q119" s="6"/>
      <c r="R119" s="6"/>
      <c r="S119" s="6"/>
      <c r="T119" s="6"/>
      <c r="U119" s="6"/>
      <c r="V119" s="6"/>
      <c r="W119" s="6"/>
      <c r="X119" s="6"/>
      <c r="Y119" s="6"/>
      <c r="Z119" s="6"/>
      <c r="AA119" s="6"/>
      <c r="AB119" s="6"/>
      <c r="AC119" s="6"/>
      <c r="AD119" s="6"/>
      <c r="AE119" s="6"/>
      <c r="AF119" s="6"/>
      <c r="AG119" s="6"/>
      <c r="AH119" s="6"/>
      <c r="AI119" s="6"/>
      <c r="AJ119" s="6"/>
      <c r="AK119" s="6"/>
      <c r="AL119" s="6"/>
      <c r="AM119" s="6"/>
      <c r="AN119" s="6"/>
      <c r="AO119" s="6"/>
      <c r="AP119" s="6"/>
      <c r="AQ119" s="6"/>
      <c r="AR119" s="6"/>
      <c r="AS119" s="6"/>
      <c r="AT119" s="6"/>
      <c r="AU119" s="6"/>
      <c r="AV119" s="6"/>
      <c r="AW119" s="6"/>
      <c r="AX119" s="6"/>
      <c r="AY119" s="6"/>
      <c r="AZ119" s="6"/>
      <c r="BA119" s="6"/>
      <c r="BB119" s="6"/>
      <c r="BC119" s="6"/>
      <c r="BD119" s="6"/>
      <c r="BE119" s="6"/>
      <c r="BF119" s="6"/>
      <c r="BG119" s="6"/>
    </row>
    <row r="120" spans="1:59" x14ac:dyDescent="0.2">
      <c r="A120" s="13"/>
      <c r="B120" s="13"/>
      <c r="C120" s="13"/>
      <c r="D120" s="13"/>
      <c r="E120" s="63"/>
      <c r="F120" s="13"/>
      <c r="G120" s="13"/>
      <c r="H120" s="13"/>
      <c r="I120" s="13"/>
      <c r="J120" s="13"/>
      <c r="K120" s="101"/>
      <c r="L120" s="101"/>
      <c r="M120" s="101"/>
      <c r="N120" s="101"/>
      <c r="O120" s="223"/>
      <c r="P120" s="6"/>
      <c r="Q120" s="6"/>
      <c r="R120" s="6"/>
      <c r="S120" s="6"/>
      <c r="T120" s="6"/>
      <c r="U120" s="6"/>
      <c r="V120" s="6"/>
      <c r="W120" s="6"/>
      <c r="X120" s="6"/>
      <c r="Y120" s="6"/>
      <c r="Z120" s="6"/>
      <c r="AA120" s="6"/>
      <c r="AB120" s="6"/>
      <c r="AC120" s="6"/>
      <c r="AD120" s="6"/>
      <c r="AE120" s="6"/>
      <c r="AF120" s="6"/>
      <c r="AG120" s="6"/>
      <c r="AH120" s="6"/>
      <c r="AI120" s="6"/>
      <c r="AJ120" s="6"/>
      <c r="AK120" s="6"/>
      <c r="AL120" s="6"/>
      <c r="AM120" s="6"/>
      <c r="AN120" s="6"/>
      <c r="AO120" s="6"/>
      <c r="AP120" s="6"/>
      <c r="AQ120" s="6"/>
      <c r="AR120" s="6"/>
      <c r="AS120" s="6"/>
      <c r="AT120" s="6"/>
      <c r="AU120" s="6"/>
      <c r="AV120" s="6"/>
      <c r="AW120" s="6"/>
      <c r="AX120" s="6"/>
      <c r="AY120" s="6"/>
      <c r="AZ120" s="6"/>
      <c r="BA120" s="6"/>
      <c r="BB120" s="6"/>
      <c r="BC120" s="6"/>
      <c r="BD120" s="6"/>
      <c r="BE120" s="6"/>
      <c r="BF120" s="6"/>
      <c r="BG120" s="6"/>
    </row>
    <row r="121" spans="1:59" x14ac:dyDescent="0.2">
      <c r="A121" s="13"/>
      <c r="B121" s="13"/>
      <c r="C121" s="13"/>
      <c r="D121" s="13"/>
      <c r="E121" s="63"/>
      <c r="F121" s="13"/>
      <c r="G121" s="13"/>
      <c r="H121" s="13"/>
      <c r="I121" s="13"/>
      <c r="J121" s="13"/>
      <c r="K121" s="101"/>
      <c r="L121" s="101"/>
      <c r="M121" s="101"/>
      <c r="N121" s="101"/>
      <c r="O121" s="223"/>
      <c r="P121" s="6"/>
      <c r="Q121" s="6"/>
      <c r="R121" s="6"/>
      <c r="S121" s="6"/>
      <c r="T121" s="6"/>
      <c r="U121" s="6"/>
      <c r="V121" s="6"/>
      <c r="W121" s="6"/>
      <c r="X121" s="6"/>
      <c r="Y121" s="6"/>
      <c r="Z121" s="6"/>
      <c r="AA121" s="6"/>
      <c r="AB121" s="6"/>
      <c r="AC121" s="6"/>
      <c r="AD121" s="6"/>
      <c r="AE121" s="6"/>
      <c r="AF121" s="6"/>
      <c r="AG121" s="6"/>
      <c r="AH121" s="6"/>
      <c r="AI121" s="6"/>
      <c r="AJ121" s="6"/>
      <c r="AK121" s="6"/>
      <c r="AL121" s="6"/>
      <c r="AM121" s="6"/>
      <c r="AN121" s="6"/>
      <c r="AO121" s="6"/>
      <c r="AP121" s="6"/>
      <c r="AQ121" s="6"/>
      <c r="AR121" s="6"/>
      <c r="AS121" s="6"/>
      <c r="AT121" s="6"/>
      <c r="AU121" s="6"/>
      <c r="AV121" s="6"/>
      <c r="AW121" s="6"/>
      <c r="AX121" s="6"/>
      <c r="AY121" s="6"/>
      <c r="AZ121" s="6"/>
      <c r="BA121" s="6"/>
      <c r="BB121" s="6"/>
      <c r="BC121" s="6"/>
      <c r="BD121" s="6"/>
      <c r="BE121" s="6"/>
      <c r="BF121" s="6"/>
      <c r="BG121" s="6"/>
    </row>
    <row r="122" spans="1:59" x14ac:dyDescent="0.2">
      <c r="A122" s="13"/>
      <c r="B122" s="13"/>
      <c r="C122" s="13"/>
      <c r="D122" s="13"/>
      <c r="E122" s="63"/>
      <c r="F122" s="13"/>
      <c r="G122" s="13"/>
      <c r="H122" s="13"/>
      <c r="I122" s="13"/>
      <c r="J122" s="13"/>
      <c r="K122" s="101"/>
      <c r="L122" s="101"/>
      <c r="M122" s="101"/>
      <c r="N122" s="101"/>
      <c r="O122" s="223"/>
      <c r="P122" s="6"/>
      <c r="Q122" s="6"/>
      <c r="R122" s="6"/>
      <c r="S122" s="6"/>
      <c r="T122" s="6"/>
      <c r="U122" s="6"/>
      <c r="V122" s="6"/>
      <c r="W122" s="6"/>
      <c r="X122" s="6"/>
      <c r="Y122" s="6"/>
      <c r="Z122" s="6"/>
      <c r="AA122" s="6"/>
      <c r="AB122" s="6"/>
      <c r="AC122" s="6"/>
      <c r="AD122" s="6"/>
      <c r="AE122" s="6"/>
      <c r="AF122" s="6"/>
      <c r="AG122" s="6"/>
      <c r="AH122" s="6"/>
      <c r="AI122" s="6"/>
      <c r="AJ122" s="6"/>
      <c r="AK122" s="6"/>
      <c r="AL122" s="6"/>
      <c r="AM122" s="6"/>
      <c r="AN122" s="6"/>
      <c r="AO122" s="6"/>
      <c r="AP122" s="6"/>
      <c r="AQ122" s="6"/>
      <c r="AR122" s="6"/>
      <c r="AS122" s="6"/>
      <c r="AT122" s="6"/>
      <c r="AU122" s="6"/>
      <c r="AV122" s="6"/>
      <c r="AW122" s="6"/>
      <c r="AX122" s="6"/>
      <c r="AY122" s="6"/>
      <c r="AZ122" s="6"/>
      <c r="BA122" s="6"/>
      <c r="BB122" s="6"/>
      <c r="BC122" s="6"/>
      <c r="BD122" s="6"/>
      <c r="BE122" s="6"/>
      <c r="BF122" s="6"/>
      <c r="BG122" s="6"/>
    </row>
    <row r="123" spans="1:59" x14ac:dyDescent="0.2">
      <c r="A123" s="13"/>
      <c r="B123" s="13"/>
      <c r="C123" s="13"/>
      <c r="D123" s="13"/>
      <c r="E123" s="63"/>
      <c r="F123" s="13"/>
      <c r="G123" s="13"/>
      <c r="H123" s="13"/>
      <c r="I123" s="13"/>
      <c r="J123" s="13"/>
      <c r="K123" s="101"/>
      <c r="L123" s="101"/>
      <c r="M123" s="101"/>
      <c r="N123" s="101"/>
      <c r="O123" s="223"/>
      <c r="P123" s="6"/>
      <c r="Q123" s="6"/>
      <c r="R123" s="6"/>
      <c r="S123" s="6"/>
      <c r="T123" s="6"/>
      <c r="U123" s="6"/>
      <c r="V123" s="6"/>
      <c r="W123" s="6"/>
      <c r="X123" s="6"/>
      <c r="Y123" s="6"/>
      <c r="Z123" s="6"/>
      <c r="AA123" s="6"/>
      <c r="AB123" s="6"/>
      <c r="AC123" s="6"/>
      <c r="AD123" s="6"/>
      <c r="AE123" s="6"/>
      <c r="AF123" s="6"/>
      <c r="AG123" s="6"/>
      <c r="AH123" s="6"/>
      <c r="AI123" s="6"/>
      <c r="AJ123" s="6"/>
      <c r="AK123" s="6"/>
      <c r="AL123" s="6"/>
      <c r="AM123" s="6"/>
      <c r="AN123" s="6"/>
      <c r="AO123" s="6"/>
      <c r="AP123" s="6"/>
      <c r="AQ123" s="6"/>
      <c r="AR123" s="6"/>
      <c r="AS123" s="6"/>
      <c r="AT123" s="6"/>
      <c r="AU123" s="6"/>
      <c r="AV123" s="6"/>
      <c r="AW123" s="6"/>
      <c r="AX123" s="6"/>
      <c r="AY123" s="6"/>
      <c r="AZ123" s="6"/>
      <c r="BA123" s="6"/>
      <c r="BB123" s="6"/>
      <c r="BC123" s="6"/>
      <c r="BD123" s="6"/>
      <c r="BE123" s="6"/>
      <c r="BF123" s="6"/>
      <c r="BG123" s="6"/>
    </row>
    <row r="124" spans="1:59" x14ac:dyDescent="0.2">
      <c r="A124" s="13"/>
      <c r="B124" s="13"/>
      <c r="C124" s="13"/>
      <c r="D124" s="13"/>
      <c r="E124" s="63"/>
      <c r="F124" s="13"/>
      <c r="G124" s="13"/>
      <c r="H124" s="13"/>
      <c r="I124" s="13"/>
      <c r="J124" s="13"/>
      <c r="K124" s="101"/>
      <c r="L124" s="101"/>
      <c r="M124" s="101"/>
      <c r="N124" s="101"/>
      <c r="O124" s="223"/>
      <c r="P124" s="6"/>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c r="AP124" s="6"/>
      <c r="AQ124" s="6"/>
      <c r="AR124" s="6"/>
      <c r="AS124" s="6"/>
      <c r="AT124" s="6"/>
      <c r="AU124" s="6"/>
      <c r="AV124" s="6"/>
      <c r="AW124" s="6"/>
      <c r="AX124" s="6"/>
      <c r="AY124" s="6"/>
      <c r="AZ124" s="6"/>
      <c r="BA124" s="6"/>
      <c r="BB124" s="6"/>
      <c r="BC124" s="6"/>
      <c r="BD124" s="6"/>
      <c r="BE124" s="6"/>
      <c r="BF124" s="6"/>
      <c r="BG124" s="6"/>
    </row>
    <row r="125" spans="1:59" x14ac:dyDescent="0.2">
      <c r="A125" s="13"/>
      <c r="B125" s="13"/>
      <c r="C125" s="13"/>
      <c r="D125" s="13"/>
      <c r="E125" s="63"/>
      <c r="F125" s="13"/>
      <c r="G125" s="13"/>
      <c r="H125" s="13"/>
      <c r="I125" s="13"/>
      <c r="J125" s="13"/>
      <c r="K125" s="101"/>
      <c r="L125" s="101"/>
      <c r="M125" s="101"/>
      <c r="N125" s="101"/>
      <c r="O125" s="223"/>
      <c r="P125" s="6"/>
      <c r="Q125" s="6"/>
      <c r="R125" s="6"/>
      <c r="S125" s="6"/>
      <c r="T125" s="6"/>
      <c r="U125" s="6"/>
      <c r="V125" s="6"/>
      <c r="W125" s="6"/>
      <c r="X125" s="6"/>
      <c r="Y125" s="6"/>
      <c r="Z125" s="6"/>
      <c r="AA125" s="6"/>
      <c r="AB125" s="6"/>
      <c r="AC125" s="6"/>
      <c r="AD125" s="6"/>
      <c r="AE125" s="6"/>
      <c r="AF125" s="6"/>
      <c r="AG125" s="6"/>
      <c r="AH125" s="6"/>
      <c r="AI125" s="6"/>
      <c r="AJ125" s="6"/>
      <c r="AK125" s="6"/>
      <c r="AL125" s="6"/>
      <c r="AM125" s="6"/>
      <c r="AN125" s="6"/>
      <c r="AO125" s="6"/>
      <c r="AP125" s="6"/>
      <c r="AQ125" s="6"/>
      <c r="AR125" s="6"/>
      <c r="AS125" s="6"/>
      <c r="AT125" s="6"/>
      <c r="AU125" s="6"/>
      <c r="AV125" s="6"/>
      <c r="AW125" s="6"/>
      <c r="AX125" s="6"/>
      <c r="AY125" s="6"/>
      <c r="AZ125" s="6"/>
      <c r="BA125" s="6"/>
      <c r="BB125" s="6"/>
      <c r="BC125" s="6"/>
      <c r="BD125" s="6"/>
      <c r="BE125" s="6"/>
      <c r="BF125" s="6"/>
      <c r="BG125" s="6"/>
    </row>
    <row r="126" spans="1:59" x14ac:dyDescent="0.2">
      <c r="A126" s="13"/>
      <c r="B126" s="13"/>
      <c r="C126" s="13"/>
      <c r="D126" s="13"/>
      <c r="E126" s="63"/>
      <c r="F126" s="13"/>
      <c r="G126" s="13"/>
      <c r="H126" s="13"/>
      <c r="I126" s="13"/>
      <c r="J126" s="13"/>
      <c r="K126" s="101"/>
      <c r="L126" s="101"/>
      <c r="M126" s="101"/>
      <c r="N126" s="101"/>
      <c r="O126" s="223"/>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6"/>
      <c r="AV126" s="6"/>
      <c r="AW126" s="6"/>
      <c r="AX126" s="6"/>
      <c r="AY126" s="6"/>
      <c r="AZ126" s="6"/>
      <c r="BA126" s="6"/>
      <c r="BB126" s="6"/>
      <c r="BC126" s="6"/>
      <c r="BD126" s="6"/>
      <c r="BE126" s="6"/>
      <c r="BF126" s="6"/>
      <c r="BG126" s="6"/>
    </row>
    <row r="127" spans="1:59" x14ac:dyDescent="0.2">
      <c r="A127" s="13"/>
      <c r="B127" s="13"/>
      <c r="C127" s="13"/>
      <c r="D127" s="13"/>
      <c r="E127" s="63"/>
      <c r="F127" s="13"/>
      <c r="G127" s="13"/>
      <c r="H127" s="13"/>
      <c r="I127" s="13"/>
      <c r="J127" s="13"/>
      <c r="K127" s="101"/>
      <c r="L127" s="101"/>
      <c r="M127" s="101"/>
      <c r="N127" s="101"/>
      <c r="O127" s="223"/>
      <c r="P127" s="6"/>
      <c r="Q127" s="6"/>
      <c r="R127" s="6"/>
      <c r="S127" s="6"/>
      <c r="T127" s="6"/>
      <c r="U127" s="6"/>
      <c r="V127" s="6"/>
      <c r="W127" s="6"/>
      <c r="X127" s="6"/>
      <c r="Y127" s="6"/>
      <c r="Z127" s="6"/>
      <c r="AA127" s="6"/>
      <c r="AB127" s="6"/>
      <c r="AC127" s="6"/>
      <c r="AD127" s="6"/>
      <c r="AE127" s="6"/>
      <c r="AF127" s="6"/>
      <c r="AG127" s="6"/>
      <c r="AH127" s="6"/>
      <c r="AI127" s="6"/>
      <c r="AJ127" s="6"/>
      <c r="AK127" s="6"/>
      <c r="AL127" s="6"/>
      <c r="AM127" s="6"/>
      <c r="AN127" s="6"/>
      <c r="AO127" s="6"/>
      <c r="AP127" s="6"/>
      <c r="AQ127" s="6"/>
      <c r="AR127" s="6"/>
      <c r="AS127" s="6"/>
      <c r="AT127" s="6"/>
      <c r="AU127" s="6"/>
      <c r="AV127" s="6"/>
      <c r="AW127" s="6"/>
      <c r="AX127" s="6"/>
      <c r="AY127" s="6"/>
      <c r="AZ127" s="6"/>
      <c r="BA127" s="6"/>
      <c r="BB127" s="6"/>
      <c r="BC127" s="6"/>
      <c r="BD127" s="6"/>
      <c r="BE127" s="6"/>
      <c r="BF127" s="6"/>
      <c r="BG127" s="6"/>
    </row>
    <row r="128" spans="1:59" x14ac:dyDescent="0.2">
      <c r="A128" s="13"/>
      <c r="B128" s="13"/>
      <c r="C128" s="13"/>
      <c r="D128" s="13"/>
      <c r="E128" s="63"/>
      <c r="F128" s="13"/>
      <c r="G128" s="13"/>
      <c r="H128" s="13"/>
      <c r="I128" s="13"/>
      <c r="J128" s="13"/>
      <c r="K128" s="101"/>
      <c r="L128" s="101"/>
      <c r="M128" s="101"/>
      <c r="N128" s="101"/>
      <c r="O128" s="223"/>
      <c r="P128" s="6"/>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c r="AP128" s="6"/>
      <c r="AQ128" s="6"/>
      <c r="AR128" s="6"/>
      <c r="AS128" s="6"/>
      <c r="AT128" s="6"/>
      <c r="AU128" s="6"/>
      <c r="AV128" s="6"/>
      <c r="AW128" s="6"/>
      <c r="AX128" s="6"/>
      <c r="AY128" s="6"/>
      <c r="AZ128" s="6"/>
      <c r="BA128" s="6"/>
      <c r="BB128" s="6"/>
      <c r="BC128" s="6"/>
      <c r="BD128" s="6"/>
      <c r="BE128" s="6"/>
      <c r="BF128" s="6"/>
      <c r="BG128" s="6"/>
    </row>
    <row r="129" spans="1:59" x14ac:dyDescent="0.2">
      <c r="A129" s="13"/>
      <c r="B129" s="13"/>
      <c r="C129" s="13"/>
      <c r="D129" s="13"/>
      <c r="E129" s="63"/>
      <c r="F129" s="13"/>
      <c r="G129" s="13"/>
      <c r="H129" s="13"/>
      <c r="I129" s="13"/>
      <c r="J129" s="13"/>
      <c r="K129" s="101"/>
      <c r="L129" s="101"/>
      <c r="M129" s="101"/>
      <c r="N129" s="101"/>
      <c r="O129" s="223"/>
      <c r="P129" s="6"/>
      <c r="Q129" s="6"/>
      <c r="R129" s="6"/>
      <c r="S129" s="6"/>
      <c r="T129" s="6"/>
      <c r="U129" s="6"/>
      <c r="V129" s="6"/>
      <c r="W129" s="6"/>
      <c r="X129" s="6"/>
      <c r="Y129" s="6"/>
      <c r="Z129" s="6"/>
      <c r="AA129" s="6"/>
      <c r="AB129" s="6"/>
      <c r="AC129" s="6"/>
      <c r="AD129" s="6"/>
      <c r="AE129" s="6"/>
      <c r="AF129" s="6"/>
      <c r="AG129" s="6"/>
      <c r="AH129" s="6"/>
      <c r="AI129" s="6"/>
      <c r="AJ129" s="6"/>
      <c r="AK129" s="6"/>
      <c r="AL129" s="6"/>
      <c r="AM129" s="6"/>
      <c r="AN129" s="6"/>
      <c r="AO129" s="6"/>
      <c r="AP129" s="6"/>
      <c r="AQ129" s="6"/>
      <c r="AR129" s="6"/>
      <c r="AS129" s="6"/>
      <c r="AT129" s="6"/>
      <c r="AU129" s="6"/>
      <c r="AV129" s="6"/>
      <c r="AW129" s="6"/>
      <c r="AX129" s="6"/>
      <c r="AY129" s="6"/>
      <c r="AZ129" s="6"/>
      <c r="BA129" s="6"/>
      <c r="BB129" s="6"/>
      <c r="BC129" s="6"/>
      <c r="BD129" s="6"/>
      <c r="BE129" s="6"/>
      <c r="BF129" s="6"/>
      <c r="BG129" s="6"/>
    </row>
    <row r="130" spans="1:59" x14ac:dyDescent="0.2">
      <c r="A130" s="13"/>
      <c r="B130" s="13"/>
      <c r="C130" s="13"/>
      <c r="D130" s="13"/>
      <c r="E130" s="63"/>
      <c r="F130" s="13"/>
      <c r="G130" s="13"/>
      <c r="H130" s="13"/>
      <c r="I130" s="13"/>
      <c r="J130" s="13"/>
      <c r="K130" s="101"/>
      <c r="L130" s="101"/>
      <c r="M130" s="101"/>
      <c r="N130" s="101"/>
      <c r="O130" s="223"/>
      <c r="P130" s="6"/>
      <c r="Q130" s="6"/>
      <c r="R130" s="6"/>
      <c r="S130" s="6"/>
      <c r="T130" s="6"/>
      <c r="U130" s="6"/>
      <c r="V130" s="6"/>
      <c r="W130" s="6"/>
      <c r="X130" s="6"/>
      <c r="Y130" s="6"/>
      <c r="Z130" s="6"/>
      <c r="AA130" s="6"/>
      <c r="AB130" s="6"/>
      <c r="AC130" s="6"/>
      <c r="AD130" s="6"/>
      <c r="AE130" s="6"/>
      <c r="AF130" s="6"/>
      <c r="AG130" s="6"/>
      <c r="AH130" s="6"/>
      <c r="AI130" s="6"/>
      <c r="AJ130" s="6"/>
      <c r="AK130" s="6"/>
      <c r="AL130" s="6"/>
      <c r="AM130" s="6"/>
      <c r="AN130" s="6"/>
      <c r="AO130" s="6"/>
      <c r="AP130" s="6"/>
      <c r="AQ130" s="6"/>
      <c r="AR130" s="6"/>
      <c r="AS130" s="6"/>
      <c r="AT130" s="6"/>
      <c r="AU130" s="6"/>
      <c r="AV130" s="6"/>
      <c r="AW130" s="6"/>
      <c r="AX130" s="6"/>
      <c r="AY130" s="6"/>
      <c r="AZ130" s="6"/>
      <c r="BA130" s="6"/>
      <c r="BB130" s="6"/>
      <c r="BC130" s="6"/>
      <c r="BD130" s="6"/>
      <c r="BE130" s="6"/>
      <c r="BF130" s="6"/>
      <c r="BG130" s="6"/>
    </row>
    <row r="131" spans="1:59" x14ac:dyDescent="0.2">
      <c r="A131" s="13"/>
      <c r="B131" s="13"/>
      <c r="C131" s="13"/>
      <c r="D131" s="13"/>
      <c r="E131" s="63"/>
      <c r="F131" s="13"/>
      <c r="G131" s="13"/>
      <c r="H131" s="13"/>
      <c r="I131" s="13"/>
      <c r="J131" s="13"/>
      <c r="K131" s="101"/>
      <c r="L131" s="101"/>
      <c r="M131" s="101"/>
      <c r="N131" s="101"/>
      <c r="O131" s="223"/>
      <c r="P131" s="6"/>
      <c r="Q131" s="6"/>
      <c r="R131" s="6"/>
      <c r="S131" s="6"/>
      <c r="T131" s="6"/>
      <c r="U131" s="6"/>
      <c r="V131" s="6"/>
      <c r="W131" s="6"/>
      <c r="X131" s="6"/>
      <c r="Y131" s="6"/>
      <c r="Z131" s="6"/>
      <c r="AA131" s="6"/>
      <c r="AB131" s="6"/>
      <c r="AC131" s="6"/>
      <c r="AD131" s="6"/>
      <c r="AE131" s="6"/>
      <c r="AF131" s="6"/>
      <c r="AG131" s="6"/>
      <c r="AH131" s="6"/>
      <c r="AI131" s="6"/>
      <c r="AJ131" s="6"/>
      <c r="AK131" s="6"/>
      <c r="AL131" s="6"/>
      <c r="AM131" s="6"/>
      <c r="AN131" s="6"/>
      <c r="AO131" s="6"/>
      <c r="AP131" s="6"/>
      <c r="AQ131" s="6"/>
      <c r="AR131" s="6"/>
      <c r="AS131" s="6"/>
      <c r="AT131" s="6"/>
      <c r="AU131" s="6"/>
      <c r="AV131" s="6"/>
      <c r="AW131" s="6"/>
      <c r="AX131" s="6"/>
      <c r="AY131" s="6"/>
      <c r="AZ131" s="6"/>
      <c r="BA131" s="6"/>
      <c r="BB131" s="6"/>
      <c r="BC131" s="6"/>
      <c r="BD131" s="6"/>
      <c r="BE131" s="6"/>
      <c r="BF131" s="6"/>
      <c r="BG131" s="6"/>
    </row>
    <row r="132" spans="1:59" x14ac:dyDescent="0.2">
      <c r="A132" s="13"/>
      <c r="B132" s="13"/>
      <c r="C132" s="13"/>
      <c r="D132" s="13"/>
      <c r="E132" s="63"/>
      <c r="F132" s="13"/>
      <c r="G132" s="13"/>
      <c r="H132" s="13"/>
      <c r="I132" s="13"/>
      <c r="J132" s="13"/>
      <c r="K132" s="101"/>
      <c r="L132" s="101"/>
      <c r="M132" s="101"/>
      <c r="N132" s="101"/>
      <c r="O132" s="223"/>
      <c r="P132" s="6"/>
      <c r="Q132" s="6"/>
      <c r="R132" s="6"/>
      <c r="S132" s="6"/>
      <c r="T132" s="6"/>
      <c r="U132" s="6"/>
      <c r="V132" s="6"/>
      <c r="W132" s="6"/>
      <c r="X132" s="6"/>
      <c r="Y132" s="6"/>
      <c r="Z132" s="6"/>
      <c r="AA132" s="6"/>
      <c r="AB132" s="6"/>
      <c r="AC132" s="6"/>
      <c r="AD132" s="6"/>
      <c r="AE132" s="6"/>
      <c r="AF132" s="6"/>
      <c r="AG132" s="6"/>
      <c r="AH132" s="6"/>
      <c r="AI132" s="6"/>
      <c r="AJ132" s="6"/>
      <c r="AK132" s="6"/>
      <c r="AL132" s="6"/>
      <c r="AM132" s="6"/>
      <c r="AN132" s="6"/>
      <c r="AO132" s="6"/>
      <c r="AP132" s="6"/>
      <c r="AQ132" s="6"/>
      <c r="AR132" s="6"/>
      <c r="AS132" s="6"/>
      <c r="AT132" s="6"/>
      <c r="AU132" s="6"/>
      <c r="AV132" s="6"/>
      <c r="AW132" s="6"/>
      <c r="AX132" s="6"/>
      <c r="AY132" s="6"/>
      <c r="AZ132" s="6"/>
      <c r="BA132" s="6"/>
      <c r="BB132" s="6"/>
      <c r="BC132" s="6"/>
      <c r="BD132" s="6"/>
      <c r="BE132" s="6"/>
      <c r="BF132" s="6"/>
      <c r="BG132" s="6"/>
    </row>
    <row r="133" spans="1:59" x14ac:dyDescent="0.2">
      <c r="A133" s="13"/>
      <c r="B133" s="13"/>
      <c r="C133" s="13"/>
      <c r="D133" s="13"/>
      <c r="E133" s="63"/>
      <c r="F133" s="13"/>
      <c r="G133" s="13"/>
      <c r="H133" s="13"/>
      <c r="I133" s="13"/>
      <c r="J133" s="13"/>
      <c r="K133" s="101"/>
      <c r="L133" s="101"/>
      <c r="M133" s="101"/>
      <c r="N133" s="101"/>
      <c r="O133" s="223"/>
      <c r="P133" s="6"/>
      <c r="Q133" s="6"/>
      <c r="R133" s="6"/>
      <c r="S133" s="6"/>
      <c r="T133" s="6"/>
      <c r="U133" s="6"/>
      <c r="V133" s="6"/>
      <c r="W133" s="6"/>
      <c r="X133" s="6"/>
      <c r="Y133" s="6"/>
      <c r="Z133" s="6"/>
      <c r="AA133" s="6"/>
      <c r="AB133" s="6"/>
      <c r="AC133" s="6"/>
      <c r="AD133" s="6"/>
      <c r="AE133" s="6"/>
      <c r="AF133" s="6"/>
      <c r="AG133" s="6"/>
      <c r="AH133" s="6"/>
      <c r="AI133" s="6"/>
      <c r="AJ133" s="6"/>
      <c r="AK133" s="6"/>
      <c r="AL133" s="6"/>
      <c r="AM133" s="6"/>
      <c r="AN133" s="6"/>
      <c r="AO133" s="6"/>
      <c r="AP133" s="6"/>
      <c r="AQ133" s="6"/>
      <c r="AR133" s="6"/>
      <c r="AS133" s="6"/>
      <c r="AT133" s="6"/>
      <c r="AU133" s="6"/>
      <c r="AV133" s="6"/>
      <c r="AW133" s="6"/>
      <c r="AX133" s="6"/>
      <c r="AY133" s="6"/>
      <c r="AZ133" s="6"/>
      <c r="BA133" s="6"/>
      <c r="BB133" s="6"/>
      <c r="BC133" s="6"/>
      <c r="BD133" s="6"/>
      <c r="BE133" s="6"/>
      <c r="BF133" s="6"/>
      <c r="BG133" s="6"/>
    </row>
    <row r="134" spans="1:59" x14ac:dyDescent="0.2">
      <c r="A134" s="13"/>
      <c r="B134" s="13"/>
      <c r="C134" s="13"/>
      <c r="D134" s="13"/>
      <c r="E134" s="63"/>
      <c r="F134" s="13"/>
      <c r="G134" s="13"/>
      <c r="H134" s="13"/>
      <c r="I134" s="13"/>
      <c r="J134" s="13"/>
      <c r="K134" s="101"/>
      <c r="L134" s="101"/>
      <c r="M134" s="101"/>
      <c r="N134" s="101"/>
      <c r="O134" s="223"/>
      <c r="P134" s="6"/>
      <c r="Q134" s="6"/>
      <c r="R134" s="6"/>
      <c r="S134" s="6"/>
      <c r="T134" s="6"/>
      <c r="U134" s="6"/>
      <c r="V134" s="6"/>
      <c r="W134" s="6"/>
      <c r="X134" s="6"/>
      <c r="Y134" s="6"/>
      <c r="Z134" s="6"/>
      <c r="AA134" s="6"/>
      <c r="AB134" s="6"/>
      <c r="AC134" s="6"/>
      <c r="AD134" s="6"/>
      <c r="AE134" s="6"/>
      <c r="AF134" s="6"/>
      <c r="AG134" s="6"/>
      <c r="AH134" s="6"/>
      <c r="AI134" s="6"/>
      <c r="AJ134" s="6"/>
      <c r="AK134" s="6"/>
      <c r="AL134" s="6"/>
      <c r="AM134" s="6"/>
      <c r="AN134" s="6"/>
      <c r="AO134" s="6"/>
      <c r="AP134" s="6"/>
      <c r="AQ134" s="6"/>
      <c r="AR134" s="6"/>
      <c r="AS134" s="6"/>
      <c r="AT134" s="6"/>
      <c r="AU134" s="6"/>
      <c r="AV134" s="6"/>
      <c r="AW134" s="6"/>
      <c r="AX134" s="6"/>
      <c r="AY134" s="6"/>
      <c r="AZ134" s="6"/>
      <c r="BA134" s="6"/>
      <c r="BB134" s="6"/>
      <c r="BC134" s="6"/>
      <c r="BD134" s="6"/>
      <c r="BE134" s="6"/>
      <c r="BF134" s="6"/>
      <c r="BG134" s="6"/>
    </row>
    <row r="135" spans="1:59" x14ac:dyDescent="0.2">
      <c r="A135" s="13"/>
      <c r="B135" s="13"/>
      <c r="C135" s="13"/>
      <c r="D135" s="13"/>
      <c r="E135" s="63"/>
      <c r="F135" s="13"/>
      <c r="G135" s="13"/>
      <c r="H135" s="13"/>
      <c r="I135" s="13"/>
      <c r="J135" s="13"/>
      <c r="K135" s="101"/>
      <c r="L135" s="101"/>
      <c r="M135" s="101"/>
      <c r="N135" s="101"/>
      <c r="O135" s="223"/>
      <c r="P135" s="6"/>
      <c r="Q135" s="6"/>
      <c r="R135" s="6"/>
      <c r="S135" s="6"/>
      <c r="T135" s="6"/>
      <c r="U135" s="6"/>
      <c r="V135" s="6"/>
      <c r="W135" s="6"/>
      <c r="X135" s="6"/>
      <c r="Y135" s="6"/>
      <c r="Z135" s="6"/>
      <c r="AA135" s="6"/>
      <c r="AB135" s="6"/>
      <c r="AC135" s="6"/>
      <c r="AD135" s="6"/>
      <c r="AE135" s="6"/>
      <c r="AF135" s="6"/>
      <c r="AG135" s="6"/>
      <c r="AH135" s="6"/>
      <c r="AI135" s="6"/>
      <c r="AJ135" s="6"/>
      <c r="AK135" s="6"/>
      <c r="AL135" s="6"/>
      <c r="AM135" s="6"/>
      <c r="AN135" s="6"/>
      <c r="AO135" s="6"/>
      <c r="AP135" s="6"/>
      <c r="AQ135" s="6"/>
      <c r="AR135" s="6"/>
      <c r="AS135" s="6"/>
      <c r="AT135" s="6"/>
      <c r="AU135" s="6"/>
      <c r="AV135" s="6"/>
      <c r="AW135" s="6"/>
      <c r="AX135" s="6"/>
      <c r="AY135" s="6"/>
      <c r="AZ135" s="6"/>
      <c r="BA135" s="6"/>
      <c r="BB135" s="6"/>
      <c r="BC135" s="6"/>
      <c r="BD135" s="6"/>
      <c r="BE135" s="6"/>
      <c r="BF135" s="6"/>
      <c r="BG135" s="6"/>
    </row>
    <row r="136" spans="1:59" x14ac:dyDescent="0.2">
      <c r="A136" s="13"/>
      <c r="B136" s="13"/>
      <c r="C136" s="13"/>
      <c r="D136" s="13"/>
      <c r="E136" s="63"/>
      <c r="F136" s="13"/>
      <c r="G136" s="13"/>
      <c r="H136" s="13"/>
      <c r="I136" s="13"/>
      <c r="J136" s="13"/>
      <c r="K136" s="101"/>
      <c r="L136" s="101"/>
      <c r="M136" s="101"/>
      <c r="N136" s="101"/>
      <c r="O136" s="223"/>
      <c r="P136" s="6"/>
      <c r="Q136" s="6"/>
      <c r="R136" s="6"/>
      <c r="S136" s="6"/>
      <c r="T136" s="6"/>
      <c r="U136" s="6"/>
      <c r="V136" s="6"/>
      <c r="W136" s="6"/>
      <c r="X136" s="6"/>
      <c r="Y136" s="6"/>
      <c r="Z136" s="6"/>
      <c r="AA136" s="6"/>
      <c r="AB136" s="6"/>
      <c r="AC136" s="6"/>
      <c r="AD136" s="6"/>
      <c r="AE136" s="6"/>
      <c r="AF136" s="6"/>
      <c r="AG136" s="6"/>
      <c r="AH136" s="6"/>
      <c r="AI136" s="6"/>
      <c r="AJ136" s="6"/>
      <c r="AK136" s="6"/>
      <c r="AL136" s="6"/>
      <c r="AM136" s="6"/>
      <c r="AN136" s="6"/>
      <c r="AO136" s="6"/>
      <c r="AP136" s="6"/>
      <c r="AQ136" s="6"/>
      <c r="AR136" s="6"/>
      <c r="AS136" s="6"/>
      <c r="AT136" s="6"/>
      <c r="AU136" s="6"/>
      <c r="AV136" s="6"/>
      <c r="AW136" s="6"/>
      <c r="AX136" s="6"/>
      <c r="AY136" s="6"/>
      <c r="AZ136" s="6"/>
      <c r="BA136" s="6"/>
      <c r="BB136" s="6"/>
      <c r="BC136" s="6"/>
      <c r="BD136" s="6"/>
      <c r="BE136" s="6"/>
      <c r="BF136" s="6"/>
      <c r="BG136" s="6"/>
    </row>
    <row r="137" spans="1:59" x14ac:dyDescent="0.2">
      <c r="A137" s="13"/>
      <c r="B137" s="13"/>
      <c r="C137" s="13"/>
      <c r="D137" s="13"/>
      <c r="E137" s="63"/>
      <c r="F137" s="13"/>
      <c r="G137" s="13"/>
      <c r="H137" s="13"/>
      <c r="I137" s="13"/>
      <c r="J137" s="13"/>
      <c r="K137" s="101"/>
      <c r="L137" s="101"/>
      <c r="M137" s="101"/>
      <c r="N137" s="101"/>
      <c r="O137" s="223"/>
      <c r="P137" s="6"/>
      <c r="Q137" s="6"/>
      <c r="R137" s="6"/>
      <c r="S137" s="6"/>
      <c r="T137" s="6"/>
      <c r="U137" s="6"/>
      <c r="V137" s="6"/>
      <c r="W137" s="6"/>
      <c r="X137" s="6"/>
      <c r="Y137" s="6"/>
      <c r="Z137" s="6"/>
      <c r="AA137" s="6"/>
      <c r="AB137" s="6"/>
      <c r="AC137" s="6"/>
      <c r="AD137" s="6"/>
      <c r="AE137" s="6"/>
      <c r="AF137" s="6"/>
      <c r="AG137" s="6"/>
      <c r="AH137" s="6"/>
      <c r="AI137" s="6"/>
      <c r="AJ137" s="6"/>
      <c r="AK137" s="6"/>
      <c r="AL137" s="6"/>
      <c r="AM137" s="6"/>
      <c r="AN137" s="6"/>
      <c r="AO137" s="6"/>
      <c r="AP137" s="6"/>
      <c r="AQ137" s="6"/>
      <c r="AR137" s="6"/>
      <c r="AS137" s="6"/>
      <c r="AT137" s="6"/>
      <c r="AU137" s="6"/>
      <c r="AV137" s="6"/>
      <c r="AW137" s="6"/>
      <c r="AX137" s="6"/>
      <c r="AY137" s="6"/>
      <c r="AZ137" s="6"/>
      <c r="BA137" s="6"/>
      <c r="BB137" s="6"/>
      <c r="BC137" s="6"/>
      <c r="BD137" s="6"/>
      <c r="BE137" s="6"/>
      <c r="BF137" s="6"/>
      <c r="BG137" s="6"/>
    </row>
    <row r="138" spans="1:59" x14ac:dyDescent="0.2">
      <c r="A138" s="13"/>
      <c r="B138" s="13"/>
      <c r="C138" s="13"/>
      <c r="D138" s="13"/>
      <c r="E138" s="63"/>
      <c r="F138" s="13"/>
      <c r="G138" s="13"/>
      <c r="H138" s="13"/>
      <c r="I138" s="13"/>
      <c r="J138" s="13"/>
      <c r="K138" s="101"/>
      <c r="L138" s="101"/>
      <c r="M138" s="101"/>
      <c r="N138" s="101"/>
      <c r="O138" s="223"/>
      <c r="P138" s="6"/>
      <c r="Q138" s="6"/>
      <c r="R138" s="6"/>
      <c r="S138" s="6"/>
      <c r="T138" s="6"/>
      <c r="U138" s="6"/>
      <c r="V138" s="6"/>
      <c r="W138" s="6"/>
      <c r="X138" s="6"/>
      <c r="Y138" s="6"/>
      <c r="Z138" s="6"/>
      <c r="AA138" s="6"/>
      <c r="AB138" s="6"/>
      <c r="AC138" s="6"/>
      <c r="AD138" s="6"/>
      <c r="AE138" s="6"/>
      <c r="AF138" s="6"/>
      <c r="AG138" s="6"/>
      <c r="AH138" s="6"/>
      <c r="AI138" s="6"/>
      <c r="AJ138" s="6"/>
      <c r="AK138" s="6"/>
      <c r="AL138" s="6"/>
      <c r="AM138" s="6"/>
      <c r="AN138" s="6"/>
      <c r="AO138" s="6"/>
      <c r="AP138" s="6"/>
      <c r="AQ138" s="6"/>
      <c r="AR138" s="6"/>
      <c r="AS138" s="6"/>
      <c r="AT138" s="6"/>
      <c r="AU138" s="6"/>
      <c r="AV138" s="6"/>
      <c r="AW138" s="6"/>
      <c r="AX138" s="6"/>
      <c r="AY138" s="6"/>
      <c r="AZ138" s="6"/>
      <c r="BA138" s="6"/>
      <c r="BB138" s="6"/>
      <c r="BC138" s="6"/>
      <c r="BD138" s="6"/>
      <c r="BE138" s="6"/>
      <c r="BF138" s="6"/>
      <c r="BG138" s="6"/>
    </row>
    <row r="139" spans="1:59" x14ac:dyDescent="0.2">
      <c r="A139" s="13"/>
      <c r="B139" s="13"/>
      <c r="C139" s="13"/>
      <c r="D139" s="13"/>
      <c r="E139" s="63"/>
      <c r="F139" s="13"/>
      <c r="G139" s="13"/>
      <c r="H139" s="13"/>
      <c r="I139" s="13"/>
      <c r="J139" s="13"/>
      <c r="K139" s="101"/>
      <c r="L139" s="101"/>
      <c r="M139" s="101"/>
      <c r="N139" s="101"/>
      <c r="O139" s="223"/>
      <c r="P139" s="6"/>
      <c r="Q139" s="6"/>
      <c r="R139" s="6"/>
      <c r="S139" s="6"/>
      <c r="T139" s="6"/>
      <c r="U139" s="6"/>
      <c r="V139" s="6"/>
      <c r="W139" s="6"/>
      <c r="X139" s="6"/>
      <c r="Y139" s="6"/>
      <c r="Z139" s="6"/>
      <c r="AA139" s="6"/>
      <c r="AB139" s="6"/>
      <c r="AC139" s="6"/>
      <c r="AD139" s="6"/>
      <c r="AE139" s="6"/>
      <c r="AF139" s="6"/>
      <c r="AG139" s="6"/>
      <c r="AH139" s="6"/>
      <c r="AI139" s="6"/>
      <c r="AJ139" s="6"/>
      <c r="AK139" s="6"/>
      <c r="AL139" s="6"/>
      <c r="AM139" s="6"/>
      <c r="AN139" s="6"/>
      <c r="AO139" s="6"/>
      <c r="AP139" s="6"/>
      <c r="AQ139" s="6"/>
      <c r="AR139" s="6"/>
      <c r="AS139" s="6"/>
      <c r="AT139" s="6"/>
      <c r="AU139" s="6"/>
      <c r="AV139" s="6"/>
      <c r="AW139" s="6"/>
      <c r="AX139" s="6"/>
      <c r="AY139" s="6"/>
      <c r="AZ139" s="6"/>
      <c r="BA139" s="6"/>
      <c r="BB139" s="6"/>
      <c r="BC139" s="6"/>
      <c r="BD139" s="6"/>
      <c r="BE139" s="6"/>
      <c r="BF139" s="6"/>
      <c r="BG139" s="6"/>
    </row>
    <row r="140" spans="1:59" x14ac:dyDescent="0.2">
      <c r="A140" s="13"/>
      <c r="B140" s="13"/>
      <c r="C140" s="13"/>
      <c r="D140" s="13"/>
      <c r="E140" s="63"/>
      <c r="F140" s="13"/>
      <c r="G140" s="13"/>
      <c r="H140" s="13"/>
      <c r="I140" s="13"/>
      <c r="J140" s="13"/>
      <c r="K140" s="101"/>
      <c r="L140" s="101"/>
      <c r="M140" s="101"/>
      <c r="N140" s="101"/>
      <c r="O140" s="223"/>
      <c r="P140" s="6"/>
      <c r="Q140" s="6"/>
      <c r="R140" s="6"/>
      <c r="S140" s="6"/>
      <c r="T140" s="6"/>
      <c r="U140" s="6"/>
      <c r="V140" s="6"/>
      <c r="W140" s="6"/>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6"/>
      <c r="BA140" s="6"/>
      <c r="BB140" s="6"/>
      <c r="BC140" s="6"/>
      <c r="BD140" s="6"/>
      <c r="BE140" s="6"/>
      <c r="BF140" s="6"/>
      <c r="BG140" s="6"/>
    </row>
    <row r="141" spans="1:59" x14ac:dyDescent="0.2">
      <c r="A141" s="13"/>
      <c r="B141" s="13"/>
      <c r="C141" s="13"/>
      <c r="D141" s="13"/>
      <c r="E141" s="63"/>
      <c r="F141" s="13"/>
      <c r="G141" s="13"/>
      <c r="H141" s="13"/>
      <c r="I141" s="13"/>
      <c r="J141" s="13"/>
      <c r="K141" s="101"/>
      <c r="L141" s="101"/>
      <c r="M141" s="101"/>
      <c r="N141" s="101"/>
      <c r="O141" s="223"/>
      <c r="P141" s="6"/>
      <c r="Q141" s="6"/>
      <c r="R141" s="6"/>
      <c r="S141" s="6"/>
      <c r="T141" s="6"/>
      <c r="U141" s="6"/>
      <c r="V141" s="6"/>
      <c r="W141" s="6"/>
      <c r="X141" s="6"/>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6"/>
      <c r="BA141" s="6"/>
      <c r="BB141" s="6"/>
      <c r="BC141" s="6"/>
      <c r="BD141" s="6"/>
      <c r="BE141" s="6"/>
      <c r="BF141" s="6"/>
      <c r="BG141" s="6"/>
    </row>
    <row r="142" spans="1:59" x14ac:dyDescent="0.2">
      <c r="A142" s="13"/>
      <c r="B142" s="13"/>
      <c r="C142" s="13"/>
      <c r="D142" s="13"/>
      <c r="E142" s="63"/>
      <c r="F142" s="13"/>
      <c r="G142" s="13"/>
      <c r="H142" s="13"/>
      <c r="I142" s="13"/>
      <c r="J142" s="13"/>
      <c r="K142" s="101"/>
      <c r="L142" s="101"/>
      <c r="M142" s="101"/>
      <c r="N142" s="101"/>
      <c r="O142" s="223"/>
      <c r="P142" s="6"/>
      <c r="Q142" s="6"/>
      <c r="R142" s="6"/>
      <c r="S142" s="6"/>
      <c r="T142" s="6"/>
      <c r="U142" s="6"/>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6"/>
      <c r="BA142" s="6"/>
      <c r="BB142" s="6"/>
      <c r="BC142" s="6"/>
      <c r="BD142" s="6"/>
      <c r="BE142" s="6"/>
      <c r="BF142" s="6"/>
      <c r="BG142" s="6"/>
    </row>
    <row r="143" spans="1:59" x14ac:dyDescent="0.2">
      <c r="A143" s="13"/>
      <c r="B143" s="13"/>
      <c r="C143" s="13"/>
      <c r="D143" s="13"/>
      <c r="E143" s="63"/>
      <c r="F143" s="13"/>
      <c r="G143" s="13"/>
      <c r="H143" s="13"/>
      <c r="I143" s="13"/>
      <c r="J143" s="13"/>
      <c r="K143" s="101"/>
      <c r="L143" s="101"/>
      <c r="M143" s="101"/>
      <c r="N143" s="101"/>
      <c r="O143" s="223"/>
      <c r="P143" s="6"/>
      <c r="Q143" s="6"/>
      <c r="R143" s="6"/>
      <c r="S143" s="6"/>
      <c r="T143" s="6"/>
      <c r="U143" s="6"/>
      <c r="V143" s="6"/>
      <c r="W143" s="6"/>
      <c r="X143" s="6"/>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6"/>
      <c r="BA143" s="6"/>
      <c r="BB143" s="6"/>
      <c r="BC143" s="6"/>
      <c r="BD143" s="6"/>
      <c r="BE143" s="6"/>
      <c r="BF143" s="6"/>
      <c r="BG143" s="6"/>
    </row>
    <row r="144" spans="1:59" x14ac:dyDescent="0.2">
      <c r="A144" s="13"/>
      <c r="B144" s="13"/>
      <c r="C144" s="13"/>
      <c r="D144" s="13"/>
      <c r="E144" s="63"/>
      <c r="F144" s="13"/>
      <c r="G144" s="13"/>
      <c r="H144" s="13"/>
      <c r="I144" s="13"/>
      <c r="J144" s="13"/>
      <c r="K144" s="101"/>
      <c r="L144" s="101"/>
      <c r="M144" s="101"/>
      <c r="N144" s="101"/>
      <c r="O144" s="223"/>
      <c r="P144" s="6"/>
      <c r="Q144" s="6"/>
      <c r="R144" s="6"/>
      <c r="S144" s="6"/>
      <c r="T144" s="6"/>
      <c r="U144" s="6"/>
      <c r="V144" s="6"/>
      <c r="W144" s="6"/>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6"/>
      <c r="BA144" s="6"/>
      <c r="BB144" s="6"/>
      <c r="BC144" s="6"/>
      <c r="BD144" s="6"/>
      <c r="BE144" s="6"/>
      <c r="BF144" s="6"/>
      <c r="BG144" s="6"/>
    </row>
    <row r="145" spans="1:59" x14ac:dyDescent="0.2">
      <c r="A145" s="13"/>
      <c r="B145" s="13"/>
      <c r="C145" s="13"/>
      <c r="D145" s="13"/>
      <c r="E145" s="63"/>
      <c r="F145" s="13"/>
      <c r="G145" s="13"/>
      <c r="H145" s="13"/>
      <c r="I145" s="13"/>
      <c r="J145" s="13"/>
      <c r="K145" s="101"/>
      <c r="L145" s="101"/>
      <c r="M145" s="101"/>
      <c r="N145" s="101"/>
      <c r="O145" s="223"/>
      <c r="P145" s="6"/>
      <c r="Q145" s="6"/>
      <c r="R145" s="6"/>
      <c r="S145" s="6"/>
      <c r="T145" s="6"/>
      <c r="U145" s="6"/>
      <c r="V145" s="6"/>
      <c r="W145" s="6"/>
      <c r="X145" s="6"/>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6"/>
      <c r="BA145" s="6"/>
      <c r="BB145" s="6"/>
      <c r="BC145" s="6"/>
      <c r="BD145" s="6"/>
      <c r="BE145" s="6"/>
      <c r="BF145" s="6"/>
      <c r="BG145" s="6"/>
    </row>
    <row r="146" spans="1:59" x14ac:dyDescent="0.2">
      <c r="A146" s="13"/>
      <c r="B146" s="13"/>
      <c r="C146" s="13"/>
      <c r="D146" s="13"/>
      <c r="E146" s="63"/>
      <c r="F146" s="13"/>
      <c r="G146" s="13"/>
      <c r="H146" s="13"/>
      <c r="I146" s="13"/>
      <c r="J146" s="13"/>
      <c r="K146" s="101"/>
      <c r="L146" s="101"/>
      <c r="M146" s="101"/>
      <c r="N146" s="101"/>
      <c r="O146" s="223"/>
      <c r="P146" s="6"/>
      <c r="Q146" s="6"/>
      <c r="R146" s="6"/>
      <c r="S146" s="6"/>
      <c r="T146" s="6"/>
      <c r="U146" s="6"/>
      <c r="V146" s="6"/>
      <c r="W146" s="6"/>
      <c r="X146" s="6"/>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6"/>
      <c r="BA146" s="6"/>
      <c r="BB146" s="6"/>
      <c r="BC146" s="6"/>
      <c r="BD146" s="6"/>
      <c r="BE146" s="6"/>
      <c r="BF146" s="6"/>
      <c r="BG146" s="6"/>
    </row>
    <row r="147" spans="1:59" x14ac:dyDescent="0.2">
      <c r="A147" s="13"/>
      <c r="B147" s="13"/>
      <c r="C147" s="13"/>
      <c r="D147" s="13"/>
      <c r="E147" s="63"/>
      <c r="F147" s="13"/>
      <c r="G147" s="13"/>
      <c r="H147" s="13"/>
      <c r="I147" s="13"/>
      <c r="J147" s="13"/>
      <c r="K147" s="101"/>
      <c r="L147" s="101"/>
      <c r="M147" s="101"/>
      <c r="N147" s="101"/>
      <c r="O147" s="223"/>
      <c r="P147" s="6"/>
      <c r="Q147" s="6"/>
      <c r="R147" s="6"/>
      <c r="S147" s="6"/>
      <c r="T147" s="6"/>
      <c r="U147" s="6"/>
      <c r="V147" s="6"/>
      <c r="W147" s="6"/>
      <c r="X147" s="6"/>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6"/>
      <c r="BA147" s="6"/>
      <c r="BB147" s="6"/>
      <c r="BC147" s="6"/>
      <c r="BD147" s="6"/>
      <c r="BE147" s="6"/>
      <c r="BF147" s="6"/>
      <c r="BG147" s="6"/>
    </row>
    <row r="148" spans="1:59" x14ac:dyDescent="0.2">
      <c r="A148" s="13"/>
      <c r="B148" s="13"/>
      <c r="C148" s="13"/>
      <c r="D148" s="13"/>
      <c r="E148" s="63"/>
      <c r="F148" s="13"/>
      <c r="G148" s="13"/>
      <c r="H148" s="13"/>
      <c r="I148" s="13"/>
      <c r="J148" s="13"/>
      <c r="K148" s="101"/>
      <c r="L148" s="101"/>
      <c r="M148" s="101"/>
      <c r="N148" s="101"/>
      <c r="O148" s="223"/>
      <c r="P148" s="6"/>
      <c r="Q148" s="6"/>
      <c r="R148" s="6"/>
      <c r="S148" s="6"/>
      <c r="T148" s="6"/>
      <c r="U148" s="6"/>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6"/>
      <c r="AW148" s="6"/>
      <c r="AX148" s="6"/>
      <c r="AY148" s="6"/>
      <c r="AZ148" s="6"/>
      <c r="BA148" s="6"/>
      <c r="BB148" s="6"/>
      <c r="BC148" s="6"/>
      <c r="BD148" s="6"/>
      <c r="BE148" s="6"/>
      <c r="BF148" s="6"/>
      <c r="BG148" s="6"/>
    </row>
    <row r="149" spans="1:59" x14ac:dyDescent="0.2">
      <c r="A149" s="13"/>
      <c r="B149" s="13"/>
      <c r="C149" s="13"/>
      <c r="D149" s="13"/>
      <c r="E149" s="63"/>
      <c r="F149" s="13"/>
      <c r="G149" s="13"/>
      <c r="H149" s="13"/>
      <c r="I149" s="13"/>
      <c r="J149" s="13"/>
      <c r="K149" s="101"/>
      <c r="L149" s="101"/>
      <c r="M149" s="101"/>
      <c r="N149" s="101"/>
      <c r="O149" s="223"/>
      <c r="P149" s="6"/>
      <c r="Q149" s="6"/>
      <c r="R149" s="6"/>
      <c r="S149" s="6"/>
      <c r="T149" s="6"/>
      <c r="U149" s="6"/>
      <c r="V149" s="6"/>
      <c r="W149" s="6"/>
      <c r="X149" s="6"/>
      <c r="Y149" s="6"/>
      <c r="Z149" s="6"/>
      <c r="AA149" s="6"/>
      <c r="AB149" s="6"/>
      <c r="AC149" s="6"/>
      <c r="AD149" s="6"/>
      <c r="AE149" s="6"/>
      <c r="AF149" s="6"/>
      <c r="AG149" s="6"/>
      <c r="AH149" s="6"/>
      <c r="AI149" s="6"/>
      <c r="AJ149" s="6"/>
      <c r="AK149" s="6"/>
      <c r="AL149" s="6"/>
      <c r="AM149" s="6"/>
      <c r="AN149" s="6"/>
      <c r="AO149" s="6"/>
      <c r="AP149" s="6"/>
      <c r="AQ149" s="6"/>
      <c r="AR149" s="6"/>
      <c r="AS149" s="6"/>
      <c r="AT149" s="6"/>
      <c r="AU149" s="6"/>
      <c r="AV149" s="6"/>
      <c r="AW149" s="6"/>
      <c r="AX149" s="6"/>
      <c r="AY149" s="6"/>
      <c r="AZ149" s="6"/>
      <c r="BA149" s="6"/>
      <c r="BB149" s="6"/>
      <c r="BC149" s="6"/>
      <c r="BD149" s="6"/>
      <c r="BE149" s="6"/>
      <c r="BF149" s="6"/>
      <c r="BG149" s="6"/>
    </row>
    <row r="150" spans="1:59" x14ac:dyDescent="0.2">
      <c r="A150" s="13"/>
      <c r="B150" s="13"/>
      <c r="C150" s="13"/>
      <c r="D150" s="13"/>
      <c r="E150" s="63"/>
      <c r="F150" s="13"/>
      <c r="G150" s="13"/>
      <c r="H150" s="13"/>
      <c r="I150" s="13"/>
      <c r="J150" s="13"/>
      <c r="K150" s="101"/>
      <c r="L150" s="101"/>
      <c r="M150" s="101"/>
      <c r="N150" s="101"/>
      <c r="O150" s="223"/>
      <c r="P150" s="6"/>
      <c r="Q150" s="6"/>
      <c r="R150" s="6"/>
      <c r="S150" s="6"/>
      <c r="T150" s="6"/>
      <c r="U150" s="6"/>
      <c r="V150" s="6"/>
      <c r="W150" s="6"/>
      <c r="X150" s="6"/>
      <c r="Y150" s="6"/>
      <c r="Z150" s="6"/>
      <c r="AA150" s="6"/>
      <c r="AB150" s="6"/>
      <c r="AC150" s="6"/>
      <c r="AD150" s="6"/>
      <c r="AE150" s="6"/>
      <c r="AF150" s="6"/>
      <c r="AG150" s="6"/>
      <c r="AH150" s="6"/>
      <c r="AI150" s="6"/>
      <c r="AJ150" s="6"/>
      <c r="AK150" s="6"/>
      <c r="AL150" s="6"/>
      <c r="AM150" s="6"/>
      <c r="AN150" s="6"/>
      <c r="AO150" s="6"/>
      <c r="AP150" s="6"/>
      <c r="AQ150" s="6"/>
      <c r="AR150" s="6"/>
      <c r="AS150" s="6"/>
      <c r="AT150" s="6"/>
      <c r="AU150" s="6"/>
      <c r="AV150" s="6"/>
      <c r="AW150" s="6"/>
      <c r="AX150" s="6"/>
      <c r="AY150" s="6"/>
      <c r="AZ150" s="6"/>
      <c r="BA150" s="6"/>
      <c r="BB150" s="6"/>
      <c r="BC150" s="6"/>
      <c r="BD150" s="6"/>
      <c r="BE150" s="6"/>
      <c r="BF150" s="6"/>
      <c r="BG150" s="6"/>
    </row>
    <row r="151" spans="1:59" x14ac:dyDescent="0.2">
      <c r="A151" s="13"/>
      <c r="B151" s="13"/>
      <c r="C151" s="13"/>
      <c r="D151" s="13"/>
      <c r="E151" s="63"/>
      <c r="F151" s="13"/>
      <c r="G151" s="13"/>
      <c r="H151" s="13"/>
      <c r="I151" s="13"/>
      <c r="J151" s="13"/>
      <c r="K151" s="101"/>
      <c r="L151" s="101"/>
      <c r="M151" s="101"/>
      <c r="N151" s="101"/>
      <c r="O151" s="223"/>
      <c r="P151" s="6"/>
      <c r="Q151" s="6"/>
      <c r="R151" s="6"/>
      <c r="S151" s="6"/>
      <c r="T151" s="6"/>
      <c r="U151" s="6"/>
      <c r="V151" s="6"/>
      <c r="W151" s="6"/>
      <c r="X151" s="6"/>
      <c r="Y151" s="6"/>
      <c r="Z151" s="6"/>
      <c r="AA151" s="6"/>
      <c r="AB151" s="6"/>
      <c r="AC151" s="6"/>
      <c r="AD151" s="6"/>
      <c r="AE151" s="6"/>
      <c r="AF151" s="6"/>
      <c r="AG151" s="6"/>
      <c r="AH151" s="6"/>
      <c r="AI151" s="6"/>
      <c r="AJ151" s="6"/>
      <c r="AK151" s="6"/>
      <c r="AL151" s="6"/>
      <c r="AM151" s="6"/>
      <c r="AN151" s="6"/>
      <c r="AO151" s="6"/>
      <c r="AP151" s="6"/>
      <c r="AQ151" s="6"/>
      <c r="AR151" s="6"/>
      <c r="AS151" s="6"/>
      <c r="AT151" s="6"/>
      <c r="AU151" s="6"/>
      <c r="AV151" s="6"/>
      <c r="AW151" s="6"/>
      <c r="AX151" s="6"/>
      <c r="AY151" s="6"/>
      <c r="AZ151" s="6"/>
      <c r="BA151" s="6"/>
      <c r="BB151" s="6"/>
      <c r="BC151" s="6"/>
      <c r="BD151" s="6"/>
      <c r="BE151" s="6"/>
      <c r="BF151" s="6"/>
      <c r="BG151" s="6"/>
    </row>
    <row r="152" spans="1:59" x14ac:dyDescent="0.2">
      <c r="A152" s="13"/>
      <c r="B152" s="13"/>
      <c r="C152" s="13"/>
      <c r="D152" s="13"/>
      <c r="E152" s="63"/>
      <c r="F152" s="13"/>
      <c r="G152" s="13"/>
      <c r="H152" s="13"/>
      <c r="I152" s="13"/>
      <c r="J152" s="13"/>
      <c r="K152" s="101"/>
      <c r="L152" s="101"/>
      <c r="M152" s="101"/>
      <c r="N152" s="101"/>
      <c r="O152" s="223"/>
      <c r="P152" s="6"/>
      <c r="Q152" s="6"/>
      <c r="R152" s="6"/>
      <c r="S152" s="6"/>
      <c r="T152" s="6"/>
      <c r="U152" s="6"/>
      <c r="V152" s="6"/>
      <c r="W152" s="6"/>
      <c r="X152" s="6"/>
      <c r="Y152" s="6"/>
      <c r="Z152" s="6"/>
      <c r="AA152" s="6"/>
      <c r="AB152" s="6"/>
      <c r="AC152" s="6"/>
      <c r="AD152" s="6"/>
      <c r="AE152" s="6"/>
      <c r="AF152" s="6"/>
      <c r="AG152" s="6"/>
      <c r="AH152" s="6"/>
      <c r="AI152" s="6"/>
      <c r="AJ152" s="6"/>
      <c r="AK152" s="6"/>
      <c r="AL152" s="6"/>
      <c r="AM152" s="6"/>
      <c r="AN152" s="6"/>
      <c r="AO152" s="6"/>
      <c r="AP152" s="6"/>
      <c r="AQ152" s="6"/>
      <c r="AR152" s="6"/>
      <c r="AS152" s="6"/>
      <c r="AT152" s="6"/>
      <c r="AU152" s="6"/>
      <c r="AV152" s="6"/>
      <c r="AW152" s="6"/>
      <c r="AX152" s="6"/>
      <c r="AY152" s="6"/>
      <c r="AZ152" s="6"/>
      <c r="BA152" s="6"/>
      <c r="BB152" s="6"/>
      <c r="BC152" s="6"/>
      <c r="BD152" s="6"/>
      <c r="BE152" s="6"/>
      <c r="BF152" s="6"/>
      <c r="BG152" s="6"/>
    </row>
    <row r="153" spans="1:59" x14ac:dyDescent="0.2">
      <c r="A153" s="13"/>
      <c r="B153" s="13"/>
      <c r="C153" s="13"/>
      <c r="D153" s="13"/>
      <c r="E153" s="63"/>
      <c r="F153" s="13"/>
      <c r="G153" s="13"/>
      <c r="H153" s="13"/>
      <c r="I153" s="13"/>
      <c r="J153" s="13"/>
      <c r="K153" s="101"/>
      <c r="L153" s="101"/>
      <c r="M153" s="101"/>
      <c r="N153" s="101"/>
      <c r="O153" s="223"/>
      <c r="P153" s="6"/>
      <c r="Q153" s="6"/>
      <c r="R153" s="6"/>
      <c r="S153" s="6"/>
      <c r="T153" s="6"/>
      <c r="U153" s="6"/>
      <c r="V153" s="6"/>
      <c r="W153" s="6"/>
      <c r="X153" s="6"/>
      <c r="Y153" s="6"/>
      <c r="Z153" s="6"/>
      <c r="AA153" s="6"/>
      <c r="AB153" s="6"/>
      <c r="AC153" s="6"/>
      <c r="AD153" s="6"/>
      <c r="AE153" s="6"/>
      <c r="AF153" s="6"/>
      <c r="AG153" s="6"/>
      <c r="AH153" s="6"/>
      <c r="AI153" s="6"/>
      <c r="AJ153" s="6"/>
      <c r="AK153" s="6"/>
      <c r="AL153" s="6"/>
      <c r="AM153" s="6"/>
      <c r="AN153" s="6"/>
      <c r="AO153" s="6"/>
      <c r="AP153" s="6"/>
      <c r="AQ153" s="6"/>
      <c r="AR153" s="6"/>
      <c r="AS153" s="6"/>
      <c r="AT153" s="6"/>
      <c r="AU153" s="6"/>
      <c r="AV153" s="6"/>
      <c r="AW153" s="6"/>
      <c r="AX153" s="6"/>
      <c r="AY153" s="6"/>
      <c r="AZ153" s="6"/>
      <c r="BA153" s="6"/>
      <c r="BB153" s="6"/>
      <c r="BC153" s="6"/>
      <c r="BD153" s="6"/>
      <c r="BE153" s="6"/>
      <c r="BF153" s="6"/>
      <c r="BG153" s="6"/>
    </row>
    <row r="154" spans="1:59" x14ac:dyDescent="0.2">
      <c r="A154" s="13"/>
      <c r="B154" s="13"/>
      <c r="C154" s="13"/>
      <c r="D154" s="13"/>
      <c r="E154" s="63"/>
      <c r="F154" s="13"/>
      <c r="G154" s="13"/>
      <c r="H154" s="13"/>
      <c r="I154" s="13"/>
      <c r="J154" s="13"/>
      <c r="K154" s="101"/>
      <c r="L154" s="101"/>
      <c r="M154" s="101"/>
      <c r="N154" s="101"/>
      <c r="O154" s="223"/>
      <c r="P154" s="6"/>
      <c r="Q154" s="6"/>
      <c r="R154" s="6"/>
      <c r="S154" s="6"/>
      <c r="T154" s="6"/>
      <c r="U154" s="6"/>
      <c r="V154" s="6"/>
      <c r="W154" s="6"/>
      <c r="X154" s="6"/>
      <c r="Y154" s="6"/>
      <c r="Z154" s="6"/>
      <c r="AA154" s="6"/>
      <c r="AB154" s="6"/>
      <c r="AC154" s="6"/>
      <c r="AD154" s="6"/>
      <c r="AE154" s="6"/>
      <c r="AF154" s="6"/>
      <c r="AG154" s="6"/>
      <c r="AH154" s="6"/>
      <c r="AI154" s="6"/>
      <c r="AJ154" s="6"/>
      <c r="AK154" s="6"/>
      <c r="AL154" s="6"/>
      <c r="AM154" s="6"/>
      <c r="AN154" s="6"/>
      <c r="AO154" s="6"/>
      <c r="AP154" s="6"/>
      <c r="AQ154" s="6"/>
      <c r="AR154" s="6"/>
      <c r="AS154" s="6"/>
      <c r="AT154" s="6"/>
      <c r="AU154" s="6"/>
      <c r="AV154" s="6"/>
      <c r="AW154" s="6"/>
      <c r="AX154" s="6"/>
      <c r="AY154" s="6"/>
      <c r="AZ154" s="6"/>
      <c r="BA154" s="6"/>
      <c r="BB154" s="6"/>
      <c r="BC154" s="6"/>
      <c r="BD154" s="6"/>
      <c r="BE154" s="6"/>
      <c r="BF154" s="6"/>
      <c r="BG154" s="6"/>
    </row>
    <row r="155" spans="1:59" x14ac:dyDescent="0.2">
      <c r="A155" s="13"/>
      <c r="B155" s="13"/>
      <c r="C155" s="13"/>
      <c r="D155" s="13"/>
      <c r="E155" s="63"/>
      <c r="F155" s="13"/>
      <c r="G155" s="13"/>
      <c r="H155" s="13"/>
      <c r="I155" s="13"/>
      <c r="J155" s="13"/>
      <c r="K155" s="101"/>
      <c r="L155" s="101"/>
      <c r="M155" s="101"/>
      <c r="N155" s="101"/>
      <c r="O155" s="223"/>
      <c r="P155" s="6"/>
      <c r="Q155" s="6"/>
      <c r="R155" s="6"/>
      <c r="S155" s="6"/>
      <c r="T155" s="6"/>
      <c r="U155" s="6"/>
      <c r="V155" s="6"/>
      <c r="W155" s="6"/>
      <c r="X155" s="6"/>
      <c r="Y155" s="6"/>
      <c r="Z155" s="6"/>
      <c r="AA155" s="6"/>
      <c r="AB155" s="6"/>
      <c r="AC155" s="6"/>
      <c r="AD155" s="6"/>
      <c r="AE155" s="6"/>
      <c r="AF155" s="6"/>
      <c r="AG155" s="6"/>
      <c r="AH155" s="6"/>
      <c r="AI155" s="6"/>
      <c r="AJ155" s="6"/>
      <c r="AK155" s="6"/>
      <c r="AL155" s="6"/>
      <c r="AM155" s="6"/>
      <c r="AN155" s="6"/>
      <c r="AO155" s="6"/>
      <c r="AP155" s="6"/>
      <c r="AQ155" s="6"/>
      <c r="AR155" s="6"/>
      <c r="AS155" s="6"/>
      <c r="AT155" s="6"/>
      <c r="AU155" s="6"/>
      <c r="AV155" s="6"/>
      <c r="AW155" s="6"/>
      <c r="AX155" s="6"/>
      <c r="AY155" s="6"/>
      <c r="AZ155" s="6"/>
      <c r="BA155" s="6"/>
      <c r="BB155" s="6"/>
      <c r="BC155" s="6"/>
      <c r="BD155" s="6"/>
      <c r="BE155" s="6"/>
      <c r="BF155" s="6"/>
      <c r="BG155" s="6"/>
    </row>
    <row r="156" spans="1:59" x14ac:dyDescent="0.2">
      <c r="A156" s="13"/>
      <c r="B156" s="13"/>
      <c r="C156" s="13"/>
      <c r="D156" s="13"/>
      <c r="E156" s="63"/>
      <c r="F156" s="13"/>
      <c r="G156" s="13"/>
      <c r="H156" s="13"/>
      <c r="I156" s="13"/>
      <c r="J156" s="13"/>
      <c r="K156" s="101"/>
      <c r="L156" s="101"/>
      <c r="M156" s="101"/>
      <c r="N156" s="101"/>
      <c r="O156" s="223"/>
      <c r="P156" s="6"/>
      <c r="Q156" s="6"/>
      <c r="R156" s="6"/>
      <c r="S156" s="6"/>
      <c r="T156" s="6"/>
      <c r="U156" s="6"/>
      <c r="V156" s="6"/>
      <c r="W156" s="6"/>
      <c r="X156" s="6"/>
      <c r="Y156" s="6"/>
      <c r="Z156" s="6"/>
      <c r="AA156" s="6"/>
      <c r="AB156" s="6"/>
      <c r="AC156" s="6"/>
      <c r="AD156" s="6"/>
      <c r="AE156" s="6"/>
      <c r="AF156" s="6"/>
      <c r="AG156" s="6"/>
      <c r="AH156" s="6"/>
      <c r="AI156" s="6"/>
      <c r="AJ156" s="6"/>
      <c r="AK156" s="6"/>
      <c r="AL156" s="6"/>
      <c r="AM156" s="6"/>
      <c r="AN156" s="6"/>
      <c r="AO156" s="6"/>
      <c r="AP156" s="6"/>
      <c r="AQ156" s="6"/>
      <c r="AR156" s="6"/>
      <c r="AS156" s="6"/>
      <c r="AT156" s="6"/>
      <c r="AU156" s="6"/>
      <c r="AV156" s="6"/>
      <c r="AW156" s="6"/>
      <c r="AX156" s="6"/>
      <c r="AY156" s="6"/>
      <c r="AZ156" s="6"/>
      <c r="BA156" s="6"/>
      <c r="BB156" s="6"/>
      <c r="BC156" s="6"/>
      <c r="BD156" s="6"/>
      <c r="BE156" s="6"/>
      <c r="BF156" s="6"/>
      <c r="BG156" s="6"/>
    </row>
    <row r="157" spans="1:59" x14ac:dyDescent="0.2">
      <c r="A157" s="13"/>
      <c r="B157" s="13"/>
      <c r="C157" s="13"/>
      <c r="D157" s="13"/>
      <c r="E157" s="63"/>
      <c r="F157" s="13"/>
      <c r="G157" s="13"/>
      <c r="H157" s="13"/>
      <c r="I157" s="13"/>
      <c r="J157" s="13"/>
      <c r="K157" s="101"/>
      <c r="L157" s="101"/>
      <c r="M157" s="101"/>
      <c r="N157" s="101"/>
      <c r="O157" s="223"/>
      <c r="P157" s="6"/>
      <c r="Q157" s="6"/>
      <c r="R157" s="6"/>
      <c r="S157" s="6"/>
      <c r="T157" s="6"/>
      <c r="U157" s="6"/>
      <c r="V157" s="6"/>
      <c r="W157" s="6"/>
      <c r="X157" s="6"/>
      <c r="Y157" s="6"/>
      <c r="Z157" s="6"/>
      <c r="AA157" s="6"/>
      <c r="AB157" s="6"/>
      <c r="AC157" s="6"/>
      <c r="AD157" s="6"/>
      <c r="AE157" s="6"/>
      <c r="AF157" s="6"/>
      <c r="AG157" s="6"/>
      <c r="AH157" s="6"/>
      <c r="AI157" s="6"/>
      <c r="AJ157" s="6"/>
      <c r="AK157" s="6"/>
      <c r="AL157" s="6"/>
      <c r="AM157" s="6"/>
      <c r="AN157" s="6"/>
      <c r="AO157" s="6"/>
      <c r="AP157" s="6"/>
      <c r="AQ157" s="6"/>
      <c r="AR157" s="6"/>
      <c r="AS157" s="6"/>
      <c r="AT157" s="6"/>
      <c r="AU157" s="6"/>
      <c r="AV157" s="6"/>
      <c r="AW157" s="6"/>
      <c r="AX157" s="6"/>
      <c r="AY157" s="6"/>
      <c r="AZ157" s="6"/>
      <c r="BA157" s="6"/>
      <c r="BB157" s="6"/>
      <c r="BC157" s="6"/>
      <c r="BD157" s="6"/>
      <c r="BE157" s="6"/>
      <c r="BF157" s="6"/>
      <c r="BG157" s="6"/>
    </row>
    <row r="158" spans="1:59" x14ac:dyDescent="0.2">
      <c r="E158"/>
    </row>
    <row r="159" spans="1:59" x14ac:dyDescent="0.2">
      <c r="E159"/>
    </row>
    <row r="160" spans="1:59" x14ac:dyDescent="0.2">
      <c r="E160"/>
    </row>
    <row r="161" spans="5:5" x14ac:dyDescent="0.2">
      <c r="E161"/>
    </row>
    <row r="162" spans="5:5" x14ac:dyDescent="0.2">
      <c r="E162"/>
    </row>
    <row r="163" spans="5:5" x14ac:dyDescent="0.2">
      <c r="E163"/>
    </row>
    <row r="164" spans="5:5" x14ac:dyDescent="0.2">
      <c r="E164"/>
    </row>
    <row r="165" spans="5:5" x14ac:dyDescent="0.2">
      <c r="E165"/>
    </row>
  </sheetData>
  <mergeCells count="19">
    <mergeCell ref="AZ8:BC8"/>
    <mergeCell ref="BD8:BG8"/>
    <mergeCell ref="A3:I3"/>
    <mergeCell ref="AS8:AU8"/>
    <mergeCell ref="AV8:AY8"/>
    <mergeCell ref="L8:N8"/>
    <mergeCell ref="P8:AG8"/>
    <mergeCell ref="O8:O9"/>
    <mergeCell ref="A7:BG7"/>
    <mergeCell ref="A8:K8"/>
    <mergeCell ref="A1:V1"/>
    <mergeCell ref="A2:V2"/>
    <mergeCell ref="AI8:AI9"/>
    <mergeCell ref="AJ8:AJ9"/>
    <mergeCell ref="F5:G5"/>
    <mergeCell ref="C5:D5"/>
    <mergeCell ref="X2:AB2"/>
    <mergeCell ref="X4:AK5"/>
    <mergeCell ref="AK8:AR8"/>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createTicker">
                <anchor moveWithCells="1">
                  <from>
                    <xdr:col>0</xdr:col>
                    <xdr:colOff>57150</xdr:colOff>
                    <xdr:row>1</xdr:row>
                    <xdr:rowOff>76200</xdr:rowOff>
                  </from>
                  <to>
                    <xdr:col>0</xdr:col>
                    <xdr:colOff>1009650</xdr:colOff>
                    <xdr:row>1</xdr:row>
                    <xdr:rowOff>276225</xdr:rowOff>
                  </to>
                </anchor>
              </controlPr>
            </control>
          </mc:Choice>
        </mc:AlternateContent>
        <mc:AlternateContent xmlns:mc="http://schemas.openxmlformats.org/markup-compatibility/2006">
          <mc:Choice Requires="x14">
            <control shapeId="8194" r:id="rId5" name="Button 2">
              <controlPr defaultSize="0" print="0" autoFill="0" autoPict="0" macro="[0]!Sheet1.requestMarketData">
                <anchor moveWithCells="1">
                  <from>
                    <xdr:col>2</xdr:col>
                    <xdr:colOff>314325</xdr:colOff>
                    <xdr:row>1</xdr:row>
                    <xdr:rowOff>76200</xdr:rowOff>
                  </from>
                  <to>
                    <xdr:col>3</xdr:col>
                    <xdr:colOff>571500</xdr:colOff>
                    <xdr:row>1</xdr:row>
                    <xdr:rowOff>276225</xdr:rowOff>
                  </to>
                </anchor>
              </controlPr>
            </control>
          </mc:Choice>
        </mc:AlternateContent>
        <mc:AlternateContent xmlns:mc="http://schemas.openxmlformats.org/markup-compatibility/2006">
          <mc:Choice Requires="x14">
            <control shapeId="8195" r:id="rId6" name="Button 3">
              <controlPr defaultSize="0" print="0" autoFill="0" autoPict="0" macro="[0]!Sheet1.onShowError">
                <anchor moveWithCells="1">
                  <from>
                    <xdr:col>17</xdr:col>
                    <xdr:colOff>457200</xdr:colOff>
                    <xdr:row>1</xdr:row>
                    <xdr:rowOff>76200</xdr:rowOff>
                  </from>
                  <to>
                    <xdr:col>18</xdr:col>
                    <xdr:colOff>495300</xdr:colOff>
                    <xdr:row>1</xdr:row>
                    <xdr:rowOff>276225</xdr:rowOff>
                  </to>
                </anchor>
              </controlPr>
            </control>
          </mc:Choice>
        </mc:AlternateContent>
        <mc:AlternateContent xmlns:mc="http://schemas.openxmlformats.org/markup-compatibility/2006">
          <mc:Choice Requires="x14">
            <control shapeId="8196" r:id="rId7" name="Button 4">
              <controlPr defaultSize="0" print="0" autoFill="0" autoPict="0" macro="[0]!Sheet1.setRefreshRate">
                <anchor moveWithCells="1" sizeWithCells="1">
                  <from>
                    <xdr:col>12</xdr:col>
                    <xdr:colOff>552450</xdr:colOff>
                    <xdr:row>1</xdr:row>
                    <xdr:rowOff>76200</xdr:rowOff>
                  </from>
                  <to>
                    <xdr:col>15</xdr:col>
                    <xdr:colOff>428625</xdr:colOff>
                    <xdr:row>1</xdr:row>
                    <xdr:rowOff>276225</xdr:rowOff>
                  </to>
                </anchor>
              </controlPr>
            </control>
          </mc:Choice>
        </mc:AlternateContent>
        <mc:AlternateContent xmlns:mc="http://schemas.openxmlformats.org/markup-compatibility/2006">
          <mc:Choice Requires="x14">
            <control shapeId="8201" r:id="rId8" name="Button 9">
              <controlPr defaultSize="0" print="0" autoFill="0" autoPict="0" macro="[0]!createComboLegs">
                <anchor moveWithCells="1">
                  <from>
                    <xdr:col>0</xdr:col>
                    <xdr:colOff>1076325</xdr:colOff>
                    <xdr:row>1</xdr:row>
                    <xdr:rowOff>76200</xdr:rowOff>
                  </from>
                  <to>
                    <xdr:col>2</xdr:col>
                    <xdr:colOff>257175</xdr:colOff>
                    <xdr:row>1</xdr:row>
                    <xdr:rowOff>276225</xdr:rowOff>
                  </to>
                </anchor>
              </controlPr>
            </control>
          </mc:Choice>
        </mc:AlternateContent>
        <mc:AlternateContent xmlns:mc="http://schemas.openxmlformats.org/markup-compatibility/2006">
          <mc:Choice Requires="x14">
            <control shapeId="8209" r:id="rId9" name="Button 17">
              <controlPr defaultSize="0" print="0" autoFill="0" autoPict="0" macro="[0]!Sheet1.newBulletins">
                <anchor moveWithCells="1">
                  <from>
                    <xdr:col>18</xdr:col>
                    <xdr:colOff>609600</xdr:colOff>
                    <xdr:row>1</xdr:row>
                    <xdr:rowOff>76200</xdr:rowOff>
                  </from>
                  <to>
                    <xdr:col>20</xdr:col>
                    <xdr:colOff>209550</xdr:colOff>
                    <xdr:row>1</xdr:row>
                    <xdr:rowOff>276225</xdr:rowOff>
                  </to>
                </anchor>
              </controlPr>
            </control>
          </mc:Choice>
        </mc:AlternateContent>
        <mc:AlternateContent xmlns:mc="http://schemas.openxmlformats.org/markup-compatibility/2006">
          <mc:Choice Requires="x14">
            <control shapeId="8210" r:id="rId10" name="Button 18">
              <controlPr defaultSize="0" print="0" autoFill="0" autoPict="0" macro="[0]!Sheet1.setLoggingLevel">
                <anchor moveWithCells="1">
                  <from>
                    <xdr:col>16</xdr:col>
                    <xdr:colOff>0</xdr:colOff>
                    <xdr:row>1</xdr:row>
                    <xdr:rowOff>76200</xdr:rowOff>
                  </from>
                  <to>
                    <xdr:col>17</xdr:col>
                    <xdr:colOff>295275</xdr:colOff>
                    <xdr:row>1</xdr:row>
                    <xdr:rowOff>276225</xdr:rowOff>
                  </to>
                </anchor>
              </controlPr>
            </control>
          </mc:Choice>
        </mc:AlternateContent>
        <mc:AlternateContent xmlns:mc="http://schemas.openxmlformats.org/markup-compatibility/2006">
          <mc:Choice Requires="x14">
            <control shapeId="8224" r:id="rId11" name="Button 32">
              <controlPr defaultSize="0" print="0" autoFill="0" autoPict="0" macro="[0]!ThisWorkbook.clearAllLinks">
                <anchor moveWithCells="1" sizeWithCells="1">
                  <from>
                    <xdr:col>20</xdr:col>
                    <xdr:colOff>323850</xdr:colOff>
                    <xdr:row>1</xdr:row>
                    <xdr:rowOff>76200</xdr:rowOff>
                  </from>
                  <to>
                    <xdr:col>21</xdr:col>
                    <xdr:colOff>676275</xdr:colOff>
                    <xdr:row>1</xdr:row>
                    <xdr:rowOff>276225</xdr:rowOff>
                  </to>
                </anchor>
              </controlPr>
            </control>
          </mc:Choice>
        </mc:AlternateContent>
        <mc:AlternateContent xmlns:mc="http://schemas.openxmlformats.org/markup-compatibility/2006">
          <mc:Choice Requires="x14">
            <control shapeId="8225" r:id="rId12" name="Button 33">
              <controlPr defaultSize="0" print="0" autoFill="0" autoPict="0" macro="[0]!Sheet1.setProcessingRate">
                <anchor moveWithCells="1" sizeWithCells="1">
                  <from>
                    <xdr:col>10</xdr:col>
                    <xdr:colOff>285750</xdr:colOff>
                    <xdr:row>1</xdr:row>
                    <xdr:rowOff>76200</xdr:rowOff>
                  </from>
                  <to>
                    <xdr:col>12</xdr:col>
                    <xdr:colOff>438150</xdr:colOff>
                    <xdr:row>1</xdr:row>
                    <xdr:rowOff>276225</xdr:rowOff>
                  </to>
                </anchor>
              </controlPr>
            </control>
          </mc:Choice>
        </mc:AlternateContent>
        <mc:AlternateContent xmlns:mc="http://schemas.openxmlformats.org/markup-compatibility/2006">
          <mc:Choice Requires="x14">
            <control shapeId="8226" r:id="rId13" name="Button 34">
              <controlPr defaultSize="0" print="0" autoFill="0" autoPict="0" macro="[0]!Sheet1.calculateImpliedVolatility">
                <anchor moveWithCells="1" sizeWithCells="1">
                  <from>
                    <xdr:col>6</xdr:col>
                    <xdr:colOff>295275</xdr:colOff>
                    <xdr:row>1</xdr:row>
                    <xdr:rowOff>76200</xdr:rowOff>
                  </from>
                  <to>
                    <xdr:col>7</xdr:col>
                    <xdr:colOff>638175</xdr:colOff>
                    <xdr:row>1</xdr:row>
                    <xdr:rowOff>276225</xdr:rowOff>
                  </to>
                </anchor>
              </controlPr>
            </control>
          </mc:Choice>
        </mc:AlternateContent>
        <mc:AlternateContent xmlns:mc="http://schemas.openxmlformats.org/markup-compatibility/2006">
          <mc:Choice Requires="x14">
            <control shapeId="8227" r:id="rId14" name="Button 35">
              <controlPr defaultSize="0" print="0" autoFill="0" autoPict="0" macro="[0]!Sheet1.calculateOptionPrice">
                <anchor moveWithCells="1" sizeWithCells="1">
                  <from>
                    <xdr:col>8</xdr:col>
                    <xdr:colOff>28575</xdr:colOff>
                    <xdr:row>1</xdr:row>
                    <xdr:rowOff>76200</xdr:rowOff>
                  </from>
                  <to>
                    <xdr:col>9</xdr:col>
                    <xdr:colOff>38100</xdr:colOff>
                    <xdr:row>1</xdr:row>
                    <xdr:rowOff>266700</xdr:rowOff>
                  </to>
                </anchor>
              </controlPr>
            </control>
          </mc:Choice>
        </mc:AlternateContent>
        <mc:AlternateContent xmlns:mc="http://schemas.openxmlformats.org/markup-compatibility/2006">
          <mc:Choice Requires="x14">
            <control shapeId="8229" r:id="rId15" name="Button 37">
              <controlPr defaultSize="0" print="0" autoFill="0" autoPict="0" macro="[0]!Sheet1.requestGenericTicks">
                <anchor moveWithCells="1">
                  <from>
                    <xdr:col>4</xdr:col>
                    <xdr:colOff>352425</xdr:colOff>
                    <xdr:row>1</xdr:row>
                    <xdr:rowOff>76200</xdr:rowOff>
                  </from>
                  <to>
                    <xdr:col>6</xdr:col>
                    <xdr:colOff>238125</xdr:colOff>
                    <xdr:row>1</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C210"/>
  <sheetViews>
    <sheetView zoomScale="80" zoomScaleNormal="80" workbookViewId="0">
      <pane ySplit="9" topLeftCell="A10" activePane="bottomLeft" state="frozen"/>
      <selection activeCell="Q35" sqref="Q35"/>
      <selection pane="bottomLeft" activeCell="I38" sqref="I38"/>
    </sheetView>
  </sheetViews>
  <sheetFormatPr defaultRowHeight="12.75" x14ac:dyDescent="0.2"/>
  <cols>
    <col min="1" max="1" width="18.85546875" bestFit="1" customWidth="1"/>
    <col min="2" max="2" width="6" bestFit="1" customWidth="1"/>
    <col min="3" max="3" width="15.140625" customWidth="1"/>
    <col min="4" max="4" width="5.85546875" bestFit="1" customWidth="1"/>
    <col min="5" max="5" width="4.28515625" customWidth="1"/>
    <col min="6" max="6" width="8.42578125" customWidth="1"/>
    <col min="7" max="7" width="12.5703125" customWidth="1"/>
    <col min="8" max="8" width="11" customWidth="1"/>
    <col min="9" max="9" width="16.42578125" customWidth="1"/>
    <col min="10" max="10" width="10.42578125" customWidth="1"/>
    <col min="11" max="11" width="14" customWidth="1"/>
    <col min="12" max="12" width="10" customWidth="1"/>
    <col min="13" max="13" width="12" bestFit="1" customWidth="1"/>
    <col min="14" max="14" width="10.140625" bestFit="1" customWidth="1"/>
    <col min="15" max="15" width="9" bestFit="1" customWidth="1"/>
    <col min="17" max="17" width="8.85546875" bestFit="1" customWidth="1"/>
    <col min="18" max="18" width="13.42578125" bestFit="1" customWidth="1"/>
    <col min="19" max="19" width="13.5703125" bestFit="1" customWidth="1"/>
    <col min="20" max="21" width="10.7109375" customWidth="1"/>
    <col min="22" max="22" width="12.7109375" customWidth="1"/>
    <col min="23" max="23" width="12.5703125" customWidth="1"/>
    <col min="24" max="24" width="9.85546875" customWidth="1"/>
    <col min="26" max="27" width="9.140625" style="7"/>
    <col min="28" max="28" width="11" style="7" customWidth="1"/>
    <col min="29" max="32" width="9.140625" style="7"/>
    <col min="33" max="33" width="10.5703125" style="7" customWidth="1"/>
    <col min="34" max="34" width="10.140625" style="7" customWidth="1"/>
    <col min="35" max="36" width="9.140625" style="7"/>
    <col min="37" max="37" width="0" style="7" hidden="1" customWidth="1"/>
    <col min="38" max="38" width="9.140625" style="7"/>
    <col min="39" max="39" width="12.42578125" style="7" customWidth="1"/>
    <col min="40" max="40" width="10.5703125" style="7" customWidth="1"/>
    <col min="41" max="48" width="9.140625" style="7"/>
    <col min="49" max="49" width="0" style="7" hidden="1" customWidth="1"/>
    <col min="50" max="50" width="9.140625" style="7"/>
    <col min="51" max="51" width="11.85546875" style="7" customWidth="1"/>
    <col min="52" max="52" width="10.42578125" style="7" customWidth="1"/>
    <col min="53" max="54" width="9.140625" style="7"/>
    <col min="55" max="55" width="15.5703125" style="7" customWidth="1"/>
    <col min="56" max="56" width="11.85546875" style="7" customWidth="1"/>
    <col min="57" max="57" width="9.140625" style="7"/>
    <col min="58" max="58" width="9" style="7" customWidth="1"/>
    <col min="59" max="61" width="9.140625" style="7"/>
    <col min="62" max="62" width="12.5703125" style="7" customWidth="1"/>
    <col min="63" max="63" width="12.7109375" style="7" customWidth="1"/>
    <col min="64" max="65" width="9.140625" style="7"/>
    <col min="66" max="66" width="10.28515625" style="7" customWidth="1"/>
    <col min="67" max="67" width="9.140625" style="7"/>
    <col min="68" max="68" width="10.7109375" style="7" customWidth="1"/>
    <col min="69" max="69" width="9.140625" style="7"/>
    <col min="70" max="70" width="12.5703125" style="7" customWidth="1"/>
    <col min="71" max="71" width="13.28515625" style="7" hidden="1" customWidth="1"/>
    <col min="72" max="74" width="12.5703125" style="7" customWidth="1"/>
    <col min="75" max="75" width="13.28515625" style="7" customWidth="1"/>
    <col min="76" max="76" width="11.7109375" style="7" customWidth="1"/>
    <col min="77" max="77" width="16.5703125" style="7" customWidth="1"/>
    <col min="78" max="79" width="9.140625" style="7"/>
    <col min="80" max="80" width="10.28515625" style="7" customWidth="1"/>
    <col min="81" max="81" width="10.7109375" style="7" customWidth="1"/>
    <col min="82" max="16384" width="9.140625" style="7"/>
  </cols>
  <sheetData>
    <row r="1" spans="1:81" x14ac:dyDescent="0.2">
      <c r="A1" s="299" t="s">
        <v>48</v>
      </c>
      <c r="B1" s="300"/>
      <c r="C1" s="300"/>
      <c r="D1" s="300"/>
      <c r="E1" s="300"/>
      <c r="F1" s="300"/>
      <c r="G1" s="300"/>
      <c r="H1" s="300"/>
      <c r="I1" s="300"/>
      <c r="J1" s="300"/>
      <c r="K1" s="73"/>
      <c r="L1" s="50"/>
      <c r="M1" s="73"/>
      <c r="P1" s="7"/>
      <c r="Q1" s="7"/>
      <c r="R1" s="7"/>
      <c r="S1" s="7"/>
      <c r="T1" s="7"/>
      <c r="U1" s="7"/>
      <c r="V1" s="7"/>
      <c r="W1" s="7"/>
      <c r="X1" s="7"/>
      <c r="Y1" s="7"/>
    </row>
    <row r="2" spans="1:81" ht="27.75" customHeight="1" x14ac:dyDescent="0.2">
      <c r="A2" s="309"/>
      <c r="B2" s="310"/>
      <c r="C2" s="310"/>
      <c r="D2" s="310"/>
      <c r="E2" s="310"/>
      <c r="F2" s="310"/>
      <c r="G2" s="310"/>
      <c r="H2" s="310"/>
      <c r="I2" s="310"/>
      <c r="J2" s="310"/>
      <c r="K2" s="81"/>
      <c r="L2" s="270" t="s">
        <v>395</v>
      </c>
      <c r="M2" s="301"/>
      <c r="N2" s="301"/>
      <c r="O2" s="301"/>
      <c r="P2" s="301"/>
      <c r="Q2" s="301"/>
      <c r="R2" s="301"/>
      <c r="S2" s="302"/>
      <c r="U2" s="81"/>
      <c r="V2" s="81"/>
      <c r="W2" s="81"/>
      <c r="Y2" s="7"/>
      <c r="Z2" s="7" t="s">
        <v>495</v>
      </c>
      <c r="AB2" s="7" t="s">
        <v>508</v>
      </c>
      <c r="AC2" s="7" t="s">
        <v>116</v>
      </c>
      <c r="AD2" s="7">
        <v>0</v>
      </c>
      <c r="AF2" s="7">
        <v>1</v>
      </c>
      <c r="AH2" s="7">
        <v>0</v>
      </c>
      <c r="AI2" s="7">
        <v>0</v>
      </c>
      <c r="AJ2" s="7">
        <v>0</v>
      </c>
      <c r="AK2" s="7">
        <v>0</v>
      </c>
      <c r="AM2" s="7">
        <v>0</v>
      </c>
      <c r="AN2" s="7">
        <v>0</v>
      </c>
      <c r="BZ2" s="7">
        <v>0</v>
      </c>
    </row>
    <row r="3" spans="1:81" x14ac:dyDescent="0.2">
      <c r="A3" s="19"/>
      <c r="B3" s="19"/>
      <c r="C3" s="19"/>
      <c r="D3" s="19"/>
      <c r="E3" s="19"/>
      <c r="F3" s="19"/>
      <c r="G3" s="19"/>
      <c r="H3" s="19"/>
      <c r="I3" s="19"/>
      <c r="J3" s="19"/>
      <c r="K3" s="19"/>
      <c r="L3" s="50"/>
      <c r="Y3" s="7"/>
    </row>
    <row r="4" spans="1:81" ht="12.75" customHeight="1" x14ac:dyDescent="0.2">
      <c r="A4" s="86" t="s">
        <v>52</v>
      </c>
      <c r="B4" s="87"/>
      <c r="C4" s="87"/>
      <c r="D4" s="87"/>
      <c r="E4" s="107"/>
      <c r="F4" s="87"/>
      <c r="G4" s="50"/>
      <c r="H4" s="247" t="s">
        <v>516</v>
      </c>
      <c r="I4" s="248"/>
      <c r="J4" s="250"/>
      <c r="L4" s="273" t="s">
        <v>396</v>
      </c>
      <c r="M4" s="303"/>
      <c r="N4" s="303"/>
      <c r="O4" s="303"/>
      <c r="P4" s="303"/>
      <c r="Q4" s="303"/>
      <c r="R4" s="303"/>
      <c r="S4" s="304"/>
      <c r="Y4" s="7"/>
    </row>
    <row r="5" spans="1:81" x14ac:dyDescent="0.2">
      <c r="A5" s="75" t="s">
        <v>59</v>
      </c>
      <c r="B5" s="76"/>
      <c r="C5" s="76"/>
      <c r="D5" s="308"/>
      <c r="E5" s="277"/>
      <c r="F5" s="35"/>
      <c r="H5" s="236" t="s">
        <v>25</v>
      </c>
      <c r="I5" s="7" t="s">
        <v>517</v>
      </c>
      <c r="J5" s="251" t="s">
        <v>518</v>
      </c>
      <c r="L5" s="305"/>
      <c r="M5" s="306"/>
      <c r="N5" s="306"/>
      <c r="O5" s="306"/>
      <c r="P5" s="306"/>
      <c r="Q5" s="306"/>
      <c r="R5" s="306"/>
      <c r="S5" s="307"/>
      <c r="Y5" s="7"/>
      <c r="AF5" s="26"/>
      <c r="AG5" s="26"/>
      <c r="AH5" s="26"/>
      <c r="AI5" s="26"/>
      <c r="AJ5" s="26"/>
      <c r="AK5" s="26"/>
      <c r="AL5" s="26"/>
      <c r="AM5" s="26"/>
      <c r="AN5" s="26"/>
      <c r="AO5" s="26"/>
      <c r="AP5" s="26"/>
      <c r="AQ5" s="26"/>
      <c r="AR5" s="26"/>
      <c r="AS5" s="26"/>
      <c r="AT5" s="26"/>
      <c r="AU5" s="26"/>
      <c r="AV5" s="26"/>
      <c r="AW5" s="26"/>
      <c r="AX5" s="26"/>
      <c r="AY5" s="26"/>
      <c r="AZ5" s="26"/>
      <c r="BA5" s="26"/>
      <c r="BB5" s="26"/>
      <c r="BC5" s="26"/>
      <c r="BD5" s="26"/>
      <c r="BE5" s="26"/>
      <c r="BF5" s="26"/>
      <c r="BG5" s="26"/>
      <c r="BH5" s="26"/>
      <c r="BI5" s="26"/>
      <c r="BJ5" s="26"/>
      <c r="BK5" s="26"/>
      <c r="BL5" s="26"/>
      <c r="BM5" s="26"/>
      <c r="BN5" s="26"/>
      <c r="BO5" s="26"/>
      <c r="BP5" s="26"/>
      <c r="BQ5" s="26"/>
      <c r="BR5" s="26"/>
      <c r="BS5" s="26"/>
      <c r="BT5" s="26"/>
      <c r="BU5" s="26"/>
      <c r="BV5" s="26"/>
      <c r="BW5" s="26"/>
      <c r="BX5" s="26"/>
    </row>
    <row r="6" spans="1:81" x14ac:dyDescent="0.2">
      <c r="A6" s="83"/>
      <c r="B6" s="84"/>
      <c r="C6" s="84"/>
      <c r="D6" s="82"/>
      <c r="E6" s="82"/>
      <c r="F6" s="82"/>
      <c r="H6" s="249"/>
      <c r="I6" s="242"/>
      <c r="J6" s="243"/>
      <c r="M6" s="50"/>
      <c r="R6" s="26"/>
      <c r="S6" s="26"/>
      <c r="T6" s="26"/>
      <c r="U6" s="26"/>
      <c r="Z6" s="316" t="s">
        <v>71</v>
      </c>
      <c r="AA6" s="316"/>
      <c r="AB6" s="316"/>
      <c r="AC6" s="316"/>
      <c r="AD6" s="316"/>
      <c r="AE6" s="316"/>
      <c r="AF6" s="316"/>
      <c r="AG6" s="316"/>
      <c r="AH6" s="316"/>
      <c r="AI6" s="316"/>
      <c r="AJ6" s="316"/>
      <c r="AK6" s="316"/>
      <c r="AL6" s="316"/>
      <c r="AM6" s="316"/>
      <c r="AN6" s="316"/>
      <c r="AO6" s="316"/>
      <c r="AP6" s="316"/>
      <c r="AQ6" s="316"/>
      <c r="AR6" s="316"/>
      <c r="AS6" s="316"/>
      <c r="AT6" s="316"/>
      <c r="AU6" s="316"/>
      <c r="AV6" s="316"/>
      <c r="AW6" s="316"/>
      <c r="AX6" s="316"/>
      <c r="AY6" s="316"/>
      <c r="AZ6" s="316"/>
      <c r="BA6" s="316"/>
      <c r="BB6" s="316"/>
      <c r="BC6" s="316"/>
      <c r="BD6" s="316"/>
      <c r="BE6" s="316"/>
      <c r="BF6" s="316"/>
      <c r="BG6" s="316"/>
      <c r="BH6" s="316"/>
      <c r="BI6" s="316"/>
      <c r="BJ6" s="316"/>
      <c r="BK6" s="316"/>
      <c r="BL6" s="316"/>
      <c r="BM6" s="316"/>
      <c r="BN6" s="316"/>
      <c r="BO6" s="316"/>
      <c r="BP6" s="316"/>
      <c r="BQ6" s="316"/>
      <c r="BR6" s="316"/>
      <c r="BS6" s="316"/>
      <c r="BT6" s="316"/>
      <c r="BU6" s="316"/>
      <c r="BV6" s="316"/>
      <c r="BW6" s="316"/>
      <c r="BX6" s="316"/>
      <c r="BY6" s="316"/>
      <c r="BZ6" s="316"/>
      <c r="CA6" s="316"/>
      <c r="CB6" s="316"/>
      <c r="CC6" s="316"/>
    </row>
    <row r="7" spans="1:81" s="129" customFormat="1" x14ac:dyDescent="0.2">
      <c r="A7" s="311" t="s">
        <v>49</v>
      </c>
      <c r="B7" s="312"/>
      <c r="C7" s="312"/>
      <c r="D7" s="312"/>
      <c r="E7" s="312"/>
      <c r="F7" s="312"/>
      <c r="G7" s="312"/>
      <c r="H7" s="312"/>
      <c r="I7" s="312"/>
      <c r="J7" s="312"/>
      <c r="K7" s="312"/>
      <c r="L7" s="312"/>
      <c r="M7" s="312"/>
      <c r="N7" s="312"/>
      <c r="O7" s="312"/>
      <c r="P7" s="312"/>
      <c r="Q7" s="312"/>
      <c r="R7" s="312"/>
      <c r="S7" s="312"/>
      <c r="T7" s="312"/>
      <c r="U7" s="312"/>
      <c r="V7" s="312"/>
      <c r="W7" s="312"/>
      <c r="X7" s="312"/>
      <c r="Y7" s="312"/>
      <c r="Z7" s="132"/>
      <c r="AA7" s="132"/>
      <c r="AB7" s="291" t="s">
        <v>290</v>
      </c>
      <c r="AC7" s="292"/>
      <c r="AD7" s="293"/>
      <c r="AE7" s="132"/>
      <c r="AF7" s="132"/>
      <c r="AG7" s="132"/>
      <c r="AH7" s="132"/>
      <c r="AI7" s="132"/>
      <c r="AJ7" s="132"/>
      <c r="AK7" s="132"/>
      <c r="AL7" s="132"/>
      <c r="AM7" s="132"/>
      <c r="AN7" s="131" t="s">
        <v>68</v>
      </c>
      <c r="AO7" s="132"/>
      <c r="AP7" s="132"/>
      <c r="AQ7" s="291" t="s">
        <v>289</v>
      </c>
      <c r="AR7" s="292"/>
      <c r="AS7" s="292"/>
      <c r="AT7" s="293"/>
      <c r="AU7" s="291" t="s">
        <v>290</v>
      </c>
      <c r="AV7" s="293"/>
      <c r="AW7" s="132"/>
      <c r="AX7" s="132"/>
      <c r="AY7" s="132"/>
      <c r="AZ7" s="131" t="s">
        <v>290</v>
      </c>
      <c r="BA7" s="132"/>
      <c r="BB7" s="133"/>
      <c r="BC7" s="131" t="s">
        <v>294</v>
      </c>
      <c r="BD7" s="291" t="s">
        <v>293</v>
      </c>
      <c r="BE7" s="296"/>
      <c r="BF7" s="296"/>
      <c r="BG7" s="130" t="s">
        <v>312</v>
      </c>
      <c r="BH7" s="291" t="s">
        <v>291</v>
      </c>
      <c r="BI7" s="314"/>
      <c r="BJ7" s="313"/>
      <c r="BK7" s="291" t="s">
        <v>305</v>
      </c>
      <c r="BL7" s="293"/>
      <c r="BM7" s="291" t="s">
        <v>292</v>
      </c>
      <c r="BN7" s="292"/>
      <c r="BO7" s="292"/>
      <c r="BP7" s="292"/>
      <c r="BQ7" s="292"/>
      <c r="BR7" s="293"/>
      <c r="BS7" s="131" t="s">
        <v>275</v>
      </c>
      <c r="BT7" s="291" t="s">
        <v>377</v>
      </c>
      <c r="BU7" s="296"/>
      <c r="BV7" s="315"/>
      <c r="BW7" s="167"/>
      <c r="BX7" s="291" t="s">
        <v>290</v>
      </c>
      <c r="BY7" s="313"/>
      <c r="BZ7" s="167"/>
      <c r="CA7" s="167"/>
      <c r="CB7" s="167"/>
      <c r="CC7" s="167"/>
    </row>
    <row r="8" spans="1:81" ht="12.75" customHeight="1" x14ac:dyDescent="0.2">
      <c r="A8" s="284" t="s">
        <v>28</v>
      </c>
      <c r="B8" s="282"/>
      <c r="C8" s="282"/>
      <c r="D8" s="282"/>
      <c r="E8" s="282"/>
      <c r="F8" s="282"/>
      <c r="G8" s="282"/>
      <c r="H8" s="282"/>
      <c r="I8" s="282"/>
      <c r="J8" s="282"/>
      <c r="K8" s="282"/>
      <c r="L8" s="290"/>
      <c r="M8" s="79"/>
      <c r="N8" s="79"/>
      <c r="O8" s="78" t="s">
        <v>29</v>
      </c>
      <c r="P8" s="79"/>
      <c r="Q8" s="80"/>
      <c r="R8" s="284" t="s">
        <v>30</v>
      </c>
      <c r="S8" s="285"/>
      <c r="T8" s="285"/>
      <c r="U8" s="285"/>
      <c r="V8" s="285"/>
      <c r="W8" s="285"/>
      <c r="X8" s="285"/>
      <c r="Y8" s="278"/>
      <c r="Z8" s="294" t="s">
        <v>276</v>
      </c>
      <c r="AA8" s="294" t="s">
        <v>73</v>
      </c>
      <c r="AB8" s="294" t="s">
        <v>74</v>
      </c>
      <c r="AC8" s="294" t="s">
        <v>277</v>
      </c>
      <c r="AD8" s="294" t="s">
        <v>278</v>
      </c>
      <c r="AE8" s="294" t="s">
        <v>75</v>
      </c>
      <c r="AF8" s="294" t="s">
        <v>279</v>
      </c>
      <c r="AG8" s="294" t="s">
        <v>84</v>
      </c>
      <c r="AH8" s="294" t="s">
        <v>280</v>
      </c>
      <c r="AI8" s="294" t="s">
        <v>281</v>
      </c>
      <c r="AJ8" s="294" t="s">
        <v>98</v>
      </c>
      <c r="AK8" s="294" t="s">
        <v>99</v>
      </c>
      <c r="AL8" s="207"/>
      <c r="AM8" s="294" t="s">
        <v>282</v>
      </c>
      <c r="AN8" s="294" t="s">
        <v>283</v>
      </c>
      <c r="AO8" s="294" t="s">
        <v>133</v>
      </c>
      <c r="AP8" s="294" t="s">
        <v>134</v>
      </c>
      <c r="AQ8" s="294" t="s">
        <v>135</v>
      </c>
      <c r="AR8" s="294" t="s">
        <v>136</v>
      </c>
      <c r="AS8" s="294" t="s">
        <v>137</v>
      </c>
      <c r="AT8" s="294" t="s">
        <v>138</v>
      </c>
      <c r="AU8" s="294" t="s">
        <v>284</v>
      </c>
      <c r="AV8" s="294" t="s">
        <v>285</v>
      </c>
      <c r="AW8" s="294" t="s">
        <v>155</v>
      </c>
      <c r="AX8" s="207"/>
      <c r="AY8" s="294" t="s">
        <v>156</v>
      </c>
      <c r="AZ8" s="294" t="s">
        <v>157</v>
      </c>
      <c r="BA8" s="294" t="s">
        <v>286</v>
      </c>
      <c r="BB8" s="294" t="s">
        <v>166</v>
      </c>
      <c r="BC8" s="294" t="s">
        <v>158</v>
      </c>
      <c r="BD8" s="294" t="s">
        <v>287</v>
      </c>
      <c r="BE8" s="294" t="s">
        <v>288</v>
      </c>
      <c r="BF8" s="294" t="s">
        <v>159</v>
      </c>
      <c r="BG8" s="294" t="s">
        <v>160</v>
      </c>
      <c r="BH8" s="294" t="s">
        <v>161</v>
      </c>
      <c r="BI8" s="294" t="s">
        <v>162</v>
      </c>
      <c r="BJ8" s="294" t="s">
        <v>163</v>
      </c>
      <c r="BK8" s="297" t="s">
        <v>445</v>
      </c>
      <c r="BL8" s="297" t="s">
        <v>446</v>
      </c>
      <c r="BM8" s="294" t="s">
        <v>205</v>
      </c>
      <c r="BN8" s="294" t="s">
        <v>208</v>
      </c>
      <c r="BO8" s="294" t="s">
        <v>209</v>
      </c>
      <c r="BP8" s="294" t="s">
        <v>212</v>
      </c>
      <c r="BQ8" s="294" t="s">
        <v>207</v>
      </c>
      <c r="BR8" s="294" t="s">
        <v>213</v>
      </c>
      <c r="BS8" s="294" t="s">
        <v>274</v>
      </c>
      <c r="BT8" s="294" t="s">
        <v>380</v>
      </c>
      <c r="BU8" s="294" t="s">
        <v>381</v>
      </c>
      <c r="BV8" s="294" t="s">
        <v>382</v>
      </c>
      <c r="BW8" s="294" t="s">
        <v>385</v>
      </c>
      <c r="BX8" s="294" t="s">
        <v>455</v>
      </c>
      <c r="BY8" s="297" t="s">
        <v>483</v>
      </c>
      <c r="BZ8" s="297" t="s">
        <v>489</v>
      </c>
      <c r="CA8" s="297" t="s">
        <v>558</v>
      </c>
      <c r="CB8" s="297" t="s">
        <v>560</v>
      </c>
      <c r="CC8" s="297" t="s">
        <v>561</v>
      </c>
    </row>
    <row r="9" spans="1:81" x14ac:dyDescent="0.2">
      <c r="A9" s="1" t="s">
        <v>10</v>
      </c>
      <c r="B9" s="1" t="s">
        <v>22</v>
      </c>
      <c r="C9" s="1" t="s">
        <v>565</v>
      </c>
      <c r="D9" s="1" t="s">
        <v>11</v>
      </c>
      <c r="E9" s="52" t="s">
        <v>24</v>
      </c>
      <c r="F9" s="1" t="s">
        <v>88</v>
      </c>
      <c r="G9" s="1" t="s">
        <v>87</v>
      </c>
      <c r="H9" s="2" t="s">
        <v>13</v>
      </c>
      <c r="I9" s="16" t="s">
        <v>141</v>
      </c>
      <c r="J9" s="2" t="s">
        <v>41</v>
      </c>
      <c r="K9" s="2" t="s">
        <v>115</v>
      </c>
      <c r="L9" s="2" t="s">
        <v>139</v>
      </c>
      <c r="M9" s="2" t="s">
        <v>14</v>
      </c>
      <c r="N9" s="1" t="s">
        <v>15</v>
      </c>
      <c r="O9" s="1" t="s">
        <v>16</v>
      </c>
      <c r="P9" s="1" t="s">
        <v>17</v>
      </c>
      <c r="Q9" s="1" t="s">
        <v>18</v>
      </c>
      <c r="R9" s="172" t="s">
        <v>23</v>
      </c>
      <c r="S9" s="172" t="s">
        <v>25</v>
      </c>
      <c r="T9" s="172" t="s">
        <v>19</v>
      </c>
      <c r="U9" s="172" t="s">
        <v>20</v>
      </c>
      <c r="V9" s="172" t="s">
        <v>21</v>
      </c>
      <c r="W9" s="172" t="s">
        <v>112</v>
      </c>
      <c r="X9" s="172" t="s">
        <v>113</v>
      </c>
      <c r="Y9" s="172" t="s">
        <v>85</v>
      </c>
      <c r="Z9" s="295"/>
      <c r="AA9" s="295"/>
      <c r="AB9" s="295"/>
      <c r="AC9" s="295"/>
      <c r="AD9" s="295"/>
      <c r="AE9" s="295"/>
      <c r="AF9" s="295"/>
      <c r="AG9" s="295"/>
      <c r="AH9" s="295"/>
      <c r="AI9" s="295"/>
      <c r="AJ9" s="295"/>
      <c r="AK9" s="295"/>
      <c r="AL9" s="208"/>
      <c r="AM9" s="295"/>
      <c r="AN9" s="295"/>
      <c r="AO9" s="295"/>
      <c r="AP9" s="295"/>
      <c r="AQ9" s="295"/>
      <c r="AR9" s="295"/>
      <c r="AS9" s="295"/>
      <c r="AT9" s="295"/>
      <c r="AU9" s="295"/>
      <c r="AV9" s="295"/>
      <c r="AW9" s="295"/>
      <c r="AX9" s="208"/>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W9" s="295"/>
      <c r="BX9" s="295"/>
      <c r="BY9" s="295"/>
      <c r="BZ9" s="298"/>
      <c r="CA9" s="298"/>
      <c r="CB9" s="298"/>
      <c r="CC9" s="298"/>
    </row>
    <row r="10" spans="1:81" x14ac:dyDescent="0.2">
      <c r="A10" s="5"/>
      <c r="B10" s="5"/>
      <c r="C10" s="5"/>
      <c r="D10" s="5"/>
      <c r="E10" s="64"/>
      <c r="F10" s="5"/>
      <c r="G10" s="5"/>
      <c r="H10" s="5"/>
      <c r="I10" s="5"/>
      <c r="J10" s="5"/>
      <c r="K10" s="5"/>
      <c r="L10" s="5"/>
      <c r="M10" s="6"/>
      <c r="N10" s="6"/>
      <c r="O10" s="6"/>
      <c r="P10" s="6"/>
      <c r="Q10" s="123"/>
      <c r="R10" s="5"/>
      <c r="S10" s="5"/>
      <c r="T10" s="5"/>
      <c r="U10" s="5"/>
      <c r="V10" s="5"/>
      <c r="W10" s="5"/>
      <c r="X10" s="5"/>
      <c r="Y10" s="5"/>
      <c r="Z10" s="195"/>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c r="BH10" s="6"/>
      <c r="BI10" s="6"/>
      <c r="BJ10" s="6"/>
      <c r="BK10" s="6"/>
      <c r="BL10" s="6"/>
      <c r="BM10" s="6"/>
      <c r="BN10" s="6"/>
      <c r="BO10" s="6"/>
      <c r="BP10" s="6"/>
      <c r="BQ10" s="6"/>
      <c r="BR10" s="6"/>
      <c r="BS10" s="6"/>
      <c r="BT10" s="6"/>
      <c r="BU10" s="6"/>
      <c r="BV10" s="6"/>
      <c r="BW10" s="6"/>
      <c r="BX10" s="6"/>
      <c r="BY10" s="6"/>
      <c r="BZ10" s="6"/>
      <c r="CA10" s="6"/>
      <c r="CB10" s="6"/>
      <c r="CC10" s="6"/>
    </row>
    <row r="11" spans="1:81" x14ac:dyDescent="0.2">
      <c r="A11" s="12" t="s">
        <v>33</v>
      </c>
      <c r="B11" s="13"/>
      <c r="C11" s="13"/>
      <c r="D11" s="13"/>
      <c r="E11" s="63"/>
      <c r="F11" s="13"/>
      <c r="G11" s="13"/>
      <c r="H11" s="13"/>
      <c r="I11" s="13"/>
      <c r="J11" s="13"/>
      <c r="K11" s="101"/>
      <c r="L11" s="5"/>
      <c r="M11" s="4"/>
      <c r="N11" s="6"/>
      <c r="O11" s="6"/>
      <c r="P11" s="6"/>
      <c r="Q11" s="123"/>
      <c r="R11" s="5"/>
      <c r="S11" s="5"/>
      <c r="T11" s="5"/>
      <c r="U11" s="5"/>
      <c r="V11" s="5"/>
      <c r="W11" s="5"/>
      <c r="X11" s="5"/>
      <c r="Y11" s="5"/>
      <c r="Z11" s="195"/>
      <c r="AA11" s="6"/>
      <c r="AB11" s="6"/>
      <c r="AC11" s="6"/>
      <c r="AD11" s="6"/>
      <c r="AE11" s="6"/>
      <c r="AF11" s="6"/>
      <c r="AG11" s="6"/>
      <c r="AH11" s="6"/>
      <c r="AI11" s="6"/>
      <c r="AJ11" s="6"/>
      <c r="AK11" s="6"/>
      <c r="AL11" s="6"/>
      <c r="AM11" s="6"/>
      <c r="AN11" s="6"/>
      <c r="AO11" s="6"/>
      <c r="AP11" s="6"/>
      <c r="AQ11" s="6"/>
      <c r="AR11" s="6"/>
      <c r="AS11" s="6"/>
      <c r="AT11" s="6"/>
      <c r="AU11" s="6"/>
      <c r="AV11" s="6"/>
      <c r="AW11" s="6"/>
      <c r="AX11" s="6"/>
      <c r="AY11" s="6"/>
      <c r="AZ11" s="6"/>
      <c r="BA11" s="6"/>
      <c r="BB11" s="6"/>
      <c r="BC11" s="6"/>
      <c r="BD11" s="6"/>
      <c r="BE11" s="6"/>
      <c r="BF11" s="6"/>
      <c r="BG11" s="6"/>
      <c r="BH11" s="6"/>
      <c r="BI11" s="6"/>
      <c r="BJ11" s="6"/>
      <c r="BK11" s="6"/>
      <c r="BL11" s="6"/>
      <c r="BM11" s="6"/>
      <c r="BN11" s="6"/>
      <c r="BO11" s="6"/>
      <c r="BP11" s="6"/>
      <c r="BQ11" s="6"/>
      <c r="BR11" s="6"/>
      <c r="BS11" s="6"/>
      <c r="BT11" s="6"/>
      <c r="BU11" s="6"/>
      <c r="BV11" s="6"/>
      <c r="BW11" s="6"/>
      <c r="BX11" s="6"/>
      <c r="BY11" s="6"/>
      <c r="BZ11" s="6"/>
      <c r="CA11" s="6"/>
      <c r="CB11" s="6"/>
      <c r="CC11" s="6"/>
    </row>
    <row r="12" spans="1:81" x14ac:dyDescent="0.2">
      <c r="A12" s="13" t="s">
        <v>69</v>
      </c>
      <c r="B12" s="13" t="s">
        <v>12</v>
      </c>
      <c r="C12" s="13"/>
      <c r="D12" s="13"/>
      <c r="E12" s="63"/>
      <c r="F12" s="13"/>
      <c r="G12" s="13"/>
      <c r="H12" s="13" t="s">
        <v>68</v>
      </c>
      <c r="I12" s="13"/>
      <c r="J12" s="13" t="s">
        <v>44</v>
      </c>
      <c r="K12" s="101"/>
      <c r="L12" s="5"/>
      <c r="M12" s="4" t="s">
        <v>147</v>
      </c>
      <c r="N12" s="6">
        <v>100</v>
      </c>
      <c r="O12" s="6" t="s">
        <v>148</v>
      </c>
      <c r="P12" s="6"/>
      <c r="Q12" s="124"/>
      <c r="R12" s="5"/>
      <c r="S12" s="5"/>
      <c r="T12" s="5"/>
      <c r="U12" s="5"/>
      <c r="V12" s="5"/>
      <c r="W12" s="5"/>
      <c r="X12" s="5"/>
      <c r="Y12" s="5"/>
      <c r="Z12" s="195"/>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c r="BA12" s="6"/>
      <c r="BB12" s="6"/>
      <c r="BC12" s="6"/>
      <c r="BD12" s="6"/>
      <c r="BE12" s="6"/>
      <c r="BF12" s="6"/>
      <c r="BG12" s="6"/>
      <c r="BH12" s="6"/>
      <c r="BI12" s="6"/>
      <c r="BJ12" s="6"/>
      <c r="BK12" s="6"/>
      <c r="BL12" s="6"/>
      <c r="BM12" s="6"/>
      <c r="BN12" s="6"/>
      <c r="BO12" s="6"/>
      <c r="BP12" s="6"/>
      <c r="BQ12" s="6"/>
      <c r="BR12" s="6"/>
      <c r="BS12" s="6"/>
      <c r="BT12" s="6"/>
      <c r="BU12" s="6"/>
      <c r="BV12" s="6"/>
      <c r="BW12" s="6"/>
      <c r="BX12" s="6"/>
      <c r="BY12" s="6"/>
      <c r="BZ12" s="6"/>
      <c r="CA12" s="6"/>
      <c r="CB12" s="6"/>
      <c r="CC12" s="6"/>
    </row>
    <row r="13" spans="1:81" x14ac:dyDescent="0.2">
      <c r="A13" s="13" t="s">
        <v>70</v>
      </c>
      <c r="B13" s="13" t="s">
        <v>12</v>
      </c>
      <c r="C13" s="13"/>
      <c r="D13" s="13"/>
      <c r="E13" s="63"/>
      <c r="F13" s="13"/>
      <c r="G13" s="13"/>
      <c r="H13" s="13" t="s">
        <v>68</v>
      </c>
      <c r="I13" s="13"/>
      <c r="J13" s="13" t="s">
        <v>44</v>
      </c>
      <c r="K13" s="101"/>
      <c r="L13" s="5"/>
      <c r="M13" s="4"/>
      <c r="N13" s="6"/>
      <c r="O13" s="6"/>
      <c r="P13" s="4"/>
      <c r="Q13" s="124"/>
      <c r="R13" s="5"/>
      <c r="S13" s="5"/>
      <c r="T13" s="5"/>
      <c r="U13" s="5"/>
      <c r="V13" s="5"/>
      <c r="W13" s="5"/>
      <c r="X13" s="5"/>
      <c r="Y13" s="5"/>
      <c r="Z13" s="195"/>
      <c r="AA13" s="6"/>
      <c r="AB13" s="6"/>
      <c r="AC13" s="6"/>
      <c r="AD13" s="6"/>
      <c r="AE13" s="6"/>
      <c r="AF13" s="6"/>
      <c r="AG13" s="6"/>
      <c r="AH13" s="6"/>
      <c r="AI13" s="6"/>
      <c r="AJ13" s="6"/>
      <c r="AK13" s="6"/>
      <c r="AL13" s="6"/>
      <c r="AM13" s="6"/>
      <c r="AN13" s="6"/>
      <c r="AO13" s="6"/>
      <c r="AP13" s="6"/>
      <c r="AQ13" s="6"/>
      <c r="AR13" s="6"/>
      <c r="AS13" s="6"/>
      <c r="AT13" s="6"/>
      <c r="AU13" s="6"/>
      <c r="AV13" s="6"/>
      <c r="AW13" s="6"/>
      <c r="AX13" s="6"/>
      <c r="AY13" s="6"/>
      <c r="AZ13" s="6"/>
      <c r="BA13" s="6"/>
      <c r="BB13" s="6"/>
      <c r="BC13" s="6"/>
      <c r="BD13" s="6"/>
      <c r="BE13" s="6"/>
      <c r="BF13" s="6"/>
      <c r="BG13" s="6"/>
      <c r="BH13" s="6"/>
      <c r="BI13" s="6"/>
      <c r="BJ13" s="6"/>
      <c r="BK13" s="6"/>
      <c r="BL13" s="6"/>
      <c r="BM13" s="6"/>
      <c r="BN13" s="6"/>
      <c r="BO13" s="6"/>
      <c r="BP13" s="6"/>
      <c r="BQ13" s="6"/>
      <c r="BR13" s="6"/>
      <c r="BS13" s="6"/>
      <c r="BT13" s="6"/>
      <c r="BU13" s="6"/>
      <c r="BV13" s="6"/>
      <c r="BW13" s="6"/>
      <c r="BX13" s="6"/>
      <c r="BY13" s="6"/>
      <c r="BZ13" s="6"/>
      <c r="CA13" s="6"/>
      <c r="CB13" s="6"/>
      <c r="CC13" s="6"/>
    </row>
    <row r="14" spans="1:81" x14ac:dyDescent="0.2">
      <c r="A14" s="13" t="s">
        <v>197</v>
      </c>
      <c r="B14" s="13" t="s">
        <v>12</v>
      </c>
      <c r="C14" s="13"/>
      <c r="D14" s="13"/>
      <c r="E14" s="63"/>
      <c r="F14" s="13"/>
      <c r="G14" s="13"/>
      <c r="H14" s="14" t="s">
        <v>512</v>
      </c>
      <c r="I14" s="13"/>
      <c r="J14" s="13" t="s">
        <v>44</v>
      </c>
      <c r="K14" s="101"/>
      <c r="L14" s="5"/>
      <c r="M14" s="4"/>
      <c r="N14" s="6"/>
      <c r="O14" s="6"/>
      <c r="P14" s="4"/>
      <c r="Q14" s="124"/>
      <c r="R14" s="5"/>
      <c r="S14" s="5"/>
      <c r="T14" s="5"/>
      <c r="U14" s="5"/>
      <c r="V14" s="5"/>
      <c r="W14" s="5"/>
      <c r="X14" s="5"/>
      <c r="Y14" s="5"/>
      <c r="Z14" s="195"/>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row>
    <row r="15" spans="1:81" x14ac:dyDescent="0.2">
      <c r="A15" s="3" t="s">
        <v>520</v>
      </c>
      <c r="B15" s="5" t="s">
        <v>12</v>
      </c>
      <c r="C15" s="5"/>
      <c r="D15" s="5"/>
      <c r="E15" s="64"/>
      <c r="F15" s="5"/>
      <c r="G15" s="5"/>
      <c r="H15" s="3" t="s">
        <v>512</v>
      </c>
      <c r="I15" s="5"/>
      <c r="J15" s="5" t="s">
        <v>44</v>
      </c>
      <c r="K15" s="101"/>
      <c r="L15" s="5"/>
      <c r="M15" s="4"/>
      <c r="N15" s="6"/>
      <c r="O15" s="6"/>
      <c r="P15" s="4"/>
      <c r="Q15" s="124"/>
      <c r="R15" s="5"/>
      <c r="S15" s="5"/>
      <c r="T15" s="5"/>
      <c r="U15" s="5"/>
      <c r="V15" s="5"/>
      <c r="W15" s="5"/>
      <c r="X15" s="5"/>
      <c r="Y15" s="5"/>
      <c r="Z15" s="195"/>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row>
    <row r="16" spans="1:81" x14ac:dyDescent="0.2">
      <c r="A16" s="5" t="s">
        <v>26</v>
      </c>
      <c r="B16" s="5" t="s">
        <v>12</v>
      </c>
      <c r="C16" s="5"/>
      <c r="D16" s="5"/>
      <c r="E16" s="64"/>
      <c r="F16" s="5"/>
      <c r="G16" s="5"/>
      <c r="H16" s="5" t="s">
        <v>514</v>
      </c>
      <c r="I16" s="5"/>
      <c r="J16" s="5" t="s">
        <v>44</v>
      </c>
      <c r="K16" s="101"/>
      <c r="L16" s="5"/>
      <c r="M16" s="4"/>
      <c r="N16" s="6"/>
      <c r="O16" s="6"/>
      <c r="P16" s="6"/>
      <c r="Q16" s="124"/>
      <c r="R16" s="5"/>
      <c r="S16" s="5"/>
      <c r="T16" s="5"/>
      <c r="U16" s="5"/>
      <c r="V16" s="5"/>
      <c r="W16" s="5"/>
      <c r="X16" s="5"/>
      <c r="Y16" s="5"/>
      <c r="Z16" s="195"/>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row>
    <row r="17" spans="1:81" x14ac:dyDescent="0.2">
      <c r="A17" s="3" t="s">
        <v>460</v>
      </c>
      <c r="B17" s="5" t="s">
        <v>12</v>
      </c>
      <c r="C17" s="5"/>
      <c r="D17" s="5"/>
      <c r="E17" s="64"/>
      <c r="F17" s="5"/>
      <c r="G17" s="5"/>
      <c r="H17" s="3" t="s">
        <v>461</v>
      </c>
      <c r="I17" s="5"/>
      <c r="J17" s="3" t="s">
        <v>194</v>
      </c>
      <c r="K17" s="101"/>
      <c r="L17" s="5"/>
      <c r="M17" s="4"/>
      <c r="N17" s="6"/>
      <c r="O17" s="6"/>
      <c r="P17" s="6"/>
      <c r="Q17" s="124"/>
      <c r="R17" s="5"/>
      <c r="S17" s="5"/>
      <c r="T17" s="5"/>
      <c r="U17" s="5"/>
      <c r="V17" s="5"/>
      <c r="W17" s="5"/>
      <c r="X17" s="5"/>
      <c r="Y17" s="5"/>
      <c r="Z17" s="195"/>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row>
    <row r="18" spans="1:81" x14ac:dyDescent="0.2">
      <c r="A18" s="3"/>
      <c r="B18" s="5"/>
      <c r="C18" s="5"/>
      <c r="D18" s="5"/>
      <c r="E18" s="64"/>
      <c r="F18" s="5"/>
      <c r="G18" s="5"/>
      <c r="H18" s="3"/>
      <c r="I18" s="5"/>
      <c r="J18" s="3"/>
      <c r="K18" s="101"/>
      <c r="L18" s="5"/>
      <c r="M18" s="4"/>
      <c r="N18" s="6"/>
      <c r="O18" s="6"/>
      <c r="P18" s="6"/>
      <c r="Q18" s="124"/>
      <c r="R18" s="5"/>
      <c r="S18" s="5"/>
      <c r="T18" s="5"/>
      <c r="U18" s="5"/>
      <c r="V18" s="5"/>
      <c r="W18" s="5"/>
      <c r="X18" s="5"/>
      <c r="Y18" s="5"/>
      <c r="Z18" s="195"/>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row>
    <row r="19" spans="1:81" x14ac:dyDescent="0.2">
      <c r="A19" s="12" t="s">
        <v>34</v>
      </c>
      <c r="B19" s="13"/>
      <c r="C19" s="13"/>
      <c r="D19" s="13"/>
      <c r="E19" s="63"/>
      <c r="F19" s="13"/>
      <c r="G19" s="13"/>
      <c r="H19" s="13"/>
      <c r="I19" s="13"/>
      <c r="J19" s="13"/>
      <c r="K19" s="101"/>
      <c r="L19" s="5"/>
      <c r="M19" s="4"/>
      <c r="N19" s="6"/>
      <c r="O19" s="6"/>
      <c r="P19" s="4"/>
      <c r="Q19" s="124"/>
      <c r="R19" s="5"/>
      <c r="S19" s="5"/>
      <c r="T19" s="5"/>
      <c r="U19" s="5"/>
      <c r="V19" s="5"/>
      <c r="W19" s="5"/>
      <c r="X19" s="5"/>
      <c r="Y19" s="5"/>
      <c r="Z19" s="195"/>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A19" s="6"/>
      <c r="BB19" s="6"/>
      <c r="BC19" s="6"/>
      <c r="BD19" s="6"/>
      <c r="BE19" s="6"/>
      <c r="BF19" s="6"/>
      <c r="BG19" s="6"/>
      <c r="BH19" s="6"/>
      <c r="BI19" s="6"/>
      <c r="BJ19" s="6"/>
      <c r="BK19" s="6"/>
      <c r="BL19" s="6"/>
      <c r="BM19" s="6"/>
      <c r="BN19" s="6"/>
      <c r="BO19" s="6"/>
      <c r="BP19" s="6"/>
      <c r="BQ19" s="6"/>
      <c r="BR19" s="6"/>
      <c r="BS19" s="6"/>
      <c r="BT19" s="6"/>
      <c r="BU19" s="6"/>
      <c r="BV19" s="6"/>
      <c r="BW19" s="6"/>
      <c r="BX19" s="6"/>
      <c r="BY19" s="6"/>
      <c r="BZ19" s="6"/>
      <c r="CA19" s="6"/>
      <c r="CB19" s="6"/>
      <c r="CC19" s="6"/>
    </row>
    <row r="20" spans="1:81" x14ac:dyDescent="0.2">
      <c r="A20" s="13" t="s">
        <v>197</v>
      </c>
      <c r="B20" s="13" t="s">
        <v>31</v>
      </c>
      <c r="C20" s="13">
        <v>20160115</v>
      </c>
      <c r="D20" s="13">
        <v>570</v>
      </c>
      <c r="E20" s="63" t="s">
        <v>36</v>
      </c>
      <c r="F20" s="13">
        <v>100</v>
      </c>
      <c r="G20" s="13"/>
      <c r="H20" s="13" t="s">
        <v>68</v>
      </c>
      <c r="I20" s="13"/>
      <c r="J20" s="13" t="s">
        <v>44</v>
      </c>
      <c r="K20" s="101"/>
      <c r="L20" s="5"/>
      <c r="M20" s="4" t="s">
        <v>147</v>
      </c>
      <c r="N20" s="6">
        <v>1</v>
      </c>
      <c r="O20" s="6" t="s">
        <v>393</v>
      </c>
      <c r="P20" s="4">
        <v>1</v>
      </c>
      <c r="Q20" s="124"/>
      <c r="R20" s="5"/>
      <c r="S20" s="5"/>
      <c r="T20" s="5"/>
      <c r="U20" s="5"/>
      <c r="V20" s="5"/>
      <c r="W20" s="5"/>
      <c r="X20" s="5"/>
      <c r="Y20" s="5"/>
      <c r="Z20" s="195"/>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row>
    <row r="21" spans="1:81" x14ac:dyDescent="0.2">
      <c r="A21" s="14" t="s">
        <v>26</v>
      </c>
      <c r="B21" s="14" t="s">
        <v>31</v>
      </c>
      <c r="C21" s="13">
        <v>20160115</v>
      </c>
      <c r="D21" s="13">
        <v>100</v>
      </c>
      <c r="E21" s="181" t="s">
        <v>36</v>
      </c>
      <c r="F21" s="13">
        <v>100</v>
      </c>
      <c r="G21" s="13"/>
      <c r="H21" s="14" t="s">
        <v>68</v>
      </c>
      <c r="I21" s="13"/>
      <c r="J21" s="14" t="s">
        <v>44</v>
      </c>
      <c r="K21" s="101"/>
      <c r="L21" s="5"/>
      <c r="M21" s="4" t="s">
        <v>149</v>
      </c>
      <c r="N21" s="6">
        <v>1</v>
      </c>
      <c r="O21" s="6" t="s">
        <v>394</v>
      </c>
      <c r="P21" s="4"/>
      <c r="Q21" s="124">
        <v>90</v>
      </c>
      <c r="R21" s="5"/>
      <c r="S21" s="5"/>
      <c r="T21" s="5"/>
      <c r="U21" s="5"/>
      <c r="V21" s="5"/>
      <c r="W21" s="5"/>
      <c r="X21" s="5"/>
      <c r="Y21" s="5"/>
      <c r="Z21" s="195"/>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c r="BH21" s="6"/>
      <c r="BI21" s="6"/>
      <c r="BJ21" s="6"/>
      <c r="BK21" s="6"/>
      <c r="BL21" s="6"/>
      <c r="BM21" s="6"/>
      <c r="BN21" s="6"/>
      <c r="BO21" s="6"/>
      <c r="BP21" s="6"/>
      <c r="BQ21" s="6"/>
      <c r="BR21" s="6"/>
      <c r="BS21" s="6"/>
      <c r="BT21" s="6"/>
      <c r="BU21" s="6"/>
      <c r="BV21" s="6"/>
      <c r="BW21" s="6"/>
      <c r="BX21" s="6"/>
      <c r="BY21" s="6"/>
      <c r="BZ21" s="6"/>
      <c r="CA21" s="6"/>
      <c r="CB21" s="6"/>
      <c r="CC21" s="6"/>
    </row>
    <row r="22" spans="1:81" x14ac:dyDescent="0.2">
      <c r="A22" s="14" t="s">
        <v>563</v>
      </c>
      <c r="B22" s="14" t="s">
        <v>31</v>
      </c>
      <c r="C22" s="13">
        <v>20141121</v>
      </c>
      <c r="D22" s="13">
        <v>24.5</v>
      </c>
      <c r="E22" s="181" t="s">
        <v>36</v>
      </c>
      <c r="F22" s="13">
        <v>100</v>
      </c>
      <c r="G22" s="13"/>
      <c r="H22" s="14" t="s">
        <v>68</v>
      </c>
      <c r="I22" s="13"/>
      <c r="J22" s="14" t="s">
        <v>44</v>
      </c>
      <c r="K22" s="101"/>
      <c r="L22" s="5"/>
      <c r="M22" s="4" t="s">
        <v>147</v>
      </c>
      <c r="N22" s="6">
        <v>1</v>
      </c>
      <c r="O22" s="6" t="s">
        <v>564</v>
      </c>
      <c r="P22" s="4">
        <v>1</v>
      </c>
      <c r="Q22" s="124">
        <v>0.01</v>
      </c>
      <c r="R22" s="5"/>
      <c r="S22" s="5"/>
      <c r="T22" s="5"/>
      <c r="U22" s="5"/>
      <c r="V22" s="5"/>
      <c r="W22" s="5"/>
      <c r="X22" s="5"/>
      <c r="Y22" s="5"/>
      <c r="Z22" s="195" t="s">
        <v>495</v>
      </c>
      <c r="AA22" s="6"/>
      <c r="AB22" s="6"/>
      <c r="AC22" s="6" t="s">
        <v>116</v>
      </c>
      <c r="AD22" s="6">
        <v>0</v>
      </c>
      <c r="AE22" s="6"/>
      <c r="AF22" s="6">
        <v>1</v>
      </c>
      <c r="AG22" s="6"/>
      <c r="AH22" s="6">
        <v>0</v>
      </c>
      <c r="AI22" s="6">
        <v>0</v>
      </c>
      <c r="AJ22" s="6">
        <v>0</v>
      </c>
      <c r="AK22" s="6">
        <v>0</v>
      </c>
      <c r="AL22" s="6"/>
      <c r="AM22" s="6">
        <v>0</v>
      </c>
      <c r="AN22" s="6">
        <v>0</v>
      </c>
      <c r="AO22" s="6"/>
      <c r="AP22" s="6"/>
      <c r="AQ22" s="6"/>
      <c r="AR22" s="6"/>
      <c r="AS22" s="6"/>
      <c r="AT22" s="6"/>
      <c r="AU22" s="6"/>
      <c r="AV22" s="6"/>
      <c r="AW22" s="6"/>
      <c r="AX22" s="6"/>
      <c r="AY22" s="6"/>
      <c r="AZ22" s="6"/>
      <c r="BA22" s="6"/>
      <c r="BB22" s="6"/>
      <c r="BC22" s="6"/>
      <c r="BD22" s="6"/>
      <c r="BE22" s="6"/>
      <c r="BF22" s="6"/>
      <c r="BG22" s="6"/>
      <c r="BH22" s="6"/>
      <c r="BI22" s="6"/>
      <c r="BJ22" s="6"/>
      <c r="BK22" s="6"/>
      <c r="BL22" s="6"/>
      <c r="BM22" s="6">
        <v>32.47</v>
      </c>
      <c r="BN22" s="6">
        <v>2</v>
      </c>
      <c r="BO22" s="6"/>
      <c r="BP22" s="6"/>
      <c r="BQ22" s="6"/>
      <c r="BR22" s="6"/>
      <c r="BS22" s="6"/>
      <c r="BT22" s="6"/>
      <c r="BU22" s="6"/>
      <c r="BV22" s="6"/>
      <c r="BW22" s="6"/>
      <c r="BX22" s="6"/>
      <c r="BY22" s="6"/>
      <c r="BZ22" s="6">
        <v>0</v>
      </c>
      <c r="CA22" s="6">
        <v>0</v>
      </c>
      <c r="CB22" s="6">
        <v>1</v>
      </c>
      <c r="CC22" s="6">
        <v>1</v>
      </c>
    </row>
    <row r="23" spans="1:81" x14ac:dyDescent="0.2">
      <c r="A23" s="14"/>
      <c r="B23" s="14"/>
      <c r="C23" s="13"/>
      <c r="D23" s="13"/>
      <c r="E23" s="181"/>
      <c r="F23" s="13"/>
      <c r="G23" s="13"/>
      <c r="H23" s="14"/>
      <c r="I23" s="13"/>
      <c r="J23" s="14"/>
      <c r="K23" s="101"/>
      <c r="L23" s="5"/>
      <c r="M23" s="6"/>
      <c r="N23" s="6"/>
      <c r="O23" s="6"/>
      <c r="P23" s="4"/>
      <c r="Q23" s="124"/>
      <c r="R23" s="5"/>
      <c r="S23" s="5"/>
      <c r="T23" s="5"/>
      <c r="U23" s="5"/>
      <c r="V23" s="5"/>
      <c r="W23" s="5"/>
      <c r="X23" s="5"/>
      <c r="Y23" s="5"/>
      <c r="Z23" s="195"/>
      <c r="AA23" s="6"/>
      <c r="AB23" s="6"/>
      <c r="AC23" s="6"/>
      <c r="AD23" s="6"/>
      <c r="AE23" s="6"/>
      <c r="AF23" s="6"/>
      <c r="AG23" s="6"/>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c r="BM23" s="6"/>
      <c r="BN23" s="6"/>
      <c r="BO23" s="6"/>
      <c r="BP23" s="6"/>
      <c r="BQ23" s="6"/>
      <c r="BR23" s="6"/>
      <c r="BS23" s="6"/>
      <c r="BT23" s="6"/>
      <c r="BU23" s="6"/>
      <c r="BV23" s="6"/>
      <c r="BW23" s="6"/>
      <c r="BX23" s="6"/>
      <c r="BY23" s="6"/>
      <c r="BZ23" s="6"/>
      <c r="CA23" s="6"/>
      <c r="CB23" s="6"/>
      <c r="CC23" s="6"/>
    </row>
    <row r="24" spans="1:81" x14ac:dyDescent="0.2">
      <c r="A24" s="12" t="s">
        <v>513</v>
      </c>
      <c r="B24" s="13"/>
      <c r="C24" s="13"/>
      <c r="D24" s="13"/>
      <c r="E24" s="63"/>
      <c r="F24" s="13"/>
      <c r="G24" s="13"/>
      <c r="H24" s="13"/>
      <c r="I24" s="13"/>
      <c r="J24" s="13"/>
      <c r="K24" s="101"/>
      <c r="L24" s="5"/>
      <c r="M24" s="4"/>
      <c r="N24" s="6"/>
      <c r="O24" s="6"/>
      <c r="P24" s="4"/>
      <c r="Q24" s="124"/>
      <c r="R24" s="5"/>
      <c r="S24" s="5"/>
      <c r="T24" s="5"/>
      <c r="U24" s="5"/>
      <c r="V24" s="5"/>
      <c r="W24" s="5"/>
      <c r="X24" s="5"/>
      <c r="Y24" s="5"/>
      <c r="Z24" s="195"/>
      <c r="AA24" s="6"/>
      <c r="AB24" s="6"/>
      <c r="AC24" s="6"/>
      <c r="AD24" s="6"/>
      <c r="AE24" s="6"/>
      <c r="AF24" s="6"/>
      <c r="AG24" s="6"/>
      <c r="AH24" s="6"/>
      <c r="AI24" s="6"/>
      <c r="AJ24" s="6"/>
      <c r="AK24" s="6"/>
      <c r="AL24" s="6"/>
      <c r="AM24" s="6"/>
      <c r="AN24" s="6"/>
      <c r="AO24" s="6"/>
      <c r="AP24" s="6"/>
      <c r="AQ24" s="6"/>
      <c r="AR24" s="6"/>
      <c r="AS24" s="6"/>
      <c r="AT24" s="6"/>
      <c r="AU24" s="6"/>
      <c r="AV24" s="6"/>
      <c r="AW24" s="6"/>
      <c r="AX24" s="6"/>
      <c r="AY24" s="6"/>
      <c r="AZ24" s="6"/>
      <c r="BA24" s="6"/>
      <c r="BB24" s="6"/>
      <c r="BC24" s="6"/>
      <c r="BD24" s="6"/>
      <c r="BE24" s="6"/>
      <c r="BF24" s="6"/>
      <c r="BG24" s="6"/>
      <c r="BH24" s="6"/>
      <c r="BI24" s="6"/>
      <c r="BJ24" s="6"/>
      <c r="BK24" s="6"/>
      <c r="BL24" s="6"/>
      <c r="BM24" s="6"/>
      <c r="BN24" s="6"/>
      <c r="BO24" s="6"/>
      <c r="BP24" s="6"/>
      <c r="BQ24" s="6"/>
      <c r="BR24" s="6"/>
      <c r="BS24" s="6"/>
      <c r="BT24" s="6"/>
      <c r="BU24" s="6"/>
      <c r="BV24" s="6"/>
      <c r="BW24" s="6"/>
      <c r="BX24" s="6"/>
      <c r="BY24" s="6"/>
      <c r="BZ24" s="6"/>
      <c r="CA24" s="6"/>
      <c r="CB24" s="6"/>
      <c r="CC24" s="6"/>
    </row>
    <row r="25" spans="1:81" x14ac:dyDescent="0.2">
      <c r="A25" s="13" t="s">
        <v>42</v>
      </c>
      <c r="B25" s="13" t="s">
        <v>43</v>
      </c>
      <c r="C25" s="13"/>
      <c r="D25" s="13"/>
      <c r="E25" s="63"/>
      <c r="F25" s="13"/>
      <c r="G25" s="13"/>
      <c r="H25" s="13" t="s">
        <v>491</v>
      </c>
      <c r="I25" s="13"/>
      <c r="J25" s="13" t="s">
        <v>44</v>
      </c>
      <c r="K25" s="101"/>
      <c r="L25" s="5"/>
      <c r="M25" s="4" t="s">
        <v>147</v>
      </c>
      <c r="N25" s="6">
        <v>20000</v>
      </c>
      <c r="O25" s="6" t="s">
        <v>529</v>
      </c>
      <c r="P25" s="4">
        <v>0.8</v>
      </c>
      <c r="Q25" s="124">
        <v>0.9</v>
      </c>
      <c r="R25" s="5"/>
      <c r="S25" s="5"/>
      <c r="T25" s="5"/>
      <c r="U25" s="5"/>
      <c r="V25" s="5"/>
      <c r="W25" s="5"/>
      <c r="X25" s="5"/>
      <c r="Y25" s="5"/>
      <c r="Z25" s="195"/>
      <c r="AA25" s="6"/>
      <c r="AB25" s="6"/>
      <c r="AC25" s="6"/>
      <c r="AD25" s="6"/>
      <c r="AE25" s="6"/>
      <c r="AF25" s="6"/>
      <c r="AG25" s="6"/>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c r="BH25" s="6"/>
      <c r="BI25" s="6"/>
      <c r="BJ25" s="6"/>
      <c r="BK25" s="6"/>
      <c r="BL25" s="6"/>
      <c r="BM25" s="6"/>
      <c r="BN25" s="6"/>
      <c r="BO25" s="6"/>
      <c r="BP25" s="6"/>
      <c r="BQ25" s="6"/>
      <c r="BR25" s="6"/>
      <c r="BS25" s="6"/>
      <c r="BT25" s="6"/>
      <c r="BU25" s="6"/>
      <c r="BV25" s="6"/>
      <c r="BW25" s="6"/>
      <c r="BX25" s="6"/>
      <c r="BY25" s="6"/>
      <c r="BZ25" s="6"/>
      <c r="CA25" s="6"/>
      <c r="CB25" s="6"/>
      <c r="CC25" s="6"/>
    </row>
    <row r="26" spans="1:81" x14ac:dyDescent="0.2">
      <c r="A26" s="14" t="s">
        <v>42</v>
      </c>
      <c r="B26" s="14" t="s">
        <v>43</v>
      </c>
      <c r="C26" s="13"/>
      <c r="D26" s="13"/>
      <c r="E26" s="63"/>
      <c r="F26" s="13"/>
      <c r="G26" s="13"/>
      <c r="H26" s="14" t="s">
        <v>491</v>
      </c>
      <c r="I26" s="13"/>
      <c r="J26" s="14" t="s">
        <v>194</v>
      </c>
      <c r="K26" s="101"/>
      <c r="L26" s="5"/>
      <c r="M26" s="4"/>
      <c r="N26" s="6"/>
      <c r="O26" s="6"/>
      <c r="P26" s="4"/>
      <c r="Q26" s="124"/>
      <c r="R26" s="5"/>
      <c r="S26" s="5"/>
      <c r="T26" s="5"/>
      <c r="U26" s="5"/>
      <c r="V26" s="5"/>
      <c r="W26" s="5"/>
      <c r="X26" s="5"/>
      <c r="Y26" s="5"/>
      <c r="Z26" s="195"/>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c r="BQ26" s="6"/>
      <c r="BR26" s="6"/>
      <c r="BS26" s="6"/>
      <c r="BT26" s="6"/>
      <c r="BU26" s="6"/>
      <c r="BV26" s="6"/>
      <c r="BW26" s="6"/>
      <c r="BX26" s="6"/>
      <c r="BY26" s="6"/>
      <c r="BZ26" s="6"/>
      <c r="CA26" s="6"/>
      <c r="CB26" s="6"/>
      <c r="CC26" s="6"/>
    </row>
    <row r="27" spans="1:81" x14ac:dyDescent="0.2">
      <c r="A27" s="5"/>
      <c r="B27" s="5"/>
      <c r="C27" s="5"/>
      <c r="D27" s="5"/>
      <c r="E27" s="64"/>
      <c r="F27" s="5"/>
      <c r="G27" s="5"/>
      <c r="H27" s="5"/>
      <c r="I27" s="5"/>
      <c r="J27" s="5"/>
      <c r="K27" s="101"/>
      <c r="L27" s="5"/>
      <c r="M27" s="4"/>
      <c r="N27" s="6"/>
      <c r="O27" s="6"/>
      <c r="P27" s="4"/>
      <c r="Q27" s="124"/>
      <c r="R27" s="5"/>
      <c r="S27" s="5"/>
      <c r="T27" s="5"/>
      <c r="U27" s="5"/>
      <c r="V27" s="5"/>
      <c r="W27" s="5"/>
      <c r="X27" s="5"/>
      <c r="Y27" s="5"/>
      <c r="Z27" s="195"/>
      <c r="AA27" s="6"/>
      <c r="AB27" s="6"/>
      <c r="AC27" s="6"/>
      <c r="AD27" s="6"/>
      <c r="AE27" s="6"/>
      <c r="AF27" s="6"/>
      <c r="AG27" s="6"/>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c r="BH27" s="6"/>
      <c r="BI27" s="6"/>
      <c r="BJ27" s="6"/>
      <c r="BK27" s="6"/>
      <c r="BL27" s="6"/>
      <c r="BM27" s="6"/>
      <c r="BN27" s="6"/>
      <c r="BO27" s="6"/>
      <c r="BP27" s="6"/>
      <c r="BQ27" s="6"/>
      <c r="BR27" s="6"/>
      <c r="BS27" s="6"/>
      <c r="BT27" s="6"/>
      <c r="BU27" s="6"/>
      <c r="BV27" s="6"/>
      <c r="BW27" s="6"/>
      <c r="BX27" s="6"/>
      <c r="BY27" s="6"/>
      <c r="BZ27" s="6"/>
      <c r="CA27" s="6"/>
      <c r="CB27" s="6"/>
      <c r="CC27" s="6"/>
    </row>
    <row r="28" spans="1:81" x14ac:dyDescent="0.2">
      <c r="A28" s="12"/>
      <c r="B28" s="13"/>
      <c r="C28" s="13"/>
      <c r="D28" s="13"/>
      <c r="E28" s="63"/>
      <c r="F28" s="13"/>
      <c r="G28" s="13"/>
      <c r="H28" s="13"/>
      <c r="I28" s="13"/>
      <c r="J28" s="13"/>
      <c r="K28" s="101"/>
      <c r="L28" s="5"/>
      <c r="M28" s="4"/>
      <c r="N28" s="6"/>
      <c r="O28" s="6"/>
      <c r="P28" s="4"/>
      <c r="Q28" s="124"/>
      <c r="R28" s="5"/>
      <c r="S28" s="5"/>
      <c r="T28" s="5"/>
      <c r="U28" s="5"/>
      <c r="V28" s="5"/>
      <c r="W28" s="5"/>
      <c r="X28" s="5"/>
      <c r="Y28" s="5"/>
      <c r="Z28" s="195"/>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c r="BU28" s="6"/>
      <c r="BV28" s="6"/>
      <c r="BW28" s="6"/>
      <c r="BX28" s="6"/>
      <c r="BY28" s="6"/>
      <c r="BZ28" s="6"/>
      <c r="CA28" s="6"/>
      <c r="CB28" s="6"/>
      <c r="CC28" s="6"/>
    </row>
    <row r="29" spans="1:81" x14ac:dyDescent="0.2">
      <c r="A29" s="13"/>
      <c r="B29" s="13"/>
      <c r="C29" s="13"/>
      <c r="D29" s="13"/>
      <c r="E29" s="63"/>
      <c r="F29" s="13"/>
      <c r="G29" s="13"/>
      <c r="H29" s="13"/>
      <c r="I29" s="13"/>
      <c r="J29" s="13"/>
      <c r="K29" s="101"/>
      <c r="L29" s="5"/>
      <c r="M29" s="4"/>
      <c r="N29" s="6"/>
      <c r="O29" s="6"/>
      <c r="P29" s="4"/>
      <c r="Q29" s="124"/>
      <c r="R29" s="5"/>
      <c r="S29" s="5"/>
      <c r="T29" s="5"/>
      <c r="U29" s="5"/>
      <c r="V29" s="5"/>
      <c r="W29" s="5"/>
      <c r="X29" s="5"/>
      <c r="Y29" s="5"/>
      <c r="Z29" s="195"/>
      <c r="AA29" s="6"/>
      <c r="AB29" s="6"/>
      <c r="AC29" s="6"/>
      <c r="AD29" s="6"/>
      <c r="AE29" s="6"/>
      <c r="AF29" s="6"/>
      <c r="AG29" s="6"/>
      <c r="AH29" s="6"/>
      <c r="AI29" s="6"/>
      <c r="AJ29" s="6"/>
      <c r="AK29" s="6"/>
      <c r="AL29" s="6"/>
      <c r="AM29" s="6"/>
      <c r="AN29" s="6"/>
      <c r="AO29" s="6"/>
      <c r="AP29" s="6"/>
      <c r="AQ29" s="6"/>
      <c r="AR29" s="6"/>
      <c r="AS29" s="6"/>
      <c r="AT29" s="6"/>
      <c r="AU29" s="6"/>
      <c r="AV29" s="6"/>
      <c r="AW29" s="6"/>
      <c r="AX29" s="6"/>
      <c r="AY29" s="6"/>
      <c r="AZ29" s="6"/>
      <c r="BA29" s="6"/>
      <c r="BB29" s="6"/>
      <c r="BC29" s="6"/>
      <c r="BD29" s="6"/>
      <c r="BE29" s="6"/>
      <c r="BF29" s="6"/>
      <c r="BG29" s="6"/>
      <c r="BH29" s="6"/>
      <c r="BI29" s="6"/>
      <c r="BJ29" s="6"/>
      <c r="BK29" s="6"/>
      <c r="BL29" s="6"/>
      <c r="BM29" s="6"/>
      <c r="BN29" s="6"/>
      <c r="BO29" s="6"/>
      <c r="BP29" s="6"/>
      <c r="BQ29" s="6"/>
      <c r="BR29" s="6"/>
      <c r="BS29" s="6"/>
      <c r="BT29" s="6"/>
      <c r="BU29" s="6"/>
      <c r="BV29" s="6"/>
      <c r="BW29" s="6"/>
      <c r="BX29" s="6"/>
      <c r="BY29" s="6"/>
      <c r="BZ29" s="6"/>
      <c r="CA29" s="6"/>
      <c r="CB29" s="6"/>
      <c r="CC29" s="6"/>
    </row>
    <row r="30" spans="1:81" x14ac:dyDescent="0.2">
      <c r="A30" s="13"/>
      <c r="B30" s="13"/>
      <c r="C30" s="13"/>
      <c r="D30" s="13"/>
      <c r="E30" s="63"/>
      <c r="F30" s="13"/>
      <c r="G30" s="13"/>
      <c r="H30" s="13"/>
      <c r="I30" s="13"/>
      <c r="J30" s="13"/>
      <c r="K30" s="101"/>
      <c r="L30" s="5"/>
      <c r="M30" s="4"/>
      <c r="N30" s="6"/>
      <c r="O30" s="6"/>
      <c r="P30" s="4"/>
      <c r="Q30" s="124"/>
      <c r="R30" s="5"/>
      <c r="S30" s="5"/>
      <c r="T30" s="5"/>
      <c r="U30" s="5"/>
      <c r="V30" s="5"/>
      <c r="W30" s="5"/>
      <c r="X30" s="5"/>
      <c r="Y30" s="5"/>
      <c r="Z30" s="195"/>
      <c r="AA30" s="6"/>
      <c r="AB30" s="6"/>
      <c r="AC30" s="6"/>
      <c r="AD30" s="6"/>
      <c r="AE30" s="6"/>
      <c r="AF30" s="6"/>
      <c r="AG30" s="6"/>
      <c r="AH30" s="6"/>
      <c r="AI30" s="6"/>
      <c r="AJ30" s="6"/>
      <c r="AK30" s="6"/>
      <c r="AL30" s="6"/>
      <c r="AM30" s="6"/>
      <c r="AN30" s="6"/>
      <c r="AO30" s="6"/>
      <c r="AP30" s="6"/>
      <c r="AQ30" s="6"/>
      <c r="AR30" s="6"/>
      <c r="AS30" s="6"/>
      <c r="AT30" s="6"/>
      <c r="AU30" s="6"/>
      <c r="AV30" s="6"/>
      <c r="AW30" s="6"/>
      <c r="AX30" s="6"/>
      <c r="AY30" s="6"/>
      <c r="AZ30" s="6"/>
      <c r="BA30" s="6"/>
      <c r="BB30" s="6"/>
      <c r="BC30" s="6"/>
      <c r="BD30" s="6"/>
      <c r="BE30" s="6"/>
      <c r="BF30" s="6"/>
      <c r="BG30" s="6"/>
      <c r="BH30" s="6"/>
      <c r="BI30" s="6"/>
      <c r="BJ30" s="6"/>
      <c r="BK30" s="6"/>
      <c r="BL30" s="6"/>
      <c r="BM30" s="6"/>
      <c r="BN30" s="6"/>
      <c r="BO30" s="6"/>
      <c r="BP30" s="6"/>
      <c r="BQ30" s="6"/>
      <c r="BR30" s="6"/>
      <c r="BS30" s="6"/>
      <c r="BT30" s="6"/>
      <c r="BU30" s="6"/>
      <c r="BV30" s="6"/>
      <c r="BW30" s="6"/>
      <c r="BX30" s="6"/>
      <c r="BY30" s="6"/>
      <c r="BZ30" s="6"/>
      <c r="CA30" s="6"/>
      <c r="CB30" s="6"/>
      <c r="CC30" s="6"/>
    </row>
    <row r="31" spans="1:81" x14ac:dyDescent="0.2">
      <c r="A31" s="13"/>
      <c r="B31" s="13"/>
      <c r="C31" s="13"/>
      <c r="D31" s="13"/>
      <c r="E31" s="63"/>
      <c r="F31" s="13"/>
      <c r="G31" s="13"/>
      <c r="H31" s="13"/>
      <c r="I31" s="13"/>
      <c r="J31" s="13"/>
      <c r="K31" s="101"/>
      <c r="L31" s="5"/>
      <c r="M31" s="4"/>
      <c r="N31" s="6"/>
      <c r="O31" s="6"/>
      <c r="P31" s="4"/>
      <c r="Q31" s="124"/>
      <c r="R31" s="5"/>
      <c r="S31" s="5"/>
      <c r="T31" s="5"/>
      <c r="U31" s="5"/>
      <c r="V31" s="5"/>
      <c r="W31" s="5"/>
      <c r="X31" s="5"/>
      <c r="Y31" s="5"/>
      <c r="Z31" s="195"/>
      <c r="AA31" s="6"/>
      <c r="AB31" s="6"/>
      <c r="AC31" s="6"/>
      <c r="AD31" s="6"/>
      <c r="AE31" s="6"/>
      <c r="AF31" s="6"/>
      <c r="AG31" s="6"/>
      <c r="AH31" s="6"/>
      <c r="AI31" s="6"/>
      <c r="AJ31" s="6"/>
      <c r="AK31" s="6"/>
      <c r="AL31" s="6"/>
      <c r="AM31" s="6"/>
      <c r="AN31" s="6"/>
      <c r="AO31" s="6"/>
      <c r="AP31" s="6"/>
      <c r="AQ31" s="6"/>
      <c r="AR31" s="6"/>
      <c r="AS31" s="6"/>
      <c r="AT31" s="6"/>
      <c r="AU31" s="6"/>
      <c r="AV31" s="6"/>
      <c r="AW31" s="6"/>
      <c r="AX31" s="6"/>
      <c r="AY31" s="6"/>
      <c r="AZ31" s="6"/>
      <c r="BA31" s="6"/>
      <c r="BB31" s="6"/>
      <c r="BC31" s="6"/>
      <c r="BD31" s="6"/>
      <c r="BE31" s="6"/>
      <c r="BF31" s="6"/>
      <c r="BG31" s="6"/>
      <c r="BH31" s="6"/>
      <c r="BI31" s="6"/>
      <c r="BJ31" s="6"/>
      <c r="BK31" s="6"/>
      <c r="BL31" s="6"/>
      <c r="BM31" s="6"/>
      <c r="BN31" s="6"/>
      <c r="BO31" s="6"/>
      <c r="BP31" s="6"/>
      <c r="BQ31" s="6"/>
      <c r="BR31" s="6"/>
      <c r="BS31" s="6"/>
      <c r="BT31" s="6"/>
      <c r="BU31" s="6"/>
      <c r="BV31" s="6"/>
      <c r="BW31" s="6"/>
      <c r="BX31" s="6"/>
      <c r="BY31" s="6"/>
      <c r="BZ31" s="6"/>
      <c r="CA31" s="6"/>
      <c r="CB31" s="6"/>
      <c r="CC31" s="6"/>
    </row>
    <row r="32" spans="1:81" x14ac:dyDescent="0.2">
      <c r="A32" s="13"/>
      <c r="B32" s="13"/>
      <c r="C32" s="13"/>
      <c r="D32" s="13"/>
      <c r="E32" s="63"/>
      <c r="F32" s="13"/>
      <c r="G32" s="13"/>
      <c r="H32" s="13"/>
      <c r="I32" s="13"/>
      <c r="J32" s="13"/>
      <c r="K32" s="101"/>
      <c r="L32" s="5"/>
      <c r="M32" s="4"/>
      <c r="N32" s="6"/>
      <c r="O32" s="6"/>
      <c r="P32" s="4"/>
      <c r="Q32" s="124"/>
      <c r="R32" s="5"/>
      <c r="S32" s="5"/>
      <c r="T32" s="5"/>
      <c r="U32" s="5"/>
      <c r="V32" s="5"/>
      <c r="W32" s="5"/>
      <c r="X32" s="5"/>
      <c r="Y32" s="5"/>
      <c r="Z32" s="195"/>
      <c r="AA32" s="6"/>
      <c r="AB32" s="6"/>
      <c r="AC32" s="6"/>
      <c r="AD32" s="6"/>
      <c r="AE32" s="6"/>
      <c r="AF32" s="6"/>
      <c r="AG32" s="6"/>
      <c r="AH32" s="6"/>
      <c r="AI32" s="6"/>
      <c r="AJ32" s="6"/>
      <c r="AK32" s="6"/>
      <c r="AL32" s="6"/>
      <c r="AM32" s="6"/>
      <c r="AN32" s="6"/>
      <c r="AO32" s="6"/>
      <c r="AP32" s="6"/>
      <c r="AQ32" s="6"/>
      <c r="AR32" s="6"/>
      <c r="AS32" s="6"/>
      <c r="AT32" s="6"/>
      <c r="AU32" s="6"/>
      <c r="AV32" s="6"/>
      <c r="AW32" s="6"/>
      <c r="AX32" s="6"/>
      <c r="AY32" s="6"/>
      <c r="AZ32" s="6"/>
      <c r="BA32" s="6"/>
      <c r="BB32" s="6"/>
      <c r="BC32" s="6"/>
      <c r="BD32" s="6"/>
      <c r="BE32" s="6"/>
      <c r="BF32" s="6"/>
      <c r="BG32" s="6"/>
      <c r="BH32" s="6"/>
      <c r="BI32" s="6"/>
      <c r="BJ32" s="6"/>
      <c r="BK32" s="6"/>
      <c r="BL32" s="6"/>
      <c r="BM32" s="6"/>
      <c r="BN32" s="6"/>
      <c r="BO32" s="6"/>
      <c r="BP32" s="6"/>
      <c r="BQ32" s="6"/>
      <c r="BR32" s="6"/>
      <c r="BS32" s="6"/>
      <c r="BT32" s="6"/>
      <c r="BU32" s="6"/>
      <c r="BV32" s="6"/>
      <c r="BW32" s="6"/>
      <c r="BX32" s="6"/>
      <c r="BY32" s="6"/>
      <c r="BZ32" s="6"/>
      <c r="CA32" s="6"/>
      <c r="CB32" s="6"/>
      <c r="CC32" s="6"/>
    </row>
    <row r="33" spans="1:81" x14ac:dyDescent="0.2">
      <c r="A33" s="12"/>
      <c r="B33" s="13"/>
      <c r="C33" s="13"/>
      <c r="D33" s="13"/>
      <c r="E33" s="63"/>
      <c r="F33" s="13"/>
      <c r="G33" s="13"/>
      <c r="H33" s="13"/>
      <c r="I33" s="13"/>
      <c r="J33" s="13"/>
      <c r="K33" s="101"/>
      <c r="L33" s="5"/>
      <c r="M33" s="4"/>
      <c r="N33" s="6"/>
      <c r="O33" s="6"/>
      <c r="P33" s="4"/>
      <c r="Q33" s="124"/>
      <c r="R33" s="5"/>
      <c r="S33" s="5"/>
      <c r="T33" s="5"/>
      <c r="U33" s="5"/>
      <c r="V33" s="5"/>
      <c r="W33" s="5"/>
      <c r="X33" s="5"/>
      <c r="Y33" s="5"/>
      <c r="Z33" s="195"/>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6"/>
      <c r="BA33" s="6"/>
      <c r="BB33" s="6"/>
      <c r="BC33" s="6"/>
      <c r="BD33" s="6"/>
      <c r="BE33" s="6"/>
      <c r="BF33" s="6"/>
      <c r="BG33" s="6"/>
      <c r="BH33" s="6"/>
      <c r="BI33" s="6"/>
      <c r="BJ33" s="6"/>
      <c r="BK33" s="6"/>
      <c r="BL33" s="6"/>
      <c r="BM33" s="6"/>
      <c r="BN33" s="6"/>
      <c r="BO33" s="6"/>
      <c r="BP33" s="6"/>
      <c r="BQ33" s="6"/>
      <c r="BR33" s="6"/>
      <c r="BS33" s="6"/>
      <c r="BT33" s="6"/>
      <c r="BU33" s="6"/>
      <c r="BV33" s="6"/>
      <c r="BW33" s="6"/>
      <c r="BX33" s="6"/>
      <c r="BY33" s="6"/>
      <c r="BZ33" s="6"/>
      <c r="CA33" s="6"/>
      <c r="CB33" s="6"/>
      <c r="CC33" s="6"/>
    </row>
    <row r="34" spans="1:81" x14ac:dyDescent="0.2">
      <c r="A34" s="13"/>
      <c r="B34" s="13"/>
      <c r="C34" s="13"/>
      <c r="D34" s="13"/>
      <c r="E34" s="63"/>
      <c r="F34" s="13"/>
      <c r="G34" s="13"/>
      <c r="H34" s="13"/>
      <c r="I34" s="13"/>
      <c r="J34" s="13"/>
      <c r="K34" s="101"/>
      <c r="L34" s="5"/>
      <c r="M34" s="4"/>
      <c r="N34" s="6"/>
      <c r="O34" s="6"/>
      <c r="P34" s="6"/>
      <c r="Q34" s="123"/>
      <c r="R34" s="5"/>
      <c r="S34" s="5"/>
      <c r="T34" s="5"/>
      <c r="U34" s="5"/>
      <c r="V34" s="5"/>
      <c r="W34" s="5"/>
      <c r="X34" s="5"/>
      <c r="Y34" s="5"/>
      <c r="Z34" s="195"/>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6"/>
      <c r="BA34" s="6"/>
      <c r="BB34" s="6"/>
      <c r="BC34" s="6"/>
      <c r="BD34" s="6"/>
      <c r="BE34" s="6"/>
      <c r="BF34" s="6"/>
      <c r="BG34" s="6"/>
      <c r="BH34" s="6"/>
      <c r="BI34" s="6"/>
      <c r="BJ34" s="6"/>
      <c r="BK34" s="6"/>
      <c r="BL34" s="6"/>
      <c r="BM34" s="6"/>
      <c r="BN34" s="6"/>
      <c r="BO34" s="6"/>
      <c r="BP34" s="6"/>
      <c r="BQ34" s="6"/>
      <c r="BR34" s="6"/>
      <c r="BS34" s="6"/>
      <c r="BT34" s="6"/>
      <c r="BU34" s="6"/>
      <c r="BV34" s="6"/>
      <c r="BW34" s="6"/>
      <c r="BX34" s="6"/>
      <c r="BY34" s="6"/>
      <c r="BZ34" s="6"/>
      <c r="CA34" s="6"/>
      <c r="CB34" s="6"/>
      <c r="CC34" s="6"/>
    </row>
    <row r="35" spans="1:81" x14ac:dyDescent="0.2">
      <c r="A35" s="13"/>
      <c r="B35" s="13"/>
      <c r="C35" s="13"/>
      <c r="D35" s="13"/>
      <c r="E35" s="63"/>
      <c r="F35" s="13"/>
      <c r="G35" s="13"/>
      <c r="H35" s="13"/>
      <c r="I35" s="13"/>
      <c r="J35" s="13"/>
      <c r="K35" s="101"/>
      <c r="L35" s="5"/>
      <c r="M35" s="4"/>
      <c r="N35" s="6"/>
      <c r="O35" s="6"/>
      <c r="P35" s="4"/>
      <c r="Q35" s="124"/>
      <c r="R35" s="5"/>
      <c r="S35" s="5"/>
      <c r="T35" s="5"/>
      <c r="U35" s="5"/>
      <c r="V35" s="5"/>
      <c r="W35" s="5"/>
      <c r="X35" s="5"/>
      <c r="Y35" s="5"/>
      <c r="Z35" s="195"/>
      <c r="AA35" s="6"/>
      <c r="AB35" s="6"/>
      <c r="AC35" s="6"/>
      <c r="AD35" s="6"/>
      <c r="AE35" s="6"/>
      <c r="AF35" s="6"/>
      <c r="AG35" s="6"/>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6"/>
      <c r="BY35" s="6"/>
      <c r="BZ35" s="6"/>
      <c r="CA35" s="6"/>
      <c r="CB35" s="6"/>
      <c r="CC35" s="6"/>
    </row>
    <row r="36" spans="1:81" x14ac:dyDescent="0.2">
      <c r="A36" s="13"/>
      <c r="B36" s="13"/>
      <c r="C36" s="13"/>
      <c r="D36" s="13"/>
      <c r="E36" s="63"/>
      <c r="F36" s="13"/>
      <c r="G36" s="13"/>
      <c r="H36" s="13"/>
      <c r="I36" s="13"/>
      <c r="J36" s="13"/>
      <c r="K36" s="101"/>
      <c r="L36" s="5"/>
      <c r="M36" s="4"/>
      <c r="N36" s="6"/>
      <c r="O36" s="6"/>
      <c r="P36" s="4"/>
      <c r="Q36" s="124"/>
      <c r="R36" s="5"/>
      <c r="S36" s="5"/>
      <c r="T36" s="5"/>
      <c r="U36" s="5"/>
      <c r="V36" s="5"/>
      <c r="W36" s="5"/>
      <c r="X36" s="5"/>
      <c r="Y36" s="5"/>
      <c r="Z36" s="195"/>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c r="BH36" s="6"/>
      <c r="BI36" s="6"/>
      <c r="BJ36" s="6"/>
      <c r="BK36" s="6"/>
      <c r="BL36" s="6"/>
      <c r="BM36" s="6"/>
      <c r="BN36" s="6"/>
      <c r="BO36" s="6"/>
      <c r="BP36" s="6"/>
      <c r="BQ36" s="6"/>
      <c r="BR36" s="6"/>
      <c r="BS36" s="6"/>
      <c r="BT36" s="6"/>
      <c r="BU36" s="6"/>
      <c r="BV36" s="6"/>
      <c r="BW36" s="6"/>
      <c r="BX36" s="6"/>
      <c r="BY36" s="6"/>
      <c r="BZ36" s="6"/>
      <c r="CA36" s="6"/>
      <c r="CB36" s="6"/>
      <c r="CC36" s="6"/>
    </row>
    <row r="37" spans="1:81" x14ac:dyDescent="0.2">
      <c r="A37" s="12"/>
      <c r="B37" s="13"/>
      <c r="C37" s="13"/>
      <c r="D37" s="13"/>
      <c r="E37" s="63"/>
      <c r="F37" s="13"/>
      <c r="G37" s="13"/>
      <c r="H37" s="13"/>
      <c r="I37" s="13"/>
      <c r="J37" s="13"/>
      <c r="K37" s="101"/>
      <c r="L37" s="5"/>
      <c r="M37" s="4"/>
      <c r="N37" s="6"/>
      <c r="O37" s="6"/>
      <c r="P37" s="4"/>
      <c r="Q37" s="124"/>
      <c r="R37" s="5"/>
      <c r="S37" s="5"/>
      <c r="T37" s="5"/>
      <c r="U37" s="5"/>
      <c r="V37" s="5"/>
      <c r="W37" s="5"/>
      <c r="X37" s="5"/>
      <c r="Y37" s="5"/>
      <c r="Z37" s="195"/>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c r="BH37" s="6"/>
      <c r="BI37" s="6"/>
      <c r="BJ37" s="6"/>
      <c r="BK37" s="6"/>
      <c r="BL37" s="6"/>
      <c r="BM37" s="6"/>
      <c r="BN37" s="6"/>
      <c r="BO37" s="6"/>
      <c r="BP37" s="6"/>
      <c r="BQ37" s="6"/>
      <c r="BR37" s="6"/>
      <c r="BS37" s="6"/>
      <c r="BT37" s="6"/>
      <c r="BU37" s="6"/>
      <c r="BV37" s="6"/>
      <c r="BW37" s="6"/>
      <c r="BX37" s="6"/>
      <c r="BY37" s="6"/>
      <c r="BZ37" s="6"/>
      <c r="CA37" s="6"/>
      <c r="CB37" s="6"/>
      <c r="CC37" s="6"/>
    </row>
    <row r="38" spans="1:81" x14ac:dyDescent="0.2">
      <c r="A38" s="13"/>
      <c r="B38" s="13"/>
      <c r="C38" s="13"/>
      <c r="D38" s="13"/>
      <c r="E38" s="63"/>
      <c r="F38" s="13"/>
      <c r="G38" s="13"/>
      <c r="H38" s="13"/>
      <c r="I38" s="13"/>
      <c r="J38" s="13"/>
      <c r="K38" s="101"/>
      <c r="L38" s="5"/>
      <c r="M38" s="4"/>
      <c r="N38" s="6"/>
      <c r="O38" s="6"/>
      <c r="P38" s="4"/>
      <c r="Q38" s="124"/>
      <c r="R38" s="5"/>
      <c r="S38" s="5"/>
      <c r="T38" s="5"/>
      <c r="U38" s="5"/>
      <c r="V38" s="5"/>
      <c r="W38" s="5"/>
      <c r="X38" s="5"/>
      <c r="Y38" s="5"/>
      <c r="Z38" s="195"/>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c r="BA38" s="6"/>
      <c r="BB38" s="6"/>
      <c r="BC38" s="6"/>
      <c r="BD38" s="6"/>
      <c r="BE38" s="6"/>
      <c r="BF38" s="6"/>
      <c r="BG38" s="6"/>
      <c r="BH38" s="6"/>
      <c r="BI38" s="6"/>
      <c r="BJ38" s="6"/>
      <c r="BK38" s="6"/>
      <c r="BL38" s="6"/>
      <c r="BM38" s="6"/>
      <c r="BN38" s="6"/>
      <c r="BO38" s="6"/>
      <c r="BP38" s="6"/>
      <c r="BQ38" s="6"/>
      <c r="BR38" s="6"/>
      <c r="BS38" s="6"/>
      <c r="BT38" s="6"/>
      <c r="BU38" s="6"/>
      <c r="BV38" s="6"/>
      <c r="BW38" s="6"/>
      <c r="BX38" s="6"/>
      <c r="BY38" s="6"/>
      <c r="BZ38" s="6"/>
      <c r="CA38" s="6"/>
      <c r="CB38" s="6"/>
      <c r="CC38" s="6"/>
    </row>
    <row r="39" spans="1:81" x14ac:dyDescent="0.2">
      <c r="A39" s="13"/>
      <c r="B39" s="13"/>
      <c r="C39" s="13"/>
      <c r="D39" s="13"/>
      <c r="E39" s="63"/>
      <c r="F39" s="13"/>
      <c r="G39" s="13"/>
      <c r="H39" s="13"/>
      <c r="I39" s="13"/>
      <c r="J39" s="13"/>
      <c r="K39" s="101"/>
      <c r="L39" s="5"/>
      <c r="M39" s="4"/>
      <c r="N39" s="6"/>
      <c r="O39" s="6"/>
      <c r="P39" s="4"/>
      <c r="Q39" s="124"/>
      <c r="R39" s="5"/>
      <c r="S39" s="5"/>
      <c r="T39" s="5"/>
      <c r="U39" s="5"/>
      <c r="V39" s="5"/>
      <c r="W39" s="5"/>
      <c r="X39" s="5"/>
      <c r="Y39" s="5"/>
      <c r="Z39" s="195"/>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6"/>
      <c r="BA39" s="6"/>
      <c r="BB39" s="6"/>
      <c r="BC39" s="6"/>
      <c r="BD39" s="6"/>
      <c r="BE39" s="6"/>
      <c r="BF39" s="6"/>
      <c r="BG39" s="6"/>
      <c r="BH39" s="6"/>
      <c r="BI39" s="6"/>
      <c r="BJ39" s="6"/>
      <c r="BK39" s="6"/>
      <c r="BL39" s="6"/>
      <c r="BM39" s="6"/>
      <c r="BN39" s="6"/>
      <c r="BO39" s="6"/>
      <c r="BP39" s="6"/>
      <c r="BQ39" s="6"/>
      <c r="BR39" s="6"/>
      <c r="BS39" s="6"/>
      <c r="BT39" s="6"/>
      <c r="BU39" s="6"/>
      <c r="BV39" s="6"/>
      <c r="BW39" s="6"/>
      <c r="BX39" s="6"/>
      <c r="BY39" s="6"/>
      <c r="BZ39" s="6"/>
      <c r="CA39" s="6"/>
      <c r="CB39" s="6"/>
      <c r="CC39" s="6"/>
    </row>
    <row r="40" spans="1:81" x14ac:dyDescent="0.2">
      <c r="A40" s="14"/>
      <c r="B40" s="14"/>
      <c r="C40" s="13"/>
      <c r="D40" s="13"/>
      <c r="E40" s="63"/>
      <c r="F40" s="13"/>
      <c r="G40" s="13"/>
      <c r="H40" s="14"/>
      <c r="I40" s="13"/>
      <c r="J40" s="14"/>
      <c r="K40" s="101"/>
      <c r="L40" s="5"/>
      <c r="M40" s="4"/>
      <c r="N40" s="6"/>
      <c r="O40" s="6"/>
      <c r="P40" s="4"/>
      <c r="Q40" s="124"/>
      <c r="R40" s="5"/>
      <c r="S40" s="5"/>
      <c r="T40" s="5"/>
      <c r="U40" s="5"/>
      <c r="V40" s="5"/>
      <c r="W40" s="5"/>
      <c r="X40" s="5"/>
      <c r="Y40" s="5"/>
      <c r="Z40" s="195"/>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c r="BH40" s="6"/>
      <c r="BI40" s="6"/>
      <c r="BJ40" s="6"/>
      <c r="BK40" s="6"/>
      <c r="BL40" s="6"/>
      <c r="BM40" s="6"/>
      <c r="BN40" s="6"/>
      <c r="BO40" s="6"/>
      <c r="BP40" s="6"/>
      <c r="BQ40" s="6"/>
      <c r="BR40" s="6"/>
      <c r="BS40" s="6"/>
      <c r="BT40" s="6"/>
      <c r="BU40" s="6"/>
      <c r="BV40" s="6"/>
      <c r="BW40" s="6"/>
      <c r="BX40" s="6"/>
      <c r="BY40" s="6"/>
      <c r="BZ40" s="6"/>
      <c r="CA40" s="6"/>
      <c r="CB40" s="6"/>
      <c r="CC40" s="6"/>
    </row>
    <row r="41" spans="1:81" x14ac:dyDescent="0.2">
      <c r="A41" s="13"/>
      <c r="B41" s="13"/>
      <c r="C41" s="13"/>
      <c r="D41" s="13"/>
      <c r="E41" s="63"/>
      <c r="F41" s="13"/>
      <c r="G41" s="13"/>
      <c r="H41" s="13"/>
      <c r="I41" s="13"/>
      <c r="J41" s="13"/>
      <c r="K41" s="101"/>
      <c r="L41" s="5"/>
      <c r="M41" s="4"/>
      <c r="N41" s="6"/>
      <c r="O41" s="6"/>
      <c r="P41" s="4"/>
      <c r="Q41" s="124"/>
      <c r="R41" s="5"/>
      <c r="S41" s="5"/>
      <c r="T41" s="5"/>
      <c r="U41" s="5"/>
      <c r="V41" s="5"/>
      <c r="W41" s="5"/>
      <c r="X41" s="5"/>
      <c r="Y41" s="5"/>
      <c r="Z41" s="195"/>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c r="BN41" s="6"/>
      <c r="BO41" s="6"/>
      <c r="BP41" s="6"/>
      <c r="BQ41" s="6"/>
      <c r="BR41" s="6"/>
      <c r="BS41" s="6"/>
      <c r="BT41" s="6"/>
      <c r="BU41" s="6"/>
      <c r="BV41" s="6"/>
      <c r="BW41" s="6"/>
      <c r="BX41" s="6"/>
      <c r="BY41" s="6"/>
      <c r="BZ41" s="6"/>
      <c r="CA41" s="6"/>
      <c r="CB41" s="6"/>
      <c r="CC41" s="6"/>
    </row>
    <row r="42" spans="1:81" x14ac:dyDescent="0.2">
      <c r="A42" s="12"/>
      <c r="B42" s="13"/>
      <c r="C42" s="13"/>
      <c r="D42" s="13"/>
      <c r="E42" s="63"/>
      <c r="F42" s="13"/>
      <c r="G42" s="13"/>
      <c r="H42" s="13"/>
      <c r="I42" s="13"/>
      <c r="J42" s="13"/>
      <c r="K42" s="101"/>
      <c r="L42" s="5"/>
      <c r="M42" s="4"/>
      <c r="N42" s="6"/>
      <c r="O42" s="6"/>
      <c r="P42" s="4"/>
      <c r="Q42" s="124"/>
      <c r="R42" s="5"/>
      <c r="S42" s="5"/>
      <c r="T42" s="5"/>
      <c r="U42" s="5"/>
      <c r="V42" s="5"/>
      <c r="W42" s="5"/>
      <c r="X42" s="5"/>
      <c r="Y42" s="5"/>
      <c r="Z42" s="195"/>
      <c r="AA42" s="6"/>
      <c r="AB42" s="6"/>
      <c r="AC42" s="6"/>
      <c r="AD42" s="6"/>
      <c r="AE42" s="6"/>
      <c r="AF42" s="6"/>
      <c r="AG42" s="6"/>
      <c r="AH42" s="6"/>
      <c r="AI42" s="6"/>
      <c r="AJ42" s="6"/>
      <c r="AK42" s="6"/>
      <c r="AL42" s="6"/>
      <c r="AM42" s="6"/>
      <c r="AN42" s="6"/>
      <c r="AO42" s="6"/>
      <c r="AP42" s="6"/>
      <c r="AQ42" s="6"/>
      <c r="AR42" s="6"/>
      <c r="AS42" s="6"/>
      <c r="AT42" s="6"/>
      <c r="AU42" s="6"/>
      <c r="AV42" s="6"/>
      <c r="AW42" s="6"/>
      <c r="AX42" s="6"/>
      <c r="AY42" s="6"/>
      <c r="AZ42" s="6"/>
      <c r="BA42" s="6"/>
      <c r="BB42" s="6"/>
      <c r="BC42" s="6"/>
      <c r="BD42" s="6"/>
      <c r="BE42" s="6"/>
      <c r="BF42" s="6"/>
      <c r="BG42" s="6"/>
      <c r="BH42" s="6"/>
      <c r="BI42" s="6"/>
      <c r="BJ42" s="6"/>
      <c r="BK42" s="6"/>
      <c r="BL42" s="6"/>
      <c r="BM42" s="6"/>
      <c r="BN42" s="6"/>
      <c r="BO42" s="6"/>
      <c r="BP42" s="6"/>
      <c r="BQ42" s="6"/>
      <c r="BR42" s="6"/>
      <c r="BS42" s="6"/>
      <c r="BT42" s="6"/>
      <c r="BU42" s="6"/>
      <c r="BV42" s="6"/>
      <c r="BW42" s="6"/>
      <c r="BX42" s="6"/>
      <c r="BY42" s="6"/>
      <c r="BZ42" s="6"/>
      <c r="CA42" s="6"/>
      <c r="CB42" s="6"/>
      <c r="CC42" s="6"/>
    </row>
    <row r="43" spans="1:81" x14ac:dyDescent="0.2">
      <c r="A43" s="13"/>
      <c r="B43" s="13"/>
      <c r="C43" s="13"/>
      <c r="D43" s="13"/>
      <c r="E43" s="63"/>
      <c r="F43" s="13"/>
      <c r="G43" s="13"/>
      <c r="H43" s="13"/>
      <c r="I43" s="13"/>
      <c r="J43" s="13"/>
      <c r="K43" s="13"/>
      <c r="L43" s="13"/>
      <c r="M43" s="4"/>
      <c r="N43" s="6"/>
      <c r="O43" s="6"/>
      <c r="P43" s="6"/>
      <c r="Q43" s="123"/>
      <c r="R43" s="5"/>
      <c r="S43" s="5"/>
      <c r="T43" s="5"/>
      <c r="U43" s="5"/>
      <c r="V43" s="5"/>
      <c r="W43" s="5"/>
      <c r="X43" s="5"/>
      <c r="Y43" s="5"/>
      <c r="Z43" s="195"/>
      <c r="AA43" s="6"/>
      <c r="AB43" s="6"/>
      <c r="AC43" s="6"/>
      <c r="AD43" s="6"/>
      <c r="AE43" s="6"/>
      <c r="AF43" s="6"/>
      <c r="AG43" s="6"/>
      <c r="AH43" s="6"/>
      <c r="AI43" s="6"/>
      <c r="AJ43" s="6"/>
      <c r="AK43" s="6"/>
      <c r="AL43" s="6"/>
      <c r="AM43" s="6"/>
      <c r="AN43" s="6"/>
      <c r="AO43" s="6"/>
      <c r="AP43" s="6"/>
      <c r="AQ43" s="6"/>
      <c r="AR43" s="6"/>
      <c r="AS43" s="6"/>
      <c r="AT43" s="6"/>
      <c r="AU43" s="6"/>
      <c r="AV43" s="6"/>
      <c r="AW43" s="6"/>
      <c r="AX43" s="6"/>
      <c r="AY43" s="6"/>
      <c r="AZ43" s="6"/>
      <c r="BA43" s="6"/>
      <c r="BB43" s="6"/>
      <c r="BC43" s="6"/>
      <c r="BD43" s="6"/>
      <c r="BE43" s="6"/>
      <c r="BF43" s="6"/>
      <c r="BG43" s="6"/>
      <c r="BH43" s="6"/>
      <c r="BI43" s="6"/>
      <c r="BJ43" s="6"/>
      <c r="BK43" s="6"/>
      <c r="BL43" s="6"/>
      <c r="BM43" s="6"/>
      <c r="BN43" s="6"/>
      <c r="BO43" s="6"/>
      <c r="BP43" s="6"/>
      <c r="BQ43" s="6"/>
      <c r="BR43" s="6"/>
      <c r="BS43" s="6"/>
      <c r="BT43" s="6"/>
      <c r="BU43" s="6"/>
      <c r="BV43" s="6"/>
      <c r="BW43" s="6"/>
      <c r="BX43" s="6"/>
      <c r="BY43" s="6"/>
      <c r="BZ43" s="6"/>
      <c r="CA43" s="6"/>
      <c r="CB43" s="6"/>
      <c r="CC43" s="6"/>
    </row>
    <row r="44" spans="1:81" x14ac:dyDescent="0.2">
      <c r="A44" s="13"/>
      <c r="B44" s="13"/>
      <c r="C44" s="13"/>
      <c r="D44" s="13"/>
      <c r="E44" s="63"/>
      <c r="F44" s="13"/>
      <c r="G44" s="13"/>
      <c r="H44" s="13"/>
      <c r="I44" s="13"/>
      <c r="J44" s="13"/>
      <c r="K44" s="13"/>
      <c r="L44" s="13"/>
      <c r="M44" s="4"/>
      <c r="N44" s="6"/>
      <c r="O44" s="6"/>
      <c r="P44" s="4"/>
      <c r="Q44" s="124"/>
      <c r="R44" s="5"/>
      <c r="S44" s="5"/>
      <c r="T44" s="5"/>
      <c r="U44" s="5"/>
      <c r="V44" s="5"/>
      <c r="W44" s="5"/>
      <c r="X44" s="5"/>
      <c r="Y44" s="5"/>
      <c r="Z44" s="195"/>
      <c r="AA44" s="6"/>
      <c r="AB44" s="6"/>
      <c r="AC44" s="6"/>
      <c r="AD44" s="6"/>
      <c r="AE44" s="6"/>
      <c r="AF44" s="6"/>
      <c r="AG44" s="6"/>
      <c r="AH44" s="6"/>
      <c r="AI44" s="6"/>
      <c r="AJ44" s="6"/>
      <c r="AK44" s="6"/>
      <c r="AL44" s="6"/>
      <c r="AM44" s="6"/>
      <c r="AN44" s="6"/>
      <c r="AO44" s="6"/>
      <c r="AP44" s="6"/>
      <c r="AQ44" s="6"/>
      <c r="AR44" s="6"/>
      <c r="AS44" s="6"/>
      <c r="AT44" s="6"/>
      <c r="AU44" s="6"/>
      <c r="AV44" s="6"/>
      <c r="AW44" s="6"/>
      <c r="AX44" s="6"/>
      <c r="AY44" s="6"/>
      <c r="AZ44" s="6"/>
      <c r="BA44" s="6"/>
      <c r="BB44" s="6"/>
      <c r="BC44" s="6"/>
      <c r="BD44" s="6"/>
      <c r="BE44" s="6"/>
      <c r="BF44" s="6"/>
      <c r="BG44" s="6"/>
      <c r="BH44" s="6"/>
      <c r="BI44" s="6"/>
      <c r="BJ44" s="6"/>
      <c r="BK44" s="6"/>
      <c r="BL44" s="6"/>
      <c r="BM44" s="6"/>
      <c r="BN44" s="6"/>
      <c r="BO44" s="6"/>
      <c r="BP44" s="6"/>
      <c r="BQ44" s="6"/>
      <c r="BR44" s="6"/>
      <c r="BS44" s="6"/>
      <c r="BT44" s="6"/>
      <c r="BU44" s="6"/>
      <c r="BV44" s="6"/>
      <c r="BW44" s="6"/>
      <c r="BX44" s="6"/>
      <c r="BY44" s="6"/>
      <c r="BZ44" s="6"/>
      <c r="CA44" s="6"/>
      <c r="CB44" s="6"/>
      <c r="CC44" s="6"/>
    </row>
    <row r="45" spans="1:81" x14ac:dyDescent="0.2">
      <c r="A45" s="13"/>
      <c r="B45" s="13"/>
      <c r="C45" s="13"/>
      <c r="D45" s="13"/>
      <c r="E45" s="63"/>
      <c r="F45" s="13"/>
      <c r="G45" s="13"/>
      <c r="H45" s="13"/>
      <c r="I45" s="13"/>
      <c r="J45" s="13"/>
      <c r="K45" s="13"/>
      <c r="L45" s="13"/>
      <c r="M45" s="4"/>
      <c r="N45" s="6"/>
      <c r="O45" s="6"/>
      <c r="P45" s="4"/>
      <c r="Q45" s="124"/>
      <c r="R45" s="5"/>
      <c r="S45" s="5"/>
      <c r="T45" s="5"/>
      <c r="U45" s="5"/>
      <c r="V45" s="5"/>
      <c r="W45" s="5"/>
      <c r="X45" s="5"/>
      <c r="Y45" s="5"/>
      <c r="Z45" s="195"/>
      <c r="AA45" s="6"/>
      <c r="AB45" s="6"/>
      <c r="AC45" s="6"/>
      <c r="AD45" s="6"/>
      <c r="AE45" s="6"/>
      <c r="AF45" s="6"/>
      <c r="AG45" s="6"/>
      <c r="AH45" s="6"/>
      <c r="AI45" s="6"/>
      <c r="AJ45" s="6"/>
      <c r="AK45" s="6"/>
      <c r="AL45" s="6"/>
      <c r="AM45" s="6"/>
      <c r="AN45" s="6"/>
      <c r="AO45" s="6"/>
      <c r="AP45" s="6"/>
      <c r="AQ45" s="6"/>
      <c r="AR45" s="6"/>
      <c r="AS45" s="6"/>
      <c r="AT45" s="6"/>
      <c r="AU45" s="6"/>
      <c r="AV45" s="6"/>
      <c r="AW45" s="6"/>
      <c r="AX45" s="6"/>
      <c r="AY45" s="6"/>
      <c r="AZ45" s="6"/>
      <c r="BA45" s="6"/>
      <c r="BB45" s="6"/>
      <c r="BC45" s="6"/>
      <c r="BD45" s="6"/>
      <c r="BE45" s="6"/>
      <c r="BF45" s="6"/>
      <c r="BG45" s="6"/>
      <c r="BH45" s="6"/>
      <c r="BI45" s="6"/>
      <c r="BJ45" s="6"/>
      <c r="BK45" s="6"/>
      <c r="BL45" s="6"/>
      <c r="BM45" s="6"/>
      <c r="BN45" s="6"/>
      <c r="BO45" s="6"/>
      <c r="BP45" s="6"/>
      <c r="BQ45" s="6"/>
      <c r="BR45" s="6"/>
      <c r="BS45" s="6"/>
      <c r="BT45" s="6"/>
      <c r="BU45" s="6"/>
      <c r="BV45" s="6"/>
      <c r="BW45" s="6"/>
      <c r="BX45" s="6"/>
      <c r="BY45" s="6"/>
      <c r="BZ45" s="6"/>
      <c r="CA45" s="6"/>
      <c r="CB45" s="6"/>
      <c r="CC45" s="6"/>
    </row>
    <row r="46" spans="1:81" x14ac:dyDescent="0.2">
      <c r="A46" s="12"/>
      <c r="B46" s="13"/>
      <c r="C46" s="13"/>
      <c r="D46" s="13"/>
      <c r="E46" s="63"/>
      <c r="F46" s="13"/>
      <c r="G46" s="13"/>
      <c r="H46" s="13"/>
      <c r="I46" s="13"/>
      <c r="J46" s="13"/>
      <c r="K46" s="101"/>
      <c r="L46" s="5"/>
      <c r="M46" s="4"/>
      <c r="N46" s="6"/>
      <c r="O46" s="6"/>
      <c r="P46" s="4"/>
      <c r="Q46" s="123"/>
      <c r="R46" s="5"/>
      <c r="S46" s="5"/>
      <c r="T46" s="5"/>
      <c r="U46" s="5"/>
      <c r="V46" s="5"/>
      <c r="W46" s="5"/>
      <c r="X46" s="5"/>
      <c r="Y46" s="5"/>
      <c r="Z46" s="195"/>
      <c r="AA46" s="6"/>
      <c r="AB46" s="6"/>
      <c r="AC46" s="6"/>
      <c r="AD46" s="6"/>
      <c r="AE46" s="6"/>
      <c r="AF46" s="6"/>
      <c r="AG46" s="6"/>
      <c r="AH46" s="6"/>
      <c r="AI46" s="6"/>
      <c r="AJ46" s="6"/>
      <c r="AK46" s="6"/>
      <c r="AL46" s="6"/>
      <c r="AM46" s="6"/>
      <c r="AN46" s="6"/>
      <c r="AO46" s="6"/>
      <c r="AP46" s="6"/>
      <c r="AQ46" s="6"/>
      <c r="AR46" s="6"/>
      <c r="AS46" s="6"/>
      <c r="AT46" s="6"/>
      <c r="AU46" s="6"/>
      <c r="AV46" s="6"/>
      <c r="AW46" s="6"/>
      <c r="AX46" s="6"/>
      <c r="AY46" s="6"/>
      <c r="AZ46" s="6"/>
      <c r="BA46" s="6"/>
      <c r="BB46" s="6"/>
      <c r="BC46" s="6"/>
      <c r="BD46" s="6"/>
      <c r="BE46" s="6"/>
      <c r="BF46" s="6"/>
      <c r="BG46" s="6"/>
      <c r="BH46" s="6"/>
      <c r="BI46" s="6"/>
      <c r="BJ46" s="6"/>
      <c r="BK46" s="6"/>
      <c r="BL46" s="6"/>
      <c r="BM46" s="6"/>
      <c r="BN46" s="6"/>
      <c r="BO46" s="6"/>
      <c r="BP46" s="6"/>
      <c r="BQ46" s="6"/>
      <c r="BR46" s="6"/>
      <c r="BS46" s="6"/>
      <c r="BT46" s="6"/>
      <c r="BU46" s="6"/>
      <c r="BV46" s="6"/>
      <c r="BW46" s="6"/>
      <c r="BX46" s="6"/>
      <c r="BY46" s="6"/>
      <c r="BZ46" s="6"/>
      <c r="CA46" s="6"/>
      <c r="CB46" s="6"/>
      <c r="CC46" s="6"/>
    </row>
    <row r="47" spans="1:81" x14ac:dyDescent="0.2">
      <c r="A47" s="244"/>
      <c r="B47" s="244"/>
      <c r="C47" s="244"/>
      <c r="D47" s="244"/>
      <c r="E47" s="245"/>
      <c r="F47" s="244"/>
      <c r="G47" s="244"/>
      <c r="H47" s="244"/>
      <c r="I47" s="244"/>
      <c r="J47" s="244"/>
      <c r="K47" s="196"/>
      <c r="L47" s="120"/>
      <c r="M47" s="246"/>
      <c r="N47" s="246"/>
      <c r="O47" s="246"/>
      <c r="P47" s="246"/>
      <c r="Q47" s="194"/>
      <c r="R47" s="5"/>
      <c r="S47" s="5"/>
      <c r="T47" s="5"/>
      <c r="U47" s="5"/>
      <c r="V47" s="5"/>
      <c r="W47" s="5"/>
      <c r="X47" s="5"/>
      <c r="Y47" s="5"/>
      <c r="Z47" s="195"/>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6"/>
      <c r="BA47" s="6"/>
      <c r="BB47" s="6"/>
      <c r="BC47" s="6"/>
      <c r="BD47" s="6"/>
      <c r="BE47" s="6"/>
      <c r="BF47" s="6"/>
      <c r="BG47" s="6"/>
      <c r="BH47" s="6"/>
      <c r="BI47" s="6"/>
      <c r="BJ47" s="6"/>
      <c r="BK47" s="6"/>
      <c r="BL47" s="6"/>
      <c r="BM47" s="6"/>
      <c r="BN47" s="6"/>
      <c r="BO47" s="6"/>
      <c r="BP47" s="6"/>
      <c r="BQ47" s="6"/>
      <c r="BR47" s="6"/>
      <c r="BS47" s="6"/>
      <c r="BT47" s="6"/>
      <c r="BU47" s="6"/>
      <c r="BV47" s="6"/>
      <c r="BW47" s="6"/>
      <c r="BX47" s="6"/>
      <c r="BY47" s="6"/>
      <c r="BZ47" s="6"/>
      <c r="CA47" s="6"/>
      <c r="CB47" s="6"/>
      <c r="CC47" s="6"/>
    </row>
    <row r="48" spans="1:81" x14ac:dyDescent="0.2">
      <c r="A48" s="5"/>
      <c r="B48" s="5"/>
      <c r="C48" s="5"/>
      <c r="D48" s="5"/>
      <c r="E48" s="5"/>
      <c r="F48" s="5"/>
      <c r="G48" s="5"/>
      <c r="H48" s="5"/>
      <c r="I48" s="5"/>
      <c r="J48" s="5"/>
      <c r="K48" s="5"/>
      <c r="L48" s="37"/>
      <c r="M48" s="6"/>
      <c r="N48" s="6"/>
      <c r="O48" s="6"/>
      <c r="P48" s="6"/>
      <c r="Q48" s="123"/>
      <c r="R48" s="5"/>
      <c r="S48" s="5"/>
      <c r="T48" s="5"/>
      <c r="U48" s="5"/>
      <c r="V48" s="5"/>
      <c r="W48" s="5"/>
      <c r="X48" s="5"/>
      <c r="Y48" s="5"/>
      <c r="Z48" s="195"/>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6"/>
      <c r="BA48" s="6"/>
      <c r="BB48" s="6"/>
      <c r="BC48" s="6"/>
      <c r="BD48" s="6"/>
      <c r="BE48" s="6"/>
      <c r="BF48" s="6"/>
      <c r="BG48" s="6"/>
      <c r="BH48" s="6"/>
      <c r="BI48" s="6"/>
      <c r="BJ48" s="6"/>
      <c r="BK48" s="6"/>
      <c r="BL48" s="6"/>
      <c r="BM48" s="6"/>
      <c r="BN48" s="6"/>
      <c r="BO48" s="6"/>
      <c r="BP48" s="6"/>
      <c r="BQ48" s="6"/>
      <c r="BR48" s="6"/>
      <c r="BS48" s="6"/>
      <c r="BT48" s="6"/>
      <c r="BU48" s="6"/>
      <c r="BV48" s="6"/>
      <c r="BW48" s="6"/>
      <c r="BX48" s="6"/>
      <c r="BY48" s="6"/>
      <c r="BZ48" s="6"/>
      <c r="CA48" s="6"/>
      <c r="CB48" s="6"/>
      <c r="CC48" s="6"/>
    </row>
    <row r="49" spans="1:81" x14ac:dyDescent="0.2">
      <c r="A49" s="12"/>
      <c r="B49" s="11"/>
      <c r="C49" s="11"/>
      <c r="D49" s="11"/>
      <c r="E49" s="65"/>
      <c r="F49" s="11"/>
      <c r="G49" s="11"/>
      <c r="H49" s="11"/>
      <c r="I49" s="11"/>
      <c r="J49" s="11"/>
      <c r="K49" s="11"/>
      <c r="L49" s="37"/>
      <c r="M49" s="6"/>
      <c r="N49" s="6"/>
      <c r="O49" s="6"/>
      <c r="P49" s="6"/>
      <c r="Q49" s="123"/>
      <c r="R49" s="5"/>
      <c r="S49" s="5"/>
      <c r="T49" s="5"/>
      <c r="U49" s="5"/>
      <c r="V49" s="5"/>
      <c r="W49" s="5"/>
      <c r="X49" s="5"/>
      <c r="Y49" s="5"/>
      <c r="Z49" s="195"/>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6"/>
      <c r="BA49" s="6"/>
      <c r="BB49" s="6"/>
      <c r="BC49" s="6"/>
      <c r="BD49" s="6"/>
      <c r="BE49" s="6"/>
      <c r="BF49" s="6"/>
      <c r="BG49" s="6"/>
      <c r="BH49" s="6"/>
      <c r="BI49" s="6"/>
      <c r="BJ49" s="6"/>
      <c r="BK49" s="6"/>
      <c r="BL49" s="6"/>
      <c r="BM49" s="6"/>
      <c r="BN49" s="6"/>
      <c r="BO49" s="6"/>
      <c r="BP49" s="6"/>
      <c r="BQ49" s="6"/>
      <c r="BR49" s="6"/>
      <c r="BS49" s="6"/>
      <c r="BT49" s="6"/>
      <c r="BU49" s="6"/>
      <c r="BV49" s="6"/>
      <c r="BW49" s="6"/>
      <c r="BX49" s="6"/>
      <c r="BY49" s="6"/>
      <c r="BZ49" s="6"/>
      <c r="CA49" s="6"/>
      <c r="CB49" s="6"/>
      <c r="CC49" s="6"/>
    </row>
    <row r="50" spans="1:81" x14ac:dyDescent="0.2">
      <c r="A50" s="14"/>
      <c r="B50" s="13"/>
      <c r="C50" s="13"/>
      <c r="D50" s="13"/>
      <c r="E50" s="63"/>
      <c r="F50" s="13"/>
      <c r="G50" s="13"/>
      <c r="H50" s="14"/>
      <c r="I50" s="13"/>
      <c r="J50" s="13"/>
      <c r="K50" s="180"/>
      <c r="L50" s="37"/>
      <c r="M50" s="4"/>
      <c r="N50" s="6"/>
      <c r="O50" s="6"/>
      <c r="P50" s="4"/>
      <c r="Q50" s="123"/>
      <c r="R50" s="5"/>
      <c r="S50" s="5"/>
      <c r="T50" s="5"/>
      <c r="U50" s="5"/>
      <c r="V50" s="5"/>
      <c r="W50" s="5"/>
      <c r="X50" s="5"/>
      <c r="Y50" s="5"/>
      <c r="Z50" s="195"/>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6"/>
      <c r="BA50" s="6"/>
      <c r="BB50" s="6"/>
      <c r="BC50" s="6"/>
      <c r="BD50" s="6"/>
      <c r="BE50" s="6"/>
      <c r="BF50" s="6"/>
      <c r="BG50" s="6"/>
      <c r="BH50" s="6"/>
      <c r="BI50" s="6"/>
      <c r="BJ50" s="6"/>
      <c r="BK50" s="6"/>
      <c r="BL50" s="6"/>
      <c r="BM50" s="6"/>
      <c r="BN50" s="6"/>
      <c r="BO50" s="6"/>
      <c r="BP50" s="6"/>
      <c r="BQ50" s="6"/>
      <c r="BR50" s="6"/>
      <c r="BS50" s="6"/>
      <c r="BT50" s="6"/>
      <c r="BU50" s="6"/>
      <c r="BV50" s="6"/>
      <c r="BW50" s="6"/>
      <c r="BX50" s="6"/>
      <c r="BY50" s="6"/>
      <c r="BZ50" s="6"/>
      <c r="CA50" s="6"/>
      <c r="CB50" s="6"/>
      <c r="CC50" s="6"/>
    </row>
    <row r="51" spans="1:81" x14ac:dyDescent="0.2">
      <c r="A51" s="5"/>
      <c r="B51" s="5"/>
      <c r="C51" s="5"/>
      <c r="D51" s="5"/>
      <c r="E51" s="5"/>
      <c r="F51" s="5"/>
      <c r="G51" s="5"/>
      <c r="H51" s="5"/>
      <c r="I51" s="5"/>
      <c r="J51" s="5"/>
      <c r="K51" s="5"/>
      <c r="L51" s="37"/>
      <c r="M51" s="6"/>
      <c r="N51" s="6"/>
      <c r="O51" s="6"/>
      <c r="P51" s="6"/>
      <c r="Q51" s="123"/>
      <c r="R51" s="5"/>
      <c r="S51" s="5"/>
      <c r="T51" s="5"/>
      <c r="U51" s="5"/>
      <c r="V51" s="5"/>
      <c r="W51" s="5"/>
      <c r="X51" s="5"/>
      <c r="Y51" s="5"/>
      <c r="Z51" s="195"/>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c r="BH51" s="6"/>
      <c r="BI51" s="6"/>
      <c r="BJ51" s="6"/>
      <c r="BK51" s="6"/>
      <c r="BL51" s="6"/>
      <c r="BM51" s="6"/>
      <c r="BN51" s="6"/>
      <c r="BO51" s="6"/>
      <c r="BP51" s="6"/>
      <c r="BQ51" s="6"/>
      <c r="BR51" s="6"/>
      <c r="BS51" s="6"/>
      <c r="BT51" s="6"/>
      <c r="BU51" s="6"/>
      <c r="BV51" s="6"/>
      <c r="BW51" s="6"/>
      <c r="BX51" s="6"/>
      <c r="BY51" s="6"/>
      <c r="BZ51" s="6"/>
      <c r="CA51" s="6"/>
      <c r="CB51" s="6"/>
      <c r="CC51" s="6"/>
    </row>
    <row r="52" spans="1:81" x14ac:dyDescent="0.2">
      <c r="A52" s="12"/>
      <c r="B52" s="13"/>
      <c r="C52" s="13"/>
      <c r="D52" s="13"/>
      <c r="E52" s="63"/>
      <c r="F52" s="13"/>
      <c r="G52" s="13"/>
      <c r="H52" s="13"/>
      <c r="I52" s="13"/>
      <c r="J52" s="13"/>
      <c r="K52" s="5"/>
      <c r="L52" s="37"/>
      <c r="M52" s="6"/>
      <c r="N52" s="6"/>
      <c r="O52" s="6"/>
      <c r="P52" s="6"/>
      <c r="Q52" s="123"/>
      <c r="R52" s="5"/>
      <c r="S52" s="5"/>
      <c r="T52" s="5"/>
      <c r="U52" s="5"/>
      <c r="V52" s="5"/>
      <c r="W52" s="5"/>
      <c r="X52" s="5"/>
      <c r="Y52" s="5"/>
      <c r="Z52" s="195"/>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6"/>
      <c r="BA52" s="6"/>
      <c r="BB52" s="6"/>
      <c r="BC52" s="6"/>
      <c r="BD52" s="6"/>
      <c r="BE52" s="6"/>
      <c r="BF52" s="6"/>
      <c r="BG52" s="6"/>
      <c r="BH52" s="6"/>
      <c r="BI52" s="6"/>
      <c r="BJ52" s="6"/>
      <c r="BK52" s="6"/>
      <c r="BL52" s="6"/>
      <c r="BM52" s="6"/>
      <c r="BN52" s="6"/>
      <c r="BO52" s="6"/>
      <c r="BP52" s="6"/>
      <c r="BQ52" s="6"/>
      <c r="BR52" s="6"/>
      <c r="BS52" s="6"/>
      <c r="BT52" s="6"/>
      <c r="BU52" s="6"/>
      <c r="BV52" s="6"/>
      <c r="BW52" s="6"/>
      <c r="BX52" s="6"/>
      <c r="BY52" s="6"/>
      <c r="BZ52" s="6"/>
      <c r="CA52" s="6"/>
      <c r="CB52" s="6"/>
      <c r="CC52" s="6"/>
    </row>
    <row r="53" spans="1:81" x14ac:dyDescent="0.2">
      <c r="A53" s="216"/>
      <c r="B53" s="3"/>
      <c r="C53" s="5"/>
      <c r="D53" s="5"/>
      <c r="E53" s="63"/>
      <c r="F53" s="5"/>
      <c r="G53" s="5"/>
      <c r="H53" s="3"/>
      <c r="I53" s="5"/>
      <c r="J53" s="3"/>
      <c r="K53" s="5"/>
      <c r="L53" s="37"/>
      <c r="M53" s="4"/>
      <c r="N53" s="6"/>
      <c r="O53" s="6"/>
      <c r="P53" s="4"/>
      <c r="Q53" s="123"/>
      <c r="R53" s="5"/>
      <c r="S53" s="5"/>
      <c r="T53" s="5"/>
      <c r="U53" s="5"/>
      <c r="V53" s="5"/>
      <c r="W53" s="5"/>
      <c r="X53" s="5"/>
      <c r="Y53" s="5"/>
      <c r="Z53" s="195"/>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6"/>
      <c r="BA53" s="6"/>
      <c r="BB53" s="6"/>
      <c r="BC53" s="6"/>
      <c r="BD53" s="6"/>
      <c r="BE53" s="6"/>
      <c r="BF53" s="6"/>
      <c r="BG53" s="6"/>
      <c r="BH53" s="6"/>
      <c r="BI53" s="6"/>
      <c r="BJ53" s="6"/>
      <c r="BK53" s="6"/>
      <c r="BL53" s="6"/>
      <c r="BM53" s="6"/>
      <c r="BN53" s="6"/>
      <c r="BO53" s="6"/>
      <c r="BP53" s="6"/>
      <c r="BQ53" s="6"/>
      <c r="BR53" s="6"/>
      <c r="BS53" s="6"/>
      <c r="BT53" s="6"/>
      <c r="BU53" s="6"/>
      <c r="BV53" s="6"/>
      <c r="BW53" s="6"/>
      <c r="BX53" s="6"/>
      <c r="BY53" s="6"/>
      <c r="BZ53" s="6"/>
      <c r="CA53" s="6"/>
      <c r="CB53" s="6"/>
      <c r="CC53" s="6"/>
    </row>
    <row r="54" spans="1:81" x14ac:dyDescent="0.2">
      <c r="A54" s="13"/>
      <c r="B54" s="13"/>
      <c r="C54" s="13"/>
      <c r="D54" s="13"/>
      <c r="E54" s="63"/>
      <c r="F54" s="13"/>
      <c r="G54" s="13"/>
      <c r="H54" s="13"/>
      <c r="I54" s="13"/>
      <c r="J54" s="13"/>
      <c r="K54" s="5"/>
      <c r="L54" s="37"/>
      <c r="M54" s="6"/>
      <c r="N54" s="6"/>
      <c r="O54" s="6"/>
      <c r="P54" s="6"/>
      <c r="Q54" s="123"/>
      <c r="R54" s="5"/>
      <c r="S54" s="5"/>
      <c r="T54" s="5"/>
      <c r="U54" s="5"/>
      <c r="V54" s="5"/>
      <c r="W54" s="5"/>
      <c r="X54" s="5"/>
      <c r="Y54" s="5"/>
      <c r="Z54" s="195"/>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6"/>
      <c r="BA54" s="6"/>
      <c r="BB54" s="6"/>
      <c r="BC54" s="6"/>
      <c r="BD54" s="6"/>
      <c r="BE54" s="6"/>
      <c r="BF54" s="6"/>
      <c r="BG54" s="6"/>
      <c r="BH54" s="6"/>
      <c r="BI54" s="6"/>
      <c r="BJ54" s="6"/>
      <c r="BK54" s="6"/>
      <c r="BL54" s="6"/>
      <c r="BM54" s="6"/>
      <c r="BN54" s="6"/>
      <c r="BO54" s="6"/>
      <c r="BP54" s="6"/>
      <c r="BQ54" s="6"/>
      <c r="BR54" s="6"/>
      <c r="BS54" s="6"/>
      <c r="BT54" s="6"/>
      <c r="BU54" s="6"/>
      <c r="BV54" s="6"/>
      <c r="BW54" s="6"/>
      <c r="BX54" s="6"/>
      <c r="BY54" s="6"/>
      <c r="BZ54" s="6"/>
      <c r="CA54" s="6"/>
      <c r="CB54" s="6"/>
      <c r="CC54" s="6"/>
    </row>
    <row r="55" spans="1:81" x14ac:dyDescent="0.2">
      <c r="A55" s="217"/>
      <c r="B55" s="3"/>
      <c r="C55" s="5"/>
      <c r="D55" s="5"/>
      <c r="E55" s="63"/>
      <c r="F55" s="5"/>
      <c r="G55" s="5"/>
      <c r="H55" s="3"/>
      <c r="I55" s="5"/>
      <c r="J55" s="3"/>
      <c r="K55" s="5"/>
      <c r="L55" s="37"/>
      <c r="M55" s="6"/>
      <c r="N55" s="6"/>
      <c r="O55" s="6"/>
      <c r="P55" s="6"/>
      <c r="Q55" s="123"/>
      <c r="R55" s="5"/>
      <c r="S55" s="5"/>
      <c r="T55" s="5"/>
      <c r="U55" s="5"/>
      <c r="V55" s="5"/>
      <c r="W55" s="5"/>
      <c r="X55" s="5"/>
      <c r="Y55" s="5"/>
      <c r="Z55" s="195"/>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6"/>
      <c r="BA55" s="6"/>
      <c r="BB55" s="6"/>
      <c r="BC55" s="6"/>
      <c r="BD55" s="6"/>
      <c r="BE55" s="6"/>
      <c r="BF55" s="6"/>
      <c r="BG55" s="6"/>
      <c r="BH55" s="6"/>
      <c r="BI55" s="6"/>
      <c r="BJ55" s="6"/>
      <c r="BK55" s="6"/>
      <c r="BL55" s="6"/>
      <c r="BM55" s="6"/>
      <c r="BN55" s="6"/>
      <c r="BO55" s="6"/>
      <c r="BP55" s="6"/>
      <c r="BQ55" s="6"/>
      <c r="BR55" s="6"/>
      <c r="BS55" s="6"/>
      <c r="BT55" s="6"/>
      <c r="BU55" s="6"/>
      <c r="BV55" s="6"/>
      <c r="BW55" s="6"/>
      <c r="BX55" s="6"/>
      <c r="BY55" s="6"/>
      <c r="BZ55" s="6"/>
      <c r="CA55" s="6"/>
      <c r="CB55" s="6"/>
      <c r="CC55" s="6"/>
    </row>
    <row r="56" spans="1:81" x14ac:dyDescent="0.2">
      <c r="A56" s="14"/>
      <c r="B56" s="14"/>
      <c r="C56" s="13"/>
      <c r="D56" s="13"/>
      <c r="E56" s="181"/>
      <c r="F56" s="13"/>
      <c r="G56" s="13"/>
      <c r="H56" s="14"/>
      <c r="I56" s="13"/>
      <c r="J56" s="14"/>
      <c r="K56" s="5"/>
      <c r="L56" s="37"/>
      <c r="M56" s="4"/>
      <c r="N56" s="6"/>
      <c r="O56" s="6"/>
      <c r="P56" s="4"/>
      <c r="Q56" s="123"/>
      <c r="R56" s="5"/>
      <c r="S56" s="5"/>
      <c r="T56" s="5"/>
      <c r="U56" s="5"/>
      <c r="V56" s="5"/>
      <c r="W56" s="5"/>
      <c r="X56" s="5"/>
      <c r="Y56" s="5"/>
      <c r="Z56" s="195"/>
      <c r="AA56" s="6"/>
      <c r="AB56" s="6"/>
      <c r="AC56" s="6"/>
      <c r="AD56" s="6"/>
      <c r="AE56" s="6"/>
      <c r="AF56" s="6"/>
      <c r="AG56" s="6"/>
      <c r="AH56" s="6"/>
      <c r="AI56" s="6"/>
      <c r="AJ56" s="6"/>
      <c r="AK56" s="6"/>
      <c r="AL56" s="6"/>
      <c r="AM56" s="6"/>
      <c r="AN56" s="6"/>
      <c r="AO56" s="6"/>
      <c r="AP56" s="6"/>
      <c r="AQ56" s="6"/>
      <c r="AR56" s="6"/>
      <c r="AS56" s="6"/>
      <c r="AT56" s="6"/>
      <c r="AU56" s="6"/>
      <c r="AV56" s="6"/>
      <c r="AW56" s="6"/>
      <c r="AX56" s="6"/>
      <c r="AY56" s="6"/>
      <c r="AZ56" s="6"/>
      <c r="BA56" s="6"/>
      <c r="BB56" s="6"/>
      <c r="BC56" s="6"/>
      <c r="BD56" s="6"/>
      <c r="BE56" s="6"/>
      <c r="BF56" s="6"/>
      <c r="BG56" s="6"/>
      <c r="BH56" s="6"/>
      <c r="BI56" s="6"/>
      <c r="BJ56" s="6"/>
      <c r="BK56" s="6"/>
      <c r="BL56" s="6"/>
      <c r="BM56" s="6"/>
      <c r="BN56" s="6"/>
      <c r="BO56" s="6"/>
      <c r="BP56" s="6"/>
      <c r="BQ56" s="6"/>
      <c r="BR56" s="6"/>
      <c r="BS56" s="6"/>
      <c r="BT56" s="6"/>
      <c r="BU56" s="6"/>
      <c r="BV56" s="6"/>
      <c r="BW56" s="6"/>
      <c r="BX56" s="6"/>
      <c r="BY56" s="6"/>
      <c r="BZ56" s="6"/>
      <c r="CA56" s="6"/>
      <c r="CB56" s="6"/>
      <c r="CC56" s="6"/>
    </row>
    <row r="57" spans="1:81" x14ac:dyDescent="0.2">
      <c r="A57" s="5"/>
      <c r="B57" s="5"/>
      <c r="C57" s="5"/>
      <c r="D57" s="5"/>
      <c r="E57" s="5"/>
      <c r="F57" s="5"/>
      <c r="G57" s="5"/>
      <c r="H57" s="5"/>
      <c r="I57" s="5"/>
      <c r="J57" s="5"/>
      <c r="K57" s="5"/>
      <c r="L57" s="37"/>
      <c r="M57" s="6"/>
      <c r="N57" s="6"/>
      <c r="O57" s="6"/>
      <c r="P57" s="6"/>
      <c r="Q57" s="123"/>
      <c r="R57" s="5"/>
      <c r="S57" s="5"/>
      <c r="T57" s="5"/>
      <c r="U57" s="5"/>
      <c r="V57" s="5"/>
      <c r="W57" s="5"/>
      <c r="X57" s="5"/>
      <c r="Y57" s="5"/>
      <c r="Z57" s="195"/>
      <c r="AA57" s="6"/>
      <c r="AB57" s="6"/>
      <c r="AC57" s="6"/>
      <c r="AD57" s="6"/>
      <c r="AE57" s="6"/>
      <c r="AF57" s="6"/>
      <c r="AG57" s="6"/>
      <c r="AH57" s="6"/>
      <c r="AI57" s="6"/>
      <c r="AJ57" s="6"/>
      <c r="AK57" s="6"/>
      <c r="AL57" s="6"/>
      <c r="AM57" s="6"/>
      <c r="AN57" s="6"/>
      <c r="AO57" s="6"/>
      <c r="AP57" s="6"/>
      <c r="AQ57" s="6"/>
      <c r="AR57" s="6"/>
      <c r="AS57" s="6"/>
      <c r="AT57" s="6"/>
      <c r="AU57" s="6"/>
      <c r="AV57" s="6"/>
      <c r="AW57" s="6"/>
      <c r="AX57" s="6"/>
      <c r="AY57" s="6"/>
      <c r="AZ57" s="6"/>
      <c r="BA57" s="6"/>
      <c r="BB57" s="6"/>
      <c r="BC57" s="6"/>
      <c r="BD57" s="6"/>
      <c r="BE57" s="6"/>
      <c r="BF57" s="6"/>
      <c r="BG57" s="6"/>
      <c r="BH57" s="6"/>
      <c r="BI57" s="6"/>
      <c r="BJ57" s="6"/>
      <c r="BK57" s="6"/>
      <c r="BL57" s="6"/>
      <c r="BM57" s="6"/>
      <c r="BN57" s="6"/>
      <c r="BO57" s="6"/>
      <c r="BP57" s="6"/>
      <c r="BQ57" s="6"/>
      <c r="BR57" s="6"/>
      <c r="BS57" s="6"/>
      <c r="BT57" s="6"/>
      <c r="BU57" s="6"/>
      <c r="BV57" s="6"/>
      <c r="BW57" s="6"/>
      <c r="BX57" s="6"/>
      <c r="BY57" s="6"/>
      <c r="BZ57" s="6"/>
      <c r="CA57" s="6"/>
      <c r="CB57" s="6"/>
      <c r="CC57" s="6"/>
    </row>
    <row r="58" spans="1:81" x14ac:dyDescent="0.2">
      <c r="A58" s="5"/>
      <c r="B58" s="5"/>
      <c r="C58" s="5"/>
      <c r="D58" s="5"/>
      <c r="E58" s="5"/>
      <c r="F58" s="5"/>
      <c r="G58" s="5"/>
      <c r="H58" s="5"/>
      <c r="I58" s="5"/>
      <c r="J58" s="5"/>
      <c r="K58" s="5"/>
      <c r="L58" s="37"/>
      <c r="M58" s="6"/>
      <c r="N58" s="6"/>
      <c r="O58" s="6"/>
      <c r="P58" s="6"/>
      <c r="Q58" s="123"/>
      <c r="R58" s="5"/>
      <c r="S58" s="5"/>
      <c r="T58" s="5"/>
      <c r="U58" s="5"/>
      <c r="V58" s="5"/>
      <c r="W58" s="5"/>
      <c r="X58" s="5"/>
      <c r="Y58" s="5"/>
      <c r="Z58" s="195"/>
      <c r="AA58" s="6"/>
      <c r="AB58" s="6"/>
      <c r="AC58" s="6"/>
      <c r="AD58" s="6"/>
      <c r="AE58" s="6"/>
      <c r="AF58" s="6"/>
      <c r="AG58" s="6"/>
      <c r="AH58" s="6"/>
      <c r="AI58" s="6"/>
      <c r="AJ58" s="6"/>
      <c r="AK58" s="6"/>
      <c r="AL58" s="6"/>
      <c r="AM58" s="6"/>
      <c r="AN58" s="6"/>
      <c r="AO58" s="6"/>
      <c r="AP58" s="6"/>
      <c r="AQ58" s="6"/>
      <c r="AR58" s="6"/>
      <c r="AS58" s="6"/>
      <c r="AT58" s="6"/>
      <c r="AU58" s="6"/>
      <c r="AV58" s="6"/>
      <c r="AW58" s="6"/>
      <c r="AX58" s="6"/>
      <c r="AY58" s="6"/>
      <c r="AZ58" s="6"/>
      <c r="BA58" s="6"/>
      <c r="BB58" s="6"/>
      <c r="BC58" s="6"/>
      <c r="BD58" s="6"/>
      <c r="BE58" s="6"/>
      <c r="BF58" s="6"/>
      <c r="BG58" s="6"/>
      <c r="BH58" s="6"/>
      <c r="BI58" s="6"/>
      <c r="BJ58" s="6"/>
      <c r="BK58" s="6"/>
      <c r="BL58" s="6"/>
      <c r="BM58" s="6"/>
      <c r="BN58" s="6"/>
      <c r="BO58" s="6"/>
      <c r="BP58" s="6"/>
      <c r="BQ58" s="6"/>
      <c r="BR58" s="6"/>
      <c r="BS58" s="6"/>
      <c r="BT58" s="6"/>
      <c r="BU58" s="6"/>
      <c r="BV58" s="6"/>
      <c r="BW58" s="6"/>
      <c r="BX58" s="6"/>
      <c r="BY58" s="6"/>
      <c r="BZ58" s="6"/>
      <c r="CA58" s="6"/>
      <c r="CB58" s="6"/>
      <c r="CC58" s="6"/>
    </row>
    <row r="59" spans="1:81" x14ac:dyDescent="0.2">
      <c r="A59" s="5"/>
      <c r="B59" s="5"/>
      <c r="C59" s="5"/>
      <c r="D59" s="5"/>
      <c r="E59" s="5"/>
      <c r="F59" s="5"/>
      <c r="G59" s="5"/>
      <c r="H59" s="5"/>
      <c r="I59" s="5"/>
      <c r="J59" s="5"/>
      <c r="K59" s="5"/>
      <c r="L59" s="37"/>
      <c r="M59" s="6"/>
      <c r="N59" s="6"/>
      <c r="O59" s="6"/>
      <c r="P59" s="6"/>
      <c r="Q59" s="123"/>
      <c r="R59" s="5"/>
      <c r="S59" s="5"/>
      <c r="T59" s="5"/>
      <c r="U59" s="5"/>
      <c r="V59" s="5"/>
      <c r="W59" s="5"/>
      <c r="X59" s="5"/>
      <c r="Y59" s="5"/>
      <c r="Z59" s="168"/>
      <c r="AA59" s="116"/>
      <c r="AB59" s="116"/>
      <c r="AC59" s="116"/>
      <c r="AD59" s="116"/>
      <c r="AE59" s="116"/>
      <c r="AF59" s="116"/>
      <c r="AG59" s="116"/>
      <c r="AH59" s="116"/>
      <c r="AI59" s="116"/>
      <c r="AJ59" s="116"/>
      <c r="AK59" s="116"/>
      <c r="AL59" s="116"/>
      <c r="AM59" s="116"/>
      <c r="AN59" s="116"/>
      <c r="AO59" s="116"/>
      <c r="AP59" s="116"/>
      <c r="AQ59" s="116"/>
      <c r="AR59" s="116"/>
      <c r="AS59" s="116"/>
      <c r="AT59" s="116"/>
      <c r="AU59" s="116"/>
      <c r="AV59" s="116"/>
      <c r="AW59" s="116"/>
      <c r="AX59" s="116"/>
      <c r="AY59" s="116"/>
      <c r="AZ59" s="116"/>
      <c r="BA59" s="116"/>
      <c r="BB59" s="116"/>
      <c r="BC59" s="116"/>
      <c r="BD59" s="116"/>
      <c r="BE59" s="116"/>
      <c r="BF59" s="116"/>
      <c r="BG59" s="116"/>
      <c r="BH59" s="116"/>
      <c r="BI59" s="116"/>
      <c r="BJ59" s="116"/>
      <c r="BK59" s="116"/>
      <c r="BL59" s="116"/>
      <c r="BM59" s="116"/>
      <c r="BN59" s="116"/>
      <c r="BO59" s="116"/>
      <c r="BP59" s="116"/>
      <c r="BQ59" s="116"/>
      <c r="BR59" s="116"/>
      <c r="BS59" s="116"/>
      <c r="BT59" s="116"/>
      <c r="BU59" s="116"/>
      <c r="BV59" s="116"/>
      <c r="BW59" s="116"/>
      <c r="BX59" s="6"/>
      <c r="BY59" s="6"/>
      <c r="BZ59" s="116"/>
      <c r="CA59" s="116"/>
      <c r="CB59" s="116"/>
      <c r="CC59" s="116"/>
    </row>
    <row r="60" spans="1:81" x14ac:dyDescent="0.2">
      <c r="A60" s="5"/>
      <c r="B60" s="5"/>
      <c r="C60" s="5"/>
      <c r="D60" s="5"/>
      <c r="E60" s="5"/>
      <c r="F60" s="5"/>
      <c r="G60" s="5"/>
      <c r="H60" s="5"/>
      <c r="I60" s="5"/>
      <c r="J60" s="5"/>
      <c r="K60" s="5"/>
      <c r="L60" s="37"/>
      <c r="M60" s="6"/>
      <c r="N60" s="6"/>
      <c r="O60" s="6"/>
      <c r="P60" s="6"/>
      <c r="Q60" s="123"/>
      <c r="R60" s="5"/>
      <c r="S60" s="5"/>
      <c r="T60" s="5"/>
      <c r="U60" s="5"/>
      <c r="V60" s="5"/>
      <c r="W60" s="5"/>
      <c r="X60" s="5"/>
      <c r="Y60" s="5"/>
      <c r="Z60" s="195"/>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c r="BH60" s="6"/>
      <c r="BI60" s="6"/>
      <c r="BJ60" s="6"/>
      <c r="BK60" s="6"/>
      <c r="BL60" s="6"/>
      <c r="BM60" s="6"/>
      <c r="BN60" s="6"/>
      <c r="BO60" s="6"/>
      <c r="BP60" s="6"/>
      <c r="BQ60" s="6"/>
      <c r="BR60" s="6"/>
      <c r="BS60" s="6"/>
      <c r="BT60" s="6"/>
      <c r="BU60" s="6"/>
      <c r="BV60" s="6"/>
      <c r="BW60" s="6"/>
      <c r="BX60" s="6"/>
      <c r="BY60" s="6"/>
      <c r="BZ60" s="6"/>
      <c r="CA60" s="6"/>
      <c r="CB60" s="6"/>
      <c r="CC60" s="6"/>
    </row>
    <row r="61" spans="1:81" x14ac:dyDescent="0.2">
      <c r="A61" s="5"/>
      <c r="B61" s="5"/>
      <c r="C61" s="5"/>
      <c r="D61" s="5"/>
      <c r="E61" s="5"/>
      <c r="F61" s="5"/>
      <c r="G61" s="5"/>
      <c r="H61" s="5"/>
      <c r="I61" s="5"/>
      <c r="J61" s="5"/>
      <c r="K61" s="5"/>
      <c r="L61" s="37"/>
      <c r="M61" s="6"/>
      <c r="N61" s="6"/>
      <c r="O61" s="6"/>
      <c r="P61" s="6"/>
      <c r="Q61" s="123"/>
      <c r="R61" s="5"/>
      <c r="S61" s="5"/>
      <c r="T61" s="5"/>
      <c r="U61" s="5"/>
      <c r="V61" s="5"/>
      <c r="W61" s="5"/>
      <c r="X61" s="5"/>
      <c r="Y61" s="5"/>
      <c r="Z61" s="195"/>
      <c r="AA61" s="6"/>
      <c r="AB61" s="6"/>
      <c r="AC61" s="6"/>
      <c r="AD61" s="6"/>
      <c r="AE61" s="6"/>
      <c r="AF61" s="6"/>
      <c r="AG61" s="6"/>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G61" s="6"/>
      <c r="BH61" s="6"/>
      <c r="BI61" s="6"/>
      <c r="BJ61" s="6"/>
      <c r="BK61" s="6"/>
      <c r="BL61" s="6"/>
      <c r="BM61" s="6"/>
      <c r="BN61" s="6"/>
      <c r="BO61" s="6"/>
      <c r="BP61" s="6"/>
      <c r="BQ61" s="6"/>
      <c r="BR61" s="6"/>
      <c r="BS61" s="6"/>
      <c r="BT61" s="6"/>
      <c r="BU61" s="6"/>
      <c r="BV61" s="6"/>
      <c r="BW61" s="6"/>
      <c r="BX61" s="6"/>
      <c r="BY61" s="6"/>
      <c r="BZ61" s="6"/>
      <c r="CA61" s="6"/>
      <c r="CB61" s="6"/>
      <c r="CC61" s="6"/>
    </row>
    <row r="62" spans="1:81" x14ac:dyDescent="0.2">
      <c r="A62" s="5"/>
      <c r="B62" s="5"/>
      <c r="C62" s="5"/>
      <c r="D62" s="5"/>
      <c r="E62" s="5"/>
      <c r="F62" s="5"/>
      <c r="G62" s="5"/>
      <c r="H62" s="5"/>
      <c r="I62" s="5"/>
      <c r="J62" s="5"/>
      <c r="K62" s="5"/>
      <c r="L62" s="37"/>
      <c r="M62" s="6"/>
      <c r="N62" s="6"/>
      <c r="O62" s="6"/>
      <c r="P62" s="6"/>
      <c r="Q62" s="123"/>
      <c r="R62" s="5"/>
      <c r="S62" s="5"/>
      <c r="T62" s="5"/>
      <c r="U62" s="5"/>
      <c r="V62" s="5"/>
      <c r="W62" s="5"/>
      <c r="X62" s="5"/>
      <c r="Y62" s="5"/>
      <c r="Z62" s="195"/>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G62" s="6"/>
      <c r="BH62" s="6"/>
      <c r="BI62" s="6"/>
      <c r="BJ62" s="6"/>
      <c r="BK62" s="6"/>
      <c r="BL62" s="6"/>
      <c r="BM62" s="6"/>
      <c r="BN62" s="6"/>
      <c r="BO62" s="6"/>
      <c r="BP62" s="6"/>
      <c r="BQ62" s="6"/>
      <c r="BR62" s="6"/>
      <c r="BS62" s="6"/>
      <c r="BT62" s="6"/>
      <c r="BU62" s="6"/>
      <c r="BV62" s="6"/>
      <c r="BW62" s="6"/>
      <c r="BX62" s="6"/>
      <c r="BY62" s="6"/>
      <c r="BZ62" s="6"/>
      <c r="CA62" s="6"/>
      <c r="CB62" s="6"/>
      <c r="CC62" s="6"/>
    </row>
    <row r="63" spans="1:81" x14ac:dyDescent="0.2">
      <c r="A63" s="5"/>
      <c r="B63" s="5"/>
      <c r="C63" s="5"/>
      <c r="D63" s="5"/>
      <c r="E63" s="5"/>
      <c r="F63" s="5"/>
      <c r="G63" s="5"/>
      <c r="H63" s="5"/>
      <c r="I63" s="5"/>
      <c r="J63" s="5"/>
      <c r="K63" s="5"/>
      <c r="L63" s="37"/>
      <c r="M63" s="6"/>
      <c r="N63" s="6"/>
      <c r="O63" s="6"/>
      <c r="P63" s="6"/>
      <c r="Q63" s="123"/>
      <c r="R63" s="5"/>
      <c r="S63" s="5"/>
      <c r="T63" s="5"/>
      <c r="U63" s="5"/>
      <c r="V63" s="5"/>
      <c r="W63" s="5"/>
      <c r="X63" s="5"/>
      <c r="Y63" s="5"/>
      <c r="Z63" s="195"/>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6"/>
      <c r="BA63" s="6"/>
      <c r="BB63" s="6"/>
      <c r="BC63" s="6"/>
      <c r="BD63" s="6"/>
      <c r="BE63" s="6"/>
      <c r="BF63" s="6"/>
      <c r="BG63" s="6"/>
      <c r="BH63" s="6"/>
      <c r="BI63" s="6"/>
      <c r="BJ63" s="6"/>
      <c r="BK63" s="6"/>
      <c r="BL63" s="6"/>
      <c r="BM63" s="6"/>
      <c r="BN63" s="6"/>
      <c r="BO63" s="6"/>
      <c r="BP63" s="6"/>
      <c r="BQ63" s="6"/>
      <c r="BR63" s="6"/>
      <c r="BS63" s="6"/>
      <c r="BT63" s="6"/>
      <c r="BU63" s="6"/>
      <c r="BV63" s="6"/>
      <c r="BW63" s="6"/>
      <c r="BX63" s="6"/>
      <c r="BY63" s="6"/>
      <c r="BZ63" s="6"/>
      <c r="CA63" s="6"/>
      <c r="CB63" s="6"/>
      <c r="CC63" s="6"/>
    </row>
    <row r="64" spans="1:81" x14ac:dyDescent="0.2">
      <c r="A64" s="5"/>
      <c r="B64" s="5"/>
      <c r="C64" s="5"/>
      <c r="D64" s="5"/>
      <c r="E64" s="5"/>
      <c r="F64" s="5"/>
      <c r="G64" s="5"/>
      <c r="H64" s="5"/>
      <c r="I64" s="5"/>
      <c r="J64" s="5"/>
      <c r="K64" s="5"/>
      <c r="L64" s="37"/>
      <c r="M64" s="6"/>
      <c r="N64" s="6"/>
      <c r="O64" s="6"/>
      <c r="P64" s="6"/>
      <c r="Q64" s="123"/>
      <c r="R64" s="5"/>
      <c r="S64" s="5"/>
      <c r="T64" s="5"/>
      <c r="U64" s="5"/>
      <c r="V64" s="5"/>
      <c r="W64" s="5"/>
      <c r="X64" s="5"/>
      <c r="Y64" s="5"/>
      <c r="Z64" s="195"/>
      <c r="AA64" s="6"/>
      <c r="AB64" s="6"/>
      <c r="AC64" s="6"/>
      <c r="AD64" s="6"/>
      <c r="AE64" s="6"/>
      <c r="AF64" s="6"/>
      <c r="AG64" s="6"/>
      <c r="AH64" s="6"/>
      <c r="AI64" s="6"/>
      <c r="AJ64" s="6"/>
      <c r="AK64" s="6"/>
      <c r="AL64" s="6"/>
      <c r="AM64" s="6"/>
      <c r="AN64" s="6"/>
      <c r="AO64" s="6"/>
      <c r="AP64" s="6"/>
      <c r="AQ64" s="6"/>
      <c r="AR64" s="6"/>
      <c r="AS64" s="6"/>
      <c r="AT64" s="6"/>
      <c r="AU64" s="6"/>
      <c r="AV64" s="6"/>
      <c r="AW64" s="6"/>
      <c r="AX64" s="6"/>
      <c r="AY64" s="6"/>
      <c r="AZ64" s="6"/>
      <c r="BA64" s="6"/>
      <c r="BB64" s="6"/>
      <c r="BC64" s="6"/>
      <c r="BD64" s="6"/>
      <c r="BE64" s="6"/>
      <c r="BF64" s="6"/>
      <c r="BG64" s="6"/>
      <c r="BH64" s="6"/>
      <c r="BI64" s="6"/>
      <c r="BJ64" s="6"/>
      <c r="BK64" s="6"/>
      <c r="BL64" s="6"/>
      <c r="BM64" s="6"/>
      <c r="BN64" s="6"/>
      <c r="BO64" s="6"/>
      <c r="BP64" s="6"/>
      <c r="BQ64" s="6"/>
      <c r="BR64" s="6"/>
      <c r="BS64" s="6"/>
      <c r="BT64" s="6"/>
      <c r="BU64" s="6"/>
      <c r="BV64" s="6"/>
      <c r="BW64" s="6"/>
      <c r="BX64" s="6"/>
      <c r="BY64" s="6"/>
      <c r="BZ64" s="6"/>
      <c r="CA64" s="6"/>
      <c r="CB64" s="6"/>
      <c r="CC64" s="6"/>
    </row>
    <row r="65" spans="1:81" x14ac:dyDescent="0.2">
      <c r="A65" s="5"/>
      <c r="B65" s="5"/>
      <c r="C65" s="5"/>
      <c r="D65" s="5"/>
      <c r="E65" s="5"/>
      <c r="F65" s="5"/>
      <c r="G65" s="5"/>
      <c r="H65" s="5"/>
      <c r="I65" s="5"/>
      <c r="J65" s="5"/>
      <c r="K65" s="5"/>
      <c r="L65" s="37"/>
      <c r="M65" s="6"/>
      <c r="N65" s="6"/>
      <c r="O65" s="6"/>
      <c r="P65" s="6"/>
      <c r="Q65" s="123"/>
      <c r="R65" s="5"/>
      <c r="S65" s="5"/>
      <c r="T65" s="5"/>
      <c r="U65" s="5"/>
      <c r="V65" s="5"/>
      <c r="W65" s="5"/>
      <c r="X65" s="5"/>
      <c r="Y65" s="5"/>
      <c r="Z65" s="195"/>
      <c r="AA65" s="6"/>
      <c r="AB65" s="6"/>
      <c r="AC65" s="6"/>
      <c r="AD65" s="6"/>
      <c r="AE65" s="6"/>
      <c r="AF65" s="6"/>
      <c r="AG65" s="6"/>
      <c r="AH65" s="6"/>
      <c r="AI65" s="6"/>
      <c r="AJ65" s="6"/>
      <c r="AK65" s="6"/>
      <c r="AL65" s="6"/>
      <c r="AM65" s="6"/>
      <c r="AN65" s="6"/>
      <c r="AO65" s="6"/>
      <c r="AP65" s="6"/>
      <c r="AQ65" s="6"/>
      <c r="AR65" s="6"/>
      <c r="AS65" s="6"/>
      <c r="AT65" s="6"/>
      <c r="AU65" s="6"/>
      <c r="AV65" s="6"/>
      <c r="AW65" s="6"/>
      <c r="AX65" s="6"/>
      <c r="AY65" s="6"/>
      <c r="AZ65" s="6"/>
      <c r="BA65" s="6"/>
      <c r="BB65" s="6"/>
      <c r="BC65" s="6"/>
      <c r="BD65" s="6"/>
      <c r="BE65" s="6"/>
      <c r="BF65" s="6"/>
      <c r="BG65" s="6"/>
      <c r="BH65" s="6"/>
      <c r="BI65" s="6"/>
      <c r="BJ65" s="6"/>
      <c r="BK65" s="6"/>
      <c r="BL65" s="6"/>
      <c r="BM65" s="6"/>
      <c r="BN65" s="6"/>
      <c r="BO65" s="6"/>
      <c r="BP65" s="6"/>
      <c r="BQ65" s="6"/>
      <c r="BR65" s="6"/>
      <c r="BS65" s="6"/>
      <c r="BT65" s="6"/>
      <c r="BU65" s="6"/>
      <c r="BV65" s="6"/>
      <c r="BW65" s="6"/>
      <c r="BX65" s="6"/>
      <c r="BY65" s="6"/>
      <c r="BZ65" s="6"/>
      <c r="CA65" s="6"/>
      <c r="CB65" s="6"/>
      <c r="CC65" s="6"/>
    </row>
    <row r="66" spans="1:81" x14ac:dyDescent="0.2">
      <c r="A66" s="5"/>
      <c r="B66" s="5"/>
      <c r="C66" s="5"/>
      <c r="D66" s="5"/>
      <c r="E66" s="5"/>
      <c r="F66" s="5"/>
      <c r="G66" s="5"/>
      <c r="H66" s="5"/>
      <c r="I66" s="5"/>
      <c r="J66" s="5"/>
      <c r="K66" s="5"/>
      <c r="L66" s="37"/>
      <c r="M66" s="6"/>
      <c r="N66" s="6"/>
      <c r="O66" s="6"/>
      <c r="P66" s="6"/>
      <c r="Q66" s="123"/>
      <c r="R66" s="5"/>
      <c r="S66" s="5"/>
      <c r="T66" s="5"/>
      <c r="U66" s="5"/>
      <c r="V66" s="5"/>
      <c r="W66" s="5"/>
      <c r="X66" s="5"/>
      <c r="Y66" s="5"/>
      <c r="Z66" s="168"/>
      <c r="AA66" s="116"/>
      <c r="AB66" s="116"/>
      <c r="AC66" s="116"/>
      <c r="AD66" s="116"/>
      <c r="AE66" s="116"/>
      <c r="AF66" s="116"/>
      <c r="AG66" s="116"/>
      <c r="AH66" s="116"/>
      <c r="AI66" s="116"/>
      <c r="AJ66" s="116"/>
      <c r="AK66" s="116"/>
      <c r="AL66" s="116"/>
      <c r="AM66" s="116"/>
      <c r="AN66" s="116"/>
      <c r="AO66" s="116"/>
      <c r="AP66" s="116"/>
      <c r="AQ66" s="116"/>
      <c r="AR66" s="116"/>
      <c r="AS66" s="116"/>
      <c r="AT66" s="116"/>
      <c r="AU66" s="116"/>
      <c r="AV66" s="116"/>
      <c r="AW66" s="116"/>
      <c r="AX66" s="116"/>
      <c r="AY66" s="116"/>
      <c r="AZ66" s="116"/>
      <c r="BA66" s="116"/>
      <c r="BB66" s="116"/>
      <c r="BC66" s="116"/>
      <c r="BD66" s="116"/>
      <c r="BE66" s="116"/>
      <c r="BF66" s="116"/>
      <c r="BG66" s="116"/>
      <c r="BH66" s="116"/>
      <c r="BI66" s="116"/>
      <c r="BJ66" s="116"/>
      <c r="BK66" s="116"/>
      <c r="BL66" s="116"/>
      <c r="BM66" s="116"/>
      <c r="BN66" s="116"/>
      <c r="BO66" s="116"/>
      <c r="BP66" s="116"/>
      <c r="BQ66" s="116"/>
      <c r="BR66" s="116"/>
      <c r="BS66" s="116"/>
      <c r="BT66" s="116"/>
      <c r="BU66" s="116"/>
      <c r="BV66" s="116"/>
      <c r="BW66" s="116"/>
      <c r="BX66" s="6"/>
      <c r="BY66" s="6"/>
      <c r="BZ66" s="116"/>
      <c r="CA66" s="116"/>
      <c r="CB66" s="116"/>
      <c r="CC66" s="116"/>
    </row>
    <row r="67" spans="1:81" x14ac:dyDescent="0.2">
      <c r="A67" s="5"/>
      <c r="B67" s="5"/>
      <c r="C67" s="5"/>
      <c r="D67" s="5"/>
      <c r="E67" s="5"/>
      <c r="F67" s="5"/>
      <c r="G67" s="5"/>
      <c r="H67" s="5"/>
      <c r="I67" s="5"/>
      <c r="J67" s="5"/>
      <c r="K67" s="5"/>
      <c r="L67" s="37"/>
      <c r="M67" s="6"/>
      <c r="N67" s="6"/>
      <c r="O67" s="6"/>
      <c r="P67" s="6"/>
      <c r="Q67" s="123"/>
      <c r="R67" s="5"/>
      <c r="S67" s="5"/>
      <c r="T67" s="5"/>
      <c r="U67" s="5"/>
      <c r="V67" s="5"/>
      <c r="W67" s="5"/>
      <c r="X67" s="5"/>
      <c r="Y67" s="5"/>
      <c r="Z67" s="168"/>
      <c r="AA67" s="116"/>
      <c r="AB67" s="116"/>
      <c r="AC67" s="116"/>
      <c r="AD67" s="116"/>
      <c r="AE67" s="116"/>
      <c r="AF67" s="116"/>
      <c r="AG67" s="116"/>
      <c r="AH67" s="116"/>
      <c r="AI67" s="116"/>
      <c r="AJ67" s="116"/>
      <c r="AK67" s="116"/>
      <c r="AL67" s="116"/>
      <c r="AM67" s="116"/>
      <c r="AN67" s="116"/>
      <c r="AO67" s="116"/>
      <c r="AP67" s="116"/>
      <c r="AQ67" s="116"/>
      <c r="AR67" s="116"/>
      <c r="AS67" s="116"/>
      <c r="AT67" s="116"/>
      <c r="AU67" s="116"/>
      <c r="AV67" s="116"/>
      <c r="AW67" s="116"/>
      <c r="AX67" s="116"/>
      <c r="AY67" s="116"/>
      <c r="AZ67" s="116"/>
      <c r="BA67" s="116"/>
      <c r="BB67" s="116"/>
      <c r="BC67" s="116"/>
      <c r="BD67" s="116"/>
      <c r="BE67" s="116"/>
      <c r="BF67" s="116"/>
      <c r="BG67" s="116"/>
      <c r="BH67" s="116"/>
      <c r="BI67" s="116"/>
      <c r="BJ67" s="116"/>
      <c r="BK67" s="116"/>
      <c r="BL67" s="116"/>
      <c r="BM67" s="116"/>
      <c r="BN67" s="116"/>
      <c r="BO67" s="116"/>
      <c r="BP67" s="116"/>
      <c r="BQ67" s="116"/>
      <c r="BR67" s="116"/>
      <c r="BS67" s="116"/>
      <c r="BT67" s="116"/>
      <c r="BU67" s="116"/>
      <c r="BV67" s="116"/>
      <c r="BW67" s="116"/>
      <c r="BX67" s="6"/>
      <c r="BY67" s="6"/>
      <c r="BZ67" s="116"/>
      <c r="CA67" s="116"/>
      <c r="CB67" s="116"/>
      <c r="CC67" s="116"/>
    </row>
    <row r="68" spans="1:81" x14ac:dyDescent="0.2">
      <c r="A68" s="5"/>
      <c r="B68" s="5"/>
      <c r="C68" s="5"/>
      <c r="D68" s="5"/>
      <c r="E68" s="5"/>
      <c r="F68" s="5"/>
      <c r="G68" s="5"/>
      <c r="H68" s="5"/>
      <c r="I68" s="5"/>
      <c r="J68" s="5"/>
      <c r="K68" s="5"/>
      <c r="L68" s="37"/>
      <c r="M68" s="6"/>
      <c r="N68" s="6"/>
      <c r="O68" s="6"/>
      <c r="P68" s="6"/>
      <c r="Q68" s="123"/>
      <c r="R68" s="5"/>
      <c r="S68" s="5"/>
      <c r="T68" s="5"/>
      <c r="U68" s="5"/>
      <c r="V68" s="5"/>
      <c r="W68" s="5"/>
      <c r="X68" s="5"/>
      <c r="Y68" s="5"/>
      <c r="Z68" s="168"/>
      <c r="AA68" s="116"/>
      <c r="AB68" s="116"/>
      <c r="AC68" s="116"/>
      <c r="AD68" s="116"/>
      <c r="AE68" s="116"/>
      <c r="AF68" s="116"/>
      <c r="AG68" s="116"/>
      <c r="AH68" s="116"/>
      <c r="AI68" s="116"/>
      <c r="AJ68" s="116"/>
      <c r="AK68" s="116"/>
      <c r="AL68" s="116"/>
      <c r="AM68" s="116"/>
      <c r="AN68" s="116"/>
      <c r="AO68" s="116"/>
      <c r="AP68" s="116"/>
      <c r="AQ68" s="116"/>
      <c r="AR68" s="116"/>
      <c r="AS68" s="116"/>
      <c r="AT68" s="116"/>
      <c r="AU68" s="116"/>
      <c r="AV68" s="116"/>
      <c r="AW68" s="116"/>
      <c r="AX68" s="116"/>
      <c r="AY68" s="116"/>
      <c r="AZ68" s="116"/>
      <c r="BA68" s="116"/>
      <c r="BB68" s="116"/>
      <c r="BC68" s="116"/>
      <c r="BD68" s="116"/>
      <c r="BE68" s="116"/>
      <c r="BF68" s="116"/>
      <c r="BG68" s="116"/>
      <c r="BH68" s="116"/>
      <c r="BI68" s="116"/>
      <c r="BJ68" s="116"/>
      <c r="BK68" s="116"/>
      <c r="BL68" s="116"/>
      <c r="BM68" s="116"/>
      <c r="BN68" s="116"/>
      <c r="BO68" s="116"/>
      <c r="BP68" s="116"/>
      <c r="BQ68" s="116"/>
      <c r="BR68" s="116"/>
      <c r="BS68" s="116"/>
      <c r="BT68" s="116"/>
      <c r="BU68" s="116"/>
      <c r="BV68" s="116"/>
      <c r="BW68" s="116"/>
      <c r="BX68" s="6"/>
      <c r="BY68" s="6"/>
      <c r="BZ68" s="116"/>
      <c r="CA68" s="116"/>
      <c r="CB68" s="116"/>
      <c r="CC68" s="116"/>
    </row>
    <row r="69" spans="1:81" x14ac:dyDescent="0.2">
      <c r="A69" s="5"/>
      <c r="B69" s="5"/>
      <c r="C69" s="5"/>
      <c r="D69" s="5"/>
      <c r="E69" s="5"/>
      <c r="F69" s="5"/>
      <c r="G69" s="5"/>
      <c r="H69" s="5"/>
      <c r="I69" s="5"/>
      <c r="J69" s="5"/>
      <c r="K69" s="5"/>
      <c r="L69" s="37"/>
      <c r="M69" s="6"/>
      <c r="N69" s="6"/>
      <c r="O69" s="6"/>
      <c r="P69" s="6"/>
      <c r="Q69" s="123"/>
      <c r="R69" s="5"/>
      <c r="S69" s="5"/>
      <c r="T69" s="5"/>
      <c r="U69" s="5"/>
      <c r="V69" s="5"/>
      <c r="W69" s="5"/>
      <c r="X69" s="5"/>
      <c r="Y69" s="5"/>
      <c r="Z69" s="168"/>
      <c r="AA69" s="116"/>
      <c r="AB69" s="116"/>
      <c r="AC69" s="116"/>
      <c r="AD69" s="116"/>
      <c r="AE69" s="116"/>
      <c r="AF69" s="116"/>
      <c r="AG69" s="116"/>
      <c r="AH69" s="116"/>
      <c r="AI69" s="116"/>
      <c r="AJ69" s="116"/>
      <c r="AK69" s="116"/>
      <c r="AL69" s="116"/>
      <c r="AM69" s="116"/>
      <c r="AN69" s="116"/>
      <c r="AO69" s="116"/>
      <c r="AP69" s="116"/>
      <c r="AQ69" s="116"/>
      <c r="AR69" s="116"/>
      <c r="AS69" s="116"/>
      <c r="AT69" s="116"/>
      <c r="AU69" s="116"/>
      <c r="AV69" s="116"/>
      <c r="AW69" s="116"/>
      <c r="AX69" s="116"/>
      <c r="AY69" s="116"/>
      <c r="AZ69" s="116"/>
      <c r="BA69" s="116"/>
      <c r="BB69" s="116"/>
      <c r="BC69" s="116"/>
      <c r="BD69" s="116"/>
      <c r="BE69" s="116"/>
      <c r="BF69" s="116"/>
      <c r="BG69" s="116"/>
      <c r="BH69" s="116"/>
      <c r="BI69" s="116"/>
      <c r="BJ69" s="116"/>
      <c r="BK69" s="116"/>
      <c r="BL69" s="116"/>
      <c r="BM69" s="116"/>
      <c r="BN69" s="116"/>
      <c r="BO69" s="116"/>
      <c r="BP69" s="116"/>
      <c r="BQ69" s="116"/>
      <c r="BR69" s="116"/>
      <c r="BS69" s="116"/>
      <c r="BT69" s="116"/>
      <c r="BU69" s="116"/>
      <c r="BV69" s="116"/>
      <c r="BW69" s="116"/>
      <c r="BX69" s="6"/>
      <c r="BY69" s="6"/>
      <c r="BZ69" s="116"/>
      <c r="CA69" s="116"/>
      <c r="CB69" s="116"/>
      <c r="CC69" s="116"/>
    </row>
    <row r="70" spans="1:81" x14ac:dyDescent="0.2">
      <c r="A70" s="5"/>
      <c r="B70" s="5"/>
      <c r="C70" s="5"/>
      <c r="D70" s="5"/>
      <c r="E70" s="5"/>
      <c r="F70" s="5"/>
      <c r="G70" s="5"/>
      <c r="H70" s="5"/>
      <c r="I70" s="5"/>
      <c r="J70" s="5"/>
      <c r="K70" s="5"/>
      <c r="L70" s="37"/>
      <c r="M70" s="6"/>
      <c r="N70" s="6"/>
      <c r="O70" s="6"/>
      <c r="P70" s="6"/>
      <c r="Q70" s="123"/>
      <c r="R70" s="5"/>
      <c r="S70" s="5"/>
      <c r="T70" s="5"/>
      <c r="U70" s="5"/>
      <c r="V70" s="5"/>
      <c r="W70" s="5"/>
      <c r="X70" s="5"/>
      <c r="Y70" s="5"/>
      <c r="Z70" s="168"/>
      <c r="AA70" s="116"/>
      <c r="AB70" s="116"/>
      <c r="AC70" s="116"/>
      <c r="AD70" s="116"/>
      <c r="AE70" s="116"/>
      <c r="AF70" s="116"/>
      <c r="AG70" s="116"/>
      <c r="AH70" s="116"/>
      <c r="AI70" s="116"/>
      <c r="AJ70" s="116"/>
      <c r="AK70" s="116"/>
      <c r="AL70" s="116"/>
      <c r="AM70" s="116"/>
      <c r="AN70" s="116"/>
      <c r="AO70" s="116"/>
      <c r="AP70" s="116"/>
      <c r="AQ70" s="116"/>
      <c r="AR70" s="116"/>
      <c r="AS70" s="116"/>
      <c r="AT70" s="116"/>
      <c r="AU70" s="116"/>
      <c r="AV70" s="116"/>
      <c r="AW70" s="116"/>
      <c r="AX70" s="116"/>
      <c r="AY70" s="116"/>
      <c r="AZ70" s="116"/>
      <c r="BA70" s="116"/>
      <c r="BB70" s="116"/>
      <c r="BC70" s="116"/>
      <c r="BD70" s="116"/>
      <c r="BE70" s="116"/>
      <c r="BF70" s="116"/>
      <c r="BG70" s="116"/>
      <c r="BH70" s="116"/>
      <c r="BI70" s="116"/>
      <c r="BJ70" s="116"/>
      <c r="BK70" s="116"/>
      <c r="BL70" s="116"/>
      <c r="BM70" s="116"/>
      <c r="BN70" s="116"/>
      <c r="BO70" s="116"/>
      <c r="BP70" s="116"/>
      <c r="BQ70" s="116"/>
      <c r="BR70" s="116"/>
      <c r="BS70" s="116"/>
      <c r="BT70" s="116"/>
      <c r="BU70" s="116"/>
      <c r="BV70" s="116"/>
      <c r="BW70" s="116"/>
      <c r="BX70" s="6"/>
      <c r="BY70" s="6"/>
      <c r="BZ70" s="116"/>
      <c r="CA70" s="116"/>
      <c r="CB70" s="116"/>
      <c r="CC70" s="116"/>
    </row>
    <row r="71" spans="1:81" x14ac:dyDescent="0.2">
      <c r="A71" s="5"/>
      <c r="B71" s="5"/>
      <c r="C71" s="5"/>
      <c r="D71" s="5"/>
      <c r="E71" s="5"/>
      <c r="F71" s="5"/>
      <c r="G71" s="5"/>
      <c r="H71" s="5"/>
      <c r="I71" s="5"/>
      <c r="J71" s="5"/>
      <c r="K71" s="5"/>
      <c r="L71" s="37"/>
      <c r="M71" s="6"/>
      <c r="N71" s="6"/>
      <c r="O71" s="6"/>
      <c r="P71" s="6"/>
      <c r="Q71" s="123"/>
      <c r="R71" s="5"/>
      <c r="S71" s="5"/>
      <c r="T71" s="5"/>
      <c r="U71" s="5"/>
      <c r="V71" s="5"/>
      <c r="W71" s="5"/>
      <c r="X71" s="5"/>
      <c r="Y71" s="5"/>
      <c r="Z71" s="168"/>
      <c r="AA71" s="116"/>
      <c r="AB71" s="116"/>
      <c r="AC71" s="116"/>
      <c r="AD71" s="116"/>
      <c r="AE71" s="116"/>
      <c r="AF71" s="116"/>
      <c r="AG71" s="116"/>
      <c r="AH71" s="116"/>
      <c r="AI71" s="116"/>
      <c r="AJ71" s="116"/>
      <c r="AK71" s="116"/>
      <c r="AL71" s="116"/>
      <c r="AM71" s="116"/>
      <c r="AN71" s="116"/>
      <c r="AO71" s="116"/>
      <c r="AP71" s="116"/>
      <c r="AQ71" s="116"/>
      <c r="AR71" s="116"/>
      <c r="AS71" s="116"/>
      <c r="AT71" s="116"/>
      <c r="AU71" s="116"/>
      <c r="AV71" s="116"/>
      <c r="AW71" s="116"/>
      <c r="AX71" s="116"/>
      <c r="AY71" s="116"/>
      <c r="AZ71" s="116"/>
      <c r="BA71" s="116"/>
      <c r="BB71" s="116"/>
      <c r="BC71" s="116"/>
      <c r="BD71" s="116"/>
      <c r="BE71" s="116"/>
      <c r="BF71" s="116"/>
      <c r="BG71" s="116"/>
      <c r="BH71" s="116"/>
      <c r="BI71" s="116"/>
      <c r="BJ71" s="116"/>
      <c r="BK71" s="116"/>
      <c r="BL71" s="116"/>
      <c r="BM71" s="116"/>
      <c r="BN71" s="116"/>
      <c r="BO71" s="116"/>
      <c r="BP71" s="116"/>
      <c r="BQ71" s="116"/>
      <c r="BR71" s="116"/>
      <c r="BS71" s="116"/>
      <c r="BT71" s="116"/>
      <c r="BU71" s="116"/>
      <c r="BV71" s="116"/>
      <c r="BW71" s="116"/>
      <c r="BX71" s="6"/>
      <c r="BY71" s="6"/>
      <c r="BZ71" s="116"/>
      <c r="CA71" s="116"/>
      <c r="CB71" s="116"/>
      <c r="CC71" s="116"/>
    </row>
    <row r="72" spans="1:81" x14ac:dyDescent="0.2">
      <c r="A72" s="5"/>
      <c r="B72" s="5"/>
      <c r="C72" s="5"/>
      <c r="D72" s="5"/>
      <c r="E72" s="5"/>
      <c r="F72" s="5"/>
      <c r="G72" s="5"/>
      <c r="H72" s="5"/>
      <c r="I72" s="5"/>
      <c r="J72" s="5"/>
      <c r="K72" s="5"/>
      <c r="L72" s="37"/>
      <c r="M72" s="6"/>
      <c r="N72" s="6"/>
      <c r="O72" s="6"/>
      <c r="P72" s="6"/>
      <c r="Q72" s="123"/>
      <c r="R72" s="5"/>
      <c r="S72" s="5"/>
      <c r="T72" s="5"/>
      <c r="U72" s="5"/>
      <c r="V72" s="5"/>
      <c r="W72" s="5"/>
      <c r="X72" s="5"/>
      <c r="Y72" s="5"/>
      <c r="Z72" s="168"/>
      <c r="AA72" s="116"/>
      <c r="AB72" s="116"/>
      <c r="AC72" s="116"/>
      <c r="AD72" s="116"/>
      <c r="AE72" s="116"/>
      <c r="AF72" s="116"/>
      <c r="AG72" s="116"/>
      <c r="AH72" s="116"/>
      <c r="AI72" s="116"/>
      <c r="AJ72" s="116"/>
      <c r="AK72" s="116"/>
      <c r="AL72" s="116"/>
      <c r="AM72" s="116"/>
      <c r="AN72" s="116"/>
      <c r="AO72" s="116"/>
      <c r="AP72" s="116"/>
      <c r="AQ72" s="116"/>
      <c r="AR72" s="116"/>
      <c r="AS72" s="116"/>
      <c r="AT72" s="116"/>
      <c r="AU72" s="116"/>
      <c r="AV72" s="116"/>
      <c r="AW72" s="116"/>
      <c r="AX72" s="116"/>
      <c r="AY72" s="116"/>
      <c r="AZ72" s="116"/>
      <c r="BA72" s="116"/>
      <c r="BB72" s="116"/>
      <c r="BC72" s="116"/>
      <c r="BD72" s="116"/>
      <c r="BE72" s="116"/>
      <c r="BF72" s="116"/>
      <c r="BG72" s="116"/>
      <c r="BH72" s="116"/>
      <c r="BI72" s="116"/>
      <c r="BJ72" s="116"/>
      <c r="BK72" s="116"/>
      <c r="BL72" s="116"/>
      <c r="BM72" s="116"/>
      <c r="BN72" s="116"/>
      <c r="BO72" s="116"/>
      <c r="BP72" s="116"/>
      <c r="BQ72" s="116"/>
      <c r="BR72" s="116"/>
      <c r="BS72" s="116"/>
      <c r="BT72" s="116"/>
      <c r="BU72" s="116"/>
      <c r="BV72" s="116"/>
      <c r="BW72" s="116"/>
      <c r="BX72" s="6"/>
      <c r="BY72" s="6"/>
      <c r="BZ72" s="116"/>
      <c r="CA72" s="116"/>
      <c r="CB72" s="116"/>
      <c r="CC72" s="116"/>
    </row>
    <row r="73" spans="1:81" x14ac:dyDescent="0.2">
      <c r="A73" s="5"/>
      <c r="B73" s="5"/>
      <c r="C73" s="5"/>
      <c r="D73" s="5"/>
      <c r="E73" s="5"/>
      <c r="F73" s="5"/>
      <c r="G73" s="5"/>
      <c r="H73" s="5"/>
      <c r="I73" s="5"/>
      <c r="J73" s="5"/>
      <c r="K73" s="5"/>
      <c r="L73" s="37"/>
      <c r="M73" s="6"/>
      <c r="N73" s="6"/>
      <c r="O73" s="6"/>
      <c r="P73" s="6"/>
      <c r="Q73" s="123"/>
      <c r="R73" s="5"/>
      <c r="S73" s="5"/>
      <c r="T73" s="5"/>
      <c r="U73" s="5"/>
      <c r="V73" s="5"/>
      <c r="W73" s="5"/>
      <c r="X73" s="5"/>
      <c r="Y73" s="5"/>
      <c r="Z73" s="168"/>
      <c r="AA73" s="116"/>
      <c r="AB73" s="116"/>
      <c r="AC73" s="116"/>
      <c r="AD73" s="116"/>
      <c r="AE73" s="116"/>
      <c r="AF73" s="116"/>
      <c r="AG73" s="116"/>
      <c r="AH73" s="116"/>
      <c r="AI73" s="116"/>
      <c r="AJ73" s="116"/>
      <c r="AK73" s="116"/>
      <c r="AL73" s="116"/>
      <c r="AM73" s="116"/>
      <c r="AN73" s="116"/>
      <c r="AO73" s="116"/>
      <c r="AP73" s="116"/>
      <c r="AQ73" s="116"/>
      <c r="AR73" s="116"/>
      <c r="AS73" s="116"/>
      <c r="AT73" s="116"/>
      <c r="AU73" s="116"/>
      <c r="AV73" s="116"/>
      <c r="AW73" s="116"/>
      <c r="AX73" s="116"/>
      <c r="AY73" s="116"/>
      <c r="AZ73" s="116"/>
      <c r="BA73" s="116"/>
      <c r="BB73" s="116"/>
      <c r="BC73" s="116"/>
      <c r="BD73" s="116"/>
      <c r="BE73" s="116"/>
      <c r="BF73" s="116"/>
      <c r="BG73" s="116"/>
      <c r="BH73" s="116"/>
      <c r="BI73" s="116"/>
      <c r="BJ73" s="116"/>
      <c r="BK73" s="116"/>
      <c r="BL73" s="116"/>
      <c r="BM73" s="116"/>
      <c r="BN73" s="116"/>
      <c r="BO73" s="116"/>
      <c r="BP73" s="116"/>
      <c r="BQ73" s="116"/>
      <c r="BR73" s="116"/>
      <c r="BS73" s="116"/>
      <c r="BT73" s="116"/>
      <c r="BU73" s="116"/>
      <c r="BV73" s="116"/>
      <c r="BW73" s="116"/>
      <c r="BX73" s="6"/>
      <c r="BY73" s="6"/>
      <c r="BZ73" s="116"/>
      <c r="CA73" s="116"/>
      <c r="CB73" s="116"/>
      <c r="CC73" s="116"/>
    </row>
    <row r="74" spans="1:81" x14ac:dyDescent="0.2">
      <c r="A74" s="5"/>
      <c r="B74" s="5"/>
      <c r="C74" s="5"/>
      <c r="D74" s="5"/>
      <c r="E74" s="5"/>
      <c r="F74" s="5"/>
      <c r="G74" s="5"/>
      <c r="H74" s="5"/>
      <c r="I74" s="5"/>
      <c r="J74" s="5"/>
      <c r="K74" s="5"/>
      <c r="L74" s="37"/>
      <c r="M74" s="6"/>
      <c r="N74" s="6"/>
      <c r="O74" s="6"/>
      <c r="P74" s="6"/>
      <c r="Q74" s="123"/>
      <c r="R74" s="5"/>
      <c r="S74" s="5"/>
      <c r="T74" s="5"/>
      <c r="U74" s="5"/>
      <c r="V74" s="5"/>
      <c r="W74" s="5"/>
      <c r="X74" s="5"/>
      <c r="Y74" s="5"/>
      <c r="Z74" s="168"/>
      <c r="AA74" s="116"/>
      <c r="AB74" s="116"/>
      <c r="AC74" s="116"/>
      <c r="AD74" s="116"/>
      <c r="AE74" s="116"/>
      <c r="AF74" s="116"/>
      <c r="AG74" s="116"/>
      <c r="AH74" s="116"/>
      <c r="AI74" s="116"/>
      <c r="AJ74" s="116"/>
      <c r="AK74" s="116"/>
      <c r="AL74" s="116"/>
      <c r="AM74" s="116"/>
      <c r="AN74" s="116"/>
      <c r="AO74" s="116"/>
      <c r="AP74" s="116"/>
      <c r="AQ74" s="116"/>
      <c r="AR74" s="116"/>
      <c r="AS74" s="116"/>
      <c r="AT74" s="116"/>
      <c r="AU74" s="116"/>
      <c r="AV74" s="116"/>
      <c r="AW74" s="116"/>
      <c r="AX74" s="116"/>
      <c r="AY74" s="116"/>
      <c r="AZ74" s="116"/>
      <c r="BA74" s="116"/>
      <c r="BB74" s="116"/>
      <c r="BC74" s="116"/>
      <c r="BD74" s="116"/>
      <c r="BE74" s="116"/>
      <c r="BF74" s="116"/>
      <c r="BG74" s="116"/>
      <c r="BH74" s="116"/>
      <c r="BI74" s="116"/>
      <c r="BJ74" s="116"/>
      <c r="BK74" s="116"/>
      <c r="BL74" s="116"/>
      <c r="BM74" s="116"/>
      <c r="BN74" s="116"/>
      <c r="BO74" s="116"/>
      <c r="BP74" s="116"/>
      <c r="BQ74" s="116"/>
      <c r="BR74" s="116"/>
      <c r="BS74" s="116"/>
      <c r="BT74" s="116"/>
      <c r="BU74" s="116"/>
      <c r="BV74" s="116"/>
      <c r="BW74" s="116"/>
      <c r="BX74" s="6"/>
      <c r="BY74" s="6"/>
      <c r="BZ74" s="116"/>
      <c r="CA74" s="116"/>
      <c r="CB74" s="116"/>
      <c r="CC74" s="116"/>
    </row>
    <row r="75" spans="1:81" x14ac:dyDescent="0.2">
      <c r="A75" s="5"/>
      <c r="B75" s="5"/>
      <c r="C75" s="5"/>
      <c r="D75" s="5"/>
      <c r="E75" s="5"/>
      <c r="F75" s="5"/>
      <c r="G75" s="5"/>
      <c r="H75" s="5"/>
      <c r="I75" s="5"/>
      <c r="J75" s="5"/>
      <c r="K75" s="5"/>
      <c r="L75" s="37"/>
      <c r="M75" s="6"/>
      <c r="N75" s="6"/>
      <c r="O75" s="6"/>
      <c r="P75" s="6"/>
      <c r="Q75" s="123"/>
      <c r="R75" s="5"/>
      <c r="S75" s="5"/>
      <c r="T75" s="5"/>
      <c r="U75" s="5"/>
      <c r="V75" s="5"/>
      <c r="W75" s="5"/>
      <c r="X75" s="5"/>
      <c r="Y75" s="5"/>
      <c r="Z75" s="168"/>
      <c r="AA75" s="116"/>
      <c r="AB75" s="116"/>
      <c r="AC75" s="116"/>
      <c r="AD75" s="116"/>
      <c r="AE75" s="116"/>
      <c r="AF75" s="116"/>
      <c r="AG75" s="116"/>
      <c r="AH75" s="116"/>
      <c r="AI75" s="116"/>
      <c r="AJ75" s="116"/>
      <c r="AK75" s="116"/>
      <c r="AL75" s="116"/>
      <c r="AM75" s="116"/>
      <c r="AN75" s="116"/>
      <c r="AO75" s="116"/>
      <c r="AP75" s="116"/>
      <c r="AQ75" s="116"/>
      <c r="AR75" s="116"/>
      <c r="AS75" s="116"/>
      <c r="AT75" s="116"/>
      <c r="AU75" s="116"/>
      <c r="AV75" s="116"/>
      <c r="AW75" s="116"/>
      <c r="AX75" s="116"/>
      <c r="AY75" s="116"/>
      <c r="AZ75" s="116"/>
      <c r="BA75" s="116"/>
      <c r="BB75" s="116"/>
      <c r="BC75" s="116"/>
      <c r="BD75" s="116"/>
      <c r="BE75" s="116"/>
      <c r="BF75" s="116"/>
      <c r="BG75" s="116"/>
      <c r="BH75" s="116"/>
      <c r="BI75" s="116"/>
      <c r="BJ75" s="116"/>
      <c r="BK75" s="116"/>
      <c r="BL75" s="116"/>
      <c r="BM75" s="116"/>
      <c r="BN75" s="116"/>
      <c r="BO75" s="116"/>
      <c r="BP75" s="116"/>
      <c r="BQ75" s="116"/>
      <c r="BR75" s="116"/>
      <c r="BS75" s="116"/>
      <c r="BT75" s="116"/>
      <c r="BU75" s="116"/>
      <c r="BV75" s="116"/>
      <c r="BW75" s="116"/>
      <c r="BX75" s="6"/>
      <c r="BY75" s="6"/>
      <c r="BZ75" s="116"/>
      <c r="CA75" s="116"/>
      <c r="CB75" s="116"/>
      <c r="CC75" s="116"/>
    </row>
    <row r="76" spans="1:81" x14ac:dyDescent="0.2">
      <c r="A76" s="5"/>
      <c r="B76" s="5"/>
      <c r="C76" s="5"/>
      <c r="D76" s="5"/>
      <c r="E76" s="5"/>
      <c r="F76" s="5"/>
      <c r="G76" s="5"/>
      <c r="H76" s="5"/>
      <c r="I76" s="5"/>
      <c r="J76" s="5"/>
      <c r="K76" s="5"/>
      <c r="L76" s="37"/>
      <c r="M76" s="6"/>
      <c r="N76" s="6"/>
      <c r="O76" s="6"/>
      <c r="P76" s="6"/>
      <c r="Q76" s="123"/>
      <c r="R76" s="5"/>
      <c r="S76" s="5"/>
      <c r="T76" s="5"/>
      <c r="U76" s="5"/>
      <c r="V76" s="5"/>
      <c r="W76" s="5"/>
      <c r="X76" s="5"/>
      <c r="Y76" s="5"/>
      <c r="Z76" s="168"/>
      <c r="AA76" s="116"/>
      <c r="AB76" s="116"/>
      <c r="AC76" s="116"/>
      <c r="AD76" s="116"/>
      <c r="AE76" s="116"/>
      <c r="AF76" s="116"/>
      <c r="AG76" s="116"/>
      <c r="AH76" s="116"/>
      <c r="AI76" s="116"/>
      <c r="AJ76" s="116"/>
      <c r="AK76" s="116"/>
      <c r="AL76" s="116"/>
      <c r="AM76" s="116"/>
      <c r="AN76" s="116"/>
      <c r="AO76" s="116"/>
      <c r="AP76" s="116"/>
      <c r="AQ76" s="116"/>
      <c r="AR76" s="116"/>
      <c r="AS76" s="116"/>
      <c r="AT76" s="116"/>
      <c r="AU76" s="116"/>
      <c r="AV76" s="116"/>
      <c r="AW76" s="116"/>
      <c r="AX76" s="116"/>
      <c r="AY76" s="116"/>
      <c r="AZ76" s="116"/>
      <c r="BA76" s="116"/>
      <c r="BB76" s="116"/>
      <c r="BC76" s="116"/>
      <c r="BD76" s="116"/>
      <c r="BE76" s="116"/>
      <c r="BF76" s="116"/>
      <c r="BG76" s="116"/>
      <c r="BH76" s="116"/>
      <c r="BI76" s="116"/>
      <c r="BJ76" s="116"/>
      <c r="BK76" s="116"/>
      <c r="BL76" s="116"/>
      <c r="BM76" s="116"/>
      <c r="BN76" s="116"/>
      <c r="BO76" s="116"/>
      <c r="BP76" s="116"/>
      <c r="BQ76" s="116"/>
      <c r="BR76" s="116"/>
      <c r="BS76" s="116"/>
      <c r="BT76" s="116"/>
      <c r="BU76" s="116"/>
      <c r="BV76" s="116"/>
      <c r="BW76" s="116"/>
      <c r="BX76" s="6"/>
      <c r="BY76" s="6"/>
      <c r="BZ76" s="116"/>
      <c r="CA76" s="116"/>
      <c r="CB76" s="116"/>
      <c r="CC76" s="116"/>
    </row>
    <row r="77" spans="1:81" x14ac:dyDescent="0.2">
      <c r="A77" s="5"/>
      <c r="B77" s="5"/>
      <c r="C77" s="5"/>
      <c r="D77" s="5"/>
      <c r="E77" s="5"/>
      <c r="F77" s="5"/>
      <c r="G77" s="5"/>
      <c r="H77" s="5"/>
      <c r="I77" s="5"/>
      <c r="J77" s="5"/>
      <c r="K77" s="5"/>
      <c r="L77" s="37"/>
      <c r="M77" s="6"/>
      <c r="N77" s="6"/>
      <c r="O77" s="6"/>
      <c r="P77" s="6"/>
      <c r="Q77" s="123"/>
      <c r="R77" s="5"/>
      <c r="S77" s="5"/>
      <c r="T77" s="5"/>
      <c r="U77" s="5"/>
      <c r="V77" s="5"/>
      <c r="W77" s="5"/>
      <c r="X77" s="5"/>
      <c r="Y77" s="5"/>
      <c r="Z77" s="168"/>
      <c r="AA77" s="116"/>
      <c r="AB77" s="116"/>
      <c r="AC77" s="116"/>
      <c r="AD77" s="116"/>
      <c r="AE77" s="116"/>
      <c r="AF77" s="116"/>
      <c r="AG77" s="116"/>
      <c r="AH77" s="116"/>
      <c r="AI77" s="116"/>
      <c r="AJ77" s="116"/>
      <c r="AK77" s="116"/>
      <c r="AL77" s="116"/>
      <c r="AM77" s="116"/>
      <c r="AN77" s="116"/>
      <c r="AO77" s="116"/>
      <c r="AP77" s="116"/>
      <c r="AQ77" s="116"/>
      <c r="AR77" s="116"/>
      <c r="AS77" s="116"/>
      <c r="AT77" s="116"/>
      <c r="AU77" s="116"/>
      <c r="AV77" s="116"/>
      <c r="AW77" s="116"/>
      <c r="AX77" s="116"/>
      <c r="AY77" s="116"/>
      <c r="AZ77" s="116"/>
      <c r="BA77" s="116"/>
      <c r="BB77" s="116"/>
      <c r="BC77" s="116"/>
      <c r="BD77" s="116"/>
      <c r="BE77" s="116"/>
      <c r="BF77" s="116"/>
      <c r="BG77" s="116"/>
      <c r="BH77" s="116"/>
      <c r="BI77" s="116"/>
      <c r="BJ77" s="116"/>
      <c r="BK77" s="116"/>
      <c r="BL77" s="116"/>
      <c r="BM77" s="116"/>
      <c r="BN77" s="116"/>
      <c r="BO77" s="116"/>
      <c r="BP77" s="116"/>
      <c r="BQ77" s="116"/>
      <c r="BR77" s="116"/>
      <c r="BS77" s="116"/>
      <c r="BT77" s="116"/>
      <c r="BU77" s="116"/>
      <c r="BV77" s="116"/>
      <c r="BW77" s="116"/>
      <c r="BX77" s="6"/>
      <c r="BY77" s="6"/>
      <c r="BZ77" s="116"/>
      <c r="CA77" s="116"/>
      <c r="CB77" s="116"/>
      <c r="CC77" s="116"/>
    </row>
    <row r="78" spans="1:81" x14ac:dyDescent="0.2">
      <c r="A78" s="5"/>
      <c r="B78" s="5"/>
      <c r="C78" s="5"/>
      <c r="D78" s="5"/>
      <c r="E78" s="5"/>
      <c r="F78" s="5"/>
      <c r="G78" s="5"/>
      <c r="H78" s="5"/>
      <c r="I78" s="5"/>
      <c r="J78" s="5"/>
      <c r="K78" s="5"/>
      <c r="L78" s="37"/>
      <c r="M78" s="6"/>
      <c r="N78" s="6"/>
      <c r="O78" s="6"/>
      <c r="P78" s="6"/>
      <c r="Q78" s="123"/>
      <c r="R78" s="5"/>
      <c r="S78" s="5"/>
      <c r="T78" s="5"/>
      <c r="U78" s="5"/>
      <c r="V78" s="5"/>
      <c r="W78" s="5"/>
      <c r="X78" s="5"/>
      <c r="Y78" s="5"/>
      <c r="Z78" s="168"/>
      <c r="AA78" s="116"/>
      <c r="AB78" s="116"/>
      <c r="AC78" s="116"/>
      <c r="AD78" s="116"/>
      <c r="AE78" s="116"/>
      <c r="AF78" s="116"/>
      <c r="AG78" s="116"/>
      <c r="AH78" s="116"/>
      <c r="AI78" s="116"/>
      <c r="AJ78" s="116"/>
      <c r="AK78" s="116"/>
      <c r="AL78" s="116"/>
      <c r="AM78" s="116"/>
      <c r="AN78" s="116"/>
      <c r="AO78" s="116"/>
      <c r="AP78" s="116"/>
      <c r="AQ78" s="116"/>
      <c r="AR78" s="116"/>
      <c r="AS78" s="116"/>
      <c r="AT78" s="116"/>
      <c r="AU78" s="116"/>
      <c r="AV78" s="116"/>
      <c r="AW78" s="116"/>
      <c r="AX78" s="116"/>
      <c r="AY78" s="116"/>
      <c r="AZ78" s="116"/>
      <c r="BA78" s="116"/>
      <c r="BB78" s="116"/>
      <c r="BC78" s="116"/>
      <c r="BD78" s="116"/>
      <c r="BE78" s="116"/>
      <c r="BF78" s="116"/>
      <c r="BG78" s="116"/>
      <c r="BH78" s="116"/>
      <c r="BI78" s="116"/>
      <c r="BJ78" s="116"/>
      <c r="BK78" s="116"/>
      <c r="BL78" s="116"/>
      <c r="BM78" s="116"/>
      <c r="BN78" s="116"/>
      <c r="BO78" s="116"/>
      <c r="BP78" s="116"/>
      <c r="BQ78" s="116"/>
      <c r="BR78" s="116"/>
      <c r="BS78" s="116"/>
      <c r="BT78" s="116"/>
      <c r="BU78" s="116"/>
      <c r="BV78" s="116"/>
      <c r="BW78" s="116"/>
      <c r="BX78" s="6"/>
      <c r="BY78" s="6"/>
      <c r="BZ78" s="116"/>
      <c r="CA78" s="116"/>
      <c r="CB78" s="116"/>
      <c r="CC78" s="116"/>
    </row>
    <row r="79" spans="1:81" x14ac:dyDescent="0.2">
      <c r="A79" s="5"/>
      <c r="B79" s="5"/>
      <c r="C79" s="5"/>
      <c r="D79" s="5"/>
      <c r="E79" s="5"/>
      <c r="F79" s="5"/>
      <c r="G79" s="5"/>
      <c r="H79" s="5"/>
      <c r="I79" s="5"/>
      <c r="J79" s="5"/>
      <c r="K79" s="5"/>
      <c r="L79" s="37"/>
      <c r="M79" s="6"/>
      <c r="N79" s="6"/>
      <c r="O79" s="6"/>
      <c r="P79" s="6"/>
      <c r="Q79" s="123"/>
      <c r="R79" s="5"/>
      <c r="S79" s="5"/>
      <c r="T79" s="5"/>
      <c r="U79" s="5"/>
      <c r="V79" s="5"/>
      <c r="W79" s="5"/>
      <c r="X79" s="5"/>
      <c r="Y79" s="5"/>
      <c r="Z79" s="168"/>
      <c r="AA79" s="116"/>
      <c r="AB79" s="116"/>
      <c r="AC79" s="116"/>
      <c r="AD79" s="116"/>
      <c r="AE79" s="116"/>
      <c r="AF79" s="116"/>
      <c r="AG79" s="116"/>
      <c r="AH79" s="116"/>
      <c r="AI79" s="116"/>
      <c r="AJ79" s="116"/>
      <c r="AK79" s="116"/>
      <c r="AL79" s="116"/>
      <c r="AM79" s="116"/>
      <c r="AN79" s="116"/>
      <c r="AO79" s="116"/>
      <c r="AP79" s="116"/>
      <c r="AQ79" s="116"/>
      <c r="AR79" s="116"/>
      <c r="AS79" s="116"/>
      <c r="AT79" s="116"/>
      <c r="AU79" s="116"/>
      <c r="AV79" s="116"/>
      <c r="AW79" s="116"/>
      <c r="AX79" s="116"/>
      <c r="AY79" s="116"/>
      <c r="AZ79" s="116"/>
      <c r="BA79" s="116"/>
      <c r="BB79" s="116"/>
      <c r="BC79" s="116"/>
      <c r="BD79" s="116"/>
      <c r="BE79" s="116"/>
      <c r="BF79" s="116"/>
      <c r="BG79" s="116"/>
      <c r="BH79" s="116"/>
      <c r="BI79" s="116"/>
      <c r="BJ79" s="116"/>
      <c r="BK79" s="116"/>
      <c r="BL79" s="116"/>
      <c r="BM79" s="116"/>
      <c r="BN79" s="116"/>
      <c r="BO79" s="116"/>
      <c r="BP79" s="116"/>
      <c r="BQ79" s="116"/>
      <c r="BR79" s="116"/>
      <c r="BS79" s="116"/>
      <c r="BT79" s="116"/>
      <c r="BU79" s="116"/>
      <c r="BV79" s="116"/>
      <c r="BW79" s="116"/>
      <c r="BX79" s="6"/>
      <c r="BY79" s="6"/>
      <c r="BZ79" s="116"/>
      <c r="CA79" s="116"/>
      <c r="CB79" s="116"/>
      <c r="CC79" s="116"/>
    </row>
    <row r="80" spans="1:81" x14ac:dyDescent="0.2">
      <c r="A80" s="5"/>
      <c r="B80" s="5"/>
      <c r="C80" s="5"/>
      <c r="D80" s="5"/>
      <c r="E80" s="5"/>
      <c r="F80" s="5"/>
      <c r="G80" s="5"/>
      <c r="H80" s="5"/>
      <c r="I80" s="5"/>
      <c r="J80" s="5"/>
      <c r="K80" s="5"/>
      <c r="L80" s="37"/>
      <c r="M80" s="6"/>
      <c r="N80" s="6"/>
      <c r="O80" s="6"/>
      <c r="P80" s="6"/>
      <c r="Q80" s="123"/>
      <c r="R80" s="5"/>
      <c r="S80" s="5"/>
      <c r="T80" s="5"/>
      <c r="U80" s="5"/>
      <c r="V80" s="5"/>
      <c r="W80" s="5"/>
      <c r="X80" s="5"/>
      <c r="Y80" s="5"/>
      <c r="Z80" s="168"/>
      <c r="AA80" s="116"/>
      <c r="AB80" s="116"/>
      <c r="AC80" s="116"/>
      <c r="AD80" s="116"/>
      <c r="AE80" s="116"/>
      <c r="AF80" s="116"/>
      <c r="AG80" s="116"/>
      <c r="AH80" s="116"/>
      <c r="AI80" s="116"/>
      <c r="AJ80" s="116"/>
      <c r="AK80" s="116"/>
      <c r="AL80" s="116"/>
      <c r="AM80" s="116"/>
      <c r="AN80" s="116"/>
      <c r="AO80" s="116"/>
      <c r="AP80" s="116"/>
      <c r="AQ80" s="116"/>
      <c r="AR80" s="116"/>
      <c r="AS80" s="116"/>
      <c r="AT80" s="116"/>
      <c r="AU80" s="116"/>
      <c r="AV80" s="116"/>
      <c r="AW80" s="116"/>
      <c r="AX80" s="116"/>
      <c r="AY80" s="116"/>
      <c r="AZ80" s="116"/>
      <c r="BA80" s="116"/>
      <c r="BB80" s="116"/>
      <c r="BC80" s="116"/>
      <c r="BD80" s="116"/>
      <c r="BE80" s="116"/>
      <c r="BF80" s="116"/>
      <c r="BG80" s="116"/>
      <c r="BH80" s="116"/>
      <c r="BI80" s="116"/>
      <c r="BJ80" s="116"/>
      <c r="BK80" s="116"/>
      <c r="BL80" s="116"/>
      <c r="BM80" s="116"/>
      <c r="BN80" s="116"/>
      <c r="BO80" s="116"/>
      <c r="BP80" s="116"/>
      <c r="BQ80" s="116"/>
      <c r="BR80" s="116"/>
      <c r="BS80" s="116"/>
      <c r="BT80" s="116"/>
      <c r="BU80" s="116"/>
      <c r="BV80" s="116"/>
      <c r="BW80" s="116"/>
      <c r="BX80" s="6"/>
      <c r="BY80" s="6"/>
      <c r="BZ80" s="116"/>
      <c r="CA80" s="116"/>
      <c r="CB80" s="116"/>
      <c r="CC80" s="116"/>
    </row>
    <row r="81" spans="1:81" x14ac:dyDescent="0.2">
      <c r="A81" s="5"/>
      <c r="B81" s="5"/>
      <c r="C81" s="5"/>
      <c r="D81" s="5"/>
      <c r="E81" s="5"/>
      <c r="F81" s="5"/>
      <c r="G81" s="5"/>
      <c r="H81" s="5"/>
      <c r="I81" s="5"/>
      <c r="J81" s="5"/>
      <c r="K81" s="5"/>
      <c r="L81" s="37"/>
      <c r="M81" s="6"/>
      <c r="N81" s="6"/>
      <c r="O81" s="6"/>
      <c r="P81" s="6"/>
      <c r="Q81" s="123"/>
      <c r="R81" s="5"/>
      <c r="S81" s="5"/>
      <c r="T81" s="5"/>
      <c r="U81" s="5"/>
      <c r="V81" s="5"/>
      <c r="W81" s="5"/>
      <c r="X81" s="5"/>
      <c r="Y81" s="5"/>
      <c r="Z81" s="168"/>
      <c r="AA81" s="116"/>
      <c r="AB81" s="116"/>
      <c r="AC81" s="116"/>
      <c r="AD81" s="116"/>
      <c r="AE81" s="116"/>
      <c r="AF81" s="116"/>
      <c r="AG81" s="116"/>
      <c r="AH81" s="116"/>
      <c r="AI81" s="116"/>
      <c r="AJ81" s="116"/>
      <c r="AK81" s="116"/>
      <c r="AL81" s="116"/>
      <c r="AM81" s="116"/>
      <c r="AN81" s="116"/>
      <c r="AO81" s="116"/>
      <c r="AP81" s="116"/>
      <c r="AQ81" s="116"/>
      <c r="AR81" s="116"/>
      <c r="AS81" s="116"/>
      <c r="AT81" s="116"/>
      <c r="AU81" s="116"/>
      <c r="AV81" s="116"/>
      <c r="AW81" s="116"/>
      <c r="AX81" s="116"/>
      <c r="AY81" s="116"/>
      <c r="AZ81" s="116"/>
      <c r="BA81" s="116"/>
      <c r="BB81" s="116"/>
      <c r="BC81" s="116"/>
      <c r="BD81" s="116"/>
      <c r="BE81" s="116"/>
      <c r="BF81" s="116"/>
      <c r="BG81" s="116"/>
      <c r="BH81" s="116"/>
      <c r="BI81" s="116"/>
      <c r="BJ81" s="116"/>
      <c r="BK81" s="116"/>
      <c r="BL81" s="116"/>
      <c r="BM81" s="116"/>
      <c r="BN81" s="116"/>
      <c r="BO81" s="116"/>
      <c r="BP81" s="116"/>
      <c r="BQ81" s="116"/>
      <c r="BR81" s="116"/>
      <c r="BS81" s="116"/>
      <c r="BT81" s="116"/>
      <c r="BU81" s="116"/>
      <c r="BV81" s="116"/>
      <c r="BW81" s="116"/>
      <c r="BX81" s="6"/>
      <c r="BY81" s="6"/>
      <c r="BZ81" s="116"/>
      <c r="CA81" s="116"/>
      <c r="CB81" s="116"/>
      <c r="CC81" s="116"/>
    </row>
    <row r="82" spans="1:81" x14ac:dyDescent="0.2">
      <c r="A82" s="5"/>
      <c r="B82" s="5"/>
      <c r="C82" s="5"/>
      <c r="D82" s="5"/>
      <c r="E82" s="5"/>
      <c r="F82" s="5"/>
      <c r="G82" s="5"/>
      <c r="H82" s="5"/>
      <c r="I82" s="5"/>
      <c r="J82" s="5"/>
      <c r="K82" s="5"/>
      <c r="L82" s="37"/>
      <c r="M82" s="6"/>
      <c r="N82" s="6"/>
      <c r="O82" s="6"/>
      <c r="P82" s="6"/>
      <c r="Q82" s="123"/>
      <c r="R82" s="5"/>
      <c r="S82" s="5"/>
      <c r="T82" s="5"/>
      <c r="U82" s="5"/>
      <c r="V82" s="5"/>
      <c r="W82" s="5"/>
      <c r="X82" s="5"/>
      <c r="Y82" s="5"/>
      <c r="Z82" s="168"/>
      <c r="AA82" s="116"/>
      <c r="AB82" s="116"/>
      <c r="AC82" s="116"/>
      <c r="AD82" s="116"/>
      <c r="AE82" s="116"/>
      <c r="AF82" s="116"/>
      <c r="AG82" s="116"/>
      <c r="AH82" s="116"/>
      <c r="AI82" s="116"/>
      <c r="AJ82" s="116"/>
      <c r="AK82" s="116"/>
      <c r="AL82" s="116"/>
      <c r="AM82" s="116"/>
      <c r="AN82" s="116"/>
      <c r="AO82" s="116"/>
      <c r="AP82" s="116"/>
      <c r="AQ82" s="116"/>
      <c r="AR82" s="116"/>
      <c r="AS82" s="116"/>
      <c r="AT82" s="116"/>
      <c r="AU82" s="116"/>
      <c r="AV82" s="116"/>
      <c r="AW82" s="116"/>
      <c r="AX82" s="116"/>
      <c r="AY82" s="116"/>
      <c r="AZ82" s="116"/>
      <c r="BA82" s="116"/>
      <c r="BB82" s="116"/>
      <c r="BC82" s="116"/>
      <c r="BD82" s="116"/>
      <c r="BE82" s="116"/>
      <c r="BF82" s="116"/>
      <c r="BG82" s="116"/>
      <c r="BH82" s="116"/>
      <c r="BI82" s="116"/>
      <c r="BJ82" s="116"/>
      <c r="BK82" s="116"/>
      <c r="BL82" s="116"/>
      <c r="BM82" s="116"/>
      <c r="BN82" s="116"/>
      <c r="BO82" s="116"/>
      <c r="BP82" s="116"/>
      <c r="BQ82" s="116"/>
      <c r="BR82" s="116"/>
      <c r="BS82" s="116"/>
      <c r="BT82" s="116"/>
      <c r="BU82" s="116"/>
      <c r="BV82" s="116"/>
      <c r="BW82" s="116"/>
      <c r="BX82" s="6"/>
      <c r="BY82" s="6"/>
      <c r="BZ82" s="116"/>
      <c r="CA82" s="116"/>
      <c r="CB82" s="116"/>
      <c r="CC82" s="116"/>
    </row>
    <row r="83" spans="1:81" x14ac:dyDescent="0.2">
      <c r="A83" s="5"/>
      <c r="B83" s="5"/>
      <c r="C83" s="5"/>
      <c r="D83" s="5"/>
      <c r="E83" s="5"/>
      <c r="F83" s="5"/>
      <c r="G83" s="5"/>
      <c r="H83" s="5"/>
      <c r="I83" s="5"/>
      <c r="J83" s="5"/>
      <c r="K83" s="5"/>
      <c r="L83" s="37"/>
      <c r="M83" s="6"/>
      <c r="N83" s="6"/>
      <c r="O83" s="6"/>
      <c r="P83" s="6"/>
      <c r="Q83" s="123"/>
      <c r="R83" s="5"/>
      <c r="S83" s="5"/>
      <c r="T83" s="5"/>
      <c r="U83" s="5"/>
      <c r="V83" s="5"/>
      <c r="W83" s="5"/>
      <c r="X83" s="5"/>
      <c r="Y83" s="5"/>
      <c r="Z83" s="168"/>
      <c r="AA83" s="116"/>
      <c r="AB83" s="116"/>
      <c r="AC83" s="116"/>
      <c r="AD83" s="116"/>
      <c r="AE83" s="116"/>
      <c r="AF83" s="116"/>
      <c r="AG83" s="116"/>
      <c r="AH83" s="116"/>
      <c r="AI83" s="116"/>
      <c r="AJ83" s="116"/>
      <c r="AK83" s="116"/>
      <c r="AL83" s="116"/>
      <c r="AM83" s="116"/>
      <c r="AN83" s="116"/>
      <c r="AO83" s="116"/>
      <c r="AP83" s="116"/>
      <c r="AQ83" s="116"/>
      <c r="AR83" s="116"/>
      <c r="AS83" s="116"/>
      <c r="AT83" s="116"/>
      <c r="AU83" s="116"/>
      <c r="AV83" s="116"/>
      <c r="AW83" s="116"/>
      <c r="AX83" s="116"/>
      <c r="AY83" s="116"/>
      <c r="AZ83" s="116"/>
      <c r="BA83" s="116"/>
      <c r="BB83" s="116"/>
      <c r="BC83" s="116"/>
      <c r="BD83" s="116"/>
      <c r="BE83" s="116"/>
      <c r="BF83" s="116"/>
      <c r="BG83" s="116"/>
      <c r="BH83" s="116"/>
      <c r="BI83" s="116"/>
      <c r="BJ83" s="116"/>
      <c r="BK83" s="116"/>
      <c r="BL83" s="116"/>
      <c r="BM83" s="116"/>
      <c r="BN83" s="116"/>
      <c r="BO83" s="116"/>
      <c r="BP83" s="116"/>
      <c r="BQ83" s="116"/>
      <c r="BR83" s="116"/>
      <c r="BS83" s="116"/>
      <c r="BT83" s="116"/>
      <c r="BU83" s="116"/>
      <c r="BV83" s="116"/>
      <c r="BW83" s="116"/>
      <c r="BX83" s="6"/>
      <c r="BY83" s="6"/>
      <c r="BZ83" s="116"/>
      <c r="CA83" s="116"/>
      <c r="CB83" s="116"/>
      <c r="CC83" s="116"/>
    </row>
    <row r="84" spans="1:81" x14ac:dyDescent="0.2">
      <c r="A84" s="5"/>
      <c r="B84" s="5"/>
      <c r="C84" s="5"/>
      <c r="D84" s="5"/>
      <c r="E84" s="5"/>
      <c r="F84" s="5"/>
      <c r="G84" s="5"/>
      <c r="H84" s="5"/>
      <c r="I84" s="5"/>
      <c r="J84" s="5"/>
      <c r="K84" s="5"/>
      <c r="L84" s="37"/>
      <c r="M84" s="6"/>
      <c r="N84" s="6"/>
      <c r="O84" s="6"/>
      <c r="P84" s="6"/>
      <c r="Q84" s="123"/>
      <c r="R84" s="5"/>
      <c r="S84" s="5"/>
      <c r="T84" s="5"/>
      <c r="U84" s="5"/>
      <c r="V84" s="5"/>
      <c r="W84" s="5"/>
      <c r="X84" s="5"/>
      <c r="Y84" s="5"/>
      <c r="Z84" s="168"/>
      <c r="AA84" s="116"/>
      <c r="AB84" s="116"/>
      <c r="AC84" s="116"/>
      <c r="AD84" s="116"/>
      <c r="AE84" s="116"/>
      <c r="AF84" s="116"/>
      <c r="AG84" s="116"/>
      <c r="AH84" s="116"/>
      <c r="AI84" s="116"/>
      <c r="AJ84" s="116"/>
      <c r="AK84" s="116"/>
      <c r="AL84" s="116"/>
      <c r="AM84" s="116"/>
      <c r="AN84" s="116"/>
      <c r="AO84" s="116"/>
      <c r="AP84" s="116"/>
      <c r="AQ84" s="116"/>
      <c r="AR84" s="116"/>
      <c r="AS84" s="116"/>
      <c r="AT84" s="116"/>
      <c r="AU84" s="116"/>
      <c r="AV84" s="116"/>
      <c r="AW84" s="116"/>
      <c r="AX84" s="116"/>
      <c r="AY84" s="116"/>
      <c r="AZ84" s="116"/>
      <c r="BA84" s="116"/>
      <c r="BB84" s="116"/>
      <c r="BC84" s="116"/>
      <c r="BD84" s="116"/>
      <c r="BE84" s="116"/>
      <c r="BF84" s="116"/>
      <c r="BG84" s="116"/>
      <c r="BH84" s="116"/>
      <c r="BI84" s="116"/>
      <c r="BJ84" s="116"/>
      <c r="BK84" s="116"/>
      <c r="BL84" s="116"/>
      <c r="BM84" s="116"/>
      <c r="BN84" s="116"/>
      <c r="BO84" s="116"/>
      <c r="BP84" s="116"/>
      <c r="BQ84" s="116"/>
      <c r="BR84" s="116"/>
      <c r="BS84" s="116"/>
      <c r="BT84" s="116"/>
      <c r="BU84" s="116"/>
      <c r="BV84" s="116"/>
      <c r="BW84" s="116"/>
      <c r="BX84" s="6"/>
      <c r="BY84" s="6"/>
      <c r="BZ84" s="116"/>
      <c r="CA84" s="116"/>
      <c r="CB84" s="116"/>
      <c r="CC84" s="116"/>
    </row>
    <row r="85" spans="1:81" x14ac:dyDescent="0.2">
      <c r="A85" s="5"/>
      <c r="B85" s="5"/>
      <c r="C85" s="5"/>
      <c r="D85" s="5"/>
      <c r="E85" s="5"/>
      <c r="F85" s="5"/>
      <c r="G85" s="5"/>
      <c r="H85" s="5"/>
      <c r="I85" s="5"/>
      <c r="J85" s="5"/>
      <c r="K85" s="5"/>
      <c r="L85" s="37"/>
      <c r="M85" s="6"/>
      <c r="N85" s="6"/>
      <c r="O85" s="6"/>
      <c r="P85" s="6"/>
      <c r="Q85" s="123"/>
      <c r="R85" s="5"/>
      <c r="S85" s="5"/>
      <c r="T85" s="5"/>
      <c r="U85" s="5"/>
      <c r="V85" s="5"/>
      <c r="W85" s="5"/>
      <c r="X85" s="5"/>
      <c r="Y85" s="5"/>
      <c r="Z85" s="168"/>
      <c r="AA85" s="116"/>
      <c r="AB85" s="116"/>
      <c r="AC85" s="116"/>
      <c r="AD85" s="116"/>
      <c r="AE85" s="116"/>
      <c r="AF85" s="116"/>
      <c r="AG85" s="116"/>
      <c r="AH85" s="116"/>
      <c r="AI85" s="116"/>
      <c r="AJ85" s="116"/>
      <c r="AK85" s="116"/>
      <c r="AL85" s="116"/>
      <c r="AM85" s="116"/>
      <c r="AN85" s="116"/>
      <c r="AO85" s="116"/>
      <c r="AP85" s="116"/>
      <c r="AQ85" s="116"/>
      <c r="AR85" s="116"/>
      <c r="AS85" s="116"/>
      <c r="AT85" s="116"/>
      <c r="AU85" s="116"/>
      <c r="AV85" s="116"/>
      <c r="AW85" s="116"/>
      <c r="AX85" s="116"/>
      <c r="AY85" s="116"/>
      <c r="AZ85" s="116"/>
      <c r="BA85" s="116"/>
      <c r="BB85" s="116"/>
      <c r="BC85" s="116"/>
      <c r="BD85" s="116"/>
      <c r="BE85" s="116"/>
      <c r="BF85" s="116"/>
      <c r="BG85" s="116"/>
      <c r="BH85" s="116"/>
      <c r="BI85" s="116"/>
      <c r="BJ85" s="116"/>
      <c r="BK85" s="116"/>
      <c r="BL85" s="116"/>
      <c r="BM85" s="116"/>
      <c r="BN85" s="116"/>
      <c r="BO85" s="116"/>
      <c r="BP85" s="116"/>
      <c r="BQ85" s="116"/>
      <c r="BR85" s="116"/>
      <c r="BS85" s="116"/>
      <c r="BT85" s="116"/>
      <c r="BU85" s="116"/>
      <c r="BV85" s="116"/>
      <c r="BW85" s="116"/>
      <c r="BX85" s="6"/>
      <c r="BY85" s="6"/>
      <c r="BZ85" s="116"/>
      <c r="CA85" s="116"/>
      <c r="CB85" s="116"/>
      <c r="CC85" s="116"/>
    </row>
    <row r="86" spans="1:81" x14ac:dyDescent="0.2">
      <c r="A86" s="5"/>
      <c r="B86" s="5"/>
      <c r="C86" s="5"/>
      <c r="D86" s="5"/>
      <c r="E86" s="5"/>
      <c r="F86" s="5"/>
      <c r="G86" s="5"/>
      <c r="H86" s="5"/>
      <c r="I86" s="5"/>
      <c r="J86" s="5"/>
      <c r="K86" s="5"/>
      <c r="L86" s="37"/>
      <c r="M86" s="6"/>
      <c r="N86" s="6"/>
      <c r="O86" s="6"/>
      <c r="P86" s="6"/>
      <c r="Q86" s="123"/>
      <c r="R86" s="5"/>
      <c r="S86" s="5"/>
      <c r="T86" s="5"/>
      <c r="U86" s="5"/>
      <c r="V86" s="5"/>
      <c r="W86" s="5"/>
      <c r="X86" s="5"/>
      <c r="Y86" s="5"/>
      <c r="Z86" s="168"/>
      <c r="AA86" s="116"/>
      <c r="AB86" s="116"/>
      <c r="AC86" s="116"/>
      <c r="AD86" s="116"/>
      <c r="AE86" s="116"/>
      <c r="AF86" s="116"/>
      <c r="AG86" s="116"/>
      <c r="AH86" s="116"/>
      <c r="AI86" s="116"/>
      <c r="AJ86" s="116"/>
      <c r="AK86" s="116"/>
      <c r="AL86" s="116"/>
      <c r="AM86" s="116"/>
      <c r="AN86" s="116"/>
      <c r="AO86" s="116"/>
      <c r="AP86" s="116"/>
      <c r="AQ86" s="116"/>
      <c r="AR86" s="116"/>
      <c r="AS86" s="116"/>
      <c r="AT86" s="116"/>
      <c r="AU86" s="116"/>
      <c r="AV86" s="116"/>
      <c r="AW86" s="116"/>
      <c r="AX86" s="116"/>
      <c r="AY86" s="116"/>
      <c r="AZ86" s="116"/>
      <c r="BA86" s="116"/>
      <c r="BB86" s="116"/>
      <c r="BC86" s="116"/>
      <c r="BD86" s="116"/>
      <c r="BE86" s="116"/>
      <c r="BF86" s="116"/>
      <c r="BG86" s="116"/>
      <c r="BH86" s="116"/>
      <c r="BI86" s="116"/>
      <c r="BJ86" s="116"/>
      <c r="BK86" s="116"/>
      <c r="BL86" s="116"/>
      <c r="BM86" s="116"/>
      <c r="BN86" s="116"/>
      <c r="BO86" s="116"/>
      <c r="BP86" s="116"/>
      <c r="BQ86" s="116"/>
      <c r="BR86" s="116"/>
      <c r="BS86" s="116"/>
      <c r="BT86" s="116"/>
      <c r="BU86" s="116"/>
      <c r="BV86" s="116"/>
      <c r="BW86" s="116"/>
      <c r="BX86" s="6"/>
      <c r="BY86" s="6"/>
      <c r="BZ86" s="116"/>
      <c r="CA86" s="116"/>
      <c r="CB86" s="116"/>
      <c r="CC86" s="116"/>
    </row>
    <row r="87" spans="1:81" x14ac:dyDescent="0.2">
      <c r="A87" s="5"/>
      <c r="B87" s="5"/>
      <c r="C87" s="5"/>
      <c r="D87" s="5"/>
      <c r="E87" s="5"/>
      <c r="F87" s="5"/>
      <c r="G87" s="5"/>
      <c r="H87" s="5"/>
      <c r="I87" s="5"/>
      <c r="J87" s="5"/>
      <c r="K87" s="5"/>
      <c r="L87" s="37"/>
      <c r="M87" s="6"/>
      <c r="N87" s="6"/>
      <c r="O87" s="6"/>
      <c r="P87" s="6"/>
      <c r="Q87" s="123"/>
      <c r="R87" s="5"/>
      <c r="S87" s="5"/>
      <c r="T87" s="5"/>
      <c r="U87" s="5"/>
      <c r="V87" s="5"/>
      <c r="W87" s="5"/>
      <c r="X87" s="5"/>
      <c r="Y87" s="5"/>
      <c r="Z87" s="168"/>
      <c r="AA87" s="116"/>
      <c r="AB87" s="116"/>
      <c r="AC87" s="116"/>
      <c r="AD87" s="116"/>
      <c r="AE87" s="116"/>
      <c r="AF87" s="116"/>
      <c r="AG87" s="116"/>
      <c r="AH87" s="116"/>
      <c r="AI87" s="116"/>
      <c r="AJ87" s="116"/>
      <c r="AK87" s="116"/>
      <c r="AL87" s="116"/>
      <c r="AM87" s="116"/>
      <c r="AN87" s="116"/>
      <c r="AO87" s="116"/>
      <c r="AP87" s="116"/>
      <c r="AQ87" s="116"/>
      <c r="AR87" s="116"/>
      <c r="AS87" s="116"/>
      <c r="AT87" s="116"/>
      <c r="AU87" s="116"/>
      <c r="AV87" s="116"/>
      <c r="AW87" s="116"/>
      <c r="AX87" s="116"/>
      <c r="AY87" s="116"/>
      <c r="AZ87" s="116"/>
      <c r="BA87" s="116"/>
      <c r="BB87" s="116"/>
      <c r="BC87" s="116"/>
      <c r="BD87" s="116"/>
      <c r="BE87" s="116"/>
      <c r="BF87" s="116"/>
      <c r="BG87" s="116"/>
      <c r="BH87" s="116"/>
      <c r="BI87" s="116"/>
      <c r="BJ87" s="116"/>
      <c r="BK87" s="116"/>
      <c r="BL87" s="116"/>
      <c r="BM87" s="116"/>
      <c r="BN87" s="116"/>
      <c r="BO87" s="116"/>
      <c r="BP87" s="116"/>
      <c r="BQ87" s="116"/>
      <c r="BR87" s="116"/>
      <c r="BS87" s="116"/>
      <c r="BT87" s="116"/>
      <c r="BU87" s="116"/>
      <c r="BV87" s="116"/>
      <c r="BW87" s="116"/>
      <c r="BX87" s="6"/>
      <c r="BY87" s="6"/>
      <c r="BZ87" s="116"/>
      <c r="CA87" s="116"/>
      <c r="CB87" s="116"/>
      <c r="CC87" s="116"/>
    </row>
    <row r="88" spans="1:81" x14ac:dyDescent="0.2">
      <c r="A88" s="5"/>
      <c r="B88" s="5"/>
      <c r="C88" s="5"/>
      <c r="D88" s="5"/>
      <c r="E88" s="5"/>
      <c r="F88" s="5"/>
      <c r="G88" s="5"/>
      <c r="H88" s="5"/>
      <c r="I88" s="5"/>
      <c r="J88" s="5"/>
      <c r="K88" s="5"/>
      <c r="L88" s="37"/>
      <c r="M88" s="6"/>
      <c r="N88" s="6"/>
      <c r="O88" s="6"/>
      <c r="P88" s="6"/>
      <c r="Q88" s="123"/>
      <c r="R88" s="5"/>
      <c r="S88" s="5"/>
      <c r="T88" s="5"/>
      <c r="U88" s="5"/>
      <c r="V88" s="5"/>
      <c r="W88" s="5"/>
      <c r="X88" s="5"/>
      <c r="Y88" s="5"/>
      <c r="Z88" s="168"/>
      <c r="AA88" s="116"/>
      <c r="AB88" s="116"/>
      <c r="AC88" s="116"/>
      <c r="AD88" s="116"/>
      <c r="AE88" s="116"/>
      <c r="AF88" s="116"/>
      <c r="AG88" s="116"/>
      <c r="AH88" s="116"/>
      <c r="AI88" s="116"/>
      <c r="AJ88" s="116"/>
      <c r="AK88" s="116"/>
      <c r="AL88" s="116"/>
      <c r="AM88" s="116"/>
      <c r="AN88" s="116"/>
      <c r="AO88" s="116"/>
      <c r="AP88" s="116"/>
      <c r="AQ88" s="116"/>
      <c r="AR88" s="116"/>
      <c r="AS88" s="116"/>
      <c r="AT88" s="116"/>
      <c r="AU88" s="116"/>
      <c r="AV88" s="116"/>
      <c r="AW88" s="116"/>
      <c r="AX88" s="116"/>
      <c r="AY88" s="116"/>
      <c r="AZ88" s="116"/>
      <c r="BA88" s="116"/>
      <c r="BB88" s="116"/>
      <c r="BC88" s="116"/>
      <c r="BD88" s="116"/>
      <c r="BE88" s="116"/>
      <c r="BF88" s="116"/>
      <c r="BG88" s="116"/>
      <c r="BH88" s="116"/>
      <c r="BI88" s="116"/>
      <c r="BJ88" s="116"/>
      <c r="BK88" s="116"/>
      <c r="BL88" s="116"/>
      <c r="BM88" s="116"/>
      <c r="BN88" s="116"/>
      <c r="BO88" s="116"/>
      <c r="BP88" s="116"/>
      <c r="BQ88" s="116"/>
      <c r="BR88" s="116"/>
      <c r="BS88" s="116"/>
      <c r="BT88" s="116"/>
      <c r="BU88" s="116"/>
      <c r="BV88" s="116"/>
      <c r="BW88" s="116"/>
      <c r="BX88" s="6"/>
      <c r="BY88" s="6"/>
      <c r="BZ88" s="116"/>
      <c r="CA88" s="116"/>
      <c r="CB88" s="116"/>
      <c r="CC88" s="116"/>
    </row>
    <row r="89" spans="1:81" x14ac:dyDescent="0.2">
      <c r="A89" s="5"/>
      <c r="B89" s="5"/>
      <c r="C89" s="5"/>
      <c r="D89" s="5"/>
      <c r="E89" s="5"/>
      <c r="F89" s="5"/>
      <c r="G89" s="5"/>
      <c r="H89" s="5"/>
      <c r="I89" s="5"/>
      <c r="J89" s="5"/>
      <c r="K89" s="5"/>
      <c r="L89" s="37"/>
      <c r="M89" s="6"/>
      <c r="N89" s="6"/>
      <c r="O89" s="6"/>
      <c r="P89" s="6"/>
      <c r="Q89" s="123"/>
      <c r="R89" s="5"/>
      <c r="S89" s="5"/>
      <c r="T89" s="5"/>
      <c r="U89" s="5"/>
      <c r="V89" s="5"/>
      <c r="W89" s="5"/>
      <c r="X89" s="5"/>
      <c r="Y89" s="5"/>
      <c r="Z89" s="168"/>
      <c r="AA89" s="116"/>
      <c r="AB89" s="116"/>
      <c r="AC89" s="116"/>
      <c r="AD89" s="116"/>
      <c r="AE89" s="116"/>
      <c r="AF89" s="116"/>
      <c r="AG89" s="116"/>
      <c r="AH89" s="116"/>
      <c r="AI89" s="116"/>
      <c r="AJ89" s="116"/>
      <c r="AK89" s="116"/>
      <c r="AL89" s="116"/>
      <c r="AM89" s="116"/>
      <c r="AN89" s="116"/>
      <c r="AO89" s="116"/>
      <c r="AP89" s="116"/>
      <c r="AQ89" s="116"/>
      <c r="AR89" s="116"/>
      <c r="AS89" s="116"/>
      <c r="AT89" s="116"/>
      <c r="AU89" s="116"/>
      <c r="AV89" s="116"/>
      <c r="AW89" s="116"/>
      <c r="AX89" s="116"/>
      <c r="AY89" s="116"/>
      <c r="AZ89" s="116"/>
      <c r="BA89" s="116"/>
      <c r="BB89" s="116"/>
      <c r="BC89" s="116"/>
      <c r="BD89" s="116"/>
      <c r="BE89" s="116"/>
      <c r="BF89" s="116"/>
      <c r="BG89" s="116"/>
      <c r="BH89" s="116"/>
      <c r="BI89" s="116"/>
      <c r="BJ89" s="116"/>
      <c r="BK89" s="116"/>
      <c r="BL89" s="116"/>
      <c r="BM89" s="116"/>
      <c r="BN89" s="116"/>
      <c r="BO89" s="116"/>
      <c r="BP89" s="116"/>
      <c r="BQ89" s="116"/>
      <c r="BR89" s="116"/>
      <c r="BS89" s="116"/>
      <c r="BT89" s="116"/>
      <c r="BU89" s="116"/>
      <c r="BV89" s="116"/>
      <c r="BW89" s="116"/>
      <c r="BX89" s="6"/>
      <c r="BY89" s="6"/>
      <c r="BZ89" s="116"/>
      <c r="CA89" s="116"/>
      <c r="CB89" s="116"/>
      <c r="CC89" s="116"/>
    </row>
    <row r="90" spans="1:81" x14ac:dyDescent="0.2">
      <c r="A90" s="5"/>
      <c r="B90" s="5"/>
      <c r="C90" s="5"/>
      <c r="D90" s="5"/>
      <c r="E90" s="5"/>
      <c r="F90" s="5"/>
      <c r="G90" s="5"/>
      <c r="H90" s="5"/>
      <c r="I90" s="5"/>
      <c r="J90" s="5"/>
      <c r="K90" s="5"/>
      <c r="L90" s="37"/>
      <c r="M90" s="6"/>
      <c r="N90" s="6"/>
      <c r="O90" s="6"/>
      <c r="P90" s="6"/>
      <c r="Q90" s="123"/>
      <c r="R90" s="5"/>
      <c r="S90" s="5"/>
      <c r="T90" s="5"/>
      <c r="U90" s="5"/>
      <c r="V90" s="5"/>
      <c r="W90" s="5"/>
      <c r="X90" s="5"/>
      <c r="Y90" s="5"/>
      <c r="Z90" s="168"/>
      <c r="AA90" s="116"/>
      <c r="AB90" s="116"/>
      <c r="AC90" s="116"/>
      <c r="AD90" s="116"/>
      <c r="AE90" s="116"/>
      <c r="AF90" s="116"/>
      <c r="AG90" s="116"/>
      <c r="AH90" s="116"/>
      <c r="AI90" s="116"/>
      <c r="AJ90" s="116"/>
      <c r="AK90" s="116"/>
      <c r="AL90" s="116"/>
      <c r="AM90" s="116"/>
      <c r="AN90" s="116"/>
      <c r="AO90" s="116"/>
      <c r="AP90" s="116"/>
      <c r="AQ90" s="116"/>
      <c r="AR90" s="116"/>
      <c r="AS90" s="116"/>
      <c r="AT90" s="116"/>
      <c r="AU90" s="116"/>
      <c r="AV90" s="116"/>
      <c r="AW90" s="116"/>
      <c r="AX90" s="116"/>
      <c r="AY90" s="116"/>
      <c r="AZ90" s="116"/>
      <c r="BA90" s="116"/>
      <c r="BB90" s="116"/>
      <c r="BC90" s="116"/>
      <c r="BD90" s="116"/>
      <c r="BE90" s="116"/>
      <c r="BF90" s="116"/>
      <c r="BG90" s="116"/>
      <c r="BH90" s="116"/>
      <c r="BI90" s="116"/>
      <c r="BJ90" s="116"/>
      <c r="BK90" s="116"/>
      <c r="BL90" s="116"/>
      <c r="BM90" s="116"/>
      <c r="BN90" s="116"/>
      <c r="BO90" s="116"/>
      <c r="BP90" s="116"/>
      <c r="BQ90" s="116"/>
      <c r="BR90" s="116"/>
      <c r="BS90" s="116"/>
      <c r="BT90" s="116"/>
      <c r="BU90" s="116"/>
      <c r="BV90" s="116"/>
      <c r="BW90" s="116"/>
      <c r="BX90" s="6"/>
      <c r="BY90" s="6"/>
      <c r="BZ90" s="116"/>
      <c r="CA90" s="116"/>
      <c r="CB90" s="116"/>
      <c r="CC90" s="116"/>
    </row>
    <row r="91" spans="1:81" x14ac:dyDescent="0.2">
      <c r="A91" s="5"/>
      <c r="B91" s="5"/>
      <c r="C91" s="5"/>
      <c r="D91" s="5"/>
      <c r="E91" s="5"/>
      <c r="F91" s="5"/>
      <c r="G91" s="5"/>
      <c r="H91" s="5"/>
      <c r="I91" s="5"/>
      <c r="J91" s="5"/>
      <c r="K91" s="5"/>
      <c r="L91" s="37"/>
      <c r="M91" s="6"/>
      <c r="N91" s="6"/>
      <c r="O91" s="6"/>
      <c r="P91" s="6"/>
      <c r="Q91" s="123"/>
      <c r="R91" s="5"/>
      <c r="S91" s="5"/>
      <c r="T91" s="5"/>
      <c r="U91" s="5"/>
      <c r="V91" s="5"/>
      <c r="W91" s="5"/>
      <c r="X91" s="5"/>
      <c r="Y91" s="5"/>
      <c r="Z91" s="168"/>
      <c r="AA91" s="116"/>
      <c r="AB91" s="116"/>
      <c r="AC91" s="116"/>
      <c r="AD91" s="116"/>
      <c r="AE91" s="116"/>
      <c r="AF91" s="116"/>
      <c r="AG91" s="116"/>
      <c r="AH91" s="116"/>
      <c r="AI91" s="116"/>
      <c r="AJ91" s="116"/>
      <c r="AK91" s="116"/>
      <c r="AL91" s="116"/>
      <c r="AM91" s="116"/>
      <c r="AN91" s="116"/>
      <c r="AO91" s="116"/>
      <c r="AP91" s="116"/>
      <c r="AQ91" s="116"/>
      <c r="AR91" s="116"/>
      <c r="AS91" s="116"/>
      <c r="AT91" s="116"/>
      <c r="AU91" s="116"/>
      <c r="AV91" s="116"/>
      <c r="AW91" s="116"/>
      <c r="AX91" s="116"/>
      <c r="AY91" s="116"/>
      <c r="AZ91" s="116"/>
      <c r="BA91" s="116"/>
      <c r="BB91" s="116"/>
      <c r="BC91" s="116"/>
      <c r="BD91" s="116"/>
      <c r="BE91" s="116"/>
      <c r="BF91" s="116"/>
      <c r="BG91" s="116"/>
      <c r="BH91" s="116"/>
      <c r="BI91" s="116"/>
      <c r="BJ91" s="116"/>
      <c r="BK91" s="116"/>
      <c r="BL91" s="116"/>
      <c r="BM91" s="116"/>
      <c r="BN91" s="116"/>
      <c r="BO91" s="116"/>
      <c r="BP91" s="116"/>
      <c r="BQ91" s="116"/>
      <c r="BR91" s="116"/>
      <c r="BS91" s="116"/>
      <c r="BT91" s="116"/>
      <c r="BU91" s="116"/>
      <c r="BV91" s="116"/>
      <c r="BW91" s="116"/>
      <c r="BX91" s="6"/>
      <c r="BY91" s="6"/>
      <c r="BZ91" s="116"/>
      <c r="CA91" s="116"/>
      <c r="CB91" s="116"/>
      <c r="CC91" s="116"/>
    </row>
    <row r="92" spans="1:81" x14ac:dyDescent="0.2">
      <c r="A92" s="5"/>
      <c r="B92" s="5"/>
      <c r="C92" s="5"/>
      <c r="D92" s="5"/>
      <c r="E92" s="5"/>
      <c r="F92" s="5"/>
      <c r="G92" s="5"/>
      <c r="H92" s="5"/>
      <c r="I92" s="5"/>
      <c r="J92" s="5"/>
      <c r="K92" s="5"/>
      <c r="L92" s="37"/>
      <c r="M92" s="6"/>
      <c r="N92" s="6"/>
      <c r="O92" s="6"/>
      <c r="P92" s="6"/>
      <c r="Q92" s="123"/>
      <c r="R92" s="5"/>
      <c r="S92" s="5"/>
      <c r="T92" s="5"/>
      <c r="U92" s="5"/>
      <c r="V92" s="5"/>
      <c r="W92" s="5"/>
      <c r="X92" s="5"/>
      <c r="Y92" s="5"/>
      <c r="Z92" s="168"/>
      <c r="AA92" s="116"/>
      <c r="AB92" s="116"/>
      <c r="AC92" s="116"/>
      <c r="AD92" s="116"/>
      <c r="AE92" s="116"/>
      <c r="AF92" s="116"/>
      <c r="AG92" s="116"/>
      <c r="AH92" s="116"/>
      <c r="AI92" s="116"/>
      <c r="AJ92" s="116"/>
      <c r="AK92" s="116"/>
      <c r="AL92" s="116"/>
      <c r="AM92" s="116"/>
      <c r="AN92" s="116"/>
      <c r="AO92" s="116"/>
      <c r="AP92" s="116"/>
      <c r="AQ92" s="116"/>
      <c r="AR92" s="116"/>
      <c r="AS92" s="116"/>
      <c r="AT92" s="116"/>
      <c r="AU92" s="116"/>
      <c r="AV92" s="116"/>
      <c r="AW92" s="116"/>
      <c r="AX92" s="116"/>
      <c r="AY92" s="116"/>
      <c r="AZ92" s="116"/>
      <c r="BA92" s="116"/>
      <c r="BB92" s="116"/>
      <c r="BC92" s="116"/>
      <c r="BD92" s="116"/>
      <c r="BE92" s="116"/>
      <c r="BF92" s="116"/>
      <c r="BG92" s="116"/>
      <c r="BH92" s="116"/>
      <c r="BI92" s="116"/>
      <c r="BJ92" s="116"/>
      <c r="BK92" s="116"/>
      <c r="BL92" s="116"/>
      <c r="BM92" s="116"/>
      <c r="BN92" s="116"/>
      <c r="BO92" s="116"/>
      <c r="BP92" s="116"/>
      <c r="BQ92" s="116"/>
      <c r="BR92" s="116"/>
      <c r="BS92" s="116"/>
      <c r="BT92" s="116"/>
      <c r="BU92" s="116"/>
      <c r="BV92" s="116"/>
      <c r="BW92" s="116"/>
      <c r="BX92" s="6"/>
      <c r="BY92" s="6"/>
      <c r="BZ92" s="116"/>
      <c r="CA92" s="116"/>
      <c r="CB92" s="116"/>
      <c r="CC92" s="116"/>
    </row>
    <row r="93" spans="1:81" x14ac:dyDescent="0.2">
      <c r="A93" s="5"/>
      <c r="B93" s="5"/>
      <c r="C93" s="5"/>
      <c r="D93" s="5"/>
      <c r="E93" s="5"/>
      <c r="F93" s="5"/>
      <c r="G93" s="5"/>
      <c r="H93" s="5"/>
      <c r="I93" s="5"/>
      <c r="J93" s="5"/>
      <c r="K93" s="5"/>
      <c r="L93" s="37"/>
      <c r="M93" s="6"/>
      <c r="N93" s="6"/>
      <c r="O93" s="6"/>
      <c r="P93" s="6"/>
      <c r="Q93" s="123"/>
      <c r="R93" s="5"/>
      <c r="S93" s="5"/>
      <c r="T93" s="5"/>
      <c r="U93" s="5"/>
      <c r="V93" s="5"/>
      <c r="W93" s="5"/>
      <c r="X93" s="5"/>
      <c r="Y93" s="5"/>
      <c r="Z93" s="168"/>
      <c r="AA93" s="116"/>
      <c r="AB93" s="116"/>
      <c r="AC93" s="116"/>
      <c r="AD93" s="116"/>
      <c r="AE93" s="116"/>
      <c r="AF93" s="116"/>
      <c r="AG93" s="116"/>
      <c r="AH93" s="116"/>
      <c r="AI93" s="116"/>
      <c r="AJ93" s="116"/>
      <c r="AK93" s="116"/>
      <c r="AL93" s="116"/>
      <c r="AM93" s="116"/>
      <c r="AN93" s="116"/>
      <c r="AO93" s="116"/>
      <c r="AP93" s="116"/>
      <c r="AQ93" s="116"/>
      <c r="AR93" s="116"/>
      <c r="AS93" s="116"/>
      <c r="AT93" s="116"/>
      <c r="AU93" s="116"/>
      <c r="AV93" s="116"/>
      <c r="AW93" s="116"/>
      <c r="AX93" s="116"/>
      <c r="AY93" s="116"/>
      <c r="AZ93" s="116"/>
      <c r="BA93" s="116"/>
      <c r="BB93" s="116"/>
      <c r="BC93" s="116"/>
      <c r="BD93" s="116"/>
      <c r="BE93" s="116"/>
      <c r="BF93" s="116"/>
      <c r="BG93" s="116"/>
      <c r="BH93" s="116"/>
      <c r="BI93" s="116"/>
      <c r="BJ93" s="116"/>
      <c r="BK93" s="116"/>
      <c r="BL93" s="116"/>
      <c r="BM93" s="116"/>
      <c r="BN93" s="116"/>
      <c r="BO93" s="116"/>
      <c r="BP93" s="116"/>
      <c r="BQ93" s="116"/>
      <c r="BR93" s="116"/>
      <c r="BS93" s="116"/>
      <c r="BT93" s="116"/>
      <c r="BU93" s="116"/>
      <c r="BV93" s="116"/>
      <c r="BW93" s="116"/>
      <c r="BX93" s="6"/>
      <c r="BY93" s="6"/>
      <c r="BZ93" s="116"/>
      <c r="CA93" s="116"/>
      <c r="CB93" s="116"/>
      <c r="CC93" s="116"/>
    </row>
    <row r="94" spans="1:81" x14ac:dyDescent="0.2">
      <c r="A94" s="5"/>
      <c r="B94" s="5"/>
      <c r="C94" s="5"/>
      <c r="D94" s="5"/>
      <c r="E94" s="5"/>
      <c r="F94" s="5"/>
      <c r="G94" s="5"/>
      <c r="H94" s="5"/>
      <c r="I94" s="5"/>
      <c r="J94" s="5"/>
      <c r="K94" s="5"/>
      <c r="L94" s="37"/>
      <c r="M94" s="6"/>
      <c r="N94" s="6"/>
      <c r="O94" s="6"/>
      <c r="P94" s="6"/>
      <c r="Q94" s="123"/>
      <c r="R94" s="5"/>
      <c r="S94" s="5"/>
      <c r="T94" s="5"/>
      <c r="U94" s="5"/>
      <c r="V94" s="5"/>
      <c r="W94" s="5"/>
      <c r="X94" s="5"/>
      <c r="Y94" s="5"/>
      <c r="Z94" s="168"/>
      <c r="AA94" s="116"/>
      <c r="AB94" s="116"/>
      <c r="AC94" s="116"/>
      <c r="AD94" s="116"/>
      <c r="AE94" s="116"/>
      <c r="AF94" s="116"/>
      <c r="AG94" s="116"/>
      <c r="AH94" s="116"/>
      <c r="AI94" s="116"/>
      <c r="AJ94" s="116"/>
      <c r="AK94" s="116"/>
      <c r="AL94" s="116"/>
      <c r="AM94" s="116"/>
      <c r="AN94" s="116"/>
      <c r="AO94" s="116"/>
      <c r="AP94" s="116"/>
      <c r="AQ94" s="116"/>
      <c r="AR94" s="116"/>
      <c r="AS94" s="116"/>
      <c r="AT94" s="116"/>
      <c r="AU94" s="116"/>
      <c r="AV94" s="116"/>
      <c r="AW94" s="116"/>
      <c r="AX94" s="116"/>
      <c r="AY94" s="116"/>
      <c r="AZ94" s="116"/>
      <c r="BA94" s="116"/>
      <c r="BB94" s="116"/>
      <c r="BC94" s="116"/>
      <c r="BD94" s="116"/>
      <c r="BE94" s="116"/>
      <c r="BF94" s="116"/>
      <c r="BG94" s="116"/>
      <c r="BH94" s="116"/>
      <c r="BI94" s="116"/>
      <c r="BJ94" s="116"/>
      <c r="BK94" s="116"/>
      <c r="BL94" s="116"/>
      <c r="BM94" s="116"/>
      <c r="BN94" s="116"/>
      <c r="BO94" s="116"/>
      <c r="BP94" s="116"/>
      <c r="BQ94" s="116"/>
      <c r="BR94" s="116"/>
      <c r="BS94" s="116"/>
      <c r="BT94" s="116"/>
      <c r="BU94" s="116"/>
      <c r="BV94" s="116"/>
      <c r="BW94" s="116"/>
      <c r="BX94" s="6"/>
      <c r="BY94" s="6"/>
      <c r="BZ94" s="116"/>
      <c r="CA94" s="116"/>
      <c r="CB94" s="116"/>
      <c r="CC94" s="116"/>
    </row>
    <row r="95" spans="1:81" x14ac:dyDescent="0.2">
      <c r="A95" s="5"/>
      <c r="B95" s="5"/>
      <c r="C95" s="5"/>
      <c r="D95" s="5"/>
      <c r="E95" s="5"/>
      <c r="F95" s="5"/>
      <c r="G95" s="5"/>
      <c r="H95" s="5"/>
      <c r="I95" s="5"/>
      <c r="J95" s="5"/>
      <c r="K95" s="5"/>
      <c r="L95" s="37"/>
      <c r="M95" s="6"/>
      <c r="N95" s="6"/>
      <c r="O95" s="6"/>
      <c r="P95" s="6"/>
      <c r="Q95" s="123"/>
      <c r="R95" s="5"/>
      <c r="S95" s="5"/>
      <c r="T95" s="5"/>
      <c r="U95" s="5"/>
      <c r="V95" s="5"/>
      <c r="W95" s="5"/>
      <c r="X95" s="5"/>
      <c r="Y95" s="5"/>
      <c r="Z95" s="168"/>
      <c r="AA95" s="116"/>
      <c r="AB95" s="116"/>
      <c r="AC95" s="116"/>
      <c r="AD95" s="116"/>
      <c r="AE95" s="116"/>
      <c r="AF95" s="116"/>
      <c r="AG95" s="116"/>
      <c r="AH95" s="116"/>
      <c r="AI95" s="116"/>
      <c r="AJ95" s="116"/>
      <c r="AK95" s="116"/>
      <c r="AL95" s="116"/>
      <c r="AM95" s="116"/>
      <c r="AN95" s="116"/>
      <c r="AO95" s="116"/>
      <c r="AP95" s="116"/>
      <c r="AQ95" s="116"/>
      <c r="AR95" s="116"/>
      <c r="AS95" s="116"/>
      <c r="AT95" s="116"/>
      <c r="AU95" s="116"/>
      <c r="AV95" s="116"/>
      <c r="AW95" s="116"/>
      <c r="AX95" s="116"/>
      <c r="AY95" s="116"/>
      <c r="AZ95" s="116"/>
      <c r="BA95" s="116"/>
      <c r="BB95" s="116"/>
      <c r="BC95" s="116"/>
      <c r="BD95" s="116"/>
      <c r="BE95" s="116"/>
      <c r="BF95" s="116"/>
      <c r="BG95" s="116"/>
      <c r="BH95" s="116"/>
      <c r="BI95" s="116"/>
      <c r="BJ95" s="116"/>
      <c r="BK95" s="116"/>
      <c r="BL95" s="116"/>
      <c r="BM95" s="116"/>
      <c r="BN95" s="116"/>
      <c r="BO95" s="116"/>
      <c r="BP95" s="116"/>
      <c r="BQ95" s="116"/>
      <c r="BR95" s="116"/>
      <c r="BS95" s="116"/>
      <c r="BT95" s="116"/>
      <c r="BU95" s="116"/>
      <c r="BV95" s="116"/>
      <c r="BW95" s="116"/>
      <c r="BX95" s="6"/>
      <c r="BY95" s="6"/>
      <c r="BZ95" s="116"/>
      <c r="CA95" s="116"/>
      <c r="CB95" s="116"/>
      <c r="CC95" s="116"/>
    </row>
    <row r="96" spans="1:81" x14ac:dyDescent="0.2">
      <c r="A96" s="5"/>
      <c r="B96" s="5"/>
      <c r="C96" s="5"/>
      <c r="D96" s="5"/>
      <c r="E96" s="5"/>
      <c r="F96" s="5"/>
      <c r="G96" s="5"/>
      <c r="H96" s="5"/>
      <c r="I96" s="5"/>
      <c r="J96" s="5"/>
      <c r="K96" s="5"/>
      <c r="L96" s="37"/>
      <c r="M96" s="6"/>
      <c r="N96" s="6"/>
      <c r="O96" s="6"/>
      <c r="P96" s="6"/>
      <c r="Q96" s="123"/>
      <c r="R96" s="5"/>
      <c r="S96" s="5"/>
      <c r="T96" s="5"/>
      <c r="U96" s="5"/>
      <c r="V96" s="5"/>
      <c r="W96" s="5"/>
      <c r="X96" s="5"/>
      <c r="Y96" s="5"/>
      <c r="Z96" s="168"/>
      <c r="AA96" s="116"/>
      <c r="AB96" s="116"/>
      <c r="AC96" s="116"/>
      <c r="AD96" s="116"/>
      <c r="AE96" s="116"/>
      <c r="AF96" s="116"/>
      <c r="AG96" s="116"/>
      <c r="AH96" s="116"/>
      <c r="AI96" s="116"/>
      <c r="AJ96" s="116"/>
      <c r="AK96" s="116"/>
      <c r="AL96" s="116"/>
      <c r="AM96" s="116"/>
      <c r="AN96" s="116"/>
      <c r="AO96" s="116"/>
      <c r="AP96" s="116"/>
      <c r="AQ96" s="116"/>
      <c r="AR96" s="116"/>
      <c r="AS96" s="116"/>
      <c r="AT96" s="116"/>
      <c r="AU96" s="116"/>
      <c r="AV96" s="116"/>
      <c r="AW96" s="116"/>
      <c r="AX96" s="116"/>
      <c r="AY96" s="116"/>
      <c r="AZ96" s="116"/>
      <c r="BA96" s="116"/>
      <c r="BB96" s="116"/>
      <c r="BC96" s="116"/>
      <c r="BD96" s="116"/>
      <c r="BE96" s="116"/>
      <c r="BF96" s="116"/>
      <c r="BG96" s="116"/>
      <c r="BH96" s="116"/>
      <c r="BI96" s="116"/>
      <c r="BJ96" s="116"/>
      <c r="BK96" s="116"/>
      <c r="BL96" s="116"/>
      <c r="BM96" s="116"/>
      <c r="BN96" s="116"/>
      <c r="BO96" s="116"/>
      <c r="BP96" s="116"/>
      <c r="BQ96" s="116"/>
      <c r="BR96" s="116"/>
      <c r="BS96" s="116"/>
      <c r="BT96" s="116"/>
      <c r="BU96" s="116"/>
      <c r="BV96" s="116"/>
      <c r="BW96" s="116"/>
      <c r="BX96" s="6"/>
      <c r="BY96" s="6"/>
      <c r="BZ96" s="116"/>
      <c r="CA96" s="116"/>
      <c r="CB96" s="116"/>
      <c r="CC96" s="116"/>
    </row>
    <row r="97" spans="18:25" x14ac:dyDescent="0.2">
      <c r="R97" s="5"/>
      <c r="S97" s="5"/>
      <c r="T97" s="5"/>
      <c r="U97" s="5"/>
      <c r="V97" s="5"/>
      <c r="W97" s="5"/>
      <c r="X97" s="5"/>
      <c r="Y97" s="5"/>
    </row>
    <row r="98" spans="18:25" x14ac:dyDescent="0.2">
      <c r="R98" s="5"/>
      <c r="S98" s="5"/>
      <c r="T98" s="5"/>
      <c r="U98" s="5"/>
      <c r="V98" s="5"/>
      <c r="W98" s="5"/>
      <c r="X98" s="5"/>
      <c r="Y98" s="5"/>
    </row>
    <row r="99" spans="18:25" x14ac:dyDescent="0.2">
      <c r="R99" s="5"/>
      <c r="S99" s="5"/>
      <c r="T99" s="5"/>
      <c r="U99" s="5"/>
      <c r="V99" s="5"/>
      <c r="W99" s="5"/>
      <c r="X99" s="5"/>
      <c r="Y99" s="5"/>
    </row>
    <row r="100" spans="18:25" x14ac:dyDescent="0.2">
      <c r="R100" s="5"/>
      <c r="S100" s="5"/>
      <c r="T100" s="5"/>
      <c r="U100" s="5"/>
      <c r="V100" s="5"/>
      <c r="W100" s="5"/>
      <c r="X100" s="5"/>
      <c r="Y100" s="5"/>
    </row>
    <row r="101" spans="18:25" x14ac:dyDescent="0.2">
      <c r="R101" s="5"/>
      <c r="S101" s="5"/>
      <c r="T101" s="5"/>
      <c r="U101" s="5"/>
      <c r="V101" s="5"/>
      <c r="W101" s="5"/>
      <c r="X101" s="5"/>
      <c r="Y101" s="5"/>
    </row>
    <row r="102" spans="18:25" x14ac:dyDescent="0.2">
      <c r="R102" s="5"/>
      <c r="S102" s="5"/>
      <c r="T102" s="5"/>
      <c r="U102" s="5"/>
      <c r="V102" s="5"/>
      <c r="W102" s="5"/>
      <c r="X102" s="5"/>
      <c r="Y102" s="5"/>
    </row>
    <row r="103" spans="18:25" x14ac:dyDescent="0.2">
      <c r="R103" s="5"/>
      <c r="S103" s="5"/>
      <c r="T103" s="5"/>
      <c r="U103" s="5"/>
      <c r="V103" s="5"/>
      <c r="W103" s="5"/>
      <c r="X103" s="5"/>
      <c r="Y103" s="5"/>
    </row>
    <row r="104" spans="18:25" x14ac:dyDescent="0.2">
      <c r="R104" s="5"/>
      <c r="S104" s="5"/>
      <c r="T104" s="5"/>
      <c r="U104" s="5"/>
      <c r="V104" s="5"/>
      <c r="W104" s="5"/>
      <c r="X104" s="5"/>
      <c r="Y104" s="5"/>
    </row>
    <row r="105" spans="18:25" x14ac:dyDescent="0.2">
      <c r="R105" s="5"/>
      <c r="S105" s="5"/>
      <c r="T105" s="5"/>
      <c r="U105" s="5"/>
      <c r="V105" s="5"/>
      <c r="W105" s="5"/>
      <c r="X105" s="5"/>
      <c r="Y105" s="5"/>
    </row>
    <row r="106" spans="18:25" x14ac:dyDescent="0.2">
      <c r="R106" s="5"/>
      <c r="S106" s="5"/>
      <c r="T106" s="5"/>
      <c r="U106" s="5"/>
      <c r="V106" s="5"/>
      <c r="W106" s="5"/>
      <c r="X106" s="5"/>
      <c r="Y106" s="5"/>
    </row>
    <row r="107" spans="18:25" x14ac:dyDescent="0.2">
      <c r="R107" s="5"/>
      <c r="S107" s="5"/>
      <c r="T107" s="5"/>
      <c r="U107" s="5"/>
      <c r="V107" s="5"/>
      <c r="W107" s="5"/>
      <c r="X107" s="5"/>
      <c r="Y107" s="5"/>
    </row>
    <row r="108" spans="18:25" x14ac:dyDescent="0.2">
      <c r="R108" s="5"/>
      <c r="S108" s="5"/>
      <c r="T108" s="5"/>
      <c r="U108" s="5"/>
      <c r="V108" s="5"/>
      <c r="W108" s="5"/>
      <c r="X108" s="5"/>
      <c r="Y108" s="5"/>
    </row>
    <row r="109" spans="18:25" x14ac:dyDescent="0.2">
      <c r="R109" s="5"/>
      <c r="S109" s="5"/>
      <c r="T109" s="5"/>
      <c r="U109" s="5"/>
      <c r="V109" s="5"/>
      <c r="W109" s="5"/>
      <c r="X109" s="5"/>
      <c r="Y109" s="5"/>
    </row>
    <row r="110" spans="18:25" x14ac:dyDescent="0.2">
      <c r="R110" s="5"/>
      <c r="S110" s="5"/>
      <c r="T110" s="5"/>
      <c r="U110" s="5"/>
      <c r="V110" s="5"/>
      <c r="W110" s="5"/>
      <c r="X110" s="5"/>
      <c r="Y110" s="5"/>
    </row>
    <row r="111" spans="18:25" x14ac:dyDescent="0.2">
      <c r="R111" s="5"/>
      <c r="S111" s="5"/>
      <c r="T111" s="5"/>
      <c r="U111" s="5"/>
      <c r="V111" s="5"/>
      <c r="W111" s="5"/>
      <c r="X111" s="5"/>
      <c r="Y111" s="5"/>
    </row>
    <row r="112" spans="18:25" x14ac:dyDescent="0.2">
      <c r="R112" s="5"/>
      <c r="S112" s="5"/>
      <c r="T112" s="5"/>
      <c r="U112" s="5"/>
      <c r="V112" s="5"/>
      <c r="W112" s="5"/>
      <c r="X112" s="5"/>
      <c r="Y112" s="5"/>
    </row>
    <row r="113" spans="18:25" x14ac:dyDescent="0.2">
      <c r="R113" s="5"/>
      <c r="S113" s="5"/>
      <c r="T113" s="5"/>
      <c r="U113" s="5"/>
      <c r="V113" s="5"/>
      <c r="W113" s="5"/>
      <c r="X113" s="5"/>
      <c r="Y113" s="5"/>
    </row>
    <row r="114" spans="18:25" x14ac:dyDescent="0.2">
      <c r="R114" s="5"/>
      <c r="S114" s="5"/>
      <c r="T114" s="5"/>
      <c r="U114" s="5"/>
      <c r="V114" s="5"/>
      <c r="W114" s="5"/>
      <c r="X114" s="5"/>
      <c r="Y114" s="5"/>
    </row>
    <row r="115" spans="18:25" x14ac:dyDescent="0.2">
      <c r="R115" s="5"/>
      <c r="S115" s="5"/>
      <c r="T115" s="5"/>
      <c r="U115" s="5"/>
      <c r="V115" s="5"/>
      <c r="W115" s="5"/>
      <c r="X115" s="5"/>
      <c r="Y115" s="5"/>
    </row>
    <row r="116" spans="18:25" x14ac:dyDescent="0.2">
      <c r="R116" s="5"/>
      <c r="S116" s="5"/>
      <c r="T116" s="5"/>
      <c r="U116" s="5"/>
      <c r="V116" s="5"/>
      <c r="W116" s="5"/>
      <c r="X116" s="5"/>
      <c r="Y116" s="5"/>
    </row>
    <row r="117" spans="18:25" x14ac:dyDescent="0.2">
      <c r="R117" s="5"/>
      <c r="S117" s="5"/>
      <c r="T117" s="5"/>
      <c r="U117" s="5"/>
      <c r="V117" s="5"/>
      <c r="W117" s="5"/>
      <c r="X117" s="5"/>
      <c r="Y117" s="5"/>
    </row>
    <row r="118" spans="18:25" x14ac:dyDescent="0.2">
      <c r="R118" s="5"/>
      <c r="S118" s="5"/>
      <c r="T118" s="5"/>
      <c r="U118" s="5"/>
      <c r="V118" s="5"/>
      <c r="W118" s="5"/>
      <c r="X118" s="5"/>
      <c r="Y118" s="5"/>
    </row>
    <row r="119" spans="18:25" x14ac:dyDescent="0.2">
      <c r="R119" s="5"/>
      <c r="S119" s="5"/>
      <c r="T119" s="5"/>
      <c r="U119" s="5"/>
      <c r="V119" s="5"/>
      <c r="W119" s="5"/>
      <c r="X119" s="5"/>
      <c r="Y119" s="5"/>
    </row>
    <row r="120" spans="18:25" x14ac:dyDescent="0.2">
      <c r="R120" s="5"/>
      <c r="S120" s="5"/>
      <c r="T120" s="5"/>
      <c r="U120" s="5"/>
      <c r="V120" s="5"/>
      <c r="W120" s="5"/>
      <c r="X120" s="5"/>
      <c r="Y120" s="5"/>
    </row>
    <row r="121" spans="18:25" x14ac:dyDescent="0.2">
      <c r="R121" s="5"/>
      <c r="S121" s="5"/>
      <c r="T121" s="5"/>
      <c r="U121" s="5"/>
      <c r="V121" s="5"/>
      <c r="W121" s="5"/>
      <c r="X121" s="5"/>
      <c r="Y121" s="5"/>
    </row>
    <row r="122" spans="18:25" x14ac:dyDescent="0.2">
      <c r="R122" s="5"/>
      <c r="S122" s="5"/>
      <c r="T122" s="5"/>
      <c r="U122" s="5"/>
      <c r="V122" s="5"/>
      <c r="W122" s="5"/>
      <c r="X122" s="5"/>
      <c r="Y122" s="5"/>
    </row>
    <row r="123" spans="18:25" x14ac:dyDescent="0.2">
      <c r="R123" s="5"/>
      <c r="S123" s="5"/>
      <c r="T123" s="5"/>
      <c r="U123" s="5"/>
      <c r="V123" s="5"/>
      <c r="W123" s="5"/>
      <c r="X123" s="5"/>
      <c r="Y123" s="5"/>
    </row>
    <row r="124" spans="18:25" x14ac:dyDescent="0.2">
      <c r="R124" s="5"/>
      <c r="S124" s="5"/>
      <c r="T124" s="5"/>
      <c r="U124" s="5"/>
      <c r="V124" s="5"/>
      <c r="W124" s="5"/>
      <c r="X124" s="5"/>
      <c r="Y124" s="5"/>
    </row>
    <row r="125" spans="18:25" x14ac:dyDescent="0.2">
      <c r="R125" s="5"/>
      <c r="S125" s="5"/>
      <c r="T125" s="5"/>
      <c r="U125" s="5"/>
      <c r="V125" s="5"/>
      <c r="W125" s="5"/>
      <c r="X125" s="5"/>
      <c r="Y125" s="5"/>
    </row>
    <row r="126" spans="18:25" x14ac:dyDescent="0.2">
      <c r="R126" s="5"/>
      <c r="S126" s="5"/>
      <c r="T126" s="5"/>
      <c r="U126" s="5"/>
      <c r="V126" s="5"/>
      <c r="W126" s="5"/>
      <c r="X126" s="5"/>
      <c r="Y126" s="5"/>
    </row>
    <row r="127" spans="18:25" x14ac:dyDescent="0.2">
      <c r="R127" s="5"/>
      <c r="S127" s="5"/>
      <c r="T127" s="5"/>
      <c r="U127" s="5"/>
      <c r="V127" s="5"/>
      <c r="W127" s="5"/>
      <c r="X127" s="5"/>
      <c r="Y127" s="5"/>
    </row>
    <row r="128" spans="18:25" x14ac:dyDescent="0.2">
      <c r="R128" s="5"/>
      <c r="S128" s="5"/>
      <c r="T128" s="5"/>
      <c r="U128" s="5"/>
      <c r="V128" s="5"/>
      <c r="W128" s="5"/>
      <c r="X128" s="5"/>
      <c r="Y128" s="5"/>
    </row>
    <row r="129" spans="18:25" x14ac:dyDescent="0.2">
      <c r="R129" s="5"/>
      <c r="S129" s="5"/>
      <c r="T129" s="5"/>
      <c r="U129" s="5"/>
      <c r="V129" s="5"/>
      <c r="W129" s="5"/>
      <c r="X129" s="5"/>
      <c r="Y129" s="5"/>
    </row>
    <row r="130" spans="18:25" x14ac:dyDescent="0.2">
      <c r="R130" s="5"/>
      <c r="S130" s="5"/>
      <c r="T130" s="5"/>
      <c r="U130" s="5"/>
      <c r="V130" s="5"/>
      <c r="W130" s="5"/>
      <c r="X130" s="5"/>
      <c r="Y130" s="5"/>
    </row>
    <row r="131" spans="18:25" x14ac:dyDescent="0.2">
      <c r="R131" s="5"/>
      <c r="S131" s="5"/>
      <c r="T131" s="5"/>
      <c r="U131" s="5"/>
      <c r="V131" s="5"/>
      <c r="W131" s="5"/>
      <c r="X131" s="5"/>
      <c r="Y131" s="5"/>
    </row>
    <row r="132" spans="18:25" x14ac:dyDescent="0.2">
      <c r="R132" s="5"/>
      <c r="S132" s="5"/>
      <c r="T132" s="5"/>
      <c r="U132" s="5"/>
      <c r="V132" s="5"/>
      <c r="W132" s="5"/>
      <c r="X132" s="5"/>
      <c r="Y132" s="5"/>
    </row>
    <row r="133" spans="18:25" x14ac:dyDescent="0.2">
      <c r="R133" s="5"/>
      <c r="S133" s="5"/>
      <c r="T133" s="5"/>
      <c r="U133" s="5"/>
      <c r="V133" s="5"/>
      <c r="W133" s="5"/>
      <c r="X133" s="5"/>
      <c r="Y133" s="5"/>
    </row>
    <row r="134" spans="18:25" x14ac:dyDescent="0.2">
      <c r="R134" s="5"/>
      <c r="S134" s="5"/>
      <c r="T134" s="5"/>
      <c r="U134" s="5"/>
      <c r="V134" s="5"/>
      <c r="W134" s="5"/>
      <c r="X134" s="5"/>
      <c r="Y134" s="5"/>
    </row>
    <row r="135" spans="18:25" x14ac:dyDescent="0.2">
      <c r="R135" s="5"/>
      <c r="S135" s="5"/>
      <c r="T135" s="5"/>
      <c r="U135" s="5"/>
      <c r="V135" s="5"/>
      <c r="W135" s="5"/>
      <c r="X135" s="5"/>
      <c r="Y135" s="5"/>
    </row>
    <row r="136" spans="18:25" x14ac:dyDescent="0.2">
      <c r="R136" s="5"/>
      <c r="S136" s="5"/>
      <c r="T136" s="5"/>
      <c r="U136" s="5"/>
      <c r="V136" s="5"/>
      <c r="W136" s="5"/>
      <c r="X136" s="5"/>
      <c r="Y136" s="5"/>
    </row>
    <row r="137" spans="18:25" x14ac:dyDescent="0.2">
      <c r="R137" s="5"/>
      <c r="S137" s="5"/>
      <c r="T137" s="5"/>
      <c r="U137" s="5"/>
      <c r="V137" s="5"/>
      <c r="W137" s="5"/>
      <c r="X137" s="5"/>
      <c r="Y137" s="5"/>
    </row>
    <row r="138" spans="18:25" x14ac:dyDescent="0.2">
      <c r="R138" s="5"/>
      <c r="S138" s="5"/>
      <c r="T138" s="5"/>
      <c r="U138" s="5"/>
      <c r="V138" s="5"/>
      <c r="W138" s="5"/>
      <c r="X138" s="5"/>
      <c r="Y138" s="5"/>
    </row>
    <row r="139" spans="18:25" x14ac:dyDescent="0.2">
      <c r="R139" s="5"/>
      <c r="S139" s="5"/>
      <c r="T139" s="5"/>
      <c r="U139" s="5"/>
      <c r="V139" s="5"/>
      <c r="W139" s="5"/>
      <c r="X139" s="5"/>
      <c r="Y139" s="5"/>
    </row>
    <row r="140" spans="18:25" x14ac:dyDescent="0.2">
      <c r="R140" s="5"/>
      <c r="S140" s="5"/>
      <c r="T140" s="5"/>
      <c r="U140" s="5"/>
      <c r="V140" s="5"/>
      <c r="W140" s="5"/>
      <c r="X140" s="5"/>
      <c r="Y140" s="5"/>
    </row>
    <row r="141" spans="18:25" x14ac:dyDescent="0.2">
      <c r="R141" s="5"/>
      <c r="S141" s="5"/>
      <c r="T141" s="5"/>
      <c r="U141" s="5"/>
      <c r="V141" s="5"/>
      <c r="W141" s="5"/>
      <c r="X141" s="5"/>
      <c r="Y141" s="5"/>
    </row>
    <row r="142" spans="18:25" x14ac:dyDescent="0.2">
      <c r="R142" s="5"/>
      <c r="S142" s="5"/>
      <c r="T142" s="5"/>
      <c r="U142" s="5"/>
      <c r="V142" s="5"/>
      <c r="W142" s="5"/>
      <c r="X142" s="5"/>
      <c r="Y142" s="5"/>
    </row>
    <row r="143" spans="18:25" x14ac:dyDescent="0.2">
      <c r="R143" s="5"/>
      <c r="S143" s="5"/>
      <c r="T143" s="5"/>
      <c r="U143" s="5"/>
      <c r="V143" s="5"/>
      <c r="W143" s="5"/>
      <c r="X143" s="5"/>
      <c r="Y143" s="5"/>
    </row>
    <row r="144" spans="18:25" x14ac:dyDescent="0.2">
      <c r="R144" s="5"/>
      <c r="S144" s="5"/>
      <c r="T144" s="5"/>
      <c r="U144" s="5"/>
      <c r="V144" s="5"/>
      <c r="W144" s="5"/>
      <c r="X144" s="5"/>
      <c r="Y144" s="5"/>
    </row>
    <row r="145" spans="18:25" x14ac:dyDescent="0.2">
      <c r="R145" s="5"/>
      <c r="S145" s="5"/>
      <c r="T145" s="5"/>
      <c r="U145" s="5"/>
      <c r="V145" s="5"/>
      <c r="W145" s="5"/>
      <c r="X145" s="5"/>
      <c r="Y145" s="5"/>
    </row>
    <row r="146" spans="18:25" x14ac:dyDescent="0.2">
      <c r="R146" s="5"/>
      <c r="S146" s="5"/>
      <c r="T146" s="5"/>
      <c r="U146" s="5"/>
      <c r="V146" s="5"/>
      <c r="W146" s="5"/>
      <c r="X146" s="5"/>
      <c r="Y146" s="5"/>
    </row>
    <row r="147" spans="18:25" x14ac:dyDescent="0.2">
      <c r="R147" s="5"/>
      <c r="S147" s="5"/>
      <c r="T147" s="5"/>
      <c r="U147" s="5"/>
      <c r="V147" s="5"/>
      <c r="W147" s="5"/>
      <c r="X147" s="5"/>
      <c r="Y147" s="5"/>
    </row>
    <row r="148" spans="18:25" x14ac:dyDescent="0.2">
      <c r="R148" s="5"/>
      <c r="S148" s="5"/>
      <c r="T148" s="5"/>
      <c r="U148" s="5"/>
      <c r="V148" s="5"/>
      <c r="W148" s="5"/>
      <c r="X148" s="5"/>
      <c r="Y148" s="5"/>
    </row>
    <row r="149" spans="18:25" x14ac:dyDescent="0.2">
      <c r="R149" s="5"/>
      <c r="S149" s="5"/>
      <c r="T149" s="5"/>
      <c r="U149" s="5"/>
      <c r="V149" s="5"/>
      <c r="W149" s="5"/>
      <c r="X149" s="5"/>
      <c r="Y149" s="5"/>
    </row>
    <row r="150" spans="18:25" x14ac:dyDescent="0.2">
      <c r="R150" s="5"/>
      <c r="S150" s="5"/>
      <c r="T150" s="5"/>
      <c r="U150" s="5"/>
      <c r="V150" s="5"/>
      <c r="W150" s="5"/>
      <c r="X150" s="5"/>
      <c r="Y150" s="5"/>
    </row>
    <row r="151" spans="18:25" x14ac:dyDescent="0.2">
      <c r="R151" s="5"/>
      <c r="S151" s="5"/>
      <c r="T151" s="5"/>
      <c r="U151" s="5"/>
      <c r="V151" s="5"/>
      <c r="W151" s="5"/>
      <c r="X151" s="5"/>
      <c r="Y151" s="5"/>
    </row>
    <row r="152" spans="18:25" x14ac:dyDescent="0.2">
      <c r="R152" s="5"/>
      <c r="S152" s="5"/>
      <c r="T152" s="5"/>
      <c r="U152" s="5"/>
      <c r="V152" s="5"/>
      <c r="W152" s="5"/>
      <c r="X152" s="5"/>
      <c r="Y152" s="5"/>
    </row>
    <row r="153" spans="18:25" x14ac:dyDescent="0.2">
      <c r="R153" s="5"/>
      <c r="S153" s="5"/>
      <c r="T153" s="5"/>
      <c r="U153" s="5"/>
      <c r="V153" s="5"/>
      <c r="W153" s="5"/>
      <c r="X153" s="5"/>
      <c r="Y153" s="5"/>
    </row>
    <row r="154" spans="18:25" x14ac:dyDescent="0.2">
      <c r="R154" s="5"/>
      <c r="S154" s="5"/>
      <c r="T154" s="5"/>
      <c r="U154" s="5"/>
      <c r="V154" s="5"/>
      <c r="W154" s="5"/>
      <c r="X154" s="5"/>
      <c r="Y154" s="5"/>
    </row>
    <row r="155" spans="18:25" x14ac:dyDescent="0.2">
      <c r="R155" s="5"/>
      <c r="S155" s="5"/>
      <c r="T155" s="5"/>
      <c r="U155" s="5"/>
      <c r="V155" s="5"/>
      <c r="W155" s="5"/>
      <c r="X155" s="5"/>
      <c r="Y155" s="5"/>
    </row>
    <row r="156" spans="18:25" x14ac:dyDescent="0.2">
      <c r="R156" s="5"/>
      <c r="S156" s="5"/>
      <c r="T156" s="5"/>
      <c r="U156" s="5"/>
      <c r="V156" s="5"/>
      <c r="W156" s="5"/>
      <c r="X156" s="5"/>
      <c r="Y156" s="5"/>
    </row>
    <row r="157" spans="18:25" x14ac:dyDescent="0.2">
      <c r="R157" s="5"/>
      <c r="S157" s="5"/>
      <c r="T157" s="5"/>
      <c r="U157" s="5"/>
      <c r="V157" s="5"/>
      <c r="W157" s="5"/>
      <c r="X157" s="5"/>
      <c r="Y157" s="5"/>
    </row>
    <row r="158" spans="18:25" x14ac:dyDescent="0.2">
      <c r="R158" s="5"/>
      <c r="S158" s="5"/>
      <c r="T158" s="5"/>
      <c r="U158" s="5"/>
      <c r="V158" s="5"/>
      <c r="W158" s="5"/>
      <c r="X158" s="5"/>
      <c r="Y158" s="5"/>
    </row>
    <row r="159" spans="18:25" x14ac:dyDescent="0.2">
      <c r="R159" s="5"/>
      <c r="S159" s="5"/>
      <c r="T159" s="5"/>
      <c r="U159" s="5"/>
      <c r="V159" s="5"/>
      <c r="W159" s="5"/>
      <c r="X159" s="5"/>
      <c r="Y159" s="5"/>
    </row>
    <row r="160" spans="18:25" x14ac:dyDescent="0.2">
      <c r="R160" s="5"/>
      <c r="S160" s="5"/>
      <c r="T160" s="5"/>
      <c r="U160" s="5"/>
      <c r="V160" s="5"/>
      <c r="W160" s="5"/>
      <c r="X160" s="5"/>
      <c r="Y160" s="5"/>
    </row>
    <row r="161" spans="18:25" x14ac:dyDescent="0.2">
      <c r="R161" s="5"/>
      <c r="S161" s="5"/>
      <c r="T161" s="5"/>
      <c r="U161" s="5"/>
      <c r="V161" s="5"/>
      <c r="W161" s="5"/>
      <c r="X161" s="5"/>
      <c r="Y161" s="5"/>
    </row>
    <row r="162" spans="18:25" x14ac:dyDescent="0.2">
      <c r="R162" s="5"/>
      <c r="S162" s="5"/>
      <c r="T162" s="5"/>
      <c r="U162" s="5"/>
      <c r="V162" s="5"/>
      <c r="W162" s="5"/>
      <c r="X162" s="5"/>
      <c r="Y162" s="5"/>
    </row>
    <row r="163" spans="18:25" x14ac:dyDescent="0.2">
      <c r="R163" s="5"/>
      <c r="S163" s="5"/>
      <c r="T163" s="5"/>
      <c r="U163" s="5"/>
      <c r="V163" s="5"/>
      <c r="W163" s="5"/>
      <c r="X163" s="5"/>
      <c r="Y163" s="5"/>
    </row>
    <row r="164" spans="18:25" x14ac:dyDescent="0.2">
      <c r="R164" s="5"/>
      <c r="S164" s="5"/>
      <c r="T164" s="5"/>
      <c r="U164" s="5"/>
      <c r="V164" s="5"/>
      <c r="W164" s="5"/>
      <c r="X164" s="5"/>
      <c r="Y164" s="5"/>
    </row>
    <row r="165" spans="18:25" x14ac:dyDescent="0.2">
      <c r="R165" s="5"/>
      <c r="S165" s="5"/>
      <c r="T165" s="5"/>
      <c r="U165" s="5"/>
      <c r="V165" s="5"/>
      <c r="W165" s="5"/>
      <c r="X165" s="5"/>
      <c r="Y165" s="5"/>
    </row>
    <row r="166" spans="18:25" x14ac:dyDescent="0.2">
      <c r="R166" s="5"/>
      <c r="S166" s="5"/>
      <c r="T166" s="5"/>
      <c r="U166" s="5"/>
      <c r="V166" s="5"/>
      <c r="W166" s="5"/>
      <c r="X166" s="5"/>
      <c r="Y166" s="5"/>
    </row>
    <row r="167" spans="18:25" x14ac:dyDescent="0.2">
      <c r="R167" s="5"/>
      <c r="S167" s="5"/>
      <c r="T167" s="5"/>
      <c r="U167" s="5"/>
      <c r="V167" s="5"/>
      <c r="W167" s="5"/>
      <c r="X167" s="5"/>
      <c r="Y167" s="5"/>
    </row>
    <row r="168" spans="18:25" x14ac:dyDescent="0.2">
      <c r="R168" s="5"/>
      <c r="S168" s="5"/>
      <c r="T168" s="5"/>
      <c r="U168" s="5"/>
      <c r="V168" s="5"/>
      <c r="W168" s="5"/>
      <c r="X168" s="5"/>
      <c r="Y168" s="5"/>
    </row>
    <row r="169" spans="18:25" x14ac:dyDescent="0.2">
      <c r="R169" s="5"/>
      <c r="S169" s="5"/>
      <c r="T169" s="5"/>
      <c r="U169" s="5"/>
      <c r="V169" s="5"/>
      <c r="W169" s="5"/>
      <c r="X169" s="5"/>
      <c r="Y169" s="5"/>
    </row>
    <row r="170" spans="18:25" x14ac:dyDescent="0.2">
      <c r="R170" s="5"/>
      <c r="S170" s="5"/>
      <c r="T170" s="5"/>
      <c r="U170" s="5"/>
      <c r="V170" s="5"/>
      <c r="W170" s="5"/>
      <c r="X170" s="5"/>
      <c r="Y170" s="5"/>
    </row>
    <row r="171" spans="18:25" x14ac:dyDescent="0.2">
      <c r="R171" s="5"/>
      <c r="S171" s="5"/>
      <c r="T171" s="5"/>
      <c r="U171" s="5"/>
      <c r="V171" s="5"/>
      <c r="W171" s="5"/>
      <c r="X171" s="5"/>
      <c r="Y171" s="5"/>
    </row>
    <row r="172" spans="18:25" x14ac:dyDescent="0.2">
      <c r="R172" s="5"/>
      <c r="S172" s="5"/>
      <c r="T172" s="5"/>
      <c r="U172" s="5"/>
      <c r="V172" s="5"/>
      <c r="W172" s="5"/>
      <c r="X172" s="5"/>
      <c r="Y172" s="5"/>
    </row>
    <row r="173" spans="18:25" x14ac:dyDescent="0.2">
      <c r="R173" s="5"/>
      <c r="S173" s="5"/>
      <c r="T173" s="5"/>
      <c r="U173" s="5"/>
      <c r="V173" s="5"/>
      <c r="W173" s="5"/>
      <c r="X173" s="5"/>
      <c r="Y173" s="5"/>
    </row>
    <row r="174" spans="18:25" x14ac:dyDescent="0.2">
      <c r="R174" s="5"/>
      <c r="S174" s="5"/>
      <c r="T174" s="5"/>
      <c r="U174" s="5"/>
      <c r="V174" s="5"/>
      <c r="W174" s="5"/>
      <c r="X174" s="5"/>
      <c r="Y174" s="5"/>
    </row>
    <row r="175" spans="18:25" x14ac:dyDescent="0.2">
      <c r="R175" s="5"/>
      <c r="S175" s="5"/>
      <c r="T175" s="5"/>
      <c r="U175" s="5"/>
      <c r="V175" s="5"/>
      <c r="W175" s="5"/>
      <c r="X175" s="5"/>
      <c r="Y175" s="5"/>
    </row>
    <row r="176" spans="18:25" x14ac:dyDescent="0.2">
      <c r="R176" s="5"/>
      <c r="S176" s="5"/>
      <c r="T176" s="5"/>
      <c r="U176" s="5"/>
      <c r="V176" s="5"/>
      <c r="W176" s="5"/>
      <c r="X176" s="5"/>
      <c r="Y176" s="5"/>
    </row>
    <row r="177" spans="18:25" x14ac:dyDescent="0.2">
      <c r="R177" s="5"/>
      <c r="S177" s="5"/>
      <c r="T177" s="5"/>
      <c r="U177" s="5"/>
      <c r="V177" s="5"/>
      <c r="W177" s="5"/>
      <c r="X177" s="5"/>
      <c r="Y177" s="5"/>
    </row>
    <row r="178" spans="18:25" x14ac:dyDescent="0.2">
      <c r="R178" s="5"/>
      <c r="S178" s="5"/>
      <c r="T178" s="5"/>
      <c r="U178" s="5"/>
      <c r="V178" s="5"/>
      <c r="W178" s="5"/>
      <c r="X178" s="5"/>
      <c r="Y178" s="5"/>
    </row>
    <row r="179" spans="18:25" x14ac:dyDescent="0.2">
      <c r="R179" s="5"/>
      <c r="S179" s="5"/>
      <c r="T179" s="5"/>
      <c r="U179" s="5"/>
      <c r="V179" s="5"/>
      <c r="W179" s="5"/>
      <c r="X179" s="5"/>
      <c r="Y179" s="5"/>
    </row>
    <row r="180" spans="18:25" x14ac:dyDescent="0.2">
      <c r="R180" s="5"/>
      <c r="S180" s="5"/>
      <c r="T180" s="5"/>
      <c r="U180" s="5"/>
      <c r="V180" s="5"/>
      <c r="W180" s="5"/>
      <c r="X180" s="5"/>
      <c r="Y180" s="5"/>
    </row>
    <row r="181" spans="18:25" x14ac:dyDescent="0.2">
      <c r="R181" s="5"/>
      <c r="S181" s="5"/>
      <c r="T181" s="5"/>
      <c r="U181" s="5"/>
      <c r="V181" s="5"/>
      <c r="W181" s="5"/>
      <c r="X181" s="5"/>
      <c r="Y181" s="5"/>
    </row>
    <row r="182" spans="18:25" x14ac:dyDescent="0.2">
      <c r="R182" s="5"/>
      <c r="S182" s="5"/>
      <c r="T182" s="5"/>
      <c r="U182" s="5"/>
      <c r="V182" s="5"/>
      <c r="W182" s="5"/>
      <c r="X182" s="5"/>
      <c r="Y182" s="5"/>
    </row>
    <row r="183" spans="18:25" x14ac:dyDescent="0.2">
      <c r="R183" s="5"/>
      <c r="S183" s="5"/>
      <c r="T183" s="5"/>
      <c r="U183" s="5"/>
      <c r="V183" s="5"/>
      <c r="W183" s="5"/>
      <c r="X183" s="5"/>
      <c r="Y183" s="5"/>
    </row>
    <row r="184" spans="18:25" x14ac:dyDescent="0.2">
      <c r="R184" s="5"/>
      <c r="S184" s="5"/>
      <c r="T184" s="5"/>
      <c r="U184" s="5"/>
      <c r="V184" s="5"/>
      <c r="W184" s="5"/>
      <c r="X184" s="5"/>
      <c r="Y184" s="5"/>
    </row>
    <row r="185" spans="18:25" x14ac:dyDescent="0.2">
      <c r="R185" s="5"/>
      <c r="S185" s="5"/>
      <c r="T185" s="5"/>
      <c r="U185" s="5"/>
      <c r="V185" s="5"/>
      <c r="W185" s="5"/>
      <c r="X185" s="5"/>
      <c r="Y185" s="5"/>
    </row>
    <row r="186" spans="18:25" x14ac:dyDescent="0.2">
      <c r="R186" s="5"/>
      <c r="S186" s="5"/>
      <c r="T186" s="5"/>
      <c r="U186" s="5"/>
      <c r="V186" s="5"/>
      <c r="W186" s="5"/>
      <c r="X186" s="5"/>
      <c r="Y186" s="5"/>
    </row>
    <row r="187" spans="18:25" x14ac:dyDescent="0.2">
      <c r="R187" s="5"/>
      <c r="S187" s="5"/>
      <c r="T187" s="5"/>
      <c r="U187" s="5"/>
      <c r="V187" s="5"/>
      <c r="W187" s="5"/>
      <c r="X187" s="5"/>
      <c r="Y187" s="5"/>
    </row>
    <row r="188" spans="18:25" x14ac:dyDescent="0.2">
      <c r="R188" s="5"/>
      <c r="S188" s="5"/>
      <c r="T188" s="5"/>
      <c r="U188" s="5"/>
      <c r="V188" s="5"/>
      <c r="W188" s="5"/>
      <c r="X188" s="5"/>
      <c r="Y188" s="5"/>
    </row>
    <row r="189" spans="18:25" x14ac:dyDescent="0.2">
      <c r="R189" s="5"/>
      <c r="S189" s="5"/>
      <c r="T189" s="5"/>
      <c r="U189" s="5"/>
      <c r="V189" s="5"/>
      <c r="W189" s="5"/>
      <c r="X189" s="5"/>
      <c r="Y189" s="5"/>
    </row>
    <row r="190" spans="18:25" x14ac:dyDescent="0.2">
      <c r="R190" s="5"/>
      <c r="S190" s="5"/>
      <c r="T190" s="5"/>
      <c r="U190" s="5"/>
      <c r="V190" s="5"/>
      <c r="W190" s="5"/>
      <c r="X190" s="5"/>
      <c r="Y190" s="5"/>
    </row>
    <row r="191" spans="18:25" x14ac:dyDescent="0.2">
      <c r="R191" s="5"/>
      <c r="S191" s="5"/>
      <c r="T191" s="5"/>
      <c r="U191" s="5"/>
      <c r="V191" s="5"/>
      <c r="W191" s="5"/>
      <c r="X191" s="5"/>
      <c r="Y191" s="5"/>
    </row>
    <row r="192" spans="18:25" x14ac:dyDescent="0.2">
      <c r="R192" s="5"/>
      <c r="S192" s="5"/>
      <c r="T192" s="5"/>
      <c r="U192" s="5"/>
      <c r="V192" s="5"/>
      <c r="W192" s="5"/>
      <c r="X192" s="5"/>
      <c r="Y192" s="5"/>
    </row>
    <row r="193" spans="18:25" x14ac:dyDescent="0.2">
      <c r="R193" s="5"/>
      <c r="S193" s="5"/>
      <c r="T193" s="5"/>
      <c r="U193" s="5"/>
      <c r="V193" s="5"/>
      <c r="W193" s="5"/>
      <c r="X193" s="5"/>
      <c r="Y193" s="5"/>
    </row>
    <row r="194" spans="18:25" x14ac:dyDescent="0.2">
      <c r="R194" s="5"/>
      <c r="S194" s="5"/>
      <c r="T194" s="5"/>
      <c r="U194" s="5"/>
      <c r="V194" s="5"/>
      <c r="W194" s="5"/>
      <c r="X194" s="5"/>
      <c r="Y194" s="5"/>
    </row>
    <row r="195" spans="18:25" x14ac:dyDescent="0.2">
      <c r="R195" s="5"/>
      <c r="S195" s="5"/>
      <c r="T195" s="5"/>
      <c r="U195" s="5"/>
      <c r="V195" s="5"/>
      <c r="W195" s="5"/>
      <c r="X195" s="5"/>
      <c r="Y195" s="5"/>
    </row>
    <row r="196" spans="18:25" x14ac:dyDescent="0.2">
      <c r="R196" s="5"/>
      <c r="S196" s="5"/>
      <c r="T196" s="5"/>
      <c r="U196" s="5"/>
      <c r="V196" s="5"/>
      <c r="W196" s="5"/>
      <c r="X196" s="5"/>
      <c r="Y196" s="5"/>
    </row>
    <row r="197" spans="18:25" x14ac:dyDescent="0.2">
      <c r="R197" s="5"/>
      <c r="S197" s="5"/>
      <c r="T197" s="5"/>
      <c r="U197" s="5"/>
      <c r="V197" s="5"/>
      <c r="W197" s="5"/>
      <c r="X197" s="5"/>
      <c r="Y197" s="5"/>
    </row>
    <row r="198" spans="18:25" x14ac:dyDescent="0.2">
      <c r="R198" s="5"/>
      <c r="S198" s="5"/>
      <c r="T198" s="5"/>
      <c r="U198" s="5"/>
      <c r="V198" s="5"/>
      <c r="W198" s="5"/>
      <c r="X198" s="5"/>
      <c r="Y198" s="5"/>
    </row>
    <row r="199" spans="18:25" x14ac:dyDescent="0.2">
      <c r="R199" s="5"/>
      <c r="S199" s="5"/>
      <c r="T199" s="5"/>
      <c r="U199" s="5"/>
      <c r="V199" s="5"/>
      <c r="W199" s="5"/>
      <c r="X199" s="5"/>
      <c r="Y199" s="5"/>
    </row>
    <row r="200" spans="18:25" x14ac:dyDescent="0.2">
      <c r="R200" s="5"/>
      <c r="S200" s="5"/>
      <c r="T200" s="5"/>
      <c r="U200" s="5"/>
      <c r="V200" s="5"/>
      <c r="W200" s="5"/>
      <c r="X200" s="5"/>
      <c r="Y200" s="5"/>
    </row>
    <row r="201" spans="18:25" x14ac:dyDescent="0.2">
      <c r="R201" s="5"/>
      <c r="S201" s="5"/>
      <c r="T201" s="5"/>
      <c r="U201" s="5"/>
      <c r="V201" s="5"/>
      <c r="W201" s="5"/>
      <c r="X201" s="5"/>
      <c r="Y201" s="5"/>
    </row>
    <row r="202" spans="18:25" x14ac:dyDescent="0.2">
      <c r="R202" s="5"/>
      <c r="S202" s="5"/>
      <c r="T202" s="5"/>
      <c r="U202" s="5"/>
      <c r="V202" s="5"/>
      <c r="W202" s="5"/>
      <c r="X202" s="5"/>
      <c r="Y202" s="5"/>
    </row>
    <row r="203" spans="18:25" x14ac:dyDescent="0.2">
      <c r="R203" s="5"/>
      <c r="S203" s="5"/>
      <c r="T203" s="5"/>
      <c r="U203" s="5"/>
      <c r="V203" s="5"/>
      <c r="W203" s="5"/>
      <c r="X203" s="5"/>
      <c r="Y203" s="5"/>
    </row>
    <row r="204" spans="18:25" x14ac:dyDescent="0.2">
      <c r="R204" s="5"/>
      <c r="S204" s="5"/>
      <c r="T204" s="5"/>
      <c r="U204" s="5"/>
      <c r="V204" s="5"/>
      <c r="W204" s="5"/>
      <c r="X204" s="5"/>
      <c r="Y204" s="5"/>
    </row>
    <row r="205" spans="18:25" x14ac:dyDescent="0.2">
      <c r="R205" s="5"/>
      <c r="S205" s="5"/>
      <c r="T205" s="5"/>
      <c r="U205" s="5"/>
      <c r="V205" s="5"/>
      <c r="W205" s="5"/>
      <c r="X205" s="5"/>
      <c r="Y205" s="5"/>
    </row>
    <row r="206" spans="18:25" x14ac:dyDescent="0.2">
      <c r="R206" s="5"/>
      <c r="S206" s="5"/>
      <c r="T206" s="5"/>
      <c r="U206" s="5"/>
      <c r="V206" s="5"/>
      <c r="W206" s="5"/>
      <c r="X206" s="5"/>
      <c r="Y206" s="5"/>
    </row>
    <row r="207" spans="18:25" x14ac:dyDescent="0.2">
      <c r="R207" s="5"/>
      <c r="S207" s="5"/>
      <c r="T207" s="5"/>
      <c r="U207" s="5"/>
      <c r="V207" s="5"/>
      <c r="W207" s="5"/>
      <c r="X207" s="5"/>
      <c r="Y207" s="5"/>
    </row>
    <row r="208" spans="18:25" x14ac:dyDescent="0.2">
      <c r="R208" s="5"/>
      <c r="S208" s="5"/>
      <c r="T208" s="5"/>
      <c r="U208" s="5"/>
      <c r="V208" s="5"/>
      <c r="W208" s="5"/>
      <c r="X208" s="5"/>
      <c r="Y208" s="5"/>
    </row>
    <row r="209" spans="18:25" x14ac:dyDescent="0.2">
      <c r="R209" s="5"/>
      <c r="S209" s="5"/>
      <c r="T209" s="5"/>
      <c r="U209" s="5"/>
      <c r="V209" s="5"/>
      <c r="W209" s="5"/>
      <c r="X209" s="5"/>
      <c r="Y209" s="5"/>
    </row>
    <row r="210" spans="18:25" x14ac:dyDescent="0.2">
      <c r="R210" s="5"/>
      <c r="S210" s="5"/>
      <c r="T210" s="5"/>
      <c r="U210" s="5"/>
      <c r="V210" s="5"/>
      <c r="W210" s="5"/>
      <c r="X210" s="5"/>
      <c r="Y210" s="5"/>
    </row>
  </sheetData>
  <dataConsolidate/>
  <mergeCells count="72">
    <mergeCell ref="CC8:CC9"/>
    <mergeCell ref="Z6:CC6"/>
    <mergeCell ref="CA8:CA9"/>
    <mergeCell ref="AV8:AV9"/>
    <mergeCell ref="AY8:AY9"/>
    <mergeCell ref="AB7:AD7"/>
    <mergeCell ref="AC8:AC9"/>
    <mergeCell ref="AE8:AE9"/>
    <mergeCell ref="AD8:AD9"/>
    <mergeCell ref="AH8:AH9"/>
    <mergeCell ref="CB8:CB9"/>
    <mergeCell ref="BY8:BY9"/>
    <mergeCell ref="BB8:BB9"/>
    <mergeCell ref="AT8:AT9"/>
    <mergeCell ref="AM8:AM9"/>
    <mergeCell ref="AW8:AW9"/>
    <mergeCell ref="BX7:BY7"/>
    <mergeCell ref="BT8:BT9"/>
    <mergeCell ref="BQ8:BQ9"/>
    <mergeCell ref="BI8:BI9"/>
    <mergeCell ref="BN8:BN9"/>
    <mergeCell ref="BP8:BP9"/>
    <mergeCell ref="BO8:BO9"/>
    <mergeCell ref="BR8:BR9"/>
    <mergeCell ref="BH7:BJ7"/>
    <mergeCell ref="BT7:BV7"/>
    <mergeCell ref="BM7:BR7"/>
    <mergeCell ref="A1:J1"/>
    <mergeCell ref="L2:S2"/>
    <mergeCell ref="L4:S5"/>
    <mergeCell ref="D5:E5"/>
    <mergeCell ref="R8:Y8"/>
    <mergeCell ref="A2:J2"/>
    <mergeCell ref="A8:L8"/>
    <mergeCell ref="A7:Y7"/>
    <mergeCell ref="Z8:Z9"/>
    <mergeCell ref="AA8:AA9"/>
    <mergeCell ref="AQ8:AQ9"/>
    <mergeCell ref="BG8:BG9"/>
    <mergeCell ref="BA8:BA9"/>
    <mergeCell ref="BE8:BE9"/>
    <mergeCell ref="AJ8:AJ9"/>
    <mergeCell ref="AK8:AK9"/>
    <mergeCell ref="AB8:AB9"/>
    <mergeCell ref="AP8:AP9"/>
    <mergeCell ref="AF8:AF9"/>
    <mergeCell ref="BD8:BD9"/>
    <mergeCell ref="AG8:AG9"/>
    <mergeCell ref="AN8:AN9"/>
    <mergeCell ref="AI8:AI9"/>
    <mergeCell ref="BZ8:BZ9"/>
    <mergeCell ref="BX8:BX9"/>
    <mergeCell ref="BW8:BW9"/>
    <mergeCell ref="BK8:BK9"/>
    <mergeCell ref="BL8:BL9"/>
    <mergeCell ref="BM8:BM9"/>
    <mergeCell ref="BV8:BV9"/>
    <mergeCell ref="BU8:BU9"/>
    <mergeCell ref="BS8:BS9"/>
    <mergeCell ref="AQ7:AT7"/>
    <mergeCell ref="AU7:AV7"/>
    <mergeCell ref="AZ8:AZ9"/>
    <mergeCell ref="BK7:BL7"/>
    <mergeCell ref="AO8:AO9"/>
    <mergeCell ref="AR8:AR9"/>
    <mergeCell ref="AS8:AS9"/>
    <mergeCell ref="BD7:BF7"/>
    <mergeCell ref="BJ8:BJ9"/>
    <mergeCell ref="BF8:BF9"/>
    <mergeCell ref="AU8:AU9"/>
    <mergeCell ref="BC8:BC9"/>
    <mergeCell ref="BH8:BH9"/>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placeOrder">
                <anchor moveWithCells="1">
                  <from>
                    <xdr:col>0</xdr:col>
                    <xdr:colOff>1238250</xdr:colOff>
                    <xdr:row>1</xdr:row>
                    <xdr:rowOff>85725</xdr:rowOff>
                  </from>
                  <to>
                    <xdr:col>2</xdr:col>
                    <xdr:colOff>762000</xdr:colOff>
                    <xdr:row>1</xdr:row>
                    <xdr:rowOff>285750</xdr:rowOff>
                  </to>
                </anchor>
              </controlPr>
            </control>
          </mc:Choice>
        </mc:AlternateContent>
        <mc:AlternateContent xmlns:mc="http://schemas.openxmlformats.org/markup-compatibility/2006">
          <mc:Choice Requires="x14">
            <control shapeId="2051" r:id="rId5" name="Button 3">
              <controlPr defaultSize="0" print="0" autoFill="0" autoPict="0" macro="[0]!Sheet2.cancelOrder">
                <anchor moveWithCells="1">
                  <from>
                    <xdr:col>3</xdr:col>
                    <xdr:colOff>314325</xdr:colOff>
                    <xdr:row>1</xdr:row>
                    <xdr:rowOff>85725</xdr:rowOff>
                  </from>
                  <to>
                    <xdr:col>5</xdr:col>
                    <xdr:colOff>457200</xdr:colOff>
                    <xdr:row>1</xdr:row>
                    <xdr:rowOff>285750</xdr:rowOff>
                  </to>
                </anchor>
              </controlPr>
            </control>
          </mc:Choice>
        </mc:AlternateContent>
        <mc:AlternateContent xmlns:mc="http://schemas.openxmlformats.org/markup-compatibility/2006">
          <mc:Choice Requires="x14">
            <control shapeId="2060" r:id="rId6" name="Button 12">
              <controlPr defaultSize="0" print="0" autoFill="0" autoPict="0" macro="[0]!Sheet2.onShowError">
                <anchor moveWithCells="1">
                  <from>
                    <xdr:col>8</xdr:col>
                    <xdr:colOff>419100</xdr:colOff>
                    <xdr:row>1</xdr:row>
                    <xdr:rowOff>76200</xdr:rowOff>
                  </from>
                  <to>
                    <xdr:col>9</xdr:col>
                    <xdr:colOff>190500</xdr:colOff>
                    <xdr:row>1</xdr:row>
                    <xdr:rowOff>276225</xdr:rowOff>
                  </to>
                </anchor>
              </controlPr>
            </control>
          </mc:Choice>
        </mc:AlternateContent>
        <mc:AlternateContent xmlns:mc="http://schemas.openxmlformats.org/markup-compatibility/2006">
          <mc:Choice Requires="x14">
            <control shapeId="2061" r:id="rId7" name="Button 13">
              <controlPr defaultSize="0" print="0" autoFill="0" autoPict="0" macro="[0]!createComboLegs">
                <anchor moveWithCells="1">
                  <from>
                    <xdr:col>0</xdr:col>
                    <xdr:colOff>123825</xdr:colOff>
                    <xdr:row>1</xdr:row>
                    <xdr:rowOff>85725</xdr:rowOff>
                  </from>
                  <to>
                    <xdr:col>0</xdr:col>
                    <xdr:colOff>1000125</xdr:colOff>
                    <xdr:row>1</xdr:row>
                    <xdr:rowOff>285750</xdr:rowOff>
                  </to>
                </anchor>
              </controlPr>
            </control>
          </mc:Choice>
        </mc:AlternateContent>
        <mc:AlternateContent xmlns:mc="http://schemas.openxmlformats.org/markup-compatibility/2006">
          <mc:Choice Requires="x14">
            <control shapeId="2063" r:id="rId8" name="Button 15">
              <controlPr defaultSize="0" print="0" autoFill="0" autoPict="0" macro="[0]!Sheet2.applyTemplate">
                <anchor moveWithCells="1">
                  <from>
                    <xdr:col>6</xdr:col>
                    <xdr:colOff>114300</xdr:colOff>
                    <xdr:row>1</xdr:row>
                    <xdr:rowOff>85725</xdr:rowOff>
                  </from>
                  <to>
                    <xdr:col>8</xdr:col>
                    <xdr:colOff>180975</xdr:colOff>
                    <xdr:row>1</xdr:row>
                    <xdr:rowOff>285750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62"/>
  <sheetViews>
    <sheetView zoomScale="80" zoomScaleNormal="80" workbookViewId="0">
      <selection activeCell="Q35" sqref="Q35"/>
    </sheetView>
  </sheetViews>
  <sheetFormatPr defaultRowHeight="12.75" x14ac:dyDescent="0.2"/>
  <cols>
    <col min="3" max="3" width="29.85546875" customWidth="1"/>
    <col min="4" max="4" width="13.140625" customWidth="1"/>
    <col min="9" max="9" width="16" customWidth="1"/>
    <col min="10" max="10" width="114.5703125" customWidth="1"/>
  </cols>
  <sheetData>
    <row r="1" spans="1:24" s="7" customFormat="1" x14ac:dyDescent="0.2">
      <c r="A1" s="264" t="s">
        <v>71</v>
      </c>
      <c r="B1" s="266"/>
      <c r="C1" s="266"/>
      <c r="D1" s="266"/>
      <c r="E1" s="266"/>
      <c r="F1" s="266"/>
      <c r="G1" s="266"/>
      <c r="H1" s="266"/>
      <c r="I1" s="266"/>
      <c r="J1" s="26"/>
      <c r="L1"/>
      <c r="M1"/>
      <c r="N1"/>
      <c r="O1"/>
      <c r="P1"/>
      <c r="Q1"/>
      <c r="R1"/>
      <c r="S1"/>
      <c r="T1"/>
      <c r="U1"/>
      <c r="V1"/>
      <c r="W1"/>
      <c r="X1"/>
    </row>
    <row r="2" spans="1:24" s="7" customFormat="1" x14ac:dyDescent="0.2">
      <c r="A2" s="26"/>
      <c r="B2" s="26"/>
      <c r="C2" s="26"/>
      <c r="D2" s="26"/>
      <c r="E2" s="26"/>
      <c r="F2" s="26"/>
      <c r="G2" s="26"/>
      <c r="H2" s="26"/>
      <c r="I2" s="26"/>
      <c r="J2" s="26"/>
      <c r="L2"/>
      <c r="M2"/>
      <c r="N2"/>
      <c r="O2"/>
      <c r="P2"/>
      <c r="Q2"/>
      <c r="R2"/>
      <c r="S2"/>
      <c r="T2"/>
      <c r="U2"/>
      <c r="V2"/>
      <c r="W2"/>
      <c r="X2"/>
    </row>
    <row r="3" spans="1:24" s="7" customFormat="1" ht="12.75" customHeight="1" x14ac:dyDescent="0.2">
      <c r="A3" s="317" t="s">
        <v>449</v>
      </c>
      <c r="B3" s="318"/>
      <c r="C3" s="318"/>
      <c r="D3" s="318"/>
      <c r="E3" s="318"/>
      <c r="F3" s="318"/>
      <c r="G3" s="318"/>
      <c r="H3" s="318"/>
      <c r="I3" s="319"/>
      <c r="J3" s="26"/>
      <c r="L3"/>
      <c r="M3"/>
      <c r="N3"/>
      <c r="O3"/>
      <c r="P3"/>
      <c r="Q3"/>
      <c r="R3"/>
      <c r="S3"/>
      <c r="T3"/>
      <c r="U3"/>
      <c r="V3"/>
      <c r="W3"/>
      <c r="X3"/>
    </row>
    <row r="4" spans="1:24" s="7" customFormat="1" x14ac:dyDescent="0.2">
      <c r="A4" s="320"/>
      <c r="B4" s="321"/>
      <c r="C4" s="321"/>
      <c r="D4" s="321"/>
      <c r="E4" s="321"/>
      <c r="F4" s="321"/>
      <c r="G4" s="321"/>
      <c r="H4" s="321"/>
      <c r="I4" s="322"/>
      <c r="J4" s="26"/>
      <c r="L4"/>
      <c r="M4"/>
      <c r="N4"/>
      <c r="O4"/>
      <c r="P4"/>
      <c r="Q4"/>
      <c r="R4"/>
      <c r="S4"/>
      <c r="T4"/>
      <c r="U4"/>
      <c r="V4"/>
      <c r="W4"/>
      <c r="X4"/>
    </row>
    <row r="5" spans="1:24" s="7" customFormat="1" x14ac:dyDescent="0.2">
      <c r="A5" s="26"/>
      <c r="B5" s="26"/>
      <c r="C5" s="26"/>
      <c r="D5" s="26"/>
      <c r="E5" s="26"/>
      <c r="F5" s="26"/>
      <c r="G5" s="26"/>
      <c r="H5" s="26"/>
      <c r="I5" s="26"/>
      <c r="J5" s="26"/>
      <c r="L5"/>
      <c r="M5"/>
      <c r="N5"/>
      <c r="O5"/>
      <c r="P5"/>
      <c r="Q5"/>
      <c r="R5"/>
      <c r="S5"/>
      <c r="T5"/>
      <c r="U5"/>
      <c r="V5"/>
      <c r="W5"/>
      <c r="X5"/>
    </row>
    <row r="6" spans="1:24" s="7" customFormat="1" x14ac:dyDescent="0.2">
      <c r="A6" s="342" t="s">
        <v>72</v>
      </c>
      <c r="B6" s="343"/>
      <c r="C6" s="343"/>
      <c r="D6" s="54" t="s">
        <v>64</v>
      </c>
      <c r="E6" s="344" t="s">
        <v>77</v>
      </c>
      <c r="F6" s="345"/>
      <c r="G6" s="345"/>
      <c r="H6" s="345"/>
      <c r="I6" s="314"/>
      <c r="J6" s="313"/>
      <c r="K6" s="24"/>
      <c r="L6"/>
      <c r="M6"/>
      <c r="N6"/>
      <c r="O6"/>
      <c r="P6"/>
      <c r="Q6"/>
      <c r="R6"/>
      <c r="S6"/>
      <c r="T6"/>
      <c r="U6"/>
      <c r="V6"/>
      <c r="W6"/>
      <c r="X6"/>
    </row>
    <row r="7" spans="1:24" s="7" customFormat="1" ht="15" x14ac:dyDescent="0.25">
      <c r="A7" s="323" t="s">
        <v>78</v>
      </c>
      <c r="B7" s="324"/>
      <c r="C7" s="346"/>
      <c r="D7" s="219" t="s">
        <v>495</v>
      </c>
      <c r="E7" s="339" t="s">
        <v>432</v>
      </c>
      <c r="F7" s="340"/>
      <c r="G7" s="340"/>
      <c r="H7" s="340"/>
      <c r="I7" s="340"/>
      <c r="J7" s="341"/>
      <c r="K7" s="24"/>
      <c r="L7" s="24"/>
      <c r="M7" s="24"/>
      <c r="N7"/>
      <c r="O7"/>
      <c r="P7"/>
      <c r="Q7"/>
      <c r="R7"/>
      <c r="S7"/>
      <c r="T7"/>
    </row>
    <row r="8" spans="1:24" s="7" customFormat="1" ht="15" x14ac:dyDescent="0.25">
      <c r="A8" s="323" t="s">
        <v>73</v>
      </c>
      <c r="B8" s="324"/>
      <c r="C8" s="325"/>
      <c r="D8" s="200"/>
      <c r="E8" s="326" t="s">
        <v>311</v>
      </c>
      <c r="F8" s="330"/>
      <c r="G8" s="331"/>
      <c r="H8" s="331"/>
      <c r="I8" s="331"/>
      <c r="J8" s="332"/>
      <c r="K8" s="25"/>
      <c r="L8" s="24"/>
      <c r="M8" s="24"/>
      <c r="N8"/>
      <c r="O8"/>
      <c r="P8"/>
      <c r="Q8"/>
      <c r="R8"/>
      <c r="S8"/>
      <c r="T8"/>
    </row>
    <row r="9" spans="1:24" s="7" customFormat="1" ht="15" x14ac:dyDescent="0.25">
      <c r="A9" s="323" t="s">
        <v>295</v>
      </c>
      <c r="B9" s="324"/>
      <c r="C9" s="325"/>
      <c r="D9" s="220"/>
      <c r="E9" s="329" t="s">
        <v>427</v>
      </c>
      <c r="F9" s="330"/>
      <c r="G9" s="331"/>
      <c r="H9" s="331"/>
      <c r="I9" s="331"/>
      <c r="J9" s="332"/>
      <c r="K9" s="24"/>
      <c r="L9" s="24"/>
      <c r="M9" s="24"/>
      <c r="N9"/>
      <c r="O9"/>
      <c r="P9"/>
      <c r="Q9"/>
      <c r="R9"/>
      <c r="S9"/>
      <c r="T9"/>
    </row>
    <row r="10" spans="1:24" s="7" customFormat="1" ht="15" x14ac:dyDescent="0.25">
      <c r="A10" s="323" t="s">
        <v>296</v>
      </c>
      <c r="B10" s="324"/>
      <c r="C10" s="325"/>
      <c r="D10" s="200" t="s">
        <v>116</v>
      </c>
      <c r="E10" s="326" t="s">
        <v>423</v>
      </c>
      <c r="F10" s="330"/>
      <c r="G10" s="331"/>
      <c r="H10" s="331"/>
      <c r="I10" s="331"/>
      <c r="J10" s="332"/>
      <c r="K10" s="25"/>
      <c r="L10" s="24"/>
      <c r="M10" s="24"/>
      <c r="N10" s="24"/>
      <c r="O10"/>
      <c r="P10"/>
      <c r="Q10"/>
      <c r="R10"/>
      <c r="S10"/>
      <c r="T10" s="24"/>
    </row>
    <row r="11" spans="1:24" s="7" customFormat="1" ht="15" x14ac:dyDescent="0.25">
      <c r="A11" s="323" t="s">
        <v>297</v>
      </c>
      <c r="B11" s="324"/>
      <c r="C11" s="325"/>
      <c r="D11" s="200">
        <v>0</v>
      </c>
      <c r="E11" s="329" t="s">
        <v>433</v>
      </c>
      <c r="F11" s="330"/>
      <c r="G11" s="331"/>
      <c r="H11" s="331"/>
      <c r="I11" s="331"/>
      <c r="J11" s="332"/>
      <c r="K11" s="24"/>
      <c r="L11" s="24"/>
      <c r="M11" s="24"/>
      <c r="N11"/>
      <c r="O11"/>
      <c r="P11"/>
      <c r="Q11"/>
      <c r="R11"/>
      <c r="S11"/>
      <c r="T11" s="24"/>
    </row>
    <row r="12" spans="1:24" s="7" customFormat="1" ht="15" x14ac:dyDescent="0.25">
      <c r="A12" s="323" t="s">
        <v>75</v>
      </c>
      <c r="B12" s="324"/>
      <c r="C12" s="325"/>
      <c r="D12" s="200"/>
      <c r="E12" s="347" t="s">
        <v>447</v>
      </c>
      <c r="F12" s="348"/>
      <c r="G12" s="348"/>
      <c r="H12" s="348"/>
      <c r="I12" s="348"/>
      <c r="J12" s="349"/>
      <c r="K12" s="24"/>
      <c r="L12" s="24"/>
      <c r="M12"/>
      <c r="N12"/>
      <c r="O12"/>
      <c r="P12"/>
      <c r="Q12"/>
      <c r="R12"/>
      <c r="S12"/>
      <c r="T12" s="24"/>
    </row>
    <row r="13" spans="1:24" s="7" customFormat="1" ht="15" x14ac:dyDescent="0.25">
      <c r="A13" s="323" t="s">
        <v>76</v>
      </c>
      <c r="B13" s="324"/>
      <c r="C13" s="325"/>
      <c r="D13" s="200">
        <v>1</v>
      </c>
      <c r="E13" s="347" t="s">
        <v>431</v>
      </c>
      <c r="F13" s="348"/>
      <c r="G13" s="348"/>
      <c r="H13" s="348"/>
      <c r="I13" s="348"/>
      <c r="J13" s="349"/>
      <c r="K13"/>
      <c r="L13" s="24"/>
      <c r="M13"/>
      <c r="N13"/>
      <c r="O13"/>
      <c r="P13"/>
      <c r="Q13"/>
      <c r="R13"/>
      <c r="S13"/>
      <c r="T13" s="24"/>
    </row>
    <row r="14" spans="1:24" s="7" customFormat="1" ht="15" x14ac:dyDescent="0.25">
      <c r="A14" s="323" t="s">
        <v>84</v>
      </c>
      <c r="B14" s="324"/>
      <c r="C14" s="325"/>
      <c r="D14" s="200"/>
      <c r="E14" s="347" t="s">
        <v>435</v>
      </c>
      <c r="F14" s="348"/>
      <c r="G14" s="348"/>
      <c r="H14" s="348"/>
      <c r="I14" s="348"/>
      <c r="J14" s="349"/>
      <c r="K14" s="24"/>
      <c r="L14" s="24"/>
      <c r="M14"/>
      <c r="N14"/>
      <c r="O14"/>
      <c r="P14"/>
      <c r="Q14"/>
      <c r="R14"/>
      <c r="S14"/>
    </row>
    <row r="15" spans="1:24" s="7" customFormat="1" ht="15" x14ac:dyDescent="0.25">
      <c r="A15" s="323" t="s">
        <v>97</v>
      </c>
      <c r="B15" s="334"/>
      <c r="C15" s="335"/>
      <c r="D15" s="200">
        <v>0</v>
      </c>
      <c r="E15" s="188" t="s">
        <v>434</v>
      </c>
      <c r="F15" s="189"/>
      <c r="G15" s="189"/>
      <c r="H15" s="189"/>
      <c r="I15" s="189"/>
      <c r="J15" s="190"/>
      <c r="K15" s="24"/>
      <c r="L15" s="24"/>
      <c r="M15"/>
      <c r="N15"/>
      <c r="O15"/>
      <c r="P15"/>
      <c r="Q15"/>
      <c r="R15"/>
      <c r="S15"/>
    </row>
    <row r="16" spans="1:24" s="7" customFormat="1" ht="15" x14ac:dyDescent="0.25">
      <c r="A16" s="323" t="s">
        <v>100</v>
      </c>
      <c r="B16" s="334"/>
      <c r="C16" s="335"/>
      <c r="D16" s="200">
        <v>0</v>
      </c>
      <c r="E16" s="188" t="s">
        <v>429</v>
      </c>
      <c r="F16" s="191"/>
      <c r="G16" s="191"/>
      <c r="H16" s="191"/>
      <c r="I16" s="192"/>
      <c r="J16" s="193"/>
      <c r="K16" s="24"/>
      <c r="L16" s="24"/>
      <c r="M16" s="24"/>
      <c r="N16" s="24"/>
      <c r="O16"/>
      <c r="P16"/>
      <c r="Q16"/>
      <c r="R16"/>
      <c r="S16"/>
    </row>
    <row r="17" spans="1:20" s="7" customFormat="1" ht="15" x14ac:dyDescent="0.25">
      <c r="A17" s="323" t="s">
        <v>98</v>
      </c>
      <c r="B17" s="334"/>
      <c r="C17" s="335"/>
      <c r="D17" s="200">
        <v>0</v>
      </c>
      <c r="E17" s="188" t="s">
        <v>430</v>
      </c>
      <c r="F17" s="191"/>
      <c r="G17" s="191"/>
      <c r="H17" s="191"/>
      <c r="I17" s="192"/>
      <c r="J17" s="193"/>
      <c r="K17" s="24"/>
      <c r="L17" s="24"/>
      <c r="M17" s="24"/>
      <c r="N17" s="24"/>
      <c r="O17"/>
      <c r="P17"/>
      <c r="Q17"/>
      <c r="R17"/>
      <c r="S17"/>
    </row>
    <row r="18" spans="1:20" s="7" customFormat="1" ht="15" x14ac:dyDescent="0.25">
      <c r="A18" s="323" t="s">
        <v>99</v>
      </c>
      <c r="B18" s="334"/>
      <c r="C18" s="335"/>
      <c r="D18" s="200">
        <v>0</v>
      </c>
      <c r="E18" s="347" t="s">
        <v>310</v>
      </c>
      <c r="F18" s="348"/>
      <c r="G18" s="348"/>
      <c r="H18" s="348"/>
      <c r="I18" s="348"/>
      <c r="J18" s="349"/>
      <c r="K18" s="24"/>
      <c r="L18" s="24"/>
      <c r="M18" s="24"/>
      <c r="N18" s="24"/>
      <c r="O18"/>
      <c r="P18"/>
      <c r="Q18"/>
      <c r="R18"/>
      <c r="S18"/>
    </row>
    <row r="19" spans="1:20" s="7" customFormat="1" ht="15" hidden="1" x14ac:dyDescent="0.25">
      <c r="A19" s="74"/>
      <c r="B19" s="212"/>
      <c r="C19" s="205"/>
      <c r="D19" s="200"/>
      <c r="E19" s="188"/>
      <c r="F19" s="213"/>
      <c r="G19" s="213"/>
      <c r="H19" s="213"/>
      <c r="I19" s="213"/>
      <c r="J19" s="214"/>
      <c r="K19" s="24"/>
      <c r="L19" s="24"/>
      <c r="M19" s="24"/>
      <c r="N19" s="24"/>
      <c r="O19"/>
      <c r="P19"/>
      <c r="Q19"/>
      <c r="R19"/>
      <c r="S19"/>
    </row>
    <row r="20" spans="1:20" s="7" customFormat="1" ht="15" x14ac:dyDescent="0.25">
      <c r="A20" s="323" t="s">
        <v>110</v>
      </c>
      <c r="B20" s="334"/>
      <c r="C20" s="335"/>
      <c r="D20" s="200">
        <v>0</v>
      </c>
      <c r="E20" s="329" t="s">
        <v>428</v>
      </c>
      <c r="F20" s="330"/>
      <c r="G20" s="331"/>
      <c r="H20" s="331"/>
      <c r="I20" s="331"/>
      <c r="J20" s="332"/>
      <c r="K20" s="24"/>
      <c r="L20" s="24"/>
      <c r="M20" s="24"/>
      <c r="N20" s="24"/>
      <c r="O20"/>
      <c r="P20"/>
      <c r="Q20"/>
      <c r="R20"/>
      <c r="S20"/>
    </row>
    <row r="21" spans="1:20" ht="15" x14ac:dyDescent="0.25">
      <c r="A21" s="323" t="s">
        <v>298</v>
      </c>
      <c r="B21" s="334"/>
      <c r="C21" s="335"/>
      <c r="D21" s="200">
        <v>0</v>
      </c>
      <c r="E21" s="347" t="s">
        <v>436</v>
      </c>
      <c r="F21" s="348"/>
      <c r="G21" s="348"/>
      <c r="H21" s="348"/>
      <c r="I21" s="348"/>
      <c r="J21" s="349"/>
    </row>
    <row r="22" spans="1:20" ht="15" x14ac:dyDescent="0.25">
      <c r="A22" s="323" t="s">
        <v>133</v>
      </c>
      <c r="B22" s="334"/>
      <c r="C22" s="335"/>
      <c r="D22" s="219"/>
      <c r="E22" s="339" t="s">
        <v>313</v>
      </c>
      <c r="F22" s="340"/>
      <c r="G22" s="340"/>
      <c r="H22" s="340"/>
      <c r="I22" s="340"/>
      <c r="J22" s="341"/>
    </row>
    <row r="23" spans="1:20" ht="15" x14ac:dyDescent="0.25">
      <c r="A23" s="323" t="s">
        <v>134</v>
      </c>
      <c r="B23" s="334"/>
      <c r="C23" s="335"/>
      <c r="D23" s="219"/>
      <c r="E23" s="339" t="s">
        <v>313</v>
      </c>
      <c r="F23" s="340"/>
      <c r="G23" s="340"/>
      <c r="H23" s="340"/>
      <c r="I23" s="340"/>
      <c r="J23" s="341"/>
    </row>
    <row r="24" spans="1:20" ht="15" x14ac:dyDescent="0.25">
      <c r="A24" s="323" t="s">
        <v>299</v>
      </c>
      <c r="B24" s="334"/>
      <c r="C24" s="335"/>
      <c r="D24" s="200"/>
      <c r="E24" s="339" t="s">
        <v>426</v>
      </c>
      <c r="F24" s="340"/>
      <c r="G24" s="340"/>
      <c r="H24" s="340"/>
      <c r="I24" s="340"/>
      <c r="J24" s="341"/>
    </row>
    <row r="25" spans="1:20" ht="15" x14ac:dyDescent="0.25">
      <c r="A25" s="323" t="s">
        <v>300</v>
      </c>
      <c r="B25" s="334"/>
      <c r="C25" s="335"/>
      <c r="D25" s="200"/>
      <c r="E25" s="339" t="s">
        <v>437</v>
      </c>
      <c r="F25" s="340"/>
      <c r="G25" s="340"/>
      <c r="H25" s="340"/>
      <c r="I25" s="340"/>
      <c r="J25" s="341"/>
    </row>
    <row r="26" spans="1:20" ht="15" x14ac:dyDescent="0.25">
      <c r="A26" s="323" t="s">
        <v>301</v>
      </c>
      <c r="B26" s="334"/>
      <c r="C26" s="335"/>
      <c r="D26" s="200"/>
      <c r="E26" s="339" t="s">
        <v>425</v>
      </c>
      <c r="F26" s="340"/>
      <c r="G26" s="340"/>
      <c r="H26" s="340"/>
      <c r="I26" s="340"/>
      <c r="J26" s="341"/>
    </row>
    <row r="27" spans="1:20" ht="15" x14ac:dyDescent="0.25">
      <c r="A27" s="323" t="s">
        <v>302</v>
      </c>
      <c r="B27" s="334"/>
      <c r="C27" s="335"/>
      <c r="D27" s="200"/>
      <c r="E27" s="339" t="s">
        <v>424</v>
      </c>
      <c r="F27" s="340"/>
      <c r="G27" s="340"/>
      <c r="H27" s="340"/>
      <c r="I27" s="340"/>
      <c r="J27" s="341"/>
    </row>
    <row r="28" spans="1:20" s="7" customFormat="1" ht="15" x14ac:dyDescent="0.25">
      <c r="A28" s="323" t="s">
        <v>140</v>
      </c>
      <c r="B28" s="334"/>
      <c r="C28" s="335"/>
      <c r="D28" s="200"/>
      <c r="E28" s="326" t="s">
        <v>154</v>
      </c>
      <c r="F28" s="330"/>
      <c r="G28" s="331"/>
      <c r="H28" s="331"/>
      <c r="I28" s="331"/>
      <c r="J28" s="332"/>
      <c r="K28" s="24"/>
      <c r="L28" s="24"/>
      <c r="M28" s="24"/>
      <c r="N28" s="24"/>
      <c r="O28"/>
      <c r="P28"/>
      <c r="Q28"/>
      <c r="R28"/>
      <c r="S28"/>
      <c r="T28" s="24"/>
    </row>
    <row r="29" spans="1:20" s="7" customFormat="1" ht="15" x14ac:dyDescent="0.25">
      <c r="A29" s="323" t="s">
        <v>153</v>
      </c>
      <c r="B29" s="334"/>
      <c r="C29" s="335"/>
      <c r="D29" s="200"/>
      <c r="E29" s="326" t="s">
        <v>173</v>
      </c>
      <c r="F29" s="330"/>
      <c r="G29" s="331"/>
      <c r="H29" s="331"/>
      <c r="I29" s="331"/>
      <c r="J29" s="332"/>
      <c r="K29" s="24"/>
      <c r="L29" s="24"/>
      <c r="M29" s="24"/>
      <c r="N29" s="24"/>
      <c r="O29"/>
      <c r="P29"/>
      <c r="Q29"/>
      <c r="R29"/>
      <c r="S29"/>
      <c r="T29" s="24"/>
    </row>
    <row r="30" spans="1:20" s="7" customFormat="1" ht="15" x14ac:dyDescent="0.25">
      <c r="A30" s="323" t="s">
        <v>155</v>
      </c>
      <c r="B30" s="334"/>
      <c r="C30" s="335"/>
      <c r="D30" s="200"/>
      <c r="E30" s="326" t="s">
        <v>168</v>
      </c>
      <c r="F30" s="330"/>
      <c r="G30" s="331"/>
      <c r="H30" s="331"/>
      <c r="I30" s="331"/>
      <c r="J30" s="332"/>
      <c r="K30" s="24"/>
      <c r="L30" s="24"/>
      <c r="M30" s="24"/>
      <c r="N30" s="24"/>
      <c r="O30"/>
      <c r="P30"/>
      <c r="Q30"/>
      <c r="R30"/>
      <c r="S30"/>
      <c r="T30" s="24"/>
    </row>
    <row r="31" spans="1:20" s="7" customFormat="1" ht="15" hidden="1" x14ac:dyDescent="0.25">
      <c r="A31" s="74"/>
      <c r="B31" s="212"/>
      <c r="C31" s="205"/>
      <c r="D31" s="200"/>
      <c r="E31" s="204"/>
      <c r="F31" s="206"/>
      <c r="G31" s="210"/>
      <c r="H31" s="210"/>
      <c r="I31" s="210"/>
      <c r="J31" s="211"/>
      <c r="K31" s="24"/>
      <c r="L31" s="24"/>
      <c r="M31" s="24"/>
      <c r="N31" s="24"/>
      <c r="O31"/>
      <c r="P31"/>
      <c r="Q31"/>
      <c r="R31"/>
      <c r="S31"/>
      <c r="T31" s="24"/>
    </row>
    <row r="32" spans="1:20" s="7" customFormat="1" ht="15" x14ac:dyDescent="0.25">
      <c r="A32" s="323" t="s">
        <v>156</v>
      </c>
      <c r="B32" s="334"/>
      <c r="C32" s="335"/>
      <c r="D32" s="200"/>
      <c r="E32" s="326" t="s">
        <v>172</v>
      </c>
      <c r="F32" s="330"/>
      <c r="G32" s="337"/>
      <c r="H32" s="337"/>
      <c r="I32" s="337"/>
      <c r="J32" s="338"/>
      <c r="K32" s="24"/>
      <c r="L32" s="55"/>
      <c r="M32" s="24"/>
      <c r="N32" s="24"/>
      <c r="O32"/>
      <c r="P32"/>
      <c r="Q32"/>
      <c r="R32"/>
      <c r="S32"/>
      <c r="T32" s="24"/>
    </row>
    <row r="33" spans="1:20" s="7" customFormat="1" ht="15" x14ac:dyDescent="0.25">
      <c r="A33" s="323" t="s">
        <v>303</v>
      </c>
      <c r="B33" s="334"/>
      <c r="C33" s="335"/>
      <c r="D33" s="200"/>
      <c r="E33" s="329" t="s">
        <v>444</v>
      </c>
      <c r="F33" s="330"/>
      <c r="G33" s="331"/>
      <c r="H33" s="331"/>
      <c r="I33" s="331"/>
      <c r="J33" s="332"/>
      <c r="K33" s="24"/>
      <c r="L33" s="55"/>
      <c r="M33" s="24"/>
      <c r="N33" s="24"/>
      <c r="O33"/>
      <c r="P33"/>
      <c r="Q33"/>
      <c r="R33"/>
      <c r="S33"/>
      <c r="T33" s="24"/>
    </row>
    <row r="34" spans="1:20" s="7" customFormat="1" ht="15" x14ac:dyDescent="0.25">
      <c r="A34" s="323" t="s">
        <v>167</v>
      </c>
      <c r="B34" s="334"/>
      <c r="C34" s="335"/>
      <c r="D34" s="200"/>
      <c r="E34" s="329" t="s">
        <v>438</v>
      </c>
      <c r="F34" s="330"/>
      <c r="G34" s="331"/>
      <c r="H34" s="331"/>
      <c r="I34" s="331"/>
      <c r="J34" s="332"/>
      <c r="K34" s="24"/>
      <c r="L34" s="55"/>
      <c r="M34" s="24"/>
      <c r="N34" s="24"/>
      <c r="O34"/>
      <c r="P34"/>
      <c r="Q34"/>
      <c r="R34"/>
      <c r="S34"/>
      <c r="T34" s="24"/>
    </row>
    <row r="35" spans="1:20" s="7" customFormat="1" ht="15" x14ac:dyDescent="0.25">
      <c r="A35" s="323" t="s">
        <v>166</v>
      </c>
      <c r="B35" s="334"/>
      <c r="C35" s="335"/>
      <c r="D35" s="200"/>
      <c r="E35" s="329" t="s">
        <v>439</v>
      </c>
      <c r="F35" s="330"/>
      <c r="G35" s="331"/>
      <c r="H35" s="331"/>
      <c r="I35" s="331"/>
      <c r="J35" s="332"/>
      <c r="K35" s="24"/>
      <c r="L35" s="55"/>
      <c r="M35" s="24"/>
      <c r="N35" s="24"/>
      <c r="O35"/>
      <c r="P35"/>
      <c r="Q35"/>
      <c r="R35"/>
      <c r="S35"/>
      <c r="T35" s="24"/>
    </row>
    <row r="36" spans="1:20" s="7" customFormat="1" ht="15" x14ac:dyDescent="0.25">
      <c r="A36" s="323" t="s">
        <v>158</v>
      </c>
      <c r="B36" s="334"/>
      <c r="C36" s="335"/>
      <c r="D36" s="200"/>
      <c r="E36" s="326" t="s">
        <v>169</v>
      </c>
      <c r="F36" s="330"/>
      <c r="G36" s="331"/>
      <c r="H36" s="331"/>
      <c r="I36" s="331"/>
      <c r="J36" s="332"/>
      <c r="K36" s="24"/>
      <c r="L36" s="55"/>
      <c r="M36" s="24"/>
      <c r="N36" s="24"/>
      <c r="O36"/>
      <c r="P36"/>
      <c r="Q36"/>
      <c r="R36"/>
      <c r="S36"/>
      <c r="T36" s="24"/>
    </row>
    <row r="37" spans="1:20" s="7" customFormat="1" x14ac:dyDescent="0.2">
      <c r="A37" s="336" t="s">
        <v>441</v>
      </c>
      <c r="B37" s="334"/>
      <c r="C37" s="335"/>
      <c r="D37" s="201"/>
      <c r="E37" s="329" t="s">
        <v>442</v>
      </c>
      <c r="F37" s="330"/>
      <c r="G37" s="331"/>
      <c r="H37" s="331"/>
      <c r="I37" s="331"/>
      <c r="J37" s="332"/>
      <c r="K37" s="24"/>
      <c r="L37" s="55"/>
      <c r="M37" s="24"/>
      <c r="N37" s="24"/>
      <c r="O37"/>
      <c r="P37"/>
      <c r="Q37"/>
      <c r="R37"/>
      <c r="S37"/>
      <c r="T37" s="24"/>
    </row>
    <row r="38" spans="1:20" s="7" customFormat="1" x14ac:dyDescent="0.2">
      <c r="A38" s="336" t="s">
        <v>322</v>
      </c>
      <c r="B38" s="334"/>
      <c r="C38" s="335"/>
      <c r="D38" s="201"/>
      <c r="E38" s="329" t="s">
        <v>442</v>
      </c>
      <c r="F38" s="330"/>
      <c r="G38" s="331"/>
      <c r="H38" s="331"/>
      <c r="I38" s="331"/>
      <c r="J38" s="332"/>
      <c r="K38" s="24"/>
      <c r="L38" s="55"/>
      <c r="M38" s="24"/>
      <c r="N38" s="24"/>
      <c r="O38"/>
      <c r="P38"/>
      <c r="Q38"/>
      <c r="R38"/>
      <c r="S38"/>
      <c r="T38" s="24"/>
    </row>
    <row r="39" spans="1:20" s="7" customFormat="1" ht="15" x14ac:dyDescent="0.25">
      <c r="A39" s="323" t="s">
        <v>304</v>
      </c>
      <c r="B39" s="334"/>
      <c r="C39" s="335"/>
      <c r="D39" s="200"/>
      <c r="E39" s="329" t="s">
        <v>440</v>
      </c>
      <c r="F39" s="330"/>
      <c r="G39" s="331"/>
      <c r="H39" s="331"/>
      <c r="I39" s="331"/>
      <c r="J39" s="332"/>
      <c r="K39" s="24"/>
      <c r="L39" s="55"/>
      <c r="M39" s="24"/>
      <c r="N39" s="24"/>
      <c r="O39"/>
      <c r="P39"/>
      <c r="Q39"/>
      <c r="R39"/>
      <c r="S39"/>
      <c r="T39" s="24"/>
    </row>
    <row r="40" spans="1:20" s="7" customFormat="1" ht="15" x14ac:dyDescent="0.25">
      <c r="A40" s="323" t="s">
        <v>160</v>
      </c>
      <c r="B40" s="334"/>
      <c r="C40" s="335"/>
      <c r="D40" s="200"/>
      <c r="E40" s="326" t="s">
        <v>170</v>
      </c>
      <c r="F40" s="330"/>
      <c r="G40" s="331"/>
      <c r="H40" s="331"/>
      <c r="I40" s="331"/>
      <c r="J40" s="332"/>
      <c r="K40" s="24"/>
      <c r="L40" s="24"/>
      <c r="M40" s="24"/>
      <c r="N40" s="24"/>
      <c r="O40"/>
      <c r="P40"/>
      <c r="Q40"/>
      <c r="R40"/>
      <c r="S40"/>
      <c r="T40" s="24"/>
    </row>
    <row r="41" spans="1:20" s="7" customFormat="1" ht="15" x14ac:dyDescent="0.25">
      <c r="A41" s="323" t="s">
        <v>161</v>
      </c>
      <c r="B41" s="334"/>
      <c r="C41" s="335"/>
      <c r="D41" s="200"/>
      <c r="E41" s="329" t="s">
        <v>171</v>
      </c>
      <c r="F41" s="330"/>
      <c r="G41" s="331"/>
      <c r="H41" s="331"/>
      <c r="I41" s="331"/>
      <c r="J41" s="332"/>
      <c r="K41" s="24"/>
      <c r="L41" s="24"/>
      <c r="M41" s="24"/>
      <c r="N41" s="24"/>
      <c r="O41"/>
      <c r="P41"/>
      <c r="Q41"/>
      <c r="R41"/>
      <c r="S41"/>
      <c r="T41" s="24"/>
    </row>
    <row r="42" spans="1:20" s="7" customFormat="1" ht="15" x14ac:dyDescent="0.25">
      <c r="A42" s="323" t="s">
        <v>162</v>
      </c>
      <c r="B42" s="334"/>
      <c r="C42" s="335"/>
      <c r="D42" s="200"/>
      <c r="E42" s="326" t="s">
        <v>171</v>
      </c>
      <c r="F42" s="330"/>
      <c r="G42" s="331"/>
      <c r="H42" s="331"/>
      <c r="I42" s="331"/>
      <c r="J42" s="332"/>
      <c r="K42" s="24"/>
      <c r="L42" s="24"/>
      <c r="M42" s="24"/>
      <c r="N42" s="24"/>
      <c r="O42"/>
      <c r="P42"/>
      <c r="Q42"/>
      <c r="R42"/>
      <c r="S42"/>
      <c r="T42" s="24"/>
    </row>
    <row r="43" spans="1:20" s="7" customFormat="1" ht="15" x14ac:dyDescent="0.25">
      <c r="A43" s="323" t="s">
        <v>163</v>
      </c>
      <c r="B43" s="334"/>
      <c r="C43" s="335"/>
      <c r="D43" s="200"/>
      <c r="E43" s="326" t="s">
        <v>171</v>
      </c>
      <c r="F43" s="330"/>
      <c r="G43" s="331"/>
      <c r="H43" s="331"/>
      <c r="I43" s="331"/>
      <c r="J43" s="332"/>
      <c r="K43" s="24"/>
      <c r="L43" s="24"/>
      <c r="M43" s="24"/>
      <c r="N43" s="24"/>
      <c r="O43"/>
      <c r="P43"/>
      <c r="Q43"/>
      <c r="R43"/>
      <c r="S43"/>
      <c r="T43" s="24"/>
    </row>
    <row r="44" spans="1:20" s="7" customFormat="1" x14ac:dyDescent="0.2">
      <c r="A44" s="336" t="s">
        <v>445</v>
      </c>
      <c r="B44" s="334"/>
      <c r="C44" s="335"/>
      <c r="D44" s="201"/>
      <c r="E44" s="326" t="s">
        <v>204</v>
      </c>
      <c r="F44" s="330"/>
      <c r="G44" s="331"/>
      <c r="H44" s="331"/>
      <c r="I44" s="331"/>
      <c r="J44" s="332"/>
      <c r="K44" s="24"/>
      <c r="L44" s="24"/>
      <c r="M44" s="24"/>
      <c r="N44" s="24"/>
      <c r="O44"/>
      <c r="P44"/>
      <c r="Q44"/>
      <c r="R44"/>
      <c r="S44"/>
      <c r="T44" s="24"/>
    </row>
    <row r="45" spans="1:20" s="7" customFormat="1" x14ac:dyDescent="0.2">
      <c r="A45" s="336" t="s">
        <v>446</v>
      </c>
      <c r="B45" s="334"/>
      <c r="C45" s="335"/>
      <c r="D45" s="201"/>
      <c r="E45" s="326" t="s">
        <v>204</v>
      </c>
      <c r="F45" s="330"/>
      <c r="G45" s="331"/>
      <c r="H45" s="331"/>
      <c r="I45" s="331"/>
      <c r="J45" s="332"/>
      <c r="K45" s="24"/>
      <c r="L45" s="24"/>
      <c r="M45" s="24"/>
      <c r="N45" s="24"/>
      <c r="O45"/>
      <c r="P45"/>
      <c r="Q45"/>
      <c r="R45"/>
      <c r="S45"/>
      <c r="T45" s="24"/>
    </row>
    <row r="46" spans="1:20" s="7" customFormat="1" ht="15" x14ac:dyDescent="0.25">
      <c r="A46" s="323" t="s">
        <v>205</v>
      </c>
      <c r="B46" s="334"/>
      <c r="C46" s="335"/>
      <c r="D46" s="200"/>
      <c r="E46" s="326" t="s">
        <v>211</v>
      </c>
      <c r="F46" s="330"/>
      <c r="G46" s="331"/>
      <c r="H46" s="331"/>
      <c r="I46" s="331"/>
      <c r="J46" s="332"/>
      <c r="K46" s="24"/>
      <c r="L46" s="24"/>
      <c r="M46" s="24"/>
      <c r="N46" s="24"/>
      <c r="O46"/>
      <c r="P46"/>
      <c r="Q46"/>
      <c r="R46"/>
      <c r="S46"/>
      <c r="T46" s="24"/>
    </row>
    <row r="47" spans="1:20" s="7" customFormat="1" ht="15" x14ac:dyDescent="0.25">
      <c r="A47" s="323" t="s">
        <v>208</v>
      </c>
      <c r="B47" s="334"/>
      <c r="C47" s="335"/>
      <c r="D47" s="200"/>
      <c r="E47" s="326" t="s">
        <v>206</v>
      </c>
      <c r="F47" s="330"/>
      <c r="G47" s="331"/>
      <c r="H47" s="331"/>
      <c r="I47" s="331"/>
      <c r="J47" s="332"/>
      <c r="K47" s="24"/>
      <c r="L47" s="24"/>
      <c r="M47" s="24"/>
      <c r="N47" s="24"/>
      <c r="O47"/>
      <c r="P47"/>
      <c r="Q47"/>
      <c r="R47"/>
      <c r="S47"/>
      <c r="T47" s="24"/>
    </row>
    <row r="48" spans="1:20" s="7" customFormat="1" ht="15" x14ac:dyDescent="0.25">
      <c r="A48" s="323" t="s">
        <v>209</v>
      </c>
      <c r="B48" s="334"/>
      <c r="C48" s="335"/>
      <c r="D48" s="200"/>
      <c r="E48" s="326" t="s">
        <v>206</v>
      </c>
      <c r="F48" s="330"/>
      <c r="G48" s="331"/>
      <c r="H48" s="331"/>
      <c r="I48" s="331"/>
      <c r="J48" s="332"/>
      <c r="K48" s="24"/>
      <c r="L48" s="24"/>
      <c r="M48" s="24"/>
      <c r="N48" s="24"/>
      <c r="O48"/>
      <c r="P48"/>
      <c r="Q48"/>
      <c r="R48"/>
      <c r="S48"/>
      <c r="T48" s="24"/>
    </row>
    <row r="49" spans="1:20" s="7" customFormat="1" ht="15" x14ac:dyDescent="0.25">
      <c r="A49" s="323" t="s">
        <v>212</v>
      </c>
      <c r="B49" s="334"/>
      <c r="C49" s="335"/>
      <c r="D49" s="200"/>
      <c r="E49" s="326" t="s">
        <v>215</v>
      </c>
      <c r="F49" s="330"/>
      <c r="G49" s="331"/>
      <c r="H49" s="331"/>
      <c r="I49" s="331"/>
      <c r="J49" s="332"/>
      <c r="K49" s="24"/>
      <c r="L49" s="24"/>
      <c r="M49" s="24"/>
      <c r="N49" s="24"/>
      <c r="O49"/>
      <c r="P49"/>
      <c r="Q49"/>
      <c r="R49"/>
      <c r="S49"/>
      <c r="T49" s="24"/>
    </row>
    <row r="50" spans="1:20" s="7" customFormat="1" ht="15" x14ac:dyDescent="0.25">
      <c r="A50" s="323" t="s">
        <v>207</v>
      </c>
      <c r="B50" s="334"/>
      <c r="C50" s="335"/>
      <c r="D50" s="200"/>
      <c r="E50" s="326" t="s">
        <v>206</v>
      </c>
      <c r="F50" s="330"/>
      <c r="G50" s="331"/>
      <c r="H50" s="331"/>
      <c r="I50" s="331"/>
      <c r="J50" s="332"/>
      <c r="K50" s="24"/>
      <c r="L50" s="24"/>
      <c r="M50" s="24"/>
      <c r="N50" s="24"/>
      <c r="O50"/>
      <c r="P50"/>
      <c r="Q50"/>
      <c r="R50"/>
      <c r="S50"/>
      <c r="T50" s="24"/>
    </row>
    <row r="51" spans="1:20" s="7" customFormat="1" ht="15" x14ac:dyDescent="0.25">
      <c r="A51" s="323" t="s">
        <v>213</v>
      </c>
      <c r="B51" s="334"/>
      <c r="C51" s="335"/>
      <c r="D51" s="200"/>
      <c r="E51" s="326" t="s">
        <v>214</v>
      </c>
      <c r="F51" s="330"/>
      <c r="G51" s="331"/>
      <c r="H51" s="331"/>
      <c r="I51" s="331"/>
      <c r="J51" s="332"/>
      <c r="K51" s="24"/>
      <c r="L51" s="24"/>
      <c r="M51" s="24"/>
      <c r="N51" s="24"/>
      <c r="O51"/>
      <c r="P51"/>
      <c r="Q51"/>
      <c r="R51"/>
      <c r="S51"/>
      <c r="T51" s="24"/>
    </row>
    <row r="52" spans="1:20" s="7" customFormat="1" ht="15" x14ac:dyDescent="0.25">
      <c r="A52" s="323" t="s">
        <v>274</v>
      </c>
      <c r="B52" s="324"/>
      <c r="C52" s="325"/>
      <c r="D52" s="200"/>
      <c r="E52" s="326" t="s">
        <v>453</v>
      </c>
      <c r="F52" s="330"/>
      <c r="G52" s="330"/>
      <c r="H52" s="330"/>
      <c r="I52" s="330"/>
      <c r="J52" s="333"/>
      <c r="K52" s="24"/>
      <c r="L52" s="55"/>
      <c r="M52" s="24"/>
      <c r="N52" s="24"/>
      <c r="O52"/>
      <c r="P52"/>
      <c r="Q52"/>
      <c r="R52"/>
      <c r="S52"/>
      <c r="T52" s="24"/>
    </row>
    <row r="53" spans="1:20" s="7" customFormat="1" ht="15" hidden="1" x14ac:dyDescent="0.25">
      <c r="A53" s="74"/>
      <c r="B53" s="203"/>
      <c r="C53" s="209"/>
      <c r="D53" s="200"/>
      <c r="E53" s="204"/>
      <c r="F53" s="206"/>
      <c r="G53" s="206"/>
      <c r="H53" s="206"/>
      <c r="I53" s="206"/>
      <c r="J53" s="202"/>
      <c r="K53" s="24"/>
      <c r="L53" s="55"/>
      <c r="M53" s="24"/>
      <c r="N53" s="24"/>
      <c r="O53"/>
      <c r="P53"/>
      <c r="Q53"/>
      <c r="R53"/>
      <c r="S53"/>
      <c r="T53" s="24"/>
    </row>
    <row r="54" spans="1:20" s="7" customFormat="1" ht="15" x14ac:dyDescent="0.25">
      <c r="A54" s="323" t="s">
        <v>378</v>
      </c>
      <c r="B54" s="324"/>
      <c r="C54" s="325"/>
      <c r="D54" s="200"/>
      <c r="E54" s="329" t="s">
        <v>383</v>
      </c>
      <c r="F54" s="327"/>
      <c r="G54" s="327"/>
      <c r="H54" s="327"/>
      <c r="I54" s="327"/>
      <c r="J54" s="328"/>
      <c r="K54" s="24"/>
      <c r="L54" s="55"/>
      <c r="M54" s="24"/>
      <c r="N54" s="24"/>
      <c r="O54"/>
      <c r="P54"/>
      <c r="Q54"/>
      <c r="R54"/>
      <c r="S54"/>
      <c r="T54" s="24"/>
    </row>
    <row r="55" spans="1:20" s="7" customFormat="1" ht="15" x14ac:dyDescent="0.25">
      <c r="A55" s="323" t="s">
        <v>379</v>
      </c>
      <c r="B55" s="324"/>
      <c r="C55" s="325"/>
      <c r="D55" s="200"/>
      <c r="E55" s="326" t="s">
        <v>383</v>
      </c>
      <c r="F55" s="330"/>
      <c r="G55" s="330"/>
      <c r="H55" s="330"/>
      <c r="I55" s="330"/>
      <c r="J55" s="333"/>
      <c r="K55" s="24"/>
      <c r="L55" s="55"/>
      <c r="M55" s="24"/>
      <c r="N55" s="24"/>
      <c r="O55"/>
      <c r="P55"/>
      <c r="Q55"/>
      <c r="R55"/>
      <c r="S55"/>
      <c r="T55" s="24"/>
    </row>
    <row r="56" spans="1:20" s="7" customFormat="1" ht="15" x14ac:dyDescent="0.25">
      <c r="A56" s="323" t="s">
        <v>384</v>
      </c>
      <c r="B56" s="324"/>
      <c r="C56" s="325"/>
      <c r="D56" s="218"/>
      <c r="E56" s="329" t="s">
        <v>443</v>
      </c>
      <c r="F56" s="330"/>
      <c r="G56" s="330"/>
      <c r="H56" s="330"/>
      <c r="I56" s="330"/>
      <c r="J56" s="333"/>
      <c r="K56" s="24"/>
      <c r="L56" s="55"/>
      <c r="M56" s="24"/>
      <c r="N56" s="24"/>
      <c r="O56"/>
      <c r="P56"/>
      <c r="Q56"/>
      <c r="R56"/>
      <c r="S56"/>
      <c r="T56" s="24"/>
    </row>
    <row r="57" spans="1:20" ht="15" x14ac:dyDescent="0.25">
      <c r="A57" s="323" t="s">
        <v>456</v>
      </c>
      <c r="B57" s="324"/>
      <c r="C57" s="325"/>
      <c r="D57" s="220"/>
      <c r="E57" s="329" t="s">
        <v>444</v>
      </c>
      <c r="F57" s="330"/>
      <c r="G57" s="331"/>
      <c r="H57" s="331"/>
      <c r="I57" s="331"/>
      <c r="J57" s="332"/>
    </row>
    <row r="58" spans="1:20" ht="15" x14ac:dyDescent="0.25">
      <c r="A58" s="323" t="s">
        <v>482</v>
      </c>
      <c r="B58" s="324"/>
      <c r="C58" s="325"/>
      <c r="D58" s="219"/>
      <c r="E58" s="329" t="s">
        <v>444</v>
      </c>
      <c r="F58" s="330"/>
      <c r="G58" s="331"/>
      <c r="H58" s="331"/>
      <c r="I58" s="331"/>
      <c r="J58" s="332"/>
    </row>
    <row r="59" spans="1:20" ht="15" x14ac:dyDescent="0.25">
      <c r="A59" s="323" t="s">
        <v>489</v>
      </c>
      <c r="B59" s="324"/>
      <c r="C59" s="325"/>
      <c r="D59" s="200">
        <v>0</v>
      </c>
      <c r="E59" s="326" t="s">
        <v>442</v>
      </c>
      <c r="F59" s="327"/>
      <c r="G59" s="327"/>
      <c r="H59" s="327"/>
      <c r="I59" s="327"/>
      <c r="J59" s="328"/>
    </row>
    <row r="60" spans="1:20" ht="15" x14ac:dyDescent="0.25">
      <c r="A60" s="323" t="s">
        <v>557</v>
      </c>
      <c r="B60" s="324"/>
      <c r="C60" s="325"/>
      <c r="D60" s="200">
        <v>0</v>
      </c>
      <c r="E60" s="326" t="s">
        <v>559</v>
      </c>
      <c r="F60" s="327"/>
      <c r="G60" s="327"/>
      <c r="H60" s="327"/>
      <c r="I60" s="327"/>
      <c r="J60" s="328"/>
    </row>
    <row r="61" spans="1:20" ht="15" x14ac:dyDescent="0.25">
      <c r="A61" s="323" t="s">
        <v>560</v>
      </c>
      <c r="B61" s="324"/>
      <c r="C61" s="325"/>
      <c r="D61" s="200"/>
      <c r="E61" s="326" t="s">
        <v>562</v>
      </c>
      <c r="F61" s="327"/>
      <c r="G61" s="327"/>
      <c r="H61" s="327"/>
      <c r="I61" s="327"/>
      <c r="J61" s="328"/>
    </row>
    <row r="62" spans="1:20" ht="15" x14ac:dyDescent="0.25">
      <c r="A62" s="323" t="s">
        <v>561</v>
      </c>
      <c r="B62" s="324"/>
      <c r="C62" s="325"/>
      <c r="D62" s="200"/>
      <c r="E62" s="326" t="s">
        <v>562</v>
      </c>
      <c r="F62" s="327"/>
      <c r="G62" s="327"/>
      <c r="H62" s="327"/>
      <c r="I62" s="327"/>
      <c r="J62" s="328"/>
    </row>
  </sheetData>
  <mergeCells count="107">
    <mergeCell ref="E54:J54"/>
    <mergeCell ref="A17:C17"/>
    <mergeCell ref="E18:J18"/>
    <mergeCell ref="A23:C23"/>
    <mergeCell ref="E23:J23"/>
    <mergeCell ref="A21:C21"/>
    <mergeCell ref="E52:J52"/>
    <mergeCell ref="E24:J24"/>
    <mergeCell ref="E21:J21"/>
    <mergeCell ref="E22:J22"/>
    <mergeCell ref="E33:J33"/>
    <mergeCell ref="A22:C22"/>
    <mergeCell ref="A32:C32"/>
    <mergeCell ref="A26:C26"/>
    <mergeCell ref="A30:C30"/>
    <mergeCell ref="E28:J28"/>
    <mergeCell ref="E35:J35"/>
    <mergeCell ref="E34:J34"/>
    <mergeCell ref="E29:J29"/>
    <mergeCell ref="E30:J30"/>
    <mergeCell ref="E27:J27"/>
    <mergeCell ref="A28:C28"/>
    <mergeCell ref="E26:J26"/>
    <mergeCell ref="A27:C27"/>
    <mergeCell ref="A9:C9"/>
    <mergeCell ref="E7:J7"/>
    <mergeCell ref="E8:J8"/>
    <mergeCell ref="E9:J9"/>
    <mergeCell ref="A18:C18"/>
    <mergeCell ref="E25:J25"/>
    <mergeCell ref="A6:C6"/>
    <mergeCell ref="E6:J6"/>
    <mergeCell ref="A7:C7"/>
    <mergeCell ref="A8:C8"/>
    <mergeCell ref="A13:C13"/>
    <mergeCell ref="E10:J10"/>
    <mergeCell ref="E11:J11"/>
    <mergeCell ref="A14:C14"/>
    <mergeCell ref="E14:J14"/>
    <mergeCell ref="A10:C10"/>
    <mergeCell ref="A15:C15"/>
    <mergeCell ref="A11:C11"/>
    <mergeCell ref="A12:C12"/>
    <mergeCell ref="E12:J12"/>
    <mergeCell ref="E13:J13"/>
    <mergeCell ref="A16:C16"/>
    <mergeCell ref="A20:C20"/>
    <mergeCell ref="E20:J20"/>
    <mergeCell ref="A34:C34"/>
    <mergeCell ref="A52:C52"/>
    <mergeCell ref="E39:J39"/>
    <mergeCell ref="E40:J40"/>
    <mergeCell ref="E38:J38"/>
    <mergeCell ref="E37:J37"/>
    <mergeCell ref="A38:C38"/>
    <mergeCell ref="A39:C39"/>
    <mergeCell ref="A37:C37"/>
    <mergeCell ref="A36:C36"/>
    <mergeCell ref="A40:C40"/>
    <mergeCell ref="A1:I1"/>
    <mergeCell ref="A51:C51"/>
    <mergeCell ref="E51:J51"/>
    <mergeCell ref="A50:C50"/>
    <mergeCell ref="E50:J50"/>
    <mergeCell ref="E47:J47"/>
    <mergeCell ref="E48:J48"/>
    <mergeCell ref="E41:J41"/>
    <mergeCell ref="A42:C42"/>
    <mergeCell ref="E42:J42"/>
    <mergeCell ref="E45:J45"/>
    <mergeCell ref="A46:C46"/>
    <mergeCell ref="E46:J46"/>
    <mergeCell ref="A43:C43"/>
    <mergeCell ref="A41:C41"/>
    <mergeCell ref="E43:J43"/>
    <mergeCell ref="E44:J44"/>
    <mergeCell ref="A24:C24"/>
    <mergeCell ref="A25:C25"/>
    <mergeCell ref="E32:J32"/>
    <mergeCell ref="A48:C48"/>
    <mergeCell ref="A44:C44"/>
    <mergeCell ref="A29:C29"/>
    <mergeCell ref="A35:C35"/>
    <mergeCell ref="A3:I4"/>
    <mergeCell ref="A61:C61"/>
    <mergeCell ref="E61:J61"/>
    <mergeCell ref="A62:C62"/>
    <mergeCell ref="E62:J62"/>
    <mergeCell ref="A60:C60"/>
    <mergeCell ref="E60:J60"/>
    <mergeCell ref="E59:J59"/>
    <mergeCell ref="A57:C57"/>
    <mergeCell ref="E57:J57"/>
    <mergeCell ref="A59:C59"/>
    <mergeCell ref="E36:J36"/>
    <mergeCell ref="E49:J49"/>
    <mergeCell ref="E58:J58"/>
    <mergeCell ref="E56:J56"/>
    <mergeCell ref="A49:C49"/>
    <mergeCell ref="A58:C58"/>
    <mergeCell ref="E55:J55"/>
    <mergeCell ref="A54:C54"/>
    <mergeCell ref="A56:C56"/>
    <mergeCell ref="A55:C55"/>
    <mergeCell ref="A47:C47"/>
    <mergeCell ref="A45:C45"/>
    <mergeCell ref="A33:C33"/>
  </mergeCells>
  <phoneticPr fontId="11"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J209"/>
  <sheetViews>
    <sheetView zoomScale="80" zoomScaleNormal="80" workbookViewId="0">
      <pane ySplit="9" topLeftCell="A10" activePane="bottomLeft" state="frozenSplit"/>
      <selection activeCell="Q35" sqref="Q35"/>
      <selection pane="bottomLeft" activeCell="Q35" sqref="Q35"/>
    </sheetView>
  </sheetViews>
  <sheetFormatPr defaultRowHeight="12.75" x14ac:dyDescent="0.2"/>
  <cols>
    <col min="1" max="1" width="7.28515625" style="122" bestFit="1" customWidth="1"/>
    <col min="2" max="2" width="5" style="122" bestFit="1" customWidth="1"/>
    <col min="3" max="3" width="15.28515625" style="122" customWidth="1"/>
    <col min="4" max="4" width="8.5703125" style="122" customWidth="1"/>
    <col min="5" max="5" width="4.140625" style="122" bestFit="1" customWidth="1"/>
    <col min="6" max="6" width="8.42578125" style="122" customWidth="1"/>
    <col min="7" max="7" width="13.42578125" style="122" customWidth="1"/>
    <col min="8" max="8" width="11.42578125" style="122" customWidth="1"/>
    <col min="9" max="9" width="17" style="122" customWidth="1"/>
    <col min="10" max="10" width="10.7109375" style="122" customWidth="1"/>
    <col min="11" max="11" width="14.42578125" style="122" customWidth="1"/>
    <col min="12" max="12" width="6.28515625" style="122" bestFit="1" customWidth="1"/>
    <col min="13" max="13" width="8" style="122" bestFit="1" customWidth="1"/>
    <col min="14" max="14" width="10.140625" style="122" bestFit="1" customWidth="1"/>
    <col min="15" max="15" width="10.5703125" style="122" customWidth="1"/>
    <col min="16" max="16" width="11.140625" style="122" customWidth="1"/>
    <col min="17" max="17" width="9.28515625" customWidth="1"/>
    <col min="18" max="18" width="10.7109375" customWidth="1"/>
    <col min="19" max="19" width="7.28515625" customWidth="1"/>
    <col min="20" max="20" width="8.42578125" customWidth="1"/>
    <col min="21" max="22" width="10.7109375" customWidth="1"/>
    <col min="23" max="23" width="12.85546875" customWidth="1"/>
    <col min="24" max="24" width="11.85546875" customWidth="1"/>
    <col min="25" max="25" width="11.42578125" customWidth="1"/>
    <col min="26" max="26" width="9.7109375" style="122" bestFit="1" customWidth="1"/>
    <col min="27" max="27" width="9.85546875" style="122" customWidth="1"/>
    <col min="28" max="28" width="8" style="122" bestFit="1" customWidth="1"/>
    <col min="29" max="29" width="10.140625" style="122" customWidth="1"/>
    <col min="30" max="30" width="9" style="122" customWidth="1"/>
    <col min="31" max="43" width="9.140625" style="122"/>
    <col min="44" max="44" width="0" style="122" hidden="1" customWidth="1"/>
    <col min="45" max="55" width="9.140625" style="122"/>
    <col min="56" max="56" width="0" style="122" hidden="1" customWidth="1"/>
    <col min="57" max="64" width="9.140625" style="122"/>
    <col min="65" max="65" width="15.5703125" style="122" customWidth="1"/>
    <col min="66" max="77" width="9.140625" style="122"/>
    <col min="78" max="78" width="13" style="122" customWidth="1"/>
    <col min="79" max="79" width="13" style="122" hidden="1" customWidth="1"/>
    <col min="80" max="82" width="9.140625" style="122"/>
    <col min="83" max="83" width="13.140625" style="122" customWidth="1"/>
    <col min="84" max="84" width="14.5703125" style="122" customWidth="1"/>
    <col min="85" max="86" width="9.140625" style="122"/>
    <col min="87" max="87" width="10.28515625" style="122" customWidth="1"/>
    <col min="88" max="88" width="10.7109375" style="122" customWidth="1"/>
    <col min="89" max="16384" width="9.140625" style="122"/>
  </cols>
  <sheetData>
    <row r="1" spans="1:88" s="7" customFormat="1" x14ac:dyDescent="0.2">
      <c r="A1" s="299" t="s">
        <v>48</v>
      </c>
      <c r="B1" s="350"/>
      <c r="C1" s="350"/>
      <c r="D1" s="350"/>
      <c r="E1" s="350"/>
      <c r="F1" s="350"/>
      <c r="G1" s="350"/>
      <c r="H1" s="350"/>
      <c r="I1" s="350"/>
      <c r="J1" s="350"/>
      <c r="K1" s="351"/>
      <c r="L1" s="50"/>
      <c r="M1" s="50"/>
      <c r="N1" s="50"/>
      <c r="O1"/>
      <c r="P1"/>
      <c r="Q1"/>
      <c r="R1"/>
      <c r="S1"/>
      <c r="T1"/>
      <c r="U1"/>
      <c r="V1"/>
      <c r="W1"/>
      <c r="X1"/>
      <c r="Y1"/>
      <c r="Z1"/>
      <c r="AA1"/>
      <c r="AB1"/>
      <c r="AC1"/>
      <c r="AD1"/>
      <c r="AE1"/>
    </row>
    <row r="2" spans="1:88" s="7" customFormat="1" ht="26.25" customHeight="1" x14ac:dyDescent="0.2">
      <c r="A2" s="309"/>
      <c r="B2" s="350"/>
      <c r="C2" s="350"/>
      <c r="D2" s="350"/>
      <c r="E2" s="350"/>
      <c r="F2" s="350"/>
      <c r="G2" s="350"/>
      <c r="H2" s="350"/>
      <c r="I2" s="350"/>
      <c r="J2" s="350"/>
      <c r="K2" s="351"/>
      <c r="L2" s="50"/>
      <c r="M2" s="50"/>
      <c r="N2" s="352" t="s">
        <v>448</v>
      </c>
      <c r="O2" s="353"/>
      <c r="P2" s="353"/>
      <c r="Q2" s="353"/>
      <c r="R2" s="353"/>
      <c r="S2" s="353"/>
      <c r="T2" s="353"/>
      <c r="U2" s="353"/>
      <c r="V2" s="354"/>
      <c r="W2" s="26"/>
      <c r="X2" s="361" t="s">
        <v>454</v>
      </c>
      <c r="Y2" s="362"/>
      <c r="Z2" s="362"/>
      <c r="AA2" s="362"/>
      <c r="AB2" s="362"/>
      <c r="AC2" s="362"/>
      <c r="AD2" s="363"/>
      <c r="AE2"/>
    </row>
    <row r="3" spans="1:88" s="7" customFormat="1" x14ac:dyDescent="0.2">
      <c r="A3" s="370"/>
      <c r="B3" s="370"/>
      <c r="C3" s="370"/>
      <c r="D3" s="370"/>
      <c r="E3" s="370"/>
      <c r="F3" s="370"/>
      <c r="G3" s="370"/>
      <c r="H3" s="283"/>
      <c r="I3" s="283"/>
      <c r="J3" s="19"/>
      <c r="K3" s="19"/>
      <c r="L3"/>
      <c r="M3"/>
      <c r="N3"/>
      <c r="O3"/>
      <c r="P3"/>
      <c r="Q3"/>
      <c r="R3"/>
      <c r="S3"/>
      <c r="T3"/>
      <c r="U3"/>
      <c r="V3"/>
      <c r="W3"/>
      <c r="X3" s="364"/>
      <c r="Y3" s="365"/>
      <c r="Z3" s="365"/>
      <c r="AA3" s="365"/>
      <c r="AB3" s="365"/>
      <c r="AC3" s="365"/>
      <c r="AD3" s="366"/>
      <c r="AE3"/>
    </row>
    <row r="4" spans="1:88" s="7" customFormat="1" ht="12.75" customHeight="1" x14ac:dyDescent="0.2">
      <c r="A4" s="360" t="s">
        <v>52</v>
      </c>
      <c r="B4" s="274"/>
      <c r="C4" s="274"/>
      <c r="D4" s="274"/>
      <c r="E4" s="274"/>
      <c r="F4" s="275"/>
      <c r="G4" s="50"/>
      <c r="H4" s="74" t="s">
        <v>150</v>
      </c>
      <c r="I4" s="51"/>
      <c r="J4" s="77">
        <v>10</v>
      </c>
      <c r="K4" s="18"/>
      <c r="L4"/>
      <c r="M4"/>
      <c r="N4" s="199"/>
      <c r="O4" s="199"/>
      <c r="P4"/>
      <c r="Q4"/>
      <c r="R4"/>
      <c r="S4" s="199"/>
      <c r="T4" s="199"/>
      <c r="U4" s="199"/>
      <c r="V4" s="199"/>
      <c r="W4" s="199"/>
      <c r="X4" s="367"/>
      <c r="Y4" s="368"/>
      <c r="Z4" s="368"/>
      <c r="AA4" s="368"/>
      <c r="AB4" s="368"/>
      <c r="AC4" s="368"/>
      <c r="AD4" s="369"/>
      <c r="AE4"/>
    </row>
    <row r="5" spans="1:88" s="7" customFormat="1" x14ac:dyDescent="0.2">
      <c r="A5" s="75" t="s">
        <v>59</v>
      </c>
      <c r="B5" s="76"/>
      <c r="C5" s="35"/>
      <c r="D5" s="358"/>
      <c r="E5" s="277"/>
      <c r="F5" s="89"/>
      <c r="G5" s="50"/>
      <c r="H5" s="75" t="s">
        <v>151</v>
      </c>
      <c r="I5" s="76"/>
      <c r="J5" s="23">
        <v>200</v>
      </c>
      <c r="K5" s="89"/>
      <c r="L5"/>
      <c r="M5"/>
      <c r="N5" s="199"/>
      <c r="O5" s="199"/>
      <c r="P5"/>
      <c r="Q5"/>
      <c r="R5"/>
      <c r="S5" s="199"/>
      <c r="T5" s="199"/>
      <c r="U5" s="199"/>
      <c r="V5" s="199"/>
      <c r="W5" s="199"/>
      <c r="X5" s="199"/>
      <c r="Y5" s="199"/>
      <c r="Z5" s="199"/>
      <c r="AA5" s="199"/>
      <c r="AB5"/>
      <c r="AC5"/>
      <c r="AD5"/>
      <c r="AE5"/>
    </row>
    <row r="6" spans="1:88" s="7" customFormat="1" x14ac:dyDescent="0.2">
      <c r="A6" s="371"/>
      <c r="B6" s="371"/>
      <c r="C6" s="371"/>
      <c r="D6" s="371"/>
      <c r="E6" s="371"/>
      <c r="F6" s="370"/>
      <c r="G6" s="370"/>
      <c r="H6" s="370"/>
      <c r="I6" s="370"/>
      <c r="J6" s="19"/>
      <c r="K6" s="19"/>
      <c r="L6"/>
      <c r="M6"/>
      <c r="N6"/>
      <c r="O6"/>
      <c r="P6"/>
      <c r="Q6"/>
      <c r="R6"/>
      <c r="S6"/>
      <c r="T6"/>
      <c r="U6"/>
      <c r="V6"/>
      <c r="W6"/>
      <c r="X6"/>
      <c r="Y6"/>
      <c r="Z6"/>
      <c r="AA6"/>
      <c r="AB6"/>
      <c r="AC6"/>
      <c r="AD6"/>
      <c r="AE6"/>
      <c r="AG6" s="316" t="s">
        <v>71</v>
      </c>
      <c r="AH6" s="316"/>
      <c r="AI6" s="316"/>
      <c r="AJ6" s="316"/>
      <c r="AK6" s="316"/>
      <c r="AL6" s="316"/>
      <c r="AM6" s="316"/>
      <c r="AN6" s="316"/>
      <c r="AO6" s="316"/>
      <c r="AP6" s="316"/>
      <c r="AQ6" s="316"/>
      <c r="AR6" s="316"/>
      <c r="AS6" s="316"/>
      <c r="AT6" s="316"/>
      <c r="AU6" s="316"/>
      <c r="AV6" s="316"/>
      <c r="AW6" s="316"/>
      <c r="AX6" s="316"/>
      <c r="AY6" s="316"/>
      <c r="AZ6" s="316"/>
      <c r="BA6" s="316"/>
      <c r="BB6" s="316"/>
      <c r="BC6" s="316"/>
      <c r="BD6" s="316"/>
      <c r="BE6" s="316"/>
      <c r="BF6" s="316"/>
      <c r="BG6" s="316"/>
      <c r="BH6" s="316"/>
      <c r="BI6" s="316"/>
      <c r="BJ6" s="316"/>
      <c r="BK6" s="316"/>
      <c r="BL6" s="316"/>
      <c r="BM6" s="316"/>
      <c r="BN6" s="316"/>
      <c r="BO6" s="316"/>
      <c r="BP6" s="316"/>
      <c r="BQ6" s="316"/>
      <c r="BR6" s="316"/>
      <c r="BS6" s="316"/>
      <c r="BT6" s="316"/>
      <c r="BU6" s="316"/>
      <c r="BV6" s="316"/>
      <c r="BW6" s="316"/>
      <c r="BX6" s="316"/>
      <c r="BY6" s="316"/>
      <c r="BZ6" s="316"/>
      <c r="CA6" s="316"/>
      <c r="CB6" s="316"/>
      <c r="CC6" s="316"/>
      <c r="CD6" s="316"/>
      <c r="CE6" s="316"/>
      <c r="CF6" s="316"/>
      <c r="CG6" s="316"/>
      <c r="CH6" s="316"/>
      <c r="CI6" s="316"/>
      <c r="CJ6" s="316"/>
    </row>
    <row r="7" spans="1:88" s="7" customFormat="1" x14ac:dyDescent="0.2">
      <c r="A7" s="359" t="s">
        <v>142</v>
      </c>
      <c r="B7" s="277"/>
      <c r="C7" s="277"/>
      <c r="D7" s="277"/>
      <c r="E7" s="277"/>
      <c r="F7" s="277"/>
      <c r="G7" s="277"/>
      <c r="H7" s="277"/>
      <c r="I7" s="277"/>
      <c r="J7" s="277"/>
      <c r="K7" s="277"/>
      <c r="L7" s="277"/>
      <c r="M7" s="277"/>
      <c r="N7" s="277"/>
      <c r="O7" s="277"/>
      <c r="P7" s="277"/>
      <c r="Q7" s="277"/>
      <c r="R7" s="277"/>
      <c r="S7" s="277"/>
      <c r="T7" s="277"/>
      <c r="U7" s="277"/>
      <c r="V7" s="277"/>
      <c r="W7" s="277"/>
      <c r="X7" s="277"/>
      <c r="Y7" s="277"/>
      <c r="Z7" s="277"/>
      <c r="AA7" s="277"/>
      <c r="AB7" s="277"/>
      <c r="AC7" s="277"/>
      <c r="AD7" s="277"/>
      <c r="AE7" s="277"/>
      <c r="AF7" s="277"/>
      <c r="AG7" s="132"/>
      <c r="AH7" s="132"/>
      <c r="AI7" s="291" t="s">
        <v>290</v>
      </c>
      <c r="AJ7" s="292"/>
      <c r="AK7" s="293"/>
      <c r="AL7" s="132"/>
      <c r="AM7" s="132"/>
      <c r="AN7" s="132"/>
      <c r="AO7" s="132"/>
      <c r="AP7" s="132"/>
      <c r="AQ7" s="132"/>
      <c r="AR7" s="132"/>
      <c r="AS7" s="132"/>
      <c r="AT7" s="132"/>
      <c r="AU7" s="131" t="s">
        <v>68</v>
      </c>
      <c r="AV7" s="132"/>
      <c r="AW7" s="132"/>
      <c r="AX7" s="291" t="s">
        <v>289</v>
      </c>
      <c r="AY7" s="292"/>
      <c r="AZ7" s="292"/>
      <c r="BA7" s="293"/>
      <c r="BB7" s="291" t="s">
        <v>290</v>
      </c>
      <c r="BC7" s="293"/>
      <c r="BD7" s="132"/>
      <c r="BE7" s="132"/>
      <c r="BF7" s="132"/>
      <c r="BG7" s="131" t="s">
        <v>290</v>
      </c>
      <c r="BH7" s="132"/>
      <c r="BI7" s="133"/>
      <c r="BJ7" s="131" t="s">
        <v>294</v>
      </c>
      <c r="BK7" s="291" t="s">
        <v>293</v>
      </c>
      <c r="BL7" s="296"/>
      <c r="BM7" s="296"/>
      <c r="BN7" s="130" t="s">
        <v>312</v>
      </c>
      <c r="BO7" s="291" t="s">
        <v>291</v>
      </c>
      <c r="BP7" s="314"/>
      <c r="BQ7" s="313"/>
      <c r="BR7" s="291" t="s">
        <v>305</v>
      </c>
      <c r="BS7" s="293"/>
      <c r="BT7" s="291" t="s">
        <v>292</v>
      </c>
      <c r="BU7" s="292"/>
      <c r="BV7" s="292"/>
      <c r="BW7" s="292"/>
      <c r="BX7" s="292"/>
      <c r="BY7" s="293"/>
      <c r="BZ7" s="131" t="s">
        <v>275</v>
      </c>
      <c r="CA7" s="291" t="s">
        <v>377</v>
      </c>
      <c r="CB7" s="296"/>
      <c r="CC7" s="315"/>
      <c r="CD7" s="167"/>
      <c r="CE7" s="291" t="s">
        <v>290</v>
      </c>
      <c r="CF7" s="313"/>
      <c r="CG7" s="167"/>
      <c r="CH7" s="167"/>
      <c r="CI7" s="167"/>
      <c r="CJ7" s="167"/>
    </row>
    <row r="8" spans="1:88" s="7" customFormat="1" ht="12.75" customHeight="1" x14ac:dyDescent="0.2">
      <c r="A8" s="355" t="s">
        <v>28</v>
      </c>
      <c r="B8" s="350"/>
      <c r="C8" s="350"/>
      <c r="D8" s="350"/>
      <c r="E8" s="350"/>
      <c r="F8" s="350"/>
      <c r="G8" s="350"/>
      <c r="H8" s="350"/>
      <c r="I8" s="350"/>
      <c r="J8" s="350"/>
      <c r="K8" s="350"/>
      <c r="L8" s="351"/>
      <c r="M8" s="355" t="s">
        <v>29</v>
      </c>
      <c r="N8" s="356"/>
      <c r="O8" s="356"/>
      <c r="P8" s="356"/>
      <c r="Q8" s="357"/>
      <c r="R8" s="355" t="s">
        <v>30</v>
      </c>
      <c r="S8" s="356"/>
      <c r="T8" s="356"/>
      <c r="U8" s="356"/>
      <c r="V8" s="356"/>
      <c r="W8" s="356"/>
      <c r="X8" s="356"/>
      <c r="Y8" s="313"/>
      <c r="Z8" s="355" t="s">
        <v>143</v>
      </c>
      <c r="AA8" s="314"/>
      <c r="AB8" s="314"/>
      <c r="AC8" s="314"/>
      <c r="AD8" s="314"/>
      <c r="AE8" s="314"/>
      <c r="AF8" s="313"/>
      <c r="AG8" s="294" t="s">
        <v>276</v>
      </c>
      <c r="AH8" s="294" t="s">
        <v>73</v>
      </c>
      <c r="AI8" s="294" t="s">
        <v>74</v>
      </c>
      <c r="AJ8" s="294" t="s">
        <v>277</v>
      </c>
      <c r="AK8" s="294" t="s">
        <v>278</v>
      </c>
      <c r="AL8" s="294" t="s">
        <v>75</v>
      </c>
      <c r="AM8" s="294" t="s">
        <v>279</v>
      </c>
      <c r="AN8" s="294" t="s">
        <v>84</v>
      </c>
      <c r="AO8" s="294" t="s">
        <v>280</v>
      </c>
      <c r="AP8" s="294" t="s">
        <v>281</v>
      </c>
      <c r="AQ8" s="294" t="s">
        <v>98</v>
      </c>
      <c r="AR8" s="294" t="s">
        <v>99</v>
      </c>
      <c r="AS8" s="207"/>
      <c r="AT8" s="294" t="s">
        <v>282</v>
      </c>
      <c r="AU8" s="294" t="s">
        <v>283</v>
      </c>
      <c r="AV8" s="294" t="s">
        <v>133</v>
      </c>
      <c r="AW8" s="294" t="s">
        <v>134</v>
      </c>
      <c r="AX8" s="294" t="s">
        <v>135</v>
      </c>
      <c r="AY8" s="294" t="s">
        <v>136</v>
      </c>
      <c r="AZ8" s="294" t="s">
        <v>137</v>
      </c>
      <c r="BA8" s="294" t="s">
        <v>138</v>
      </c>
      <c r="BB8" s="294" t="s">
        <v>284</v>
      </c>
      <c r="BC8" s="294" t="s">
        <v>285</v>
      </c>
      <c r="BD8" s="294" t="s">
        <v>155</v>
      </c>
      <c r="BE8" s="207"/>
      <c r="BF8" s="294" t="s">
        <v>156</v>
      </c>
      <c r="BG8" s="294" t="s">
        <v>157</v>
      </c>
      <c r="BH8" s="294" t="s">
        <v>286</v>
      </c>
      <c r="BI8" s="294" t="s">
        <v>166</v>
      </c>
      <c r="BJ8" s="294" t="s">
        <v>158</v>
      </c>
      <c r="BK8" s="294" t="s">
        <v>287</v>
      </c>
      <c r="BL8" s="294" t="s">
        <v>288</v>
      </c>
      <c r="BM8" s="294" t="s">
        <v>159</v>
      </c>
      <c r="BN8" s="294" t="s">
        <v>160</v>
      </c>
      <c r="BO8" s="294" t="s">
        <v>161</v>
      </c>
      <c r="BP8" s="294" t="s">
        <v>162</v>
      </c>
      <c r="BQ8" s="294" t="s">
        <v>163</v>
      </c>
      <c r="BR8" s="297" t="s">
        <v>445</v>
      </c>
      <c r="BS8" s="297" t="s">
        <v>446</v>
      </c>
      <c r="BT8" s="294" t="s">
        <v>205</v>
      </c>
      <c r="BU8" s="294" t="s">
        <v>208</v>
      </c>
      <c r="BV8" s="294" t="s">
        <v>209</v>
      </c>
      <c r="BW8" s="294" t="s">
        <v>212</v>
      </c>
      <c r="BX8" s="294" t="s">
        <v>207</v>
      </c>
      <c r="BY8" s="294" t="s">
        <v>213</v>
      </c>
      <c r="BZ8" s="294" t="s">
        <v>274</v>
      </c>
      <c r="CA8" s="294" t="s">
        <v>380</v>
      </c>
      <c r="CB8" s="294" t="s">
        <v>381</v>
      </c>
      <c r="CC8" s="294" t="s">
        <v>382</v>
      </c>
      <c r="CD8" s="294" t="s">
        <v>385</v>
      </c>
      <c r="CE8" s="294" t="s">
        <v>455</v>
      </c>
      <c r="CF8" s="297" t="s">
        <v>483</v>
      </c>
      <c r="CG8" s="297" t="s">
        <v>489</v>
      </c>
      <c r="CH8" s="297" t="s">
        <v>558</v>
      </c>
      <c r="CI8" s="297" t="s">
        <v>560</v>
      </c>
      <c r="CJ8" s="297" t="s">
        <v>561</v>
      </c>
    </row>
    <row r="9" spans="1:88" s="7" customFormat="1" ht="12.75" customHeight="1" x14ac:dyDescent="0.2">
      <c r="A9" s="1" t="s">
        <v>10</v>
      </c>
      <c r="B9" s="1" t="s">
        <v>22</v>
      </c>
      <c r="C9" s="1" t="s">
        <v>565</v>
      </c>
      <c r="D9" s="1" t="s">
        <v>11</v>
      </c>
      <c r="E9" s="1" t="s">
        <v>24</v>
      </c>
      <c r="F9" s="1" t="s">
        <v>88</v>
      </c>
      <c r="G9" s="1" t="s">
        <v>87</v>
      </c>
      <c r="H9" s="2" t="s">
        <v>13</v>
      </c>
      <c r="I9" s="2" t="s">
        <v>141</v>
      </c>
      <c r="J9" s="2" t="s">
        <v>41</v>
      </c>
      <c r="K9" s="2" t="s">
        <v>115</v>
      </c>
      <c r="L9" s="2" t="s">
        <v>139</v>
      </c>
      <c r="M9" s="2" t="s">
        <v>14</v>
      </c>
      <c r="N9" s="1" t="s">
        <v>15</v>
      </c>
      <c r="O9" s="1" t="s">
        <v>16</v>
      </c>
      <c r="P9" s="1" t="s">
        <v>17</v>
      </c>
      <c r="Q9" s="172" t="s">
        <v>18</v>
      </c>
      <c r="R9" s="172" t="s">
        <v>23</v>
      </c>
      <c r="S9" s="172" t="s">
        <v>25</v>
      </c>
      <c r="T9" s="172" t="s">
        <v>19</v>
      </c>
      <c r="U9" s="172" t="s">
        <v>20</v>
      </c>
      <c r="V9" s="172" t="s">
        <v>21</v>
      </c>
      <c r="W9" s="172" t="s">
        <v>112</v>
      </c>
      <c r="X9" s="172" t="s">
        <v>113</v>
      </c>
      <c r="Y9" s="172" t="s">
        <v>144</v>
      </c>
      <c r="Z9" s="16" t="s">
        <v>145</v>
      </c>
      <c r="AA9" s="52" t="s">
        <v>146</v>
      </c>
      <c r="AB9" s="16" t="s">
        <v>14</v>
      </c>
      <c r="AC9" s="52" t="s">
        <v>15</v>
      </c>
      <c r="AD9" s="52" t="s">
        <v>16</v>
      </c>
      <c r="AE9" s="52" t="s">
        <v>17</v>
      </c>
      <c r="AF9" s="52" t="s">
        <v>18</v>
      </c>
      <c r="AG9" s="295"/>
      <c r="AH9" s="295"/>
      <c r="AI9" s="295"/>
      <c r="AJ9" s="295"/>
      <c r="AK9" s="295"/>
      <c r="AL9" s="295"/>
      <c r="AM9" s="295"/>
      <c r="AN9" s="295"/>
      <c r="AO9" s="295"/>
      <c r="AP9" s="295"/>
      <c r="AQ9" s="295"/>
      <c r="AR9" s="295"/>
      <c r="AS9" s="208"/>
      <c r="AT9" s="295"/>
      <c r="AU9" s="295"/>
      <c r="AV9" s="295"/>
      <c r="AW9" s="295"/>
      <c r="AX9" s="295"/>
      <c r="AY9" s="295"/>
      <c r="AZ9" s="295"/>
      <c r="BA9" s="295"/>
      <c r="BB9" s="295"/>
      <c r="BC9" s="295"/>
      <c r="BD9" s="295"/>
      <c r="BE9" s="208"/>
      <c r="BF9" s="295"/>
      <c r="BG9" s="295"/>
      <c r="BH9" s="295"/>
      <c r="BI9" s="295"/>
      <c r="BJ9" s="295"/>
      <c r="BK9" s="295"/>
      <c r="BL9" s="295"/>
      <c r="BM9" s="295"/>
      <c r="BN9" s="295"/>
      <c r="BO9" s="295"/>
      <c r="BP9" s="295"/>
      <c r="BQ9" s="295"/>
      <c r="BR9" s="295"/>
      <c r="BS9" s="295"/>
      <c r="BT9" s="295"/>
      <c r="BU9" s="295"/>
      <c r="BV9" s="295"/>
      <c r="BW9" s="295"/>
      <c r="BX9" s="295"/>
      <c r="BY9" s="295"/>
      <c r="BZ9" s="295"/>
      <c r="CA9" s="295"/>
      <c r="CB9" s="295"/>
      <c r="CC9" s="295"/>
      <c r="CD9" s="295"/>
      <c r="CE9" s="295"/>
      <c r="CF9" s="295"/>
      <c r="CG9" s="298"/>
      <c r="CH9" s="298"/>
      <c r="CI9" s="298"/>
      <c r="CJ9" s="298"/>
    </row>
    <row r="10" spans="1:88" s="7" customFormat="1" x14ac:dyDescent="0.2">
      <c r="A10" s="3" t="s">
        <v>497</v>
      </c>
      <c r="B10" s="5" t="s">
        <v>12</v>
      </c>
      <c r="C10" s="5"/>
      <c r="D10" s="5"/>
      <c r="E10" s="5"/>
      <c r="F10" s="5"/>
      <c r="G10" s="3"/>
      <c r="H10" s="5" t="s">
        <v>68</v>
      </c>
      <c r="I10" s="5"/>
      <c r="J10" s="5" t="s">
        <v>42</v>
      </c>
      <c r="K10" s="5"/>
      <c r="L10" s="5"/>
      <c r="M10" s="4" t="s">
        <v>147</v>
      </c>
      <c r="N10" s="6">
        <v>10</v>
      </c>
      <c r="O10" s="6" t="s">
        <v>148</v>
      </c>
      <c r="P10" s="123"/>
      <c r="Q10" s="123"/>
      <c r="R10" s="5"/>
      <c r="S10" s="5"/>
      <c r="T10" s="5"/>
      <c r="U10" s="5"/>
      <c r="V10" s="5"/>
      <c r="W10" s="5"/>
      <c r="X10" s="5"/>
      <c r="Y10" s="5"/>
      <c r="Z10" s="38"/>
      <c r="AA10" s="5"/>
      <c r="AB10" s="5"/>
      <c r="AC10" s="5"/>
      <c r="AD10" s="5"/>
      <c r="AE10" s="5"/>
      <c r="AF10" s="5"/>
      <c r="AG10" s="195"/>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c r="BH10" s="6"/>
      <c r="BI10" s="6"/>
      <c r="BJ10" s="6"/>
      <c r="BK10" s="6"/>
      <c r="BL10" s="6"/>
      <c r="BM10" s="6"/>
      <c r="BN10" s="6"/>
      <c r="BO10" s="6"/>
      <c r="BP10" s="6"/>
      <c r="BQ10" s="6"/>
      <c r="BR10" s="6"/>
      <c r="BS10" s="6"/>
      <c r="BT10" s="6"/>
      <c r="BU10" s="6"/>
      <c r="BV10" s="6"/>
      <c r="BW10" s="6"/>
      <c r="BX10" s="6"/>
      <c r="BY10" s="6"/>
      <c r="BZ10" s="6"/>
      <c r="CA10" s="6"/>
      <c r="CB10" s="6"/>
      <c r="CC10" s="6"/>
      <c r="CD10" s="6"/>
      <c r="CE10" s="6"/>
      <c r="CF10" s="6"/>
      <c r="CG10" s="6"/>
      <c r="CH10" s="6"/>
      <c r="CI10" s="6"/>
      <c r="CJ10" s="6"/>
    </row>
    <row r="11" spans="1:88" s="7" customFormat="1" x14ac:dyDescent="0.2">
      <c r="A11" s="5" t="s">
        <v>497</v>
      </c>
      <c r="B11" s="5" t="s">
        <v>12</v>
      </c>
      <c r="C11" s="5"/>
      <c r="D11" s="5"/>
      <c r="E11" s="5"/>
      <c r="F11" s="5"/>
      <c r="G11" s="3"/>
      <c r="H11" s="5" t="s">
        <v>68</v>
      </c>
      <c r="I11" s="5"/>
      <c r="J11" s="5" t="s">
        <v>42</v>
      </c>
      <c r="K11" s="5"/>
      <c r="L11" s="5"/>
      <c r="M11" s="4" t="s">
        <v>149</v>
      </c>
      <c r="N11" s="6">
        <v>10</v>
      </c>
      <c r="O11" s="6" t="s">
        <v>148</v>
      </c>
      <c r="P11" s="124"/>
      <c r="Q11" s="123"/>
      <c r="R11" s="5"/>
      <c r="S11" s="5"/>
      <c r="T11" s="5"/>
      <c r="U11" s="5"/>
      <c r="V11" s="5"/>
      <c r="W11" s="5"/>
      <c r="X11" s="5"/>
      <c r="Y11" s="5"/>
      <c r="Z11" s="38"/>
      <c r="AA11" s="5"/>
      <c r="AB11" s="5"/>
      <c r="AC11" s="5"/>
      <c r="AD11" s="5"/>
      <c r="AE11" s="5"/>
      <c r="AF11" s="5"/>
      <c r="AG11" s="195"/>
      <c r="AH11" s="6"/>
      <c r="AI11" s="6"/>
      <c r="AJ11" s="6"/>
      <c r="AK11" s="6"/>
      <c r="AL11" s="6"/>
      <c r="AM11" s="6"/>
      <c r="AN11" s="6"/>
      <c r="AO11" s="6"/>
      <c r="AP11" s="6"/>
      <c r="AQ11" s="6"/>
      <c r="AR11" s="6"/>
      <c r="AS11" s="6"/>
      <c r="AT11" s="6"/>
      <c r="AU11" s="6"/>
      <c r="AV11" s="6"/>
      <c r="AW11" s="6"/>
      <c r="AX11" s="6"/>
      <c r="AY11" s="6"/>
      <c r="AZ11" s="6"/>
      <c r="BA11" s="6"/>
      <c r="BB11" s="6"/>
      <c r="BC11" s="6"/>
      <c r="BD11" s="6"/>
      <c r="BE11" s="6"/>
      <c r="BF11" s="6"/>
      <c r="BG11" s="6"/>
      <c r="BH11" s="6"/>
      <c r="BI11" s="6"/>
      <c r="BJ11" s="6"/>
      <c r="BK11" s="6"/>
      <c r="BL11" s="6"/>
      <c r="BM11" s="6"/>
      <c r="BN11" s="6"/>
      <c r="BO11" s="6"/>
      <c r="BP11" s="6"/>
      <c r="BQ11" s="6"/>
      <c r="BR11" s="6"/>
      <c r="BS11" s="6"/>
      <c r="BT11" s="6"/>
      <c r="BU11" s="6"/>
      <c r="BV11" s="6"/>
      <c r="BW11" s="6"/>
      <c r="BX11" s="6"/>
      <c r="BY11" s="6"/>
      <c r="BZ11" s="6"/>
      <c r="CA11" s="6"/>
      <c r="CB11" s="6"/>
      <c r="CC11" s="6"/>
      <c r="CD11" s="6"/>
      <c r="CE11" s="6"/>
      <c r="CF11" s="6"/>
      <c r="CG11" s="6"/>
      <c r="CH11" s="6"/>
      <c r="CI11" s="6"/>
      <c r="CJ11" s="6"/>
    </row>
    <row r="12" spans="1:88" s="7" customFormat="1" x14ac:dyDescent="0.2">
      <c r="A12" s="5"/>
      <c r="B12" s="5"/>
      <c r="C12" s="5"/>
      <c r="D12" s="5"/>
      <c r="E12" s="5"/>
      <c r="F12" s="5"/>
      <c r="G12" s="5"/>
      <c r="H12" s="5"/>
      <c r="I12" s="5"/>
      <c r="J12" s="5"/>
      <c r="K12" s="5"/>
      <c r="L12" s="5"/>
      <c r="M12" s="4"/>
      <c r="N12" s="6"/>
      <c r="O12" s="6"/>
      <c r="P12" s="124"/>
      <c r="Q12" s="123"/>
      <c r="R12" s="5"/>
      <c r="S12" s="5"/>
      <c r="T12" s="5"/>
      <c r="U12" s="5"/>
      <c r="V12" s="5"/>
      <c r="W12" s="5"/>
      <c r="X12" s="5"/>
      <c r="Y12" s="5"/>
      <c r="Z12" s="38"/>
      <c r="AA12" s="5"/>
      <c r="AB12" s="5"/>
      <c r="AC12" s="5"/>
      <c r="AD12" s="5"/>
      <c r="AE12" s="5"/>
      <c r="AF12" s="5"/>
      <c r="AG12" s="195"/>
      <c r="AH12" s="6"/>
      <c r="AI12" s="6"/>
      <c r="AJ12" s="6"/>
      <c r="AK12" s="6"/>
      <c r="AL12" s="6"/>
      <c r="AM12" s="6"/>
      <c r="AN12" s="6"/>
      <c r="AO12" s="6"/>
      <c r="AP12" s="6"/>
      <c r="AQ12" s="6"/>
      <c r="AR12" s="6"/>
      <c r="AS12" s="6"/>
      <c r="AT12" s="6"/>
      <c r="AU12" s="6"/>
      <c r="AV12" s="6"/>
      <c r="AW12" s="6"/>
      <c r="AX12" s="6"/>
      <c r="AY12" s="6"/>
      <c r="AZ12" s="6"/>
      <c r="BA12" s="6"/>
      <c r="BB12" s="6"/>
      <c r="BC12" s="6"/>
      <c r="BD12" s="6"/>
      <c r="BE12" s="6"/>
      <c r="BF12" s="6"/>
      <c r="BG12" s="6"/>
      <c r="BH12" s="6"/>
      <c r="BI12" s="6"/>
      <c r="BJ12" s="6"/>
      <c r="BK12" s="6"/>
      <c r="BL12" s="6"/>
      <c r="BM12" s="6"/>
      <c r="BN12" s="6"/>
      <c r="BO12" s="6"/>
      <c r="BP12" s="6"/>
      <c r="BQ12" s="6"/>
      <c r="BR12" s="6"/>
      <c r="BS12" s="6"/>
      <c r="BT12" s="6"/>
      <c r="BU12" s="6"/>
      <c r="BV12" s="6"/>
      <c r="BW12" s="6"/>
      <c r="BX12" s="6"/>
      <c r="BY12" s="6"/>
      <c r="BZ12" s="6"/>
      <c r="CA12" s="6"/>
      <c r="CB12" s="6"/>
      <c r="CC12" s="6"/>
      <c r="CD12" s="6"/>
      <c r="CE12" s="6"/>
      <c r="CF12" s="6"/>
      <c r="CG12" s="6"/>
      <c r="CH12" s="6"/>
      <c r="CI12" s="6"/>
      <c r="CJ12" s="6"/>
    </row>
    <row r="13" spans="1:88" s="7" customFormat="1" x14ac:dyDescent="0.2">
      <c r="A13" s="3"/>
      <c r="B13" s="3"/>
      <c r="C13" s="5"/>
      <c r="D13" s="5"/>
      <c r="E13" s="5"/>
      <c r="F13" s="5"/>
      <c r="G13" s="5"/>
      <c r="H13" s="3"/>
      <c r="I13" s="5"/>
      <c r="J13" s="3"/>
      <c r="K13" s="5"/>
      <c r="L13" s="5"/>
      <c r="M13" s="4"/>
      <c r="N13" s="6"/>
      <c r="O13" s="6"/>
      <c r="P13" s="124"/>
      <c r="Q13" s="123"/>
      <c r="R13" s="5"/>
      <c r="S13" s="5"/>
      <c r="T13" s="5"/>
      <c r="U13" s="5"/>
      <c r="V13" s="5"/>
      <c r="W13" s="5"/>
      <c r="X13" s="5"/>
      <c r="Y13" s="5"/>
      <c r="Z13" s="38"/>
      <c r="AA13" s="5"/>
      <c r="AB13" s="5"/>
      <c r="AC13" s="5"/>
      <c r="AD13" s="5"/>
      <c r="AE13" s="5"/>
      <c r="AF13" s="5"/>
      <c r="AG13" s="195"/>
      <c r="AH13" s="6"/>
      <c r="AI13" s="6"/>
      <c r="AJ13" s="6"/>
      <c r="AK13" s="6"/>
      <c r="AL13" s="6"/>
      <c r="AM13" s="6"/>
      <c r="AN13" s="6"/>
      <c r="AO13" s="6"/>
      <c r="AP13" s="6"/>
      <c r="AQ13" s="6"/>
      <c r="AR13" s="6"/>
      <c r="AS13" s="6"/>
      <c r="AT13" s="6"/>
      <c r="AU13" s="6"/>
      <c r="AV13" s="6"/>
      <c r="AW13" s="6"/>
      <c r="AX13" s="6"/>
      <c r="AY13" s="6"/>
      <c r="AZ13" s="6"/>
      <c r="BA13" s="6"/>
      <c r="BB13" s="6"/>
      <c r="BC13" s="6"/>
      <c r="BD13" s="6"/>
      <c r="BE13" s="6"/>
      <c r="BF13" s="6"/>
      <c r="BG13" s="6"/>
      <c r="BH13" s="6"/>
      <c r="BI13" s="6"/>
      <c r="BJ13" s="6"/>
      <c r="BK13" s="6"/>
      <c r="BL13" s="6"/>
      <c r="BM13" s="6"/>
      <c r="BN13" s="6"/>
      <c r="BO13" s="6"/>
      <c r="BP13" s="6"/>
      <c r="BQ13" s="6"/>
      <c r="BR13" s="6"/>
      <c r="BS13" s="6"/>
      <c r="BT13" s="6"/>
      <c r="BU13" s="6"/>
      <c r="BV13" s="6"/>
      <c r="BW13" s="6"/>
      <c r="BX13" s="6"/>
      <c r="BY13" s="6"/>
      <c r="BZ13" s="6"/>
      <c r="CA13" s="6"/>
      <c r="CB13" s="6"/>
      <c r="CC13" s="6"/>
      <c r="CD13" s="6"/>
      <c r="CE13" s="6"/>
      <c r="CF13" s="6"/>
      <c r="CG13" s="6"/>
      <c r="CH13" s="6"/>
      <c r="CI13" s="6"/>
      <c r="CJ13" s="6"/>
    </row>
    <row r="14" spans="1:88" s="7" customFormat="1" x14ac:dyDescent="0.2">
      <c r="A14" s="8"/>
      <c r="B14" s="5"/>
      <c r="C14" s="5"/>
      <c r="D14" s="5"/>
      <c r="E14" s="64"/>
      <c r="F14" s="5"/>
      <c r="G14" s="5"/>
      <c r="H14" s="5"/>
      <c r="I14" s="5"/>
      <c r="J14" s="5"/>
      <c r="K14" s="101"/>
      <c r="L14" s="5"/>
      <c r="M14" s="4"/>
      <c r="N14" s="6"/>
      <c r="O14" s="6"/>
      <c r="P14" s="124"/>
      <c r="Q14" s="123"/>
      <c r="R14" s="5"/>
      <c r="S14" s="5"/>
      <c r="T14" s="5"/>
      <c r="U14" s="5"/>
      <c r="V14" s="5"/>
      <c r="W14" s="5"/>
      <c r="X14" s="5"/>
      <c r="Y14" s="5"/>
      <c r="Z14" s="38"/>
      <c r="AA14" s="5"/>
      <c r="AB14" s="5"/>
      <c r="AC14" s="5"/>
      <c r="AD14" s="5"/>
      <c r="AE14" s="5"/>
      <c r="AF14" s="5"/>
      <c r="AG14" s="195"/>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c r="CJ14" s="6"/>
    </row>
    <row r="15" spans="1:88" s="7" customFormat="1" x14ac:dyDescent="0.2">
      <c r="A15" s="5"/>
      <c r="B15" s="5"/>
      <c r="C15" s="5"/>
      <c r="D15" s="5"/>
      <c r="E15" s="64"/>
      <c r="F15" s="5"/>
      <c r="G15" s="5"/>
      <c r="H15" s="5"/>
      <c r="I15" s="5"/>
      <c r="J15" s="5"/>
      <c r="K15" s="101"/>
      <c r="L15" s="5"/>
      <c r="M15" s="4"/>
      <c r="N15" s="6"/>
      <c r="O15" s="6"/>
      <c r="P15" s="124"/>
      <c r="Q15" s="123"/>
      <c r="R15" s="5"/>
      <c r="S15" s="5"/>
      <c r="T15" s="5"/>
      <c r="U15" s="5"/>
      <c r="V15" s="5"/>
      <c r="W15" s="5"/>
      <c r="X15" s="5"/>
      <c r="Y15" s="5"/>
      <c r="Z15" s="38"/>
      <c r="AA15" s="5"/>
      <c r="AB15" s="5"/>
      <c r="AC15" s="5"/>
      <c r="AD15" s="5"/>
      <c r="AE15" s="5"/>
      <c r="AF15" s="5"/>
      <c r="AG15" s="195"/>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row>
    <row r="16" spans="1:88" s="7" customFormat="1" x14ac:dyDescent="0.2">
      <c r="A16" s="5"/>
      <c r="B16" s="5"/>
      <c r="C16" s="5"/>
      <c r="D16" s="5"/>
      <c r="E16" s="64"/>
      <c r="F16" s="5"/>
      <c r="G16" s="5"/>
      <c r="H16" s="5"/>
      <c r="I16" s="5"/>
      <c r="J16" s="5"/>
      <c r="K16" s="101"/>
      <c r="L16" s="5"/>
      <c r="M16" s="4"/>
      <c r="N16" s="6"/>
      <c r="O16" s="6"/>
      <c r="P16" s="124"/>
      <c r="Q16" s="123"/>
      <c r="R16" s="5"/>
      <c r="S16" s="5"/>
      <c r="T16" s="5"/>
      <c r="U16" s="5"/>
      <c r="V16" s="5"/>
      <c r="W16" s="5"/>
      <c r="X16" s="5"/>
      <c r="Y16" s="5"/>
      <c r="Z16" s="38"/>
      <c r="AA16" s="5"/>
      <c r="AB16" s="5"/>
      <c r="AC16" s="5"/>
      <c r="AD16" s="5"/>
      <c r="AE16" s="5"/>
      <c r="AF16" s="5"/>
      <c r="AG16" s="195"/>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row>
    <row r="17" spans="1:88" s="7" customFormat="1" x14ac:dyDescent="0.2">
      <c r="A17" s="5"/>
      <c r="B17" s="5"/>
      <c r="C17" s="5"/>
      <c r="D17" s="5"/>
      <c r="E17" s="5"/>
      <c r="F17" s="5"/>
      <c r="G17" s="5"/>
      <c r="H17" s="5"/>
      <c r="I17" s="5"/>
      <c r="J17" s="5"/>
      <c r="K17" s="5"/>
      <c r="L17" s="5"/>
      <c r="M17" s="4"/>
      <c r="N17" s="6"/>
      <c r="O17" s="6"/>
      <c r="P17" s="123"/>
      <c r="Q17" s="123"/>
      <c r="R17" s="5"/>
      <c r="S17" s="5"/>
      <c r="T17" s="5"/>
      <c r="U17" s="5"/>
      <c r="V17" s="5"/>
      <c r="W17" s="5"/>
      <c r="X17" s="5"/>
      <c r="Y17" s="5"/>
      <c r="Z17" s="38"/>
      <c r="AA17" s="5"/>
      <c r="AB17" s="5"/>
      <c r="AC17" s="5"/>
      <c r="AD17" s="5"/>
      <c r="AE17" s="5"/>
      <c r="AF17" s="5"/>
      <c r="AG17" s="195"/>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row>
    <row r="18" spans="1:88" s="7" customFormat="1" x14ac:dyDescent="0.2">
      <c r="A18" s="5"/>
      <c r="B18" s="5"/>
      <c r="C18" s="5"/>
      <c r="D18" s="5"/>
      <c r="E18" s="5"/>
      <c r="F18" s="5"/>
      <c r="G18" s="5"/>
      <c r="H18" s="5"/>
      <c r="I18" s="5"/>
      <c r="J18" s="5"/>
      <c r="K18" s="5"/>
      <c r="L18" s="5"/>
      <c r="M18" s="6"/>
      <c r="N18" s="6"/>
      <c r="O18" s="6"/>
      <c r="P18" s="123"/>
      <c r="Q18" s="123"/>
      <c r="R18" s="5"/>
      <c r="S18" s="5"/>
      <c r="T18" s="5"/>
      <c r="U18" s="5"/>
      <c r="V18" s="5"/>
      <c r="W18" s="5"/>
      <c r="X18" s="5"/>
      <c r="Y18" s="5"/>
      <c r="Z18" s="38"/>
      <c r="AA18" s="5"/>
      <c r="AB18" s="5"/>
      <c r="AC18" s="5"/>
      <c r="AD18" s="5"/>
      <c r="AE18" s="5"/>
      <c r="AF18" s="5"/>
      <c r="AG18" s="195"/>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row>
    <row r="19" spans="1:88" s="7" customFormat="1" x14ac:dyDescent="0.2">
      <c r="A19" s="14"/>
      <c r="B19" s="13"/>
      <c r="C19" s="13"/>
      <c r="D19" s="13"/>
      <c r="E19" s="63"/>
      <c r="F19" s="13"/>
      <c r="G19" s="13"/>
      <c r="H19" s="13"/>
      <c r="I19" s="13"/>
      <c r="J19" s="13"/>
      <c r="K19" s="180"/>
      <c r="L19" s="37"/>
      <c r="M19" s="4"/>
      <c r="N19" s="6"/>
      <c r="O19" s="6"/>
      <c r="P19" s="124"/>
      <c r="Q19" s="123"/>
      <c r="R19" s="5"/>
      <c r="S19" s="5"/>
      <c r="T19" s="5"/>
      <c r="U19" s="5"/>
      <c r="V19" s="5"/>
      <c r="W19" s="5"/>
      <c r="X19" s="5"/>
      <c r="Y19" s="5"/>
      <c r="Z19" s="38"/>
      <c r="AA19" s="5"/>
      <c r="AB19" s="5"/>
      <c r="AC19" s="5"/>
      <c r="AD19" s="5"/>
      <c r="AE19" s="5"/>
      <c r="AF19" s="5"/>
      <c r="AG19" s="195"/>
      <c r="AH19" s="6"/>
      <c r="AI19" s="6"/>
      <c r="AJ19" s="6"/>
      <c r="AK19" s="6"/>
      <c r="AL19" s="6"/>
      <c r="AM19" s="6"/>
      <c r="AN19" s="6"/>
      <c r="AO19" s="6"/>
      <c r="AP19" s="6"/>
      <c r="AQ19" s="6"/>
      <c r="AR19" s="6"/>
      <c r="AS19" s="6"/>
      <c r="AT19" s="6"/>
      <c r="AU19" s="6"/>
      <c r="AV19" s="6"/>
      <c r="AW19" s="6"/>
      <c r="AX19" s="6"/>
      <c r="AY19" s="6"/>
      <c r="AZ19" s="6"/>
      <c r="BA19" s="6"/>
      <c r="BB19" s="6"/>
      <c r="BC19" s="6"/>
      <c r="BD19" s="6"/>
      <c r="BE19" s="6"/>
      <c r="BF19" s="6"/>
      <c r="BG19" s="6"/>
      <c r="BH19" s="6"/>
      <c r="BI19" s="6"/>
      <c r="BJ19" s="6"/>
      <c r="BK19" s="6"/>
      <c r="BL19" s="6"/>
      <c r="BM19" s="6"/>
      <c r="BN19" s="6"/>
      <c r="BO19" s="6"/>
      <c r="BP19" s="6"/>
      <c r="BQ19" s="6"/>
      <c r="BR19" s="6"/>
      <c r="BS19" s="6"/>
      <c r="BT19" s="6"/>
      <c r="BU19" s="6"/>
      <c r="BV19" s="6"/>
      <c r="BW19" s="6"/>
      <c r="BX19" s="6"/>
      <c r="BY19" s="6"/>
      <c r="BZ19" s="6"/>
      <c r="CA19" s="6"/>
      <c r="CB19" s="6"/>
      <c r="CC19" s="6"/>
      <c r="CD19" s="6"/>
      <c r="CE19" s="6"/>
      <c r="CF19" s="6"/>
      <c r="CG19" s="6"/>
      <c r="CH19" s="6"/>
      <c r="CI19" s="6"/>
      <c r="CJ19" s="6"/>
    </row>
    <row r="20" spans="1:88" s="7" customFormat="1" x14ac:dyDescent="0.2">
      <c r="A20" s="5"/>
      <c r="B20" s="5"/>
      <c r="C20" s="5"/>
      <c r="D20" s="5"/>
      <c r="E20" s="5"/>
      <c r="F20" s="5"/>
      <c r="G20" s="5"/>
      <c r="H20" s="5"/>
      <c r="I20" s="5"/>
      <c r="J20" s="5"/>
      <c r="K20" s="5"/>
      <c r="L20" s="5"/>
      <c r="M20" s="4"/>
      <c r="N20" s="6"/>
      <c r="O20" s="6"/>
      <c r="P20" s="123"/>
      <c r="Q20" s="123"/>
      <c r="R20" s="5"/>
      <c r="S20" s="5"/>
      <c r="T20" s="5"/>
      <c r="U20" s="5"/>
      <c r="V20" s="5"/>
      <c r="W20" s="5"/>
      <c r="X20" s="5"/>
      <c r="Y20" s="5"/>
      <c r="Z20" s="38"/>
      <c r="AA20" s="5"/>
      <c r="AB20" s="5"/>
      <c r="AC20" s="5"/>
      <c r="AD20" s="5"/>
      <c r="AE20" s="5"/>
      <c r="AF20" s="5"/>
      <c r="AG20" s="195"/>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c r="CD20" s="6"/>
      <c r="CE20" s="6"/>
      <c r="CF20" s="6"/>
      <c r="CG20" s="6"/>
      <c r="CH20" s="6"/>
      <c r="CI20" s="6"/>
      <c r="CJ20" s="6"/>
    </row>
    <row r="21" spans="1:88" s="7" customFormat="1" x14ac:dyDescent="0.2">
      <c r="A21" s="5"/>
      <c r="B21" s="5"/>
      <c r="C21" s="5"/>
      <c r="D21" s="5"/>
      <c r="E21" s="5"/>
      <c r="F21" s="5"/>
      <c r="G21" s="5"/>
      <c r="H21" s="5"/>
      <c r="I21" s="5"/>
      <c r="J21" s="5"/>
      <c r="K21" s="5"/>
      <c r="L21" s="5"/>
      <c r="M21" s="4"/>
      <c r="N21" s="6"/>
      <c r="O21" s="6"/>
      <c r="P21" s="123"/>
      <c r="Q21" s="123"/>
      <c r="R21" s="5"/>
      <c r="S21" s="5"/>
      <c r="T21" s="5"/>
      <c r="U21" s="5"/>
      <c r="V21" s="5"/>
      <c r="W21" s="5"/>
      <c r="X21" s="5"/>
      <c r="Y21" s="5"/>
      <c r="Z21" s="38"/>
      <c r="AA21" s="5"/>
      <c r="AB21" s="5"/>
      <c r="AC21" s="5"/>
      <c r="AD21" s="5"/>
      <c r="AE21" s="5"/>
      <c r="AF21" s="5"/>
      <c r="AG21" s="195"/>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c r="BH21" s="6"/>
      <c r="BI21" s="6"/>
      <c r="BJ21" s="6"/>
      <c r="BK21" s="6"/>
      <c r="BL21" s="6"/>
      <c r="BM21" s="6"/>
      <c r="BN21" s="6"/>
      <c r="BO21" s="6"/>
      <c r="BP21" s="6"/>
      <c r="BQ21" s="6"/>
      <c r="BR21" s="6"/>
      <c r="BS21" s="6"/>
      <c r="BT21" s="6"/>
      <c r="BU21" s="6"/>
      <c r="BV21" s="6"/>
      <c r="BW21" s="6"/>
      <c r="BX21" s="6"/>
      <c r="BY21" s="6"/>
      <c r="BZ21" s="6"/>
      <c r="CA21" s="6"/>
      <c r="CB21" s="6"/>
      <c r="CC21" s="6"/>
      <c r="CD21" s="6"/>
      <c r="CE21" s="6"/>
      <c r="CF21" s="6"/>
      <c r="CG21" s="6"/>
      <c r="CH21" s="6"/>
      <c r="CI21" s="6"/>
      <c r="CJ21" s="6"/>
    </row>
    <row r="22" spans="1:88" s="7" customFormat="1" x14ac:dyDescent="0.2">
      <c r="A22" s="5"/>
      <c r="B22" s="5"/>
      <c r="C22" s="5"/>
      <c r="D22" s="5"/>
      <c r="E22" s="5"/>
      <c r="F22" s="5"/>
      <c r="G22" s="5"/>
      <c r="H22" s="5"/>
      <c r="I22" s="5"/>
      <c r="J22" s="5"/>
      <c r="K22" s="5"/>
      <c r="L22" s="5"/>
      <c r="M22" s="53"/>
      <c r="N22" s="53"/>
      <c r="O22" s="53"/>
      <c r="P22" s="125"/>
      <c r="Q22" s="123"/>
      <c r="R22" s="5"/>
      <c r="S22" s="5"/>
      <c r="T22" s="5"/>
      <c r="U22" s="5"/>
      <c r="V22" s="5"/>
      <c r="W22" s="5"/>
      <c r="X22" s="5"/>
      <c r="Y22" s="5"/>
      <c r="Z22" s="38"/>
      <c r="AA22" s="5"/>
      <c r="AB22" s="5"/>
      <c r="AC22" s="5"/>
      <c r="AD22" s="5"/>
      <c r="AE22" s="5"/>
      <c r="AF22" s="5"/>
      <c r="AG22" s="195"/>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c r="BH22" s="6"/>
      <c r="BI22" s="6"/>
      <c r="BJ22" s="6"/>
      <c r="BK22" s="6"/>
      <c r="BL22" s="6"/>
      <c r="BM22" s="6"/>
      <c r="BN22" s="6"/>
      <c r="BO22" s="6"/>
      <c r="BP22" s="6"/>
      <c r="BQ22" s="6"/>
      <c r="BR22" s="6"/>
      <c r="BS22" s="6"/>
      <c r="BT22" s="6"/>
      <c r="BU22" s="6"/>
      <c r="BV22" s="6"/>
      <c r="BW22" s="6"/>
      <c r="BX22" s="6"/>
      <c r="BY22" s="6"/>
      <c r="BZ22" s="6"/>
      <c r="CA22" s="6"/>
      <c r="CB22" s="6"/>
      <c r="CC22" s="6"/>
      <c r="CD22" s="6"/>
      <c r="CE22" s="6"/>
      <c r="CF22" s="6"/>
      <c r="CG22" s="6"/>
      <c r="CH22" s="6"/>
      <c r="CI22" s="6"/>
      <c r="CJ22" s="6"/>
    </row>
    <row r="23" spans="1:88" s="7" customFormat="1" x14ac:dyDescent="0.2">
      <c r="A23" s="3"/>
      <c r="B23" s="3"/>
      <c r="C23" s="5"/>
      <c r="D23" s="5"/>
      <c r="E23" s="5"/>
      <c r="F23" s="5"/>
      <c r="G23" s="5"/>
      <c r="H23" s="3"/>
      <c r="I23" s="5"/>
      <c r="J23" s="3"/>
      <c r="K23" s="5"/>
      <c r="L23" s="37"/>
      <c r="M23" s="4"/>
      <c r="N23" s="6"/>
      <c r="O23" s="6"/>
      <c r="P23" s="125"/>
      <c r="Q23" s="123"/>
      <c r="R23" s="5"/>
      <c r="S23" s="5"/>
      <c r="T23" s="5"/>
      <c r="U23" s="5"/>
      <c r="V23" s="5"/>
      <c r="W23" s="5"/>
      <c r="X23" s="5"/>
      <c r="Y23" s="5"/>
      <c r="Z23" s="38"/>
      <c r="AA23" s="5"/>
      <c r="AB23" s="5"/>
      <c r="AC23" s="5"/>
      <c r="AD23" s="5"/>
      <c r="AE23" s="5"/>
      <c r="AF23" s="5"/>
      <c r="AG23" s="195"/>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c r="BM23" s="6"/>
      <c r="BN23" s="6"/>
      <c r="BO23" s="6"/>
      <c r="BP23" s="6"/>
      <c r="BQ23" s="6"/>
      <c r="BR23" s="6"/>
      <c r="BS23" s="6"/>
      <c r="BT23" s="6"/>
      <c r="BU23" s="6"/>
      <c r="BV23" s="6"/>
      <c r="BW23" s="6"/>
      <c r="BX23" s="6"/>
      <c r="BY23" s="6"/>
      <c r="BZ23" s="6"/>
      <c r="CA23" s="6"/>
      <c r="CB23" s="6"/>
      <c r="CC23" s="6"/>
      <c r="CD23" s="6"/>
      <c r="CE23" s="6"/>
      <c r="CF23" s="6"/>
      <c r="CG23" s="6"/>
      <c r="CH23" s="6"/>
      <c r="CI23" s="6"/>
      <c r="CJ23" s="6"/>
    </row>
    <row r="24" spans="1:88" s="7" customFormat="1" x14ac:dyDescent="0.2">
      <c r="A24" s="3"/>
      <c r="B24" s="3"/>
      <c r="C24" s="5"/>
      <c r="D24" s="5"/>
      <c r="E24" s="5"/>
      <c r="F24" s="5"/>
      <c r="G24" s="5"/>
      <c r="H24" s="3"/>
      <c r="I24" s="5"/>
      <c r="J24" s="3"/>
      <c r="K24" s="5"/>
      <c r="L24" s="37"/>
      <c r="M24" s="4"/>
      <c r="N24" s="6"/>
      <c r="O24" s="6"/>
      <c r="P24" s="125"/>
      <c r="Q24" s="123"/>
      <c r="R24" s="5"/>
      <c r="S24" s="5"/>
      <c r="T24" s="5"/>
      <c r="U24" s="5"/>
      <c r="V24" s="5"/>
      <c r="W24" s="5"/>
      <c r="X24" s="5"/>
      <c r="Y24" s="5"/>
      <c r="Z24" s="38"/>
      <c r="AA24" s="5"/>
      <c r="AB24" s="5"/>
      <c r="AC24" s="5"/>
      <c r="AD24" s="5"/>
      <c r="AE24" s="5"/>
      <c r="AF24" s="5"/>
      <c r="AG24" s="195"/>
      <c r="AH24" s="6"/>
      <c r="AI24" s="6"/>
      <c r="AJ24" s="6"/>
      <c r="AK24" s="6"/>
      <c r="AL24" s="6"/>
      <c r="AM24" s="6"/>
      <c r="AN24" s="6"/>
      <c r="AO24" s="6"/>
      <c r="AP24" s="6"/>
      <c r="AQ24" s="6"/>
      <c r="AR24" s="6"/>
      <c r="AS24" s="6"/>
      <c r="AT24" s="6"/>
      <c r="AU24" s="6"/>
      <c r="AV24" s="6"/>
      <c r="AW24" s="6"/>
      <c r="AX24" s="6"/>
      <c r="AY24" s="6"/>
      <c r="AZ24" s="6"/>
      <c r="BA24" s="6"/>
      <c r="BB24" s="6"/>
      <c r="BC24" s="6"/>
      <c r="BD24" s="6"/>
      <c r="BE24" s="6"/>
      <c r="BF24" s="6"/>
      <c r="BG24" s="6"/>
      <c r="BH24" s="6"/>
      <c r="BI24" s="6"/>
      <c r="BJ24" s="6"/>
      <c r="BK24" s="6"/>
      <c r="BL24" s="6"/>
      <c r="BM24" s="6"/>
      <c r="BN24" s="6"/>
      <c r="BO24" s="6"/>
      <c r="BP24" s="6"/>
      <c r="BQ24" s="6"/>
      <c r="BR24" s="6"/>
      <c r="BS24" s="6"/>
      <c r="BT24" s="6"/>
      <c r="BU24" s="6"/>
      <c r="BV24" s="6"/>
      <c r="BW24" s="6"/>
      <c r="BX24" s="6"/>
      <c r="BY24" s="6"/>
      <c r="BZ24" s="6"/>
      <c r="CA24" s="6"/>
      <c r="CB24" s="6"/>
      <c r="CC24" s="6"/>
      <c r="CD24" s="6"/>
      <c r="CE24" s="6"/>
      <c r="CF24" s="6"/>
      <c r="CG24" s="6"/>
      <c r="CH24" s="6"/>
      <c r="CI24" s="6"/>
      <c r="CJ24" s="6"/>
    </row>
    <row r="25" spans="1:88" s="7" customFormat="1" x14ac:dyDescent="0.2">
      <c r="A25" s="5"/>
      <c r="B25" s="5"/>
      <c r="C25" s="5"/>
      <c r="D25" s="5"/>
      <c r="E25" s="5"/>
      <c r="F25" s="5"/>
      <c r="G25" s="5"/>
      <c r="H25" s="5"/>
      <c r="I25" s="5"/>
      <c r="J25" s="5"/>
      <c r="K25" s="5"/>
      <c r="L25" s="5"/>
      <c r="M25" s="53"/>
      <c r="N25" s="53"/>
      <c r="O25" s="53"/>
      <c r="P25" s="125"/>
      <c r="Q25" s="123"/>
      <c r="R25" s="5"/>
      <c r="S25" s="5"/>
      <c r="T25" s="5"/>
      <c r="U25" s="5"/>
      <c r="V25" s="5"/>
      <c r="W25" s="5"/>
      <c r="X25" s="5"/>
      <c r="Y25" s="5"/>
      <c r="Z25" s="38"/>
      <c r="AA25" s="5"/>
      <c r="AB25" s="5"/>
      <c r="AC25" s="5"/>
      <c r="AD25" s="5"/>
      <c r="AE25" s="5"/>
      <c r="AF25" s="5"/>
      <c r="AG25" s="195"/>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c r="BH25" s="6"/>
      <c r="BI25" s="6"/>
      <c r="BJ25" s="6"/>
      <c r="BK25" s="6"/>
      <c r="BL25" s="6"/>
      <c r="BM25" s="6"/>
      <c r="BN25" s="6"/>
      <c r="BO25" s="6"/>
      <c r="BP25" s="6"/>
      <c r="BQ25" s="6"/>
      <c r="BR25" s="6"/>
      <c r="BS25" s="6"/>
      <c r="BT25" s="6"/>
      <c r="BU25" s="6"/>
      <c r="BV25" s="6"/>
      <c r="BW25" s="6"/>
      <c r="BX25" s="6"/>
      <c r="BY25" s="6"/>
      <c r="BZ25" s="6"/>
      <c r="CA25" s="6"/>
      <c r="CB25" s="6"/>
      <c r="CC25" s="6"/>
      <c r="CD25" s="6"/>
      <c r="CE25" s="6"/>
      <c r="CF25" s="6"/>
      <c r="CG25" s="6"/>
      <c r="CH25" s="6"/>
      <c r="CI25" s="6"/>
      <c r="CJ25" s="6"/>
    </row>
    <row r="26" spans="1:88" s="7" customFormat="1" x14ac:dyDescent="0.2">
      <c r="A26" s="5"/>
      <c r="B26" s="5"/>
      <c r="C26" s="5"/>
      <c r="D26" s="5"/>
      <c r="E26" s="5"/>
      <c r="F26" s="5"/>
      <c r="G26" s="5"/>
      <c r="H26" s="5"/>
      <c r="I26" s="5"/>
      <c r="J26" s="5"/>
      <c r="K26" s="5"/>
      <c r="L26" s="5"/>
      <c r="M26" s="53"/>
      <c r="N26" s="53"/>
      <c r="O26" s="53"/>
      <c r="P26" s="125"/>
      <c r="Q26" s="123"/>
      <c r="R26" s="5"/>
      <c r="S26" s="5"/>
      <c r="T26" s="5"/>
      <c r="U26" s="5"/>
      <c r="V26" s="5"/>
      <c r="W26" s="5"/>
      <c r="X26" s="5"/>
      <c r="Y26" s="5"/>
      <c r="Z26" s="38"/>
      <c r="AA26" s="5"/>
      <c r="AB26" s="5"/>
      <c r="AC26" s="5"/>
      <c r="AD26" s="5"/>
      <c r="AE26" s="5"/>
      <c r="AF26" s="5"/>
      <c r="AG26" s="195"/>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c r="BQ26" s="6"/>
      <c r="BR26" s="6"/>
      <c r="BS26" s="6"/>
      <c r="BT26" s="6"/>
      <c r="BU26" s="6"/>
      <c r="BV26" s="6"/>
      <c r="BW26" s="6"/>
      <c r="BX26" s="6"/>
      <c r="BY26" s="6"/>
      <c r="BZ26" s="6"/>
      <c r="CA26" s="6"/>
      <c r="CB26" s="6"/>
      <c r="CC26" s="6"/>
      <c r="CD26" s="6"/>
      <c r="CE26" s="6"/>
      <c r="CF26" s="6"/>
      <c r="CG26" s="6"/>
      <c r="CH26" s="6"/>
      <c r="CI26" s="6"/>
      <c r="CJ26" s="6"/>
    </row>
    <row r="27" spans="1:88" s="7" customFormat="1" x14ac:dyDescent="0.2">
      <c r="A27" s="3"/>
      <c r="B27" s="3"/>
      <c r="C27" s="5"/>
      <c r="D27" s="5"/>
      <c r="E27" s="5"/>
      <c r="F27" s="5"/>
      <c r="G27" s="5"/>
      <c r="H27" s="3"/>
      <c r="I27" s="5"/>
      <c r="J27" s="3"/>
      <c r="K27" s="5"/>
      <c r="L27" s="37"/>
      <c r="M27" s="4"/>
      <c r="N27" s="6"/>
      <c r="O27" s="6"/>
      <c r="P27" s="125"/>
      <c r="Q27" s="123"/>
      <c r="R27" s="5"/>
      <c r="S27" s="5"/>
      <c r="T27" s="5"/>
      <c r="U27" s="5"/>
      <c r="V27" s="5"/>
      <c r="W27" s="5"/>
      <c r="X27" s="5"/>
      <c r="Y27" s="5"/>
      <c r="Z27" s="38"/>
      <c r="AA27" s="5"/>
      <c r="AB27" s="5"/>
      <c r="AC27" s="5"/>
      <c r="AD27" s="5"/>
      <c r="AE27" s="5"/>
      <c r="AF27" s="5"/>
      <c r="AG27" s="195"/>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c r="BH27" s="6"/>
      <c r="BI27" s="6"/>
      <c r="BJ27" s="6"/>
      <c r="BK27" s="6"/>
      <c r="BL27" s="6"/>
      <c r="BM27" s="6"/>
      <c r="BN27" s="6"/>
      <c r="BO27" s="6"/>
      <c r="BP27" s="6"/>
      <c r="BQ27" s="6"/>
      <c r="BR27" s="6"/>
      <c r="BS27" s="6"/>
      <c r="BT27" s="6"/>
      <c r="BU27" s="6"/>
      <c r="BV27" s="6"/>
      <c r="BW27" s="6"/>
      <c r="BX27" s="6"/>
      <c r="BY27" s="6"/>
      <c r="BZ27" s="6"/>
      <c r="CA27" s="6"/>
      <c r="CB27" s="6"/>
      <c r="CC27" s="6"/>
      <c r="CD27" s="6"/>
      <c r="CE27" s="6"/>
      <c r="CF27" s="6"/>
      <c r="CG27" s="6"/>
      <c r="CH27" s="6"/>
      <c r="CI27" s="6"/>
      <c r="CJ27" s="6"/>
    </row>
    <row r="28" spans="1:88" s="7" customFormat="1" x14ac:dyDescent="0.2">
      <c r="A28" s="3"/>
      <c r="B28" s="3"/>
      <c r="C28" s="5"/>
      <c r="D28" s="5"/>
      <c r="E28" s="5"/>
      <c r="F28" s="5"/>
      <c r="G28" s="5"/>
      <c r="H28" s="3"/>
      <c r="I28" s="5"/>
      <c r="J28" s="3"/>
      <c r="K28" s="5"/>
      <c r="L28" s="37"/>
      <c r="M28" s="4"/>
      <c r="N28" s="6"/>
      <c r="O28" s="6"/>
      <c r="P28" s="125"/>
      <c r="Q28" s="123"/>
      <c r="R28" s="5"/>
      <c r="S28" s="5"/>
      <c r="T28" s="5"/>
      <c r="U28" s="5"/>
      <c r="V28" s="5"/>
      <c r="W28" s="5"/>
      <c r="X28" s="5"/>
      <c r="Y28" s="5"/>
      <c r="Z28" s="38"/>
      <c r="AA28" s="5"/>
      <c r="AB28" s="5"/>
      <c r="AC28" s="5"/>
      <c r="AD28" s="5"/>
      <c r="AE28" s="5"/>
      <c r="AF28" s="5"/>
      <c r="AG28" s="195"/>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c r="BU28" s="6"/>
      <c r="BV28" s="6"/>
      <c r="BW28" s="6"/>
      <c r="BX28" s="6"/>
      <c r="BY28" s="6"/>
      <c r="BZ28" s="6"/>
      <c r="CA28" s="6"/>
      <c r="CB28" s="6"/>
      <c r="CC28" s="6"/>
      <c r="CD28" s="6"/>
      <c r="CE28" s="6"/>
      <c r="CF28" s="6"/>
      <c r="CG28" s="6"/>
      <c r="CH28" s="6"/>
      <c r="CI28" s="6"/>
      <c r="CJ28" s="6"/>
    </row>
    <row r="29" spans="1:88" s="7" customFormat="1" x14ac:dyDescent="0.2">
      <c r="A29" s="5"/>
      <c r="B29" s="5"/>
      <c r="C29" s="5"/>
      <c r="D29" s="5"/>
      <c r="E29" s="5"/>
      <c r="F29" s="5"/>
      <c r="G29" s="5"/>
      <c r="H29" s="5"/>
      <c r="I29" s="5"/>
      <c r="J29" s="5"/>
      <c r="K29" s="5"/>
      <c r="L29" s="5"/>
      <c r="M29" s="53"/>
      <c r="N29" s="53"/>
      <c r="O29" s="53"/>
      <c r="P29" s="125"/>
      <c r="Q29" s="123"/>
      <c r="R29" s="5"/>
      <c r="S29" s="5"/>
      <c r="T29" s="5"/>
      <c r="U29" s="5"/>
      <c r="V29" s="5"/>
      <c r="W29" s="5"/>
      <c r="X29" s="5"/>
      <c r="Y29" s="5"/>
      <c r="Z29" s="38"/>
      <c r="AA29" s="5"/>
      <c r="AB29" s="5"/>
      <c r="AC29" s="5"/>
      <c r="AD29" s="5"/>
      <c r="AE29" s="5"/>
      <c r="AF29" s="5"/>
      <c r="AG29" s="195"/>
      <c r="AH29" s="6"/>
      <c r="AI29" s="6"/>
      <c r="AJ29" s="6"/>
      <c r="AK29" s="6"/>
      <c r="AL29" s="6"/>
      <c r="AM29" s="6"/>
      <c r="AN29" s="6"/>
      <c r="AO29" s="6"/>
      <c r="AP29" s="6"/>
      <c r="AQ29" s="6"/>
      <c r="AR29" s="6"/>
      <c r="AS29" s="6"/>
      <c r="AT29" s="6"/>
      <c r="AU29" s="6"/>
      <c r="AV29" s="6"/>
      <c r="AW29" s="6"/>
      <c r="AX29" s="6"/>
      <c r="AY29" s="6"/>
      <c r="AZ29" s="6"/>
      <c r="BA29" s="6"/>
      <c r="BB29" s="6"/>
      <c r="BC29" s="6"/>
      <c r="BD29" s="6"/>
      <c r="BE29" s="6"/>
      <c r="BF29" s="6"/>
      <c r="BG29" s="6"/>
      <c r="BH29" s="6"/>
      <c r="BI29" s="6"/>
      <c r="BJ29" s="6"/>
      <c r="BK29" s="6"/>
      <c r="BL29" s="6"/>
      <c r="BM29" s="6"/>
      <c r="BN29" s="6"/>
      <c r="BO29" s="6"/>
      <c r="BP29" s="6"/>
      <c r="BQ29" s="6"/>
      <c r="BR29" s="6"/>
      <c r="BS29" s="6"/>
      <c r="BT29" s="6"/>
      <c r="BU29" s="6"/>
      <c r="BV29" s="6"/>
      <c r="BW29" s="6"/>
      <c r="BX29" s="6"/>
      <c r="BY29" s="6"/>
      <c r="BZ29" s="6"/>
      <c r="CA29" s="6"/>
      <c r="CB29" s="6"/>
      <c r="CC29" s="6"/>
      <c r="CD29" s="6"/>
      <c r="CE29" s="6"/>
      <c r="CF29" s="6"/>
      <c r="CG29" s="6"/>
      <c r="CH29" s="6"/>
      <c r="CI29" s="6"/>
      <c r="CJ29" s="6"/>
    </row>
    <row r="30" spans="1:88" s="7" customFormat="1" x14ac:dyDescent="0.2">
      <c r="A30" s="5"/>
      <c r="B30" s="5"/>
      <c r="C30" s="5"/>
      <c r="D30" s="5"/>
      <c r="E30" s="5"/>
      <c r="F30" s="5"/>
      <c r="G30" s="5"/>
      <c r="H30" s="5"/>
      <c r="I30" s="5"/>
      <c r="J30" s="5"/>
      <c r="K30" s="5"/>
      <c r="L30" s="5"/>
      <c r="M30" s="53"/>
      <c r="N30" s="53"/>
      <c r="O30" s="53"/>
      <c r="P30" s="125"/>
      <c r="Q30" s="123"/>
      <c r="R30" s="5"/>
      <c r="S30" s="5"/>
      <c r="T30" s="5"/>
      <c r="U30" s="5"/>
      <c r="V30" s="5"/>
      <c r="W30" s="5"/>
      <c r="X30" s="5"/>
      <c r="Y30" s="5"/>
      <c r="Z30" s="38"/>
      <c r="AA30" s="5"/>
      <c r="AB30" s="5"/>
      <c r="AC30" s="5"/>
      <c r="AD30" s="5"/>
      <c r="AE30" s="5"/>
      <c r="AF30" s="5"/>
      <c r="AG30" s="195"/>
      <c r="AH30" s="6"/>
      <c r="AI30" s="6"/>
      <c r="AJ30" s="6"/>
      <c r="AK30" s="6"/>
      <c r="AL30" s="6"/>
      <c r="AM30" s="6"/>
      <c r="AN30" s="6"/>
      <c r="AO30" s="6"/>
      <c r="AP30" s="6"/>
      <c r="AQ30" s="6"/>
      <c r="AR30" s="6"/>
      <c r="AS30" s="6"/>
      <c r="AT30" s="6"/>
      <c r="AU30" s="6"/>
      <c r="AV30" s="6"/>
      <c r="AW30" s="6"/>
      <c r="AX30" s="6"/>
      <c r="AY30" s="6"/>
      <c r="AZ30" s="6"/>
      <c r="BA30" s="6"/>
      <c r="BB30" s="6"/>
      <c r="BC30" s="6"/>
      <c r="BD30" s="6"/>
      <c r="BE30" s="6"/>
      <c r="BF30" s="6"/>
      <c r="BG30" s="6"/>
      <c r="BH30" s="6"/>
      <c r="BI30" s="6"/>
      <c r="BJ30" s="6"/>
      <c r="BK30" s="6"/>
      <c r="BL30" s="6"/>
      <c r="BM30" s="6"/>
      <c r="BN30" s="6"/>
      <c r="BO30" s="6"/>
      <c r="BP30" s="6"/>
      <c r="BQ30" s="6"/>
      <c r="BR30" s="6"/>
      <c r="BS30" s="6"/>
      <c r="BT30" s="6"/>
      <c r="BU30" s="6"/>
      <c r="BV30" s="6"/>
      <c r="BW30" s="6"/>
      <c r="BX30" s="6"/>
      <c r="BY30" s="6"/>
      <c r="BZ30" s="6"/>
      <c r="CA30" s="6"/>
      <c r="CB30" s="6"/>
      <c r="CC30" s="6"/>
      <c r="CD30" s="6"/>
      <c r="CE30" s="6"/>
      <c r="CF30" s="6"/>
      <c r="CG30" s="6"/>
      <c r="CH30" s="6"/>
      <c r="CI30" s="6"/>
      <c r="CJ30" s="6"/>
    </row>
    <row r="31" spans="1:88" s="7" customFormat="1" x14ac:dyDescent="0.2">
      <c r="A31" s="5"/>
      <c r="B31" s="5"/>
      <c r="C31" s="5"/>
      <c r="D31" s="5"/>
      <c r="E31" s="5"/>
      <c r="F31" s="5"/>
      <c r="G31" s="5"/>
      <c r="H31" s="5"/>
      <c r="I31" s="5"/>
      <c r="J31" s="5"/>
      <c r="K31" s="5"/>
      <c r="L31" s="5"/>
      <c r="M31" s="53"/>
      <c r="N31" s="53"/>
      <c r="O31" s="53"/>
      <c r="P31" s="125"/>
      <c r="Q31" s="123"/>
      <c r="R31" s="5"/>
      <c r="S31" s="5"/>
      <c r="T31" s="5"/>
      <c r="U31" s="5"/>
      <c r="V31" s="5"/>
      <c r="W31" s="5"/>
      <c r="X31" s="5"/>
      <c r="Y31" s="5"/>
      <c r="Z31" s="38"/>
      <c r="AA31" s="5"/>
      <c r="AB31" s="5"/>
      <c r="AC31" s="5"/>
      <c r="AD31" s="5"/>
      <c r="AE31" s="5"/>
      <c r="AF31" s="5"/>
      <c r="AG31" s="195"/>
      <c r="AH31" s="6"/>
      <c r="AI31" s="6"/>
      <c r="AJ31" s="6"/>
      <c r="AK31" s="6"/>
      <c r="AL31" s="6"/>
      <c r="AM31" s="6"/>
      <c r="AN31" s="6"/>
      <c r="AO31" s="6"/>
      <c r="AP31" s="6"/>
      <c r="AQ31" s="6"/>
      <c r="AR31" s="6"/>
      <c r="AS31" s="6"/>
      <c r="AT31" s="6"/>
      <c r="AU31" s="6"/>
      <c r="AV31" s="6"/>
      <c r="AW31" s="6"/>
      <c r="AX31" s="6"/>
      <c r="AY31" s="6"/>
      <c r="AZ31" s="6"/>
      <c r="BA31" s="6"/>
      <c r="BB31" s="6"/>
      <c r="BC31" s="6"/>
      <c r="BD31" s="6"/>
      <c r="BE31" s="6"/>
      <c r="BF31" s="6"/>
      <c r="BG31" s="6"/>
      <c r="BH31" s="6"/>
      <c r="BI31" s="6"/>
      <c r="BJ31" s="6"/>
      <c r="BK31" s="6"/>
      <c r="BL31" s="6"/>
      <c r="BM31" s="6"/>
      <c r="BN31" s="6"/>
      <c r="BO31" s="6"/>
      <c r="BP31" s="6"/>
      <c r="BQ31" s="6"/>
      <c r="BR31" s="6"/>
      <c r="BS31" s="6"/>
      <c r="BT31" s="6"/>
      <c r="BU31" s="6"/>
      <c r="BV31" s="6"/>
      <c r="BW31" s="6"/>
      <c r="BX31" s="6"/>
      <c r="BY31" s="6"/>
      <c r="BZ31" s="6"/>
      <c r="CA31" s="6"/>
      <c r="CB31" s="6"/>
      <c r="CC31" s="6"/>
      <c r="CD31" s="6"/>
      <c r="CE31" s="6"/>
      <c r="CF31" s="6"/>
      <c r="CG31" s="6"/>
      <c r="CH31" s="6"/>
      <c r="CI31" s="6"/>
      <c r="CJ31" s="6"/>
    </row>
    <row r="32" spans="1:88" s="7" customFormat="1" x14ac:dyDescent="0.2">
      <c r="A32" s="5"/>
      <c r="B32" s="5"/>
      <c r="C32" s="5"/>
      <c r="D32" s="5"/>
      <c r="E32" s="5"/>
      <c r="F32" s="5"/>
      <c r="G32" s="5"/>
      <c r="H32" s="5"/>
      <c r="I32" s="5"/>
      <c r="J32" s="5"/>
      <c r="K32" s="5"/>
      <c r="L32" s="5"/>
      <c r="M32" s="53"/>
      <c r="N32" s="53"/>
      <c r="O32" s="53"/>
      <c r="P32" s="125"/>
      <c r="Q32" s="123"/>
      <c r="R32" s="5"/>
      <c r="S32" s="5"/>
      <c r="T32" s="5"/>
      <c r="U32" s="5"/>
      <c r="V32" s="5"/>
      <c r="W32" s="5"/>
      <c r="X32" s="5"/>
      <c r="Y32" s="5"/>
      <c r="Z32" s="38"/>
      <c r="AA32" s="5"/>
      <c r="AB32" s="5"/>
      <c r="AC32" s="5"/>
      <c r="AD32" s="5"/>
      <c r="AE32" s="5"/>
      <c r="AF32" s="5"/>
      <c r="AG32" s="195"/>
      <c r="AH32" s="6"/>
      <c r="AI32" s="6"/>
      <c r="AJ32" s="6"/>
      <c r="AK32" s="6"/>
      <c r="AL32" s="6"/>
      <c r="AM32" s="6"/>
      <c r="AN32" s="6"/>
      <c r="AO32" s="6"/>
      <c r="AP32" s="6"/>
      <c r="AQ32" s="6"/>
      <c r="AR32" s="6"/>
      <c r="AS32" s="6"/>
      <c r="AT32" s="6"/>
      <c r="AU32" s="6"/>
      <c r="AV32" s="6"/>
      <c r="AW32" s="6"/>
      <c r="AX32" s="6"/>
      <c r="AY32" s="6"/>
      <c r="AZ32" s="6"/>
      <c r="BA32" s="6"/>
      <c r="BB32" s="6"/>
      <c r="BC32" s="6"/>
      <c r="BD32" s="6"/>
      <c r="BE32" s="6"/>
      <c r="BF32" s="6"/>
      <c r="BG32" s="6"/>
      <c r="BH32" s="6"/>
      <c r="BI32" s="6"/>
      <c r="BJ32" s="6"/>
      <c r="BK32" s="6"/>
      <c r="BL32" s="6"/>
      <c r="BM32" s="6"/>
      <c r="BN32" s="6"/>
      <c r="BO32" s="6"/>
      <c r="BP32" s="6"/>
      <c r="BQ32" s="6"/>
      <c r="BR32" s="6"/>
      <c r="BS32" s="6"/>
      <c r="BT32" s="6"/>
      <c r="BU32" s="6"/>
      <c r="BV32" s="6"/>
      <c r="BW32" s="6"/>
      <c r="BX32" s="6"/>
      <c r="BY32" s="6"/>
      <c r="BZ32" s="6"/>
      <c r="CA32" s="6"/>
      <c r="CB32" s="6"/>
      <c r="CC32" s="6"/>
      <c r="CD32" s="6"/>
      <c r="CE32" s="6"/>
      <c r="CF32" s="6"/>
      <c r="CG32" s="6"/>
      <c r="CH32" s="6"/>
      <c r="CI32" s="6"/>
      <c r="CJ32" s="6"/>
    </row>
    <row r="33" spans="1:88" s="7" customFormat="1" x14ac:dyDescent="0.2">
      <c r="A33" s="5"/>
      <c r="B33" s="5"/>
      <c r="C33" s="5"/>
      <c r="D33" s="5"/>
      <c r="E33" s="5"/>
      <c r="F33" s="5"/>
      <c r="G33" s="5"/>
      <c r="H33" s="5"/>
      <c r="I33" s="5"/>
      <c r="J33" s="5"/>
      <c r="K33" s="5"/>
      <c r="L33" s="5"/>
      <c r="M33" s="53"/>
      <c r="N33" s="53"/>
      <c r="O33" s="53"/>
      <c r="P33" s="125"/>
      <c r="Q33" s="123"/>
      <c r="R33" s="5"/>
      <c r="S33" s="5"/>
      <c r="T33" s="5"/>
      <c r="U33" s="5"/>
      <c r="V33" s="5"/>
      <c r="W33" s="5"/>
      <c r="X33" s="5"/>
      <c r="Y33" s="5"/>
      <c r="Z33" s="38"/>
      <c r="AA33" s="5"/>
      <c r="AB33" s="5"/>
      <c r="AC33" s="5"/>
      <c r="AD33" s="5"/>
      <c r="AE33" s="5"/>
      <c r="AF33" s="5"/>
      <c r="AG33" s="195"/>
      <c r="AH33" s="6"/>
      <c r="AI33" s="6"/>
      <c r="AJ33" s="6"/>
      <c r="AK33" s="6"/>
      <c r="AL33" s="6"/>
      <c r="AM33" s="6"/>
      <c r="AN33" s="6"/>
      <c r="AO33" s="6"/>
      <c r="AP33" s="6"/>
      <c r="AQ33" s="6"/>
      <c r="AR33" s="6"/>
      <c r="AS33" s="6"/>
      <c r="AT33" s="6"/>
      <c r="AU33" s="6"/>
      <c r="AV33" s="6"/>
      <c r="AW33" s="6"/>
      <c r="AX33" s="6"/>
      <c r="AY33" s="6"/>
      <c r="AZ33" s="6"/>
      <c r="BA33" s="6"/>
      <c r="BB33" s="6"/>
      <c r="BC33" s="6"/>
      <c r="BD33" s="6"/>
      <c r="BE33" s="6"/>
      <c r="BF33" s="6"/>
      <c r="BG33" s="6"/>
      <c r="BH33" s="6"/>
      <c r="BI33" s="6"/>
      <c r="BJ33" s="6"/>
      <c r="BK33" s="6"/>
      <c r="BL33" s="6"/>
      <c r="BM33" s="6"/>
      <c r="BN33" s="6"/>
      <c r="BO33" s="6"/>
      <c r="BP33" s="6"/>
      <c r="BQ33" s="6"/>
      <c r="BR33" s="6"/>
      <c r="BS33" s="6"/>
      <c r="BT33" s="6"/>
      <c r="BU33" s="6"/>
      <c r="BV33" s="6"/>
      <c r="BW33" s="6"/>
      <c r="BX33" s="6"/>
      <c r="BY33" s="6"/>
      <c r="BZ33" s="6"/>
      <c r="CA33" s="6"/>
      <c r="CB33" s="6"/>
      <c r="CC33" s="6"/>
      <c r="CD33" s="6"/>
      <c r="CE33" s="6"/>
      <c r="CF33" s="6"/>
      <c r="CG33" s="6"/>
      <c r="CH33" s="6"/>
      <c r="CI33" s="6"/>
      <c r="CJ33" s="6"/>
    </row>
    <row r="34" spans="1:88" s="7" customFormat="1" x14ac:dyDescent="0.2">
      <c r="A34" s="5"/>
      <c r="B34" s="5"/>
      <c r="C34" s="5"/>
      <c r="D34" s="5"/>
      <c r="E34" s="5"/>
      <c r="F34" s="5"/>
      <c r="G34" s="5"/>
      <c r="H34" s="5"/>
      <c r="I34" s="5"/>
      <c r="J34" s="5"/>
      <c r="K34" s="5"/>
      <c r="L34" s="5"/>
      <c r="M34" s="53"/>
      <c r="N34" s="53"/>
      <c r="O34" s="53"/>
      <c r="P34" s="125"/>
      <c r="Q34" s="123"/>
      <c r="R34" s="5"/>
      <c r="S34" s="5"/>
      <c r="T34" s="5"/>
      <c r="U34" s="5"/>
      <c r="V34" s="5"/>
      <c r="W34" s="5"/>
      <c r="X34" s="5"/>
      <c r="Y34" s="5"/>
      <c r="Z34" s="38"/>
      <c r="AA34" s="5"/>
      <c r="AB34" s="5"/>
      <c r="AC34" s="5"/>
      <c r="AD34" s="5"/>
      <c r="AE34" s="5"/>
      <c r="AF34" s="5"/>
      <c r="AG34" s="195"/>
      <c r="AH34" s="6"/>
      <c r="AI34" s="6"/>
      <c r="AJ34" s="6"/>
      <c r="AK34" s="6"/>
      <c r="AL34" s="6"/>
      <c r="AM34" s="6"/>
      <c r="AN34" s="6"/>
      <c r="AO34" s="6"/>
      <c r="AP34" s="6"/>
      <c r="AQ34" s="6"/>
      <c r="AR34" s="6"/>
      <c r="AS34" s="6"/>
      <c r="AT34" s="6"/>
      <c r="AU34" s="6"/>
      <c r="AV34" s="6"/>
      <c r="AW34" s="6"/>
      <c r="AX34" s="6"/>
      <c r="AY34" s="6"/>
      <c r="AZ34" s="6"/>
      <c r="BA34" s="6"/>
      <c r="BB34" s="6"/>
      <c r="BC34" s="6"/>
      <c r="BD34" s="6"/>
      <c r="BE34" s="6"/>
      <c r="BF34" s="6"/>
      <c r="BG34" s="6"/>
      <c r="BH34" s="6"/>
      <c r="BI34" s="6"/>
      <c r="BJ34" s="6"/>
      <c r="BK34" s="6"/>
      <c r="BL34" s="6"/>
      <c r="BM34" s="6"/>
      <c r="BN34" s="6"/>
      <c r="BO34" s="6"/>
      <c r="BP34" s="6"/>
      <c r="BQ34" s="6"/>
      <c r="BR34" s="6"/>
      <c r="BS34" s="6"/>
      <c r="BT34" s="6"/>
      <c r="BU34" s="6"/>
      <c r="BV34" s="6"/>
      <c r="BW34" s="6"/>
      <c r="BX34" s="6"/>
      <c r="BY34" s="6"/>
      <c r="BZ34" s="6"/>
      <c r="CA34" s="6"/>
      <c r="CB34" s="6"/>
      <c r="CC34" s="6"/>
      <c r="CD34" s="6"/>
      <c r="CE34" s="6"/>
      <c r="CF34" s="6"/>
      <c r="CG34" s="6"/>
      <c r="CH34" s="6"/>
      <c r="CI34" s="6"/>
      <c r="CJ34" s="6"/>
    </row>
    <row r="35" spans="1:88" s="7" customFormat="1" x14ac:dyDescent="0.2">
      <c r="A35" s="5"/>
      <c r="B35" s="5"/>
      <c r="C35" s="5"/>
      <c r="D35" s="5"/>
      <c r="E35" s="5"/>
      <c r="F35" s="5"/>
      <c r="G35" s="5"/>
      <c r="H35" s="5"/>
      <c r="I35" s="5"/>
      <c r="J35" s="5"/>
      <c r="K35" s="5"/>
      <c r="L35" s="5"/>
      <c r="M35" s="53"/>
      <c r="N35" s="53"/>
      <c r="O35" s="53"/>
      <c r="P35" s="125"/>
      <c r="Q35" s="123"/>
      <c r="R35" s="5"/>
      <c r="S35" s="5"/>
      <c r="T35" s="5"/>
      <c r="U35" s="5"/>
      <c r="V35" s="5"/>
      <c r="W35" s="5"/>
      <c r="X35" s="5"/>
      <c r="Y35" s="5"/>
      <c r="Z35" s="38"/>
      <c r="AA35" s="5"/>
      <c r="AB35" s="5"/>
      <c r="AC35" s="5"/>
      <c r="AD35" s="5"/>
      <c r="AE35" s="5"/>
      <c r="AF35" s="5"/>
      <c r="AG35" s="195"/>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6"/>
      <c r="BY35" s="6"/>
      <c r="BZ35" s="6"/>
      <c r="CA35" s="6"/>
      <c r="CB35" s="6"/>
      <c r="CC35" s="6"/>
      <c r="CD35" s="6"/>
      <c r="CE35" s="6"/>
      <c r="CF35" s="6"/>
      <c r="CG35" s="6"/>
      <c r="CH35" s="6"/>
      <c r="CI35" s="6"/>
      <c r="CJ35" s="6"/>
    </row>
    <row r="36" spans="1:88" s="7" customFormat="1" x14ac:dyDescent="0.2">
      <c r="A36" s="5"/>
      <c r="B36" s="5"/>
      <c r="C36" s="5"/>
      <c r="D36" s="5"/>
      <c r="E36" s="5"/>
      <c r="F36" s="5"/>
      <c r="G36" s="5"/>
      <c r="H36" s="5"/>
      <c r="I36" s="5"/>
      <c r="J36" s="5"/>
      <c r="K36" s="5"/>
      <c r="L36" s="5"/>
      <c r="M36" s="53"/>
      <c r="N36" s="53"/>
      <c r="O36" s="53"/>
      <c r="P36" s="125"/>
      <c r="Q36" s="123"/>
      <c r="R36" s="5"/>
      <c r="S36" s="5"/>
      <c r="T36" s="5"/>
      <c r="U36" s="5"/>
      <c r="V36" s="5"/>
      <c r="W36" s="5"/>
      <c r="X36" s="5"/>
      <c r="Y36" s="5"/>
      <c r="Z36" s="38"/>
      <c r="AA36" s="5"/>
      <c r="AB36" s="5"/>
      <c r="AC36" s="5"/>
      <c r="AD36" s="5"/>
      <c r="AE36" s="5"/>
      <c r="AF36" s="5"/>
      <c r="AG36" s="195"/>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c r="BH36" s="6"/>
      <c r="BI36" s="6"/>
      <c r="BJ36" s="6"/>
      <c r="BK36" s="6"/>
      <c r="BL36" s="6"/>
      <c r="BM36" s="6"/>
      <c r="BN36" s="6"/>
      <c r="BO36" s="6"/>
      <c r="BP36" s="6"/>
      <c r="BQ36" s="6"/>
      <c r="BR36" s="6"/>
      <c r="BS36" s="6"/>
      <c r="BT36" s="6"/>
      <c r="BU36" s="6"/>
      <c r="BV36" s="6"/>
      <c r="BW36" s="6"/>
      <c r="BX36" s="6"/>
      <c r="BY36" s="6"/>
      <c r="BZ36" s="6"/>
      <c r="CA36" s="6"/>
      <c r="CB36" s="6"/>
      <c r="CC36" s="6"/>
      <c r="CD36" s="6"/>
      <c r="CE36" s="6"/>
      <c r="CF36" s="6"/>
      <c r="CG36" s="6"/>
      <c r="CH36" s="6"/>
      <c r="CI36" s="6"/>
      <c r="CJ36" s="6"/>
    </row>
    <row r="37" spans="1:88" s="7" customFormat="1" x14ac:dyDescent="0.2">
      <c r="A37" s="5"/>
      <c r="B37" s="5"/>
      <c r="C37" s="5"/>
      <c r="D37" s="5"/>
      <c r="E37" s="5"/>
      <c r="F37" s="5"/>
      <c r="G37" s="5"/>
      <c r="H37" s="5"/>
      <c r="I37" s="5"/>
      <c r="J37" s="5"/>
      <c r="K37" s="5"/>
      <c r="L37" s="5"/>
      <c r="M37" s="53"/>
      <c r="N37" s="53"/>
      <c r="O37" s="53"/>
      <c r="P37" s="125"/>
      <c r="Q37" s="123"/>
      <c r="R37" s="5"/>
      <c r="S37" s="5"/>
      <c r="T37" s="5"/>
      <c r="U37" s="5"/>
      <c r="V37" s="5"/>
      <c r="W37" s="5"/>
      <c r="X37" s="5"/>
      <c r="Y37" s="5"/>
      <c r="Z37" s="38"/>
      <c r="AA37" s="5"/>
      <c r="AB37" s="5"/>
      <c r="AC37" s="5"/>
      <c r="AD37" s="5"/>
      <c r="AE37" s="5"/>
      <c r="AF37" s="5"/>
      <c r="AG37" s="195"/>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c r="BH37" s="6"/>
      <c r="BI37" s="6"/>
      <c r="BJ37" s="6"/>
      <c r="BK37" s="6"/>
      <c r="BL37" s="6"/>
      <c r="BM37" s="6"/>
      <c r="BN37" s="6"/>
      <c r="BO37" s="6"/>
      <c r="BP37" s="6"/>
      <c r="BQ37" s="6"/>
      <c r="BR37" s="6"/>
      <c r="BS37" s="6"/>
      <c r="BT37" s="6"/>
      <c r="BU37" s="6"/>
      <c r="BV37" s="6"/>
      <c r="BW37" s="6"/>
      <c r="BX37" s="6"/>
      <c r="BY37" s="6"/>
      <c r="BZ37" s="6"/>
      <c r="CA37" s="6"/>
      <c r="CB37" s="6"/>
      <c r="CC37" s="6"/>
      <c r="CD37" s="6"/>
      <c r="CE37" s="6"/>
      <c r="CF37" s="6"/>
      <c r="CG37" s="6"/>
      <c r="CH37" s="6"/>
      <c r="CI37" s="6"/>
      <c r="CJ37" s="6"/>
    </row>
    <row r="38" spans="1:88" s="7" customFormat="1" x14ac:dyDescent="0.2">
      <c r="A38" s="5"/>
      <c r="B38" s="5"/>
      <c r="C38" s="5"/>
      <c r="D38" s="5"/>
      <c r="E38" s="5"/>
      <c r="F38" s="5"/>
      <c r="G38" s="5"/>
      <c r="H38" s="5"/>
      <c r="I38" s="5"/>
      <c r="J38" s="5"/>
      <c r="K38" s="5"/>
      <c r="L38" s="5"/>
      <c r="M38" s="53"/>
      <c r="N38" s="53"/>
      <c r="O38" s="53"/>
      <c r="P38" s="125"/>
      <c r="Q38" s="123"/>
      <c r="R38" s="5"/>
      <c r="S38" s="5"/>
      <c r="T38" s="5"/>
      <c r="U38" s="5"/>
      <c r="V38" s="5"/>
      <c r="W38" s="5"/>
      <c r="X38" s="5"/>
      <c r="Y38" s="5"/>
      <c r="Z38" s="38"/>
      <c r="AA38" s="5"/>
      <c r="AB38" s="5"/>
      <c r="AC38" s="5"/>
      <c r="AD38" s="5"/>
      <c r="AE38" s="5"/>
      <c r="AF38" s="5"/>
      <c r="AG38" s="195"/>
      <c r="AH38" s="6"/>
      <c r="AI38" s="6"/>
      <c r="AJ38" s="6"/>
      <c r="AK38" s="6"/>
      <c r="AL38" s="6"/>
      <c r="AM38" s="6"/>
      <c r="AN38" s="6"/>
      <c r="AO38" s="6"/>
      <c r="AP38" s="6"/>
      <c r="AQ38" s="6"/>
      <c r="AR38" s="6"/>
      <c r="AS38" s="6"/>
      <c r="AT38" s="6"/>
      <c r="AU38" s="6"/>
      <c r="AV38" s="6"/>
      <c r="AW38" s="6"/>
      <c r="AX38" s="6"/>
      <c r="AY38" s="6"/>
      <c r="AZ38" s="6"/>
      <c r="BA38" s="6"/>
      <c r="BB38" s="6"/>
      <c r="BC38" s="6"/>
      <c r="BD38" s="6"/>
      <c r="BE38" s="6"/>
      <c r="BF38" s="6"/>
      <c r="BG38" s="6"/>
      <c r="BH38" s="6"/>
      <c r="BI38" s="6"/>
      <c r="BJ38" s="6"/>
      <c r="BK38" s="6"/>
      <c r="BL38" s="6"/>
      <c r="BM38" s="6"/>
      <c r="BN38" s="6"/>
      <c r="BO38" s="6"/>
      <c r="BP38" s="6"/>
      <c r="BQ38" s="6"/>
      <c r="BR38" s="6"/>
      <c r="BS38" s="6"/>
      <c r="BT38" s="6"/>
      <c r="BU38" s="6"/>
      <c r="BV38" s="6"/>
      <c r="BW38" s="6"/>
      <c r="BX38" s="6"/>
      <c r="BY38" s="6"/>
      <c r="BZ38" s="6"/>
      <c r="CA38" s="6"/>
      <c r="CB38" s="6"/>
      <c r="CC38" s="6"/>
      <c r="CD38" s="6"/>
      <c r="CE38" s="6"/>
      <c r="CF38" s="6"/>
      <c r="CG38" s="6"/>
      <c r="CH38" s="6"/>
      <c r="CI38" s="6"/>
      <c r="CJ38" s="6"/>
    </row>
    <row r="39" spans="1:88" s="7" customFormat="1" x14ac:dyDescent="0.2">
      <c r="A39" s="5"/>
      <c r="B39" s="5"/>
      <c r="C39" s="5"/>
      <c r="D39" s="5"/>
      <c r="E39" s="5"/>
      <c r="F39" s="5"/>
      <c r="G39" s="5"/>
      <c r="H39" s="5"/>
      <c r="I39" s="5"/>
      <c r="J39" s="5"/>
      <c r="K39" s="5"/>
      <c r="L39" s="5"/>
      <c r="M39" s="53"/>
      <c r="N39" s="53"/>
      <c r="O39" s="53"/>
      <c r="P39" s="125"/>
      <c r="Q39" s="123"/>
      <c r="R39" s="5"/>
      <c r="S39" s="5"/>
      <c r="T39" s="5"/>
      <c r="U39" s="5"/>
      <c r="V39" s="5"/>
      <c r="W39" s="5"/>
      <c r="X39" s="5"/>
      <c r="Y39" s="5"/>
      <c r="Z39" s="38"/>
      <c r="AA39" s="5"/>
      <c r="AB39" s="5"/>
      <c r="AC39" s="5"/>
      <c r="AD39" s="5"/>
      <c r="AE39" s="5"/>
      <c r="AF39" s="5"/>
      <c r="AG39" s="195"/>
      <c r="AH39" s="6"/>
      <c r="AI39" s="6"/>
      <c r="AJ39" s="6"/>
      <c r="AK39" s="6"/>
      <c r="AL39" s="6"/>
      <c r="AM39" s="6"/>
      <c r="AN39" s="6"/>
      <c r="AO39" s="6"/>
      <c r="AP39" s="6"/>
      <c r="AQ39" s="6"/>
      <c r="AR39" s="6"/>
      <c r="AS39" s="6"/>
      <c r="AT39" s="6"/>
      <c r="AU39" s="6"/>
      <c r="AV39" s="6"/>
      <c r="AW39" s="6"/>
      <c r="AX39" s="6"/>
      <c r="AY39" s="6"/>
      <c r="AZ39" s="6"/>
      <c r="BA39" s="6"/>
      <c r="BB39" s="6"/>
      <c r="BC39" s="6"/>
      <c r="BD39" s="6"/>
      <c r="BE39" s="6"/>
      <c r="BF39" s="6"/>
      <c r="BG39" s="6"/>
      <c r="BH39" s="6"/>
      <c r="BI39" s="6"/>
      <c r="BJ39" s="6"/>
      <c r="BK39" s="6"/>
      <c r="BL39" s="6"/>
      <c r="BM39" s="6"/>
      <c r="BN39" s="6"/>
      <c r="BO39" s="6"/>
      <c r="BP39" s="6"/>
      <c r="BQ39" s="6"/>
      <c r="BR39" s="6"/>
      <c r="BS39" s="6"/>
      <c r="BT39" s="6"/>
      <c r="BU39" s="6"/>
      <c r="BV39" s="6"/>
      <c r="BW39" s="6"/>
      <c r="BX39" s="6"/>
      <c r="BY39" s="6"/>
      <c r="BZ39" s="6"/>
      <c r="CA39" s="6"/>
      <c r="CB39" s="6"/>
      <c r="CC39" s="6"/>
      <c r="CD39" s="6"/>
      <c r="CE39" s="6"/>
      <c r="CF39" s="6"/>
      <c r="CG39" s="6"/>
      <c r="CH39" s="6"/>
      <c r="CI39" s="6"/>
      <c r="CJ39" s="6"/>
    </row>
    <row r="40" spans="1:88" s="7" customFormat="1" x14ac:dyDescent="0.2">
      <c r="A40" s="5"/>
      <c r="B40" s="5"/>
      <c r="C40" s="5"/>
      <c r="D40" s="5"/>
      <c r="E40" s="5"/>
      <c r="F40" s="5"/>
      <c r="G40" s="5"/>
      <c r="H40" s="5"/>
      <c r="I40" s="5"/>
      <c r="J40" s="5"/>
      <c r="K40" s="5"/>
      <c r="L40" s="5"/>
      <c r="M40" s="53"/>
      <c r="N40" s="53"/>
      <c r="O40" s="53"/>
      <c r="P40" s="125"/>
      <c r="Q40" s="123"/>
      <c r="R40" s="5"/>
      <c r="S40" s="5"/>
      <c r="T40" s="5"/>
      <c r="U40" s="5"/>
      <c r="V40" s="5"/>
      <c r="W40" s="5"/>
      <c r="X40" s="5"/>
      <c r="Y40" s="5"/>
      <c r="Z40" s="38"/>
      <c r="AA40" s="5"/>
      <c r="AB40" s="5"/>
      <c r="AC40" s="5"/>
      <c r="AD40" s="5"/>
      <c r="AE40" s="5"/>
      <c r="AF40" s="5"/>
      <c r="AG40" s="195"/>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c r="BH40" s="6"/>
      <c r="BI40" s="6"/>
      <c r="BJ40" s="6"/>
      <c r="BK40" s="6"/>
      <c r="BL40" s="6"/>
      <c r="BM40" s="6"/>
      <c r="BN40" s="6"/>
      <c r="BO40" s="6"/>
      <c r="BP40" s="6"/>
      <c r="BQ40" s="6"/>
      <c r="BR40" s="6"/>
      <c r="BS40" s="6"/>
      <c r="BT40" s="6"/>
      <c r="BU40" s="6"/>
      <c r="BV40" s="6"/>
      <c r="BW40" s="6"/>
      <c r="BX40" s="6"/>
      <c r="BY40" s="6"/>
      <c r="BZ40" s="6"/>
      <c r="CA40" s="6"/>
      <c r="CB40" s="6"/>
      <c r="CC40" s="6"/>
      <c r="CD40" s="6"/>
      <c r="CE40" s="6"/>
      <c r="CF40" s="6"/>
      <c r="CG40" s="6"/>
      <c r="CH40" s="6"/>
      <c r="CI40" s="6"/>
      <c r="CJ40" s="6"/>
    </row>
    <row r="41" spans="1:88" s="7" customFormat="1" x14ac:dyDescent="0.2">
      <c r="A41" s="5"/>
      <c r="B41" s="5"/>
      <c r="C41" s="5"/>
      <c r="D41" s="5"/>
      <c r="E41" s="5"/>
      <c r="F41" s="5"/>
      <c r="G41" s="5"/>
      <c r="H41" s="5"/>
      <c r="I41" s="5"/>
      <c r="J41" s="5"/>
      <c r="K41" s="5"/>
      <c r="L41" s="5"/>
      <c r="M41" s="53"/>
      <c r="N41" s="53"/>
      <c r="O41" s="53"/>
      <c r="P41" s="125"/>
      <c r="Q41" s="123"/>
      <c r="R41" s="5"/>
      <c r="S41" s="5"/>
      <c r="T41" s="5"/>
      <c r="U41" s="5"/>
      <c r="V41" s="5"/>
      <c r="W41" s="5"/>
      <c r="X41" s="5"/>
      <c r="Y41" s="5"/>
      <c r="Z41" s="38"/>
      <c r="AA41" s="5"/>
      <c r="AB41" s="5"/>
      <c r="AC41" s="5"/>
      <c r="AD41" s="5"/>
      <c r="AE41" s="5"/>
      <c r="AF41" s="5"/>
      <c r="AG41" s="195"/>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c r="BN41" s="6"/>
      <c r="BO41" s="6"/>
      <c r="BP41" s="6"/>
      <c r="BQ41" s="6"/>
      <c r="BR41" s="6"/>
      <c r="BS41" s="6"/>
      <c r="BT41" s="6"/>
      <c r="BU41" s="6"/>
      <c r="BV41" s="6"/>
      <c r="BW41" s="6"/>
      <c r="BX41" s="6"/>
      <c r="BY41" s="6"/>
      <c r="BZ41" s="6"/>
      <c r="CA41" s="6"/>
      <c r="CB41" s="6"/>
      <c r="CC41" s="6"/>
      <c r="CD41" s="6"/>
      <c r="CE41" s="6"/>
      <c r="CF41" s="6"/>
      <c r="CG41" s="6"/>
      <c r="CH41" s="6"/>
      <c r="CI41" s="6"/>
      <c r="CJ41" s="6"/>
    </row>
    <row r="42" spans="1:88" s="7" customFormat="1" x14ac:dyDescent="0.2">
      <c r="A42" s="5"/>
      <c r="B42" s="5"/>
      <c r="C42" s="5"/>
      <c r="D42" s="5"/>
      <c r="E42" s="5"/>
      <c r="F42" s="5"/>
      <c r="G42" s="5"/>
      <c r="H42" s="5"/>
      <c r="I42" s="5"/>
      <c r="J42" s="5"/>
      <c r="K42" s="5"/>
      <c r="L42" s="5"/>
      <c r="M42" s="53"/>
      <c r="N42" s="53"/>
      <c r="O42" s="53"/>
      <c r="P42" s="125"/>
      <c r="Q42" s="123"/>
      <c r="R42" s="5"/>
      <c r="S42" s="5"/>
      <c r="T42" s="5"/>
      <c r="U42" s="5"/>
      <c r="V42" s="5"/>
      <c r="W42" s="5"/>
      <c r="X42" s="5"/>
      <c r="Y42" s="5"/>
      <c r="Z42" s="38"/>
      <c r="AA42" s="5"/>
      <c r="AB42" s="5"/>
      <c r="AC42" s="5"/>
      <c r="AD42" s="5"/>
      <c r="AE42" s="5"/>
      <c r="AF42" s="5"/>
      <c r="AG42" s="195"/>
      <c r="AH42" s="6"/>
      <c r="AI42" s="6"/>
      <c r="AJ42" s="6"/>
      <c r="AK42" s="6"/>
      <c r="AL42" s="6"/>
      <c r="AM42" s="6"/>
      <c r="AN42" s="6"/>
      <c r="AO42" s="6"/>
      <c r="AP42" s="6"/>
      <c r="AQ42" s="6"/>
      <c r="AR42" s="6"/>
      <c r="AS42" s="6"/>
      <c r="AT42" s="6"/>
      <c r="AU42" s="6"/>
      <c r="AV42" s="6"/>
      <c r="AW42" s="6"/>
      <c r="AX42" s="6"/>
      <c r="AY42" s="6"/>
      <c r="AZ42" s="6"/>
      <c r="BA42" s="6"/>
      <c r="BB42" s="6"/>
      <c r="BC42" s="6"/>
      <c r="BD42" s="6"/>
      <c r="BE42" s="6"/>
      <c r="BF42" s="6"/>
      <c r="BG42" s="6"/>
      <c r="BH42" s="6"/>
      <c r="BI42" s="6"/>
      <c r="BJ42" s="6"/>
      <c r="BK42" s="6"/>
      <c r="BL42" s="6"/>
      <c r="BM42" s="6"/>
      <c r="BN42" s="6"/>
      <c r="BO42" s="6"/>
      <c r="BP42" s="6"/>
      <c r="BQ42" s="6"/>
      <c r="BR42" s="6"/>
      <c r="BS42" s="6"/>
      <c r="BT42" s="6"/>
      <c r="BU42" s="6"/>
      <c r="BV42" s="6"/>
      <c r="BW42" s="6"/>
      <c r="BX42" s="6"/>
      <c r="BY42" s="6"/>
      <c r="BZ42" s="6"/>
      <c r="CA42" s="6"/>
      <c r="CB42" s="6"/>
      <c r="CC42" s="6"/>
      <c r="CD42" s="6"/>
      <c r="CE42" s="6"/>
      <c r="CF42" s="6"/>
      <c r="CG42" s="6"/>
      <c r="CH42" s="6"/>
      <c r="CI42" s="6"/>
      <c r="CJ42" s="6"/>
    </row>
    <row r="43" spans="1:88" s="7" customFormat="1" x14ac:dyDescent="0.2">
      <c r="A43" s="5"/>
      <c r="B43" s="5"/>
      <c r="C43" s="5"/>
      <c r="D43" s="5"/>
      <c r="E43" s="5"/>
      <c r="F43" s="5"/>
      <c r="G43" s="5"/>
      <c r="H43" s="5"/>
      <c r="I43" s="5"/>
      <c r="J43" s="5"/>
      <c r="K43" s="5"/>
      <c r="L43" s="5"/>
      <c r="M43" s="53"/>
      <c r="N43" s="53"/>
      <c r="O43" s="53"/>
      <c r="P43" s="125"/>
      <c r="Q43" s="123"/>
      <c r="R43" s="5"/>
      <c r="S43" s="5"/>
      <c r="T43" s="5"/>
      <c r="U43" s="5"/>
      <c r="V43" s="5"/>
      <c r="W43" s="5"/>
      <c r="X43" s="5"/>
      <c r="Y43" s="5"/>
      <c r="Z43" s="38"/>
      <c r="AA43" s="5"/>
      <c r="AB43" s="5"/>
      <c r="AC43" s="5"/>
      <c r="AD43" s="5"/>
      <c r="AE43" s="5"/>
      <c r="AF43" s="5"/>
      <c r="AG43" s="195"/>
      <c r="AH43" s="6"/>
      <c r="AI43" s="6"/>
      <c r="AJ43" s="6"/>
      <c r="AK43" s="6"/>
      <c r="AL43" s="6"/>
      <c r="AM43" s="6"/>
      <c r="AN43" s="6"/>
      <c r="AO43" s="6"/>
      <c r="AP43" s="6"/>
      <c r="AQ43" s="6"/>
      <c r="AR43" s="6"/>
      <c r="AS43" s="6"/>
      <c r="AT43" s="6"/>
      <c r="AU43" s="6"/>
      <c r="AV43" s="6"/>
      <c r="AW43" s="6"/>
      <c r="AX43" s="6"/>
      <c r="AY43" s="6"/>
      <c r="AZ43" s="6"/>
      <c r="BA43" s="6"/>
      <c r="BB43" s="6"/>
      <c r="BC43" s="6"/>
      <c r="BD43" s="6"/>
      <c r="BE43" s="6"/>
      <c r="BF43" s="6"/>
      <c r="BG43" s="6"/>
      <c r="BH43" s="6"/>
      <c r="BI43" s="6"/>
      <c r="BJ43" s="6"/>
      <c r="BK43" s="6"/>
      <c r="BL43" s="6"/>
      <c r="BM43" s="6"/>
      <c r="BN43" s="6"/>
      <c r="BO43" s="6"/>
      <c r="BP43" s="6"/>
      <c r="BQ43" s="6"/>
      <c r="BR43" s="6"/>
      <c r="BS43" s="6"/>
      <c r="BT43" s="6"/>
      <c r="BU43" s="6"/>
      <c r="BV43" s="6"/>
      <c r="BW43" s="6"/>
      <c r="BX43" s="6"/>
      <c r="BY43" s="6"/>
      <c r="BZ43" s="6"/>
      <c r="CA43" s="6"/>
      <c r="CB43" s="6"/>
      <c r="CC43" s="6"/>
      <c r="CD43" s="6"/>
      <c r="CE43" s="6"/>
      <c r="CF43" s="6"/>
      <c r="CG43" s="6"/>
      <c r="CH43" s="6"/>
      <c r="CI43" s="6"/>
      <c r="CJ43" s="6"/>
    </row>
    <row r="44" spans="1:88" s="7" customFormat="1" x14ac:dyDescent="0.2">
      <c r="A44" s="5"/>
      <c r="B44" s="5"/>
      <c r="C44" s="5"/>
      <c r="D44" s="5"/>
      <c r="E44" s="5"/>
      <c r="F44" s="5"/>
      <c r="G44" s="5"/>
      <c r="H44" s="5"/>
      <c r="I44" s="5"/>
      <c r="J44" s="5"/>
      <c r="K44" s="5"/>
      <c r="L44" s="5"/>
      <c r="M44" s="53"/>
      <c r="N44" s="53"/>
      <c r="O44" s="53"/>
      <c r="P44" s="125"/>
      <c r="Q44" s="123"/>
      <c r="R44" s="5"/>
      <c r="S44" s="5"/>
      <c r="T44" s="5"/>
      <c r="U44" s="5"/>
      <c r="V44" s="5"/>
      <c r="W44" s="5"/>
      <c r="X44" s="5"/>
      <c r="Y44" s="5"/>
      <c r="Z44" s="38"/>
      <c r="AA44" s="5"/>
      <c r="AB44" s="5"/>
      <c r="AC44" s="5"/>
      <c r="AD44" s="5"/>
      <c r="AE44" s="5"/>
      <c r="AF44" s="5"/>
      <c r="AG44" s="195"/>
      <c r="AH44" s="6"/>
      <c r="AI44" s="6"/>
      <c r="AJ44" s="6"/>
      <c r="AK44" s="6"/>
      <c r="AL44" s="6"/>
      <c r="AM44" s="6"/>
      <c r="AN44" s="6"/>
      <c r="AO44" s="6"/>
      <c r="AP44" s="6"/>
      <c r="AQ44" s="6"/>
      <c r="AR44" s="6"/>
      <c r="AS44" s="6"/>
      <c r="AT44" s="6"/>
      <c r="AU44" s="6"/>
      <c r="AV44" s="6"/>
      <c r="AW44" s="6"/>
      <c r="AX44" s="6"/>
      <c r="AY44" s="6"/>
      <c r="AZ44" s="6"/>
      <c r="BA44" s="6"/>
      <c r="BB44" s="6"/>
      <c r="BC44" s="6"/>
      <c r="BD44" s="6"/>
      <c r="BE44" s="6"/>
      <c r="BF44" s="6"/>
      <c r="BG44" s="6"/>
      <c r="BH44" s="6"/>
      <c r="BI44" s="6"/>
      <c r="BJ44" s="6"/>
      <c r="BK44" s="6"/>
      <c r="BL44" s="6"/>
      <c r="BM44" s="6"/>
      <c r="BN44" s="6"/>
      <c r="BO44" s="6"/>
      <c r="BP44" s="6"/>
      <c r="BQ44" s="6"/>
      <c r="BR44" s="6"/>
      <c r="BS44" s="6"/>
      <c r="BT44" s="6"/>
      <c r="BU44" s="6"/>
      <c r="BV44" s="6"/>
      <c r="BW44" s="6"/>
      <c r="BX44" s="6"/>
      <c r="BY44" s="6"/>
      <c r="BZ44" s="6"/>
      <c r="CA44" s="6"/>
      <c r="CB44" s="6"/>
      <c r="CC44" s="6"/>
      <c r="CD44" s="6"/>
      <c r="CE44" s="6"/>
      <c r="CF44" s="6"/>
      <c r="CG44" s="6"/>
      <c r="CH44" s="6"/>
      <c r="CI44" s="6"/>
      <c r="CJ44" s="6"/>
    </row>
    <row r="45" spans="1:88" s="7" customFormat="1" x14ac:dyDescent="0.2">
      <c r="A45" s="5"/>
      <c r="B45" s="5"/>
      <c r="C45" s="5"/>
      <c r="D45" s="5"/>
      <c r="E45" s="5"/>
      <c r="F45" s="5"/>
      <c r="G45" s="5"/>
      <c r="H45" s="5"/>
      <c r="I45" s="5"/>
      <c r="J45" s="5"/>
      <c r="K45" s="5"/>
      <c r="L45" s="5"/>
      <c r="M45" s="53"/>
      <c r="N45" s="53"/>
      <c r="O45" s="53"/>
      <c r="P45" s="125"/>
      <c r="Q45" s="123"/>
      <c r="R45" s="5"/>
      <c r="S45" s="5"/>
      <c r="T45" s="5"/>
      <c r="U45" s="5"/>
      <c r="V45" s="5"/>
      <c r="W45" s="5"/>
      <c r="X45" s="5"/>
      <c r="Y45" s="5"/>
      <c r="Z45" s="38"/>
      <c r="AA45" s="5"/>
      <c r="AB45" s="5"/>
      <c r="AC45" s="5"/>
      <c r="AD45" s="5"/>
      <c r="AE45" s="5"/>
      <c r="AF45" s="5"/>
      <c r="AG45" s="195"/>
      <c r="AH45" s="6"/>
      <c r="AI45" s="6"/>
      <c r="AJ45" s="6"/>
      <c r="AK45" s="6"/>
      <c r="AL45" s="6"/>
      <c r="AM45" s="6"/>
      <c r="AN45" s="6"/>
      <c r="AO45" s="6"/>
      <c r="AP45" s="6"/>
      <c r="AQ45" s="6"/>
      <c r="AR45" s="6"/>
      <c r="AS45" s="6"/>
      <c r="AT45" s="6"/>
      <c r="AU45" s="6"/>
      <c r="AV45" s="6"/>
      <c r="AW45" s="6"/>
      <c r="AX45" s="6"/>
      <c r="AY45" s="6"/>
      <c r="AZ45" s="6"/>
      <c r="BA45" s="6"/>
      <c r="BB45" s="6"/>
      <c r="BC45" s="6"/>
      <c r="BD45" s="6"/>
      <c r="BE45" s="6"/>
      <c r="BF45" s="6"/>
      <c r="BG45" s="6"/>
      <c r="BH45" s="6"/>
      <c r="BI45" s="6"/>
      <c r="BJ45" s="6"/>
      <c r="BK45" s="6"/>
      <c r="BL45" s="6"/>
      <c r="BM45" s="6"/>
      <c r="BN45" s="6"/>
      <c r="BO45" s="6"/>
      <c r="BP45" s="6"/>
      <c r="BQ45" s="6"/>
      <c r="BR45" s="6"/>
      <c r="BS45" s="6"/>
      <c r="BT45" s="6"/>
      <c r="BU45" s="6"/>
      <c r="BV45" s="6"/>
      <c r="BW45" s="6"/>
      <c r="BX45" s="6"/>
      <c r="BY45" s="6"/>
      <c r="BZ45" s="6"/>
      <c r="CA45" s="6"/>
      <c r="CB45" s="6"/>
      <c r="CC45" s="6"/>
      <c r="CD45" s="6"/>
      <c r="CE45" s="6"/>
      <c r="CF45" s="6"/>
      <c r="CG45" s="6"/>
      <c r="CH45" s="6"/>
      <c r="CI45" s="6"/>
      <c r="CJ45" s="6"/>
    </row>
    <row r="46" spans="1:88" s="7" customFormat="1" x14ac:dyDescent="0.2">
      <c r="A46" s="5"/>
      <c r="B46" s="5"/>
      <c r="C46" s="5"/>
      <c r="D46" s="5"/>
      <c r="E46" s="5"/>
      <c r="F46" s="5"/>
      <c r="G46" s="5"/>
      <c r="H46" s="5"/>
      <c r="I46" s="5"/>
      <c r="J46" s="5"/>
      <c r="K46" s="5"/>
      <c r="L46" s="5"/>
      <c r="M46" s="53"/>
      <c r="N46" s="53"/>
      <c r="O46" s="53"/>
      <c r="P46" s="125"/>
      <c r="Q46" s="123"/>
      <c r="R46" s="5"/>
      <c r="S46" s="5"/>
      <c r="T46" s="5"/>
      <c r="U46" s="5"/>
      <c r="V46" s="5"/>
      <c r="W46" s="5"/>
      <c r="X46" s="5"/>
      <c r="Y46" s="5"/>
      <c r="Z46" s="38"/>
      <c r="AA46" s="5"/>
      <c r="AB46" s="5"/>
      <c r="AC46" s="5"/>
      <c r="AD46" s="5"/>
      <c r="AE46" s="5"/>
      <c r="AF46" s="5"/>
      <c r="AG46" s="195"/>
      <c r="AH46" s="6"/>
      <c r="AI46" s="6"/>
      <c r="AJ46" s="6"/>
      <c r="AK46" s="6"/>
      <c r="AL46" s="6"/>
      <c r="AM46" s="6"/>
      <c r="AN46" s="6"/>
      <c r="AO46" s="6"/>
      <c r="AP46" s="6"/>
      <c r="AQ46" s="6"/>
      <c r="AR46" s="6"/>
      <c r="AS46" s="6"/>
      <c r="AT46" s="6"/>
      <c r="AU46" s="6"/>
      <c r="AV46" s="6"/>
      <c r="AW46" s="6"/>
      <c r="AX46" s="6"/>
      <c r="AY46" s="6"/>
      <c r="AZ46" s="6"/>
      <c r="BA46" s="6"/>
      <c r="BB46" s="6"/>
      <c r="BC46" s="6"/>
      <c r="BD46" s="6"/>
      <c r="BE46" s="6"/>
      <c r="BF46" s="6"/>
      <c r="BG46" s="6"/>
      <c r="BH46" s="6"/>
      <c r="BI46" s="6"/>
      <c r="BJ46" s="6"/>
      <c r="BK46" s="6"/>
      <c r="BL46" s="6"/>
      <c r="BM46" s="6"/>
      <c r="BN46" s="6"/>
      <c r="BO46" s="6"/>
      <c r="BP46" s="6"/>
      <c r="BQ46" s="6"/>
      <c r="BR46" s="6"/>
      <c r="BS46" s="6"/>
      <c r="BT46" s="6"/>
      <c r="BU46" s="6"/>
      <c r="BV46" s="6"/>
      <c r="BW46" s="6"/>
      <c r="BX46" s="6"/>
      <c r="BY46" s="6"/>
      <c r="BZ46" s="6"/>
      <c r="CA46" s="6"/>
      <c r="CB46" s="6"/>
      <c r="CC46" s="6"/>
      <c r="CD46" s="6"/>
      <c r="CE46" s="6"/>
      <c r="CF46" s="6"/>
      <c r="CG46" s="6"/>
      <c r="CH46" s="6"/>
      <c r="CI46" s="6"/>
      <c r="CJ46" s="6"/>
    </row>
    <row r="47" spans="1:88" s="7" customFormat="1" x14ac:dyDescent="0.2">
      <c r="A47" s="5"/>
      <c r="B47" s="5"/>
      <c r="C47" s="5"/>
      <c r="D47" s="5"/>
      <c r="E47" s="5"/>
      <c r="F47" s="5"/>
      <c r="G47" s="5"/>
      <c r="H47" s="5"/>
      <c r="I47" s="5"/>
      <c r="J47" s="5"/>
      <c r="K47" s="5"/>
      <c r="L47" s="5"/>
      <c r="M47" s="53"/>
      <c r="N47" s="53"/>
      <c r="O47" s="53"/>
      <c r="P47" s="125"/>
      <c r="Q47" s="123"/>
      <c r="R47" s="5"/>
      <c r="S47" s="5"/>
      <c r="T47" s="5"/>
      <c r="U47" s="5"/>
      <c r="V47" s="5"/>
      <c r="W47" s="5"/>
      <c r="X47" s="5"/>
      <c r="Y47" s="5"/>
      <c r="Z47" s="38"/>
      <c r="AA47" s="5"/>
      <c r="AB47" s="5"/>
      <c r="AC47" s="5"/>
      <c r="AD47" s="5"/>
      <c r="AE47" s="5"/>
      <c r="AF47" s="5"/>
      <c r="AG47" s="195"/>
      <c r="AH47" s="6"/>
      <c r="AI47" s="6"/>
      <c r="AJ47" s="6"/>
      <c r="AK47" s="6"/>
      <c r="AL47" s="6"/>
      <c r="AM47" s="6"/>
      <c r="AN47" s="6"/>
      <c r="AO47" s="6"/>
      <c r="AP47" s="6"/>
      <c r="AQ47" s="6"/>
      <c r="AR47" s="6"/>
      <c r="AS47" s="6"/>
      <c r="AT47" s="6"/>
      <c r="AU47" s="6"/>
      <c r="AV47" s="6"/>
      <c r="AW47" s="6"/>
      <c r="AX47" s="6"/>
      <c r="AY47" s="6"/>
      <c r="AZ47" s="6"/>
      <c r="BA47" s="6"/>
      <c r="BB47" s="6"/>
      <c r="BC47" s="6"/>
      <c r="BD47" s="6"/>
      <c r="BE47" s="6"/>
      <c r="BF47" s="6"/>
      <c r="BG47" s="6"/>
      <c r="BH47" s="6"/>
      <c r="BI47" s="6"/>
      <c r="BJ47" s="6"/>
      <c r="BK47" s="6"/>
      <c r="BL47" s="6"/>
      <c r="BM47" s="6"/>
      <c r="BN47" s="6"/>
      <c r="BO47" s="6"/>
      <c r="BP47" s="6"/>
      <c r="BQ47" s="6"/>
      <c r="BR47" s="6"/>
      <c r="BS47" s="6"/>
      <c r="BT47" s="6"/>
      <c r="BU47" s="6"/>
      <c r="BV47" s="6"/>
      <c r="BW47" s="6"/>
      <c r="BX47" s="6"/>
      <c r="BY47" s="6"/>
      <c r="BZ47" s="6"/>
      <c r="CA47" s="6"/>
      <c r="CB47" s="6"/>
      <c r="CC47" s="6"/>
      <c r="CD47" s="6"/>
      <c r="CE47" s="6"/>
      <c r="CF47" s="6"/>
      <c r="CG47" s="6"/>
      <c r="CH47" s="6"/>
      <c r="CI47" s="6"/>
      <c r="CJ47" s="6"/>
    </row>
    <row r="48" spans="1:88" s="7" customFormat="1" x14ac:dyDescent="0.2">
      <c r="A48" s="5"/>
      <c r="B48" s="5"/>
      <c r="C48" s="5"/>
      <c r="D48" s="5"/>
      <c r="E48" s="5"/>
      <c r="F48" s="5"/>
      <c r="G48" s="5"/>
      <c r="H48" s="5"/>
      <c r="I48" s="5"/>
      <c r="J48" s="5"/>
      <c r="K48" s="5"/>
      <c r="L48" s="5"/>
      <c r="M48" s="53"/>
      <c r="N48" s="53"/>
      <c r="O48" s="53"/>
      <c r="P48" s="125"/>
      <c r="Q48" s="123"/>
      <c r="R48" s="5"/>
      <c r="S48" s="5"/>
      <c r="T48" s="5"/>
      <c r="U48" s="5"/>
      <c r="V48" s="5"/>
      <c r="W48" s="5"/>
      <c r="X48" s="5"/>
      <c r="Y48" s="5"/>
      <c r="Z48" s="38"/>
      <c r="AA48" s="5"/>
      <c r="AB48" s="5"/>
      <c r="AC48" s="5"/>
      <c r="AD48" s="5"/>
      <c r="AE48" s="5"/>
      <c r="AF48" s="5"/>
      <c r="AG48" s="195"/>
      <c r="AH48" s="6"/>
      <c r="AI48" s="6"/>
      <c r="AJ48" s="6"/>
      <c r="AK48" s="6"/>
      <c r="AL48" s="6"/>
      <c r="AM48" s="6"/>
      <c r="AN48" s="6"/>
      <c r="AO48" s="6"/>
      <c r="AP48" s="6"/>
      <c r="AQ48" s="6"/>
      <c r="AR48" s="6"/>
      <c r="AS48" s="6"/>
      <c r="AT48" s="6"/>
      <c r="AU48" s="6"/>
      <c r="AV48" s="6"/>
      <c r="AW48" s="6"/>
      <c r="AX48" s="6"/>
      <c r="AY48" s="6"/>
      <c r="AZ48" s="6"/>
      <c r="BA48" s="6"/>
      <c r="BB48" s="6"/>
      <c r="BC48" s="6"/>
      <c r="BD48" s="6"/>
      <c r="BE48" s="6"/>
      <c r="BF48" s="6"/>
      <c r="BG48" s="6"/>
      <c r="BH48" s="6"/>
      <c r="BI48" s="6"/>
      <c r="BJ48" s="6"/>
      <c r="BK48" s="6"/>
      <c r="BL48" s="6"/>
      <c r="BM48" s="6"/>
      <c r="BN48" s="6"/>
      <c r="BO48" s="6"/>
      <c r="BP48" s="6"/>
      <c r="BQ48" s="6"/>
      <c r="BR48" s="6"/>
      <c r="BS48" s="6"/>
      <c r="BT48" s="6"/>
      <c r="BU48" s="6"/>
      <c r="BV48" s="6"/>
      <c r="BW48" s="6"/>
      <c r="BX48" s="6"/>
      <c r="BY48" s="6"/>
      <c r="BZ48" s="6"/>
      <c r="CA48" s="6"/>
      <c r="CB48" s="6"/>
      <c r="CC48" s="6"/>
      <c r="CD48" s="6"/>
      <c r="CE48" s="6"/>
      <c r="CF48" s="6"/>
      <c r="CG48" s="6"/>
      <c r="CH48" s="6"/>
      <c r="CI48" s="6"/>
      <c r="CJ48" s="6"/>
    </row>
    <row r="49" spans="1:88" s="7" customFormat="1" x14ac:dyDescent="0.2">
      <c r="A49" s="5"/>
      <c r="B49" s="5"/>
      <c r="C49" s="5"/>
      <c r="D49" s="5"/>
      <c r="E49" s="5"/>
      <c r="F49" s="5"/>
      <c r="G49" s="5"/>
      <c r="H49" s="5"/>
      <c r="I49" s="5"/>
      <c r="J49" s="5"/>
      <c r="K49" s="5"/>
      <c r="L49" s="5"/>
      <c r="M49" s="53"/>
      <c r="N49" s="53"/>
      <c r="O49" s="53"/>
      <c r="P49" s="125"/>
      <c r="Q49" s="123"/>
      <c r="R49" s="5"/>
      <c r="S49" s="5"/>
      <c r="T49" s="5"/>
      <c r="U49" s="5"/>
      <c r="V49" s="5"/>
      <c r="W49" s="5"/>
      <c r="X49" s="5"/>
      <c r="Y49" s="5"/>
      <c r="Z49" s="38"/>
      <c r="AA49" s="5"/>
      <c r="AB49" s="5"/>
      <c r="AC49" s="5"/>
      <c r="AD49" s="5"/>
      <c r="AE49" s="5"/>
      <c r="AF49" s="5"/>
      <c r="AG49" s="195"/>
      <c r="AH49" s="6"/>
      <c r="AI49" s="6"/>
      <c r="AJ49" s="6"/>
      <c r="AK49" s="6"/>
      <c r="AL49" s="6"/>
      <c r="AM49" s="6"/>
      <c r="AN49" s="6"/>
      <c r="AO49" s="6"/>
      <c r="AP49" s="6"/>
      <c r="AQ49" s="6"/>
      <c r="AR49" s="6"/>
      <c r="AS49" s="6"/>
      <c r="AT49" s="6"/>
      <c r="AU49" s="6"/>
      <c r="AV49" s="6"/>
      <c r="AW49" s="6"/>
      <c r="AX49" s="6"/>
      <c r="AY49" s="6"/>
      <c r="AZ49" s="6"/>
      <c r="BA49" s="6"/>
      <c r="BB49" s="6"/>
      <c r="BC49" s="6"/>
      <c r="BD49" s="6"/>
      <c r="BE49" s="6"/>
      <c r="BF49" s="6"/>
      <c r="BG49" s="6"/>
      <c r="BH49" s="6"/>
      <c r="BI49" s="6"/>
      <c r="BJ49" s="6"/>
      <c r="BK49" s="6"/>
      <c r="BL49" s="6"/>
      <c r="BM49" s="6"/>
      <c r="BN49" s="6"/>
      <c r="BO49" s="6"/>
      <c r="BP49" s="6"/>
      <c r="BQ49" s="6"/>
      <c r="BR49" s="6"/>
      <c r="BS49" s="6"/>
      <c r="BT49" s="6"/>
      <c r="BU49" s="6"/>
      <c r="BV49" s="6"/>
      <c r="BW49" s="6"/>
      <c r="BX49" s="6"/>
      <c r="BY49" s="6"/>
      <c r="BZ49" s="6"/>
      <c r="CA49" s="6"/>
      <c r="CB49" s="6"/>
      <c r="CC49" s="6"/>
      <c r="CD49" s="6"/>
      <c r="CE49" s="6"/>
      <c r="CF49" s="6"/>
      <c r="CG49" s="6"/>
      <c r="CH49" s="6"/>
      <c r="CI49" s="6"/>
      <c r="CJ49" s="6"/>
    </row>
    <row r="50" spans="1:88" s="7" customFormat="1" x14ac:dyDescent="0.2">
      <c r="A50" s="5"/>
      <c r="B50" s="5"/>
      <c r="C50" s="5"/>
      <c r="D50" s="5"/>
      <c r="E50" s="5"/>
      <c r="F50" s="5"/>
      <c r="G50" s="5"/>
      <c r="H50" s="5"/>
      <c r="I50" s="5"/>
      <c r="J50" s="5"/>
      <c r="K50" s="5"/>
      <c r="L50" s="5"/>
      <c r="M50" s="53"/>
      <c r="N50" s="53"/>
      <c r="O50" s="53"/>
      <c r="P50" s="125"/>
      <c r="Q50" s="123"/>
      <c r="R50" s="5"/>
      <c r="S50" s="5"/>
      <c r="T50" s="5"/>
      <c r="U50" s="5"/>
      <c r="V50" s="5"/>
      <c r="W50" s="5"/>
      <c r="X50" s="5"/>
      <c r="Y50" s="5"/>
      <c r="Z50" s="38"/>
      <c r="AA50" s="5"/>
      <c r="AB50" s="5"/>
      <c r="AC50" s="5"/>
      <c r="AD50" s="5"/>
      <c r="AE50" s="5"/>
      <c r="AF50" s="5"/>
      <c r="AG50" s="195"/>
      <c r="AH50" s="6"/>
      <c r="AI50" s="6"/>
      <c r="AJ50" s="6"/>
      <c r="AK50" s="6"/>
      <c r="AL50" s="6"/>
      <c r="AM50" s="6"/>
      <c r="AN50" s="6"/>
      <c r="AO50" s="6"/>
      <c r="AP50" s="6"/>
      <c r="AQ50" s="6"/>
      <c r="AR50" s="6"/>
      <c r="AS50" s="6"/>
      <c r="AT50" s="6"/>
      <c r="AU50" s="6"/>
      <c r="AV50" s="6"/>
      <c r="AW50" s="6"/>
      <c r="AX50" s="6"/>
      <c r="AY50" s="6"/>
      <c r="AZ50" s="6"/>
      <c r="BA50" s="6"/>
      <c r="BB50" s="6"/>
      <c r="BC50" s="6"/>
      <c r="BD50" s="6"/>
      <c r="BE50" s="6"/>
      <c r="BF50" s="6"/>
      <c r="BG50" s="6"/>
      <c r="BH50" s="6"/>
      <c r="BI50" s="6"/>
      <c r="BJ50" s="6"/>
      <c r="BK50" s="6"/>
      <c r="BL50" s="6"/>
      <c r="BM50" s="6"/>
      <c r="BN50" s="6"/>
      <c r="BO50" s="6"/>
      <c r="BP50" s="6"/>
      <c r="BQ50" s="6"/>
      <c r="BR50" s="6"/>
      <c r="BS50" s="6"/>
      <c r="BT50" s="6"/>
      <c r="BU50" s="6"/>
      <c r="BV50" s="6"/>
      <c r="BW50" s="6"/>
      <c r="BX50" s="6"/>
      <c r="BY50" s="6"/>
      <c r="BZ50" s="6"/>
      <c r="CA50" s="6"/>
      <c r="CB50" s="6"/>
      <c r="CC50" s="6"/>
      <c r="CD50" s="6"/>
      <c r="CE50" s="6"/>
      <c r="CF50" s="6"/>
      <c r="CG50" s="6"/>
      <c r="CH50" s="6"/>
      <c r="CI50" s="6"/>
      <c r="CJ50" s="6"/>
    </row>
    <row r="51" spans="1:88" s="7" customFormat="1" x14ac:dyDescent="0.2">
      <c r="A51" s="5"/>
      <c r="B51" s="5"/>
      <c r="C51" s="5"/>
      <c r="D51" s="5"/>
      <c r="E51" s="5"/>
      <c r="F51" s="5"/>
      <c r="G51" s="5"/>
      <c r="H51" s="5"/>
      <c r="I51" s="5"/>
      <c r="J51" s="5"/>
      <c r="K51" s="5"/>
      <c r="L51" s="5"/>
      <c r="M51" s="53"/>
      <c r="N51" s="53"/>
      <c r="O51" s="53"/>
      <c r="P51" s="125"/>
      <c r="Q51" s="123"/>
      <c r="R51" s="5"/>
      <c r="S51" s="5"/>
      <c r="T51" s="5"/>
      <c r="U51" s="5"/>
      <c r="V51" s="5"/>
      <c r="W51" s="5"/>
      <c r="X51" s="5"/>
      <c r="Y51" s="5"/>
      <c r="Z51" s="38"/>
      <c r="AA51" s="5"/>
      <c r="AB51" s="5"/>
      <c r="AC51" s="5"/>
      <c r="AD51" s="5"/>
      <c r="AE51" s="5"/>
      <c r="AF51" s="5"/>
      <c r="AG51" s="195"/>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c r="BH51" s="6"/>
      <c r="BI51" s="6"/>
      <c r="BJ51" s="6"/>
      <c r="BK51" s="6"/>
      <c r="BL51" s="6"/>
      <c r="BM51" s="6"/>
      <c r="BN51" s="6"/>
      <c r="BO51" s="6"/>
      <c r="BP51" s="6"/>
      <c r="BQ51" s="6"/>
      <c r="BR51" s="6"/>
      <c r="BS51" s="6"/>
      <c r="BT51" s="6"/>
      <c r="BU51" s="6"/>
      <c r="BV51" s="6"/>
      <c r="BW51" s="6"/>
      <c r="BX51" s="6"/>
      <c r="BY51" s="6"/>
      <c r="BZ51" s="6"/>
      <c r="CA51" s="6"/>
      <c r="CB51" s="6"/>
      <c r="CC51" s="6"/>
      <c r="CD51" s="6"/>
      <c r="CE51" s="6"/>
      <c r="CF51" s="6"/>
      <c r="CG51" s="6"/>
      <c r="CH51" s="6"/>
      <c r="CI51" s="6"/>
      <c r="CJ51" s="6"/>
    </row>
    <row r="52" spans="1:88" s="7" customFormat="1" x14ac:dyDescent="0.2">
      <c r="A52" s="5"/>
      <c r="B52" s="5"/>
      <c r="C52" s="5"/>
      <c r="D52" s="5"/>
      <c r="E52" s="5"/>
      <c r="F52" s="5"/>
      <c r="G52" s="5"/>
      <c r="H52" s="5"/>
      <c r="I52" s="5"/>
      <c r="J52" s="5"/>
      <c r="K52" s="5"/>
      <c r="L52" s="5"/>
      <c r="M52" s="53"/>
      <c r="N52" s="53"/>
      <c r="O52" s="53"/>
      <c r="P52" s="125"/>
      <c r="Q52" s="123"/>
      <c r="R52" s="5"/>
      <c r="S52" s="5"/>
      <c r="T52" s="5"/>
      <c r="U52" s="5"/>
      <c r="V52" s="5"/>
      <c r="W52" s="5"/>
      <c r="X52" s="5"/>
      <c r="Y52" s="5"/>
      <c r="Z52" s="38"/>
      <c r="AA52" s="5"/>
      <c r="AB52" s="5"/>
      <c r="AC52" s="5"/>
      <c r="AD52" s="5"/>
      <c r="AE52" s="5"/>
      <c r="AF52" s="5"/>
      <c r="AG52" s="195"/>
      <c r="AH52" s="6"/>
      <c r="AI52" s="6"/>
      <c r="AJ52" s="6"/>
      <c r="AK52" s="6"/>
      <c r="AL52" s="6"/>
      <c r="AM52" s="6"/>
      <c r="AN52" s="6"/>
      <c r="AO52" s="6"/>
      <c r="AP52" s="6"/>
      <c r="AQ52" s="6"/>
      <c r="AR52" s="6"/>
      <c r="AS52" s="6"/>
      <c r="AT52" s="6"/>
      <c r="AU52" s="6"/>
      <c r="AV52" s="6"/>
      <c r="AW52" s="6"/>
      <c r="AX52" s="6"/>
      <c r="AY52" s="6"/>
      <c r="AZ52" s="6"/>
      <c r="BA52" s="6"/>
      <c r="BB52" s="6"/>
      <c r="BC52" s="6"/>
      <c r="BD52" s="6"/>
      <c r="BE52" s="6"/>
      <c r="BF52" s="6"/>
      <c r="BG52" s="6"/>
      <c r="BH52" s="6"/>
      <c r="BI52" s="6"/>
      <c r="BJ52" s="6"/>
      <c r="BK52" s="6"/>
      <c r="BL52" s="6"/>
      <c r="BM52" s="6"/>
      <c r="BN52" s="6"/>
      <c r="BO52" s="6"/>
      <c r="BP52" s="6"/>
      <c r="BQ52" s="6"/>
      <c r="BR52" s="6"/>
      <c r="BS52" s="6"/>
      <c r="BT52" s="6"/>
      <c r="BU52" s="6"/>
      <c r="BV52" s="6"/>
      <c r="BW52" s="6"/>
      <c r="BX52" s="6"/>
      <c r="BY52" s="6"/>
      <c r="BZ52" s="6"/>
      <c r="CA52" s="6"/>
      <c r="CB52" s="6"/>
      <c r="CC52" s="6"/>
      <c r="CD52" s="6"/>
      <c r="CE52" s="6"/>
      <c r="CF52" s="6"/>
      <c r="CG52" s="6"/>
      <c r="CH52" s="6"/>
      <c r="CI52" s="6"/>
      <c r="CJ52" s="6"/>
    </row>
    <row r="53" spans="1:88" s="7" customFormat="1" x14ac:dyDescent="0.2">
      <c r="A53" s="5"/>
      <c r="B53" s="5"/>
      <c r="C53" s="5"/>
      <c r="D53" s="5"/>
      <c r="E53" s="5"/>
      <c r="F53" s="5"/>
      <c r="G53" s="5"/>
      <c r="H53" s="5"/>
      <c r="I53" s="5"/>
      <c r="J53" s="5"/>
      <c r="K53" s="5"/>
      <c r="L53" s="5"/>
      <c r="M53" s="53"/>
      <c r="N53" s="53"/>
      <c r="O53" s="53"/>
      <c r="P53" s="125"/>
      <c r="Q53" s="123"/>
      <c r="R53" s="5"/>
      <c r="S53" s="5"/>
      <c r="T53" s="5"/>
      <c r="U53" s="5"/>
      <c r="V53" s="5"/>
      <c r="W53" s="5"/>
      <c r="X53" s="5"/>
      <c r="Y53" s="5"/>
      <c r="Z53" s="38"/>
      <c r="AA53" s="5"/>
      <c r="AB53" s="5"/>
      <c r="AC53" s="5"/>
      <c r="AD53" s="5"/>
      <c r="AE53" s="5"/>
      <c r="AF53" s="5"/>
      <c r="AG53" s="195"/>
      <c r="AH53" s="6"/>
      <c r="AI53" s="6"/>
      <c r="AJ53" s="6"/>
      <c r="AK53" s="6"/>
      <c r="AL53" s="6"/>
      <c r="AM53" s="6"/>
      <c r="AN53" s="6"/>
      <c r="AO53" s="6"/>
      <c r="AP53" s="6"/>
      <c r="AQ53" s="6"/>
      <c r="AR53" s="6"/>
      <c r="AS53" s="6"/>
      <c r="AT53" s="6"/>
      <c r="AU53" s="6"/>
      <c r="AV53" s="6"/>
      <c r="AW53" s="6"/>
      <c r="AX53" s="6"/>
      <c r="AY53" s="6"/>
      <c r="AZ53" s="6"/>
      <c r="BA53" s="6"/>
      <c r="BB53" s="6"/>
      <c r="BC53" s="6"/>
      <c r="BD53" s="6"/>
      <c r="BE53" s="6"/>
      <c r="BF53" s="6"/>
      <c r="BG53" s="6"/>
      <c r="BH53" s="6"/>
      <c r="BI53" s="6"/>
      <c r="BJ53" s="6"/>
      <c r="BK53" s="6"/>
      <c r="BL53" s="6"/>
      <c r="BM53" s="6"/>
      <c r="BN53" s="6"/>
      <c r="BO53" s="6"/>
      <c r="BP53" s="6"/>
      <c r="BQ53" s="6"/>
      <c r="BR53" s="6"/>
      <c r="BS53" s="6"/>
      <c r="BT53" s="6"/>
      <c r="BU53" s="6"/>
      <c r="BV53" s="6"/>
      <c r="BW53" s="6"/>
      <c r="BX53" s="6"/>
      <c r="BY53" s="6"/>
      <c r="BZ53" s="6"/>
      <c r="CA53" s="6"/>
      <c r="CB53" s="6"/>
      <c r="CC53" s="6"/>
      <c r="CD53" s="6"/>
      <c r="CE53" s="6"/>
      <c r="CF53" s="6"/>
      <c r="CG53" s="6"/>
      <c r="CH53" s="6"/>
      <c r="CI53" s="6"/>
      <c r="CJ53" s="6"/>
    </row>
    <row r="54" spans="1:88" s="7" customFormat="1" x14ac:dyDescent="0.2">
      <c r="A54" s="5"/>
      <c r="B54" s="5"/>
      <c r="C54" s="5"/>
      <c r="D54" s="5"/>
      <c r="E54" s="5"/>
      <c r="F54" s="5"/>
      <c r="G54" s="5"/>
      <c r="H54" s="5"/>
      <c r="I54" s="5"/>
      <c r="J54" s="5"/>
      <c r="K54" s="5"/>
      <c r="L54" s="5"/>
      <c r="M54" s="53"/>
      <c r="N54" s="53"/>
      <c r="O54" s="53"/>
      <c r="P54" s="125"/>
      <c r="Q54" s="123"/>
      <c r="R54" s="5"/>
      <c r="S54" s="5"/>
      <c r="T54" s="5"/>
      <c r="U54" s="5"/>
      <c r="V54" s="5"/>
      <c r="W54" s="5"/>
      <c r="X54" s="5"/>
      <c r="Y54" s="5"/>
      <c r="Z54" s="38"/>
      <c r="AA54" s="5"/>
      <c r="AB54" s="5"/>
      <c r="AC54" s="5"/>
      <c r="AD54" s="5"/>
      <c r="AE54" s="5"/>
      <c r="AF54" s="5"/>
      <c r="AG54" s="195"/>
      <c r="AH54" s="6"/>
      <c r="AI54" s="6"/>
      <c r="AJ54" s="6"/>
      <c r="AK54" s="6"/>
      <c r="AL54" s="6"/>
      <c r="AM54" s="6"/>
      <c r="AN54" s="6"/>
      <c r="AO54" s="6"/>
      <c r="AP54" s="6"/>
      <c r="AQ54" s="6"/>
      <c r="AR54" s="6"/>
      <c r="AS54" s="6"/>
      <c r="AT54" s="6"/>
      <c r="AU54" s="6"/>
      <c r="AV54" s="6"/>
      <c r="AW54" s="6"/>
      <c r="AX54" s="6"/>
      <c r="AY54" s="6"/>
      <c r="AZ54" s="6"/>
      <c r="BA54" s="6"/>
      <c r="BB54" s="6"/>
      <c r="BC54" s="6"/>
      <c r="BD54" s="6"/>
      <c r="BE54" s="6"/>
      <c r="BF54" s="6"/>
      <c r="BG54" s="6"/>
      <c r="BH54" s="6"/>
      <c r="BI54" s="6"/>
      <c r="BJ54" s="6"/>
      <c r="BK54" s="6"/>
      <c r="BL54" s="6"/>
      <c r="BM54" s="6"/>
      <c r="BN54" s="6"/>
      <c r="BO54" s="6"/>
      <c r="BP54" s="6"/>
      <c r="BQ54" s="6"/>
      <c r="BR54" s="6"/>
      <c r="BS54" s="6"/>
      <c r="BT54" s="6"/>
      <c r="BU54" s="6"/>
      <c r="BV54" s="6"/>
      <c r="BW54" s="6"/>
      <c r="BX54" s="6"/>
      <c r="BY54" s="6"/>
      <c r="BZ54" s="6"/>
      <c r="CA54" s="6"/>
      <c r="CB54" s="6"/>
      <c r="CC54" s="6"/>
      <c r="CD54" s="6"/>
      <c r="CE54" s="6"/>
      <c r="CF54" s="6"/>
      <c r="CG54" s="6"/>
      <c r="CH54" s="6"/>
      <c r="CI54" s="6"/>
      <c r="CJ54" s="6"/>
    </row>
    <row r="55" spans="1:88" s="7" customFormat="1" x14ac:dyDescent="0.2">
      <c r="A55" s="5"/>
      <c r="B55" s="5"/>
      <c r="C55" s="5"/>
      <c r="D55" s="5"/>
      <c r="E55" s="5"/>
      <c r="F55" s="5"/>
      <c r="G55" s="5"/>
      <c r="H55" s="5"/>
      <c r="I55" s="5"/>
      <c r="J55" s="5"/>
      <c r="K55" s="5"/>
      <c r="L55" s="5"/>
      <c r="M55" s="53"/>
      <c r="N55" s="53"/>
      <c r="O55" s="53"/>
      <c r="P55" s="125"/>
      <c r="Q55" s="123"/>
      <c r="R55" s="5"/>
      <c r="S55" s="5"/>
      <c r="T55" s="5"/>
      <c r="U55" s="5"/>
      <c r="V55" s="5"/>
      <c r="W55" s="5"/>
      <c r="X55" s="5"/>
      <c r="Y55" s="5"/>
      <c r="Z55" s="38"/>
      <c r="AA55" s="5"/>
      <c r="AB55" s="5"/>
      <c r="AC55" s="5"/>
      <c r="AD55" s="5"/>
      <c r="AE55" s="5"/>
      <c r="AF55" s="5"/>
      <c r="AG55" s="195"/>
      <c r="AH55" s="6"/>
      <c r="AI55" s="6"/>
      <c r="AJ55" s="6"/>
      <c r="AK55" s="6"/>
      <c r="AL55" s="6"/>
      <c r="AM55" s="6"/>
      <c r="AN55" s="6"/>
      <c r="AO55" s="6"/>
      <c r="AP55" s="6"/>
      <c r="AQ55" s="6"/>
      <c r="AR55" s="6"/>
      <c r="AS55" s="6"/>
      <c r="AT55" s="6"/>
      <c r="AU55" s="6"/>
      <c r="AV55" s="6"/>
      <c r="AW55" s="6"/>
      <c r="AX55" s="6"/>
      <c r="AY55" s="6"/>
      <c r="AZ55" s="6"/>
      <c r="BA55" s="6"/>
      <c r="BB55" s="6"/>
      <c r="BC55" s="6"/>
      <c r="BD55" s="6"/>
      <c r="BE55" s="6"/>
      <c r="BF55" s="6"/>
      <c r="BG55" s="6"/>
      <c r="BH55" s="6"/>
      <c r="BI55" s="6"/>
      <c r="BJ55" s="6"/>
      <c r="BK55" s="6"/>
      <c r="BL55" s="6"/>
      <c r="BM55" s="6"/>
      <c r="BN55" s="6"/>
      <c r="BO55" s="6"/>
      <c r="BP55" s="6"/>
      <c r="BQ55" s="6"/>
      <c r="BR55" s="6"/>
      <c r="BS55" s="6"/>
      <c r="BT55" s="6"/>
      <c r="BU55" s="6"/>
      <c r="BV55" s="6"/>
      <c r="BW55" s="6"/>
      <c r="BX55" s="6"/>
      <c r="BY55" s="6"/>
      <c r="BZ55" s="6"/>
      <c r="CA55" s="6"/>
      <c r="CB55" s="6"/>
      <c r="CC55" s="6"/>
      <c r="CD55" s="6"/>
      <c r="CE55" s="6"/>
      <c r="CF55" s="6"/>
      <c r="CG55" s="6"/>
      <c r="CH55" s="6"/>
      <c r="CI55" s="6"/>
      <c r="CJ55" s="6"/>
    </row>
    <row r="56" spans="1:88" s="7" customFormat="1" x14ac:dyDescent="0.2">
      <c r="A56" s="5"/>
      <c r="B56" s="5"/>
      <c r="C56" s="5"/>
      <c r="D56" s="5"/>
      <c r="E56" s="5"/>
      <c r="F56" s="5"/>
      <c r="G56" s="5"/>
      <c r="H56" s="5"/>
      <c r="I56" s="5"/>
      <c r="J56" s="5"/>
      <c r="K56" s="5"/>
      <c r="L56" s="5"/>
      <c r="M56" s="53"/>
      <c r="N56" s="53"/>
      <c r="O56" s="53"/>
      <c r="P56" s="125"/>
      <c r="Q56" s="123"/>
      <c r="R56" s="5"/>
      <c r="S56" s="5"/>
      <c r="T56" s="5"/>
      <c r="U56" s="5"/>
      <c r="V56" s="5"/>
      <c r="W56" s="5"/>
      <c r="X56" s="5"/>
      <c r="Y56" s="5"/>
      <c r="Z56" s="38"/>
      <c r="AA56" s="5"/>
      <c r="AB56" s="5"/>
      <c r="AC56" s="5"/>
      <c r="AD56" s="5"/>
      <c r="AE56" s="5"/>
      <c r="AF56" s="5"/>
      <c r="AG56" s="195"/>
      <c r="AH56" s="6"/>
      <c r="AI56" s="6"/>
      <c r="AJ56" s="6"/>
      <c r="AK56" s="6"/>
      <c r="AL56" s="6"/>
      <c r="AM56" s="6"/>
      <c r="AN56" s="6"/>
      <c r="AO56" s="6"/>
      <c r="AP56" s="6"/>
      <c r="AQ56" s="6"/>
      <c r="AR56" s="6"/>
      <c r="AS56" s="6"/>
      <c r="AT56" s="6"/>
      <c r="AU56" s="6"/>
      <c r="AV56" s="6"/>
      <c r="AW56" s="6"/>
      <c r="AX56" s="6"/>
      <c r="AY56" s="6"/>
      <c r="AZ56" s="6"/>
      <c r="BA56" s="6"/>
      <c r="BB56" s="6"/>
      <c r="BC56" s="6"/>
      <c r="BD56" s="6"/>
      <c r="BE56" s="6"/>
      <c r="BF56" s="6"/>
      <c r="BG56" s="6"/>
      <c r="BH56" s="6"/>
      <c r="BI56" s="6"/>
      <c r="BJ56" s="6"/>
      <c r="BK56" s="6"/>
      <c r="BL56" s="6"/>
      <c r="BM56" s="6"/>
      <c r="BN56" s="6"/>
      <c r="BO56" s="6"/>
      <c r="BP56" s="6"/>
      <c r="BQ56" s="6"/>
      <c r="BR56" s="6"/>
      <c r="BS56" s="6"/>
      <c r="BT56" s="6"/>
      <c r="BU56" s="6"/>
      <c r="BV56" s="6"/>
      <c r="BW56" s="6"/>
      <c r="BX56" s="6"/>
      <c r="BY56" s="6"/>
      <c r="BZ56" s="6"/>
      <c r="CA56" s="6"/>
      <c r="CB56" s="6"/>
      <c r="CC56" s="6"/>
      <c r="CD56" s="6"/>
      <c r="CE56" s="6"/>
      <c r="CF56" s="6"/>
      <c r="CG56" s="6"/>
      <c r="CH56" s="6"/>
      <c r="CI56" s="6"/>
      <c r="CJ56" s="6"/>
    </row>
    <row r="57" spans="1:88" s="7" customFormat="1" x14ac:dyDescent="0.2">
      <c r="A57" s="5"/>
      <c r="B57" s="5"/>
      <c r="C57" s="5"/>
      <c r="D57" s="5"/>
      <c r="E57" s="5"/>
      <c r="F57" s="5"/>
      <c r="G57" s="5"/>
      <c r="H57" s="5"/>
      <c r="I57" s="5"/>
      <c r="J57" s="5"/>
      <c r="K57" s="5"/>
      <c r="L57" s="5"/>
      <c r="M57" s="53"/>
      <c r="N57" s="53"/>
      <c r="O57" s="53"/>
      <c r="P57" s="125"/>
      <c r="Q57" s="123"/>
      <c r="R57" s="5"/>
      <c r="S57" s="5"/>
      <c r="T57" s="5"/>
      <c r="U57" s="5"/>
      <c r="V57" s="5"/>
      <c r="W57" s="5"/>
      <c r="X57" s="5"/>
      <c r="Y57" s="5"/>
      <c r="Z57" s="38"/>
      <c r="AA57" s="5"/>
      <c r="AB57" s="5"/>
      <c r="AC57" s="5"/>
      <c r="AD57" s="5"/>
      <c r="AE57" s="5"/>
      <c r="AF57" s="5"/>
      <c r="AG57" s="195"/>
      <c r="AH57" s="6"/>
      <c r="AI57" s="6"/>
      <c r="AJ57" s="6"/>
      <c r="AK57" s="6"/>
      <c r="AL57" s="6"/>
      <c r="AM57" s="6"/>
      <c r="AN57" s="6"/>
      <c r="AO57" s="6"/>
      <c r="AP57" s="6"/>
      <c r="AQ57" s="6"/>
      <c r="AR57" s="6"/>
      <c r="AS57" s="6"/>
      <c r="AT57" s="6"/>
      <c r="AU57" s="6"/>
      <c r="AV57" s="6"/>
      <c r="AW57" s="6"/>
      <c r="AX57" s="6"/>
      <c r="AY57" s="6"/>
      <c r="AZ57" s="6"/>
      <c r="BA57" s="6"/>
      <c r="BB57" s="6"/>
      <c r="BC57" s="6"/>
      <c r="BD57" s="6"/>
      <c r="BE57" s="6"/>
      <c r="BF57" s="6"/>
      <c r="BG57" s="6"/>
      <c r="BH57" s="6"/>
      <c r="BI57" s="6"/>
      <c r="BJ57" s="6"/>
      <c r="BK57" s="6"/>
      <c r="BL57" s="6"/>
      <c r="BM57" s="6"/>
      <c r="BN57" s="6"/>
      <c r="BO57" s="6"/>
      <c r="BP57" s="6"/>
      <c r="BQ57" s="6"/>
      <c r="BR57" s="6"/>
      <c r="BS57" s="6"/>
      <c r="BT57" s="6"/>
      <c r="BU57" s="6"/>
      <c r="BV57" s="6"/>
      <c r="BW57" s="6"/>
      <c r="BX57" s="6"/>
      <c r="BY57" s="6"/>
      <c r="BZ57" s="6"/>
      <c r="CA57" s="6"/>
      <c r="CB57" s="6"/>
      <c r="CC57" s="6"/>
      <c r="CD57" s="6"/>
      <c r="CE57" s="6"/>
      <c r="CF57" s="6"/>
      <c r="CG57" s="6"/>
      <c r="CH57" s="6"/>
      <c r="CI57" s="6"/>
      <c r="CJ57" s="6"/>
    </row>
    <row r="58" spans="1:88" s="7" customFormat="1" x14ac:dyDescent="0.2">
      <c r="A58" s="5"/>
      <c r="B58" s="5"/>
      <c r="C58" s="5"/>
      <c r="D58" s="5"/>
      <c r="E58" s="5"/>
      <c r="F58" s="5"/>
      <c r="G58" s="5"/>
      <c r="H58" s="5"/>
      <c r="I58" s="5"/>
      <c r="J58" s="5"/>
      <c r="K58" s="5"/>
      <c r="L58" s="5"/>
      <c r="M58" s="53"/>
      <c r="N58" s="53"/>
      <c r="O58" s="53"/>
      <c r="P58" s="125"/>
      <c r="Q58" s="123"/>
      <c r="R58" s="5"/>
      <c r="S58" s="5"/>
      <c r="T58" s="5"/>
      <c r="U58" s="5"/>
      <c r="V58" s="5"/>
      <c r="W58" s="5"/>
      <c r="X58" s="5"/>
      <c r="Y58" s="5"/>
      <c r="Z58" s="38"/>
      <c r="AA58" s="5"/>
      <c r="AB58" s="5"/>
      <c r="AC58" s="5"/>
      <c r="AD58" s="5"/>
      <c r="AE58" s="5"/>
      <c r="AF58" s="5"/>
      <c r="AG58" s="168"/>
      <c r="AH58" s="116"/>
      <c r="AI58" s="116"/>
      <c r="AJ58" s="116"/>
      <c r="AK58" s="116"/>
      <c r="AL58" s="116"/>
      <c r="AM58" s="116"/>
      <c r="AN58" s="116"/>
      <c r="AO58" s="116"/>
      <c r="AP58" s="116"/>
      <c r="AQ58" s="116"/>
      <c r="AR58" s="116"/>
      <c r="AS58" s="116"/>
      <c r="AT58" s="116"/>
      <c r="AU58" s="116"/>
      <c r="AV58" s="116"/>
      <c r="AW58" s="116"/>
      <c r="AX58" s="116"/>
      <c r="AY58" s="116"/>
      <c r="AZ58" s="116"/>
      <c r="BA58" s="116"/>
      <c r="BB58" s="116"/>
      <c r="BC58" s="116"/>
      <c r="BD58" s="116"/>
      <c r="BE58" s="116"/>
      <c r="BF58" s="116"/>
      <c r="BG58" s="116"/>
      <c r="BH58" s="116"/>
      <c r="BI58" s="116"/>
      <c r="BJ58" s="116"/>
      <c r="BK58" s="116"/>
      <c r="BL58" s="116"/>
      <c r="BM58" s="116"/>
      <c r="BN58" s="116"/>
      <c r="BO58" s="116"/>
      <c r="BP58" s="116"/>
      <c r="BQ58" s="116"/>
      <c r="BR58" s="116"/>
      <c r="BS58" s="116"/>
      <c r="BT58" s="116"/>
      <c r="BU58" s="116"/>
      <c r="BV58" s="116"/>
      <c r="BW58" s="116"/>
      <c r="BX58" s="116"/>
      <c r="BY58" s="116"/>
      <c r="BZ58" s="116"/>
      <c r="CA58" s="116"/>
      <c r="CB58" s="116"/>
      <c r="CC58" s="116"/>
      <c r="CD58" s="116"/>
      <c r="CE58" s="6"/>
      <c r="CF58" s="6"/>
      <c r="CG58" s="116"/>
      <c r="CH58" s="116"/>
      <c r="CI58" s="116"/>
      <c r="CJ58" s="116"/>
    </row>
    <row r="59" spans="1:88" s="7" customFormat="1" x14ac:dyDescent="0.2">
      <c r="A59" s="5"/>
      <c r="B59" s="5"/>
      <c r="C59" s="5"/>
      <c r="D59" s="5"/>
      <c r="E59" s="5"/>
      <c r="F59" s="5"/>
      <c r="G59" s="5"/>
      <c r="H59" s="5"/>
      <c r="I59" s="5"/>
      <c r="J59" s="5"/>
      <c r="K59" s="5"/>
      <c r="L59" s="5"/>
      <c r="M59" s="53"/>
      <c r="N59" s="53"/>
      <c r="O59" s="53"/>
      <c r="P59" s="125"/>
      <c r="Q59" s="123"/>
      <c r="R59" s="5"/>
      <c r="S59" s="5"/>
      <c r="T59" s="5"/>
      <c r="U59" s="5"/>
      <c r="V59" s="5"/>
      <c r="W59" s="5"/>
      <c r="X59" s="5"/>
      <c r="Y59" s="5"/>
      <c r="Z59" s="38"/>
      <c r="AA59" s="5"/>
      <c r="AB59" s="5"/>
      <c r="AC59" s="5"/>
      <c r="AD59" s="5"/>
      <c r="AE59" s="5"/>
      <c r="AF59" s="5"/>
      <c r="AG59" s="195"/>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c r="BH59" s="6"/>
      <c r="BI59" s="6"/>
      <c r="BJ59" s="6"/>
      <c r="BK59" s="6"/>
      <c r="BL59" s="6"/>
      <c r="BM59" s="6"/>
      <c r="BN59" s="6"/>
      <c r="BO59" s="6"/>
      <c r="BP59" s="6"/>
      <c r="BQ59" s="6"/>
      <c r="BR59" s="6"/>
      <c r="BS59" s="6"/>
      <c r="BT59" s="6"/>
      <c r="BU59" s="6"/>
      <c r="BV59" s="6"/>
      <c r="BW59" s="6"/>
      <c r="BX59" s="6"/>
      <c r="BY59" s="6"/>
      <c r="BZ59" s="6"/>
      <c r="CA59" s="6"/>
      <c r="CB59" s="6"/>
      <c r="CC59" s="6"/>
      <c r="CD59" s="6"/>
      <c r="CE59" s="6"/>
      <c r="CF59" s="6"/>
      <c r="CG59" s="6"/>
      <c r="CH59" s="6"/>
      <c r="CI59" s="6"/>
      <c r="CJ59" s="6"/>
    </row>
    <row r="60" spans="1:88" s="7" customFormat="1" x14ac:dyDescent="0.2">
      <c r="A60" s="5"/>
      <c r="B60" s="5"/>
      <c r="C60" s="5"/>
      <c r="D60" s="5"/>
      <c r="E60" s="5"/>
      <c r="F60" s="5"/>
      <c r="G60" s="5"/>
      <c r="H60" s="5"/>
      <c r="I60" s="5"/>
      <c r="J60" s="5"/>
      <c r="K60" s="5"/>
      <c r="L60" s="5"/>
      <c r="M60" s="53"/>
      <c r="N60" s="53"/>
      <c r="O60" s="53"/>
      <c r="P60" s="125"/>
      <c r="Q60" s="123"/>
      <c r="R60" s="5"/>
      <c r="S60" s="5"/>
      <c r="T60" s="5"/>
      <c r="U60" s="5"/>
      <c r="V60" s="5"/>
      <c r="W60" s="5"/>
      <c r="X60" s="5"/>
      <c r="Y60" s="5"/>
      <c r="Z60" s="38"/>
      <c r="AA60" s="5"/>
      <c r="AB60" s="5"/>
      <c r="AC60" s="5"/>
      <c r="AD60" s="5"/>
      <c r="AE60" s="5"/>
      <c r="AF60" s="5"/>
      <c r="AG60" s="195"/>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c r="BH60" s="6"/>
      <c r="BI60" s="6"/>
      <c r="BJ60" s="6"/>
      <c r="BK60" s="6"/>
      <c r="BL60" s="6"/>
      <c r="BM60" s="6"/>
      <c r="BN60" s="6"/>
      <c r="BO60" s="6"/>
      <c r="BP60" s="6"/>
      <c r="BQ60" s="6"/>
      <c r="BR60" s="6"/>
      <c r="BS60" s="6"/>
      <c r="BT60" s="6"/>
      <c r="BU60" s="6"/>
      <c r="BV60" s="6"/>
      <c r="BW60" s="6"/>
      <c r="BX60" s="6"/>
      <c r="BY60" s="6"/>
      <c r="BZ60" s="6"/>
      <c r="CA60" s="6"/>
      <c r="CB60" s="6"/>
      <c r="CC60" s="6"/>
      <c r="CD60" s="6"/>
      <c r="CE60" s="6"/>
      <c r="CF60" s="6"/>
      <c r="CG60" s="6"/>
      <c r="CH60" s="6"/>
      <c r="CI60" s="6"/>
      <c r="CJ60" s="6"/>
    </row>
    <row r="61" spans="1:88" s="7" customFormat="1" x14ac:dyDescent="0.2">
      <c r="A61" s="5"/>
      <c r="B61" s="5"/>
      <c r="C61" s="5"/>
      <c r="D61" s="5"/>
      <c r="E61" s="5"/>
      <c r="F61" s="5"/>
      <c r="G61" s="5"/>
      <c r="H61" s="5"/>
      <c r="I61" s="5"/>
      <c r="J61" s="5"/>
      <c r="K61" s="5"/>
      <c r="L61" s="5"/>
      <c r="M61" s="53"/>
      <c r="N61" s="53"/>
      <c r="O61" s="53"/>
      <c r="P61" s="125"/>
      <c r="Q61" s="123"/>
      <c r="R61" s="5"/>
      <c r="S61" s="5"/>
      <c r="T61" s="5"/>
      <c r="U61" s="5"/>
      <c r="V61" s="5"/>
      <c r="W61" s="5"/>
      <c r="X61" s="5"/>
      <c r="Y61" s="5"/>
      <c r="Z61" s="38"/>
      <c r="AA61" s="5"/>
      <c r="AB61" s="5"/>
      <c r="AC61" s="5"/>
      <c r="AD61" s="5"/>
      <c r="AE61" s="5"/>
      <c r="AF61" s="5"/>
      <c r="AG61" s="195"/>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G61" s="6"/>
      <c r="BH61" s="6"/>
      <c r="BI61" s="6"/>
      <c r="BJ61" s="6"/>
      <c r="BK61" s="6"/>
      <c r="BL61" s="6"/>
      <c r="BM61" s="6"/>
      <c r="BN61" s="6"/>
      <c r="BO61" s="6"/>
      <c r="BP61" s="6"/>
      <c r="BQ61" s="6"/>
      <c r="BR61" s="6"/>
      <c r="BS61" s="6"/>
      <c r="BT61" s="6"/>
      <c r="BU61" s="6"/>
      <c r="BV61" s="6"/>
      <c r="BW61" s="6"/>
      <c r="BX61" s="6"/>
      <c r="BY61" s="6"/>
      <c r="BZ61" s="6"/>
      <c r="CA61" s="6"/>
      <c r="CB61" s="6"/>
      <c r="CC61" s="6"/>
      <c r="CD61" s="6"/>
      <c r="CE61" s="6"/>
      <c r="CF61" s="6"/>
      <c r="CG61" s="6"/>
      <c r="CH61" s="6"/>
      <c r="CI61" s="6"/>
      <c r="CJ61" s="6"/>
    </row>
    <row r="62" spans="1:88" s="7" customFormat="1" x14ac:dyDescent="0.2">
      <c r="A62" s="5"/>
      <c r="B62" s="5"/>
      <c r="C62" s="5"/>
      <c r="D62" s="5"/>
      <c r="E62" s="5"/>
      <c r="F62" s="5"/>
      <c r="G62" s="5"/>
      <c r="H62" s="5"/>
      <c r="I62" s="5"/>
      <c r="J62" s="5"/>
      <c r="K62" s="5"/>
      <c r="L62" s="5"/>
      <c r="M62" s="53"/>
      <c r="N62" s="53"/>
      <c r="O62" s="53"/>
      <c r="P62" s="125"/>
      <c r="Q62" s="123"/>
      <c r="R62" s="5"/>
      <c r="S62" s="5"/>
      <c r="T62" s="5"/>
      <c r="U62" s="5"/>
      <c r="V62" s="5"/>
      <c r="W62" s="5"/>
      <c r="X62" s="5"/>
      <c r="Y62" s="5"/>
      <c r="Z62" s="38"/>
      <c r="AA62" s="5"/>
      <c r="AB62" s="5"/>
      <c r="AC62" s="5"/>
      <c r="AD62" s="5"/>
      <c r="AE62" s="5"/>
      <c r="AF62" s="5"/>
      <c r="AG62" s="195"/>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G62" s="6"/>
      <c r="BH62" s="6"/>
      <c r="BI62" s="6"/>
      <c r="BJ62" s="6"/>
      <c r="BK62" s="6"/>
      <c r="BL62" s="6"/>
      <c r="BM62" s="6"/>
      <c r="BN62" s="6"/>
      <c r="BO62" s="6"/>
      <c r="BP62" s="6"/>
      <c r="BQ62" s="6"/>
      <c r="BR62" s="6"/>
      <c r="BS62" s="6"/>
      <c r="BT62" s="6"/>
      <c r="BU62" s="6"/>
      <c r="BV62" s="6"/>
      <c r="BW62" s="6"/>
      <c r="BX62" s="6"/>
      <c r="BY62" s="6"/>
      <c r="BZ62" s="6"/>
      <c r="CA62" s="6"/>
      <c r="CB62" s="6"/>
      <c r="CC62" s="6"/>
      <c r="CD62" s="6"/>
      <c r="CE62" s="6"/>
      <c r="CF62" s="6"/>
      <c r="CG62" s="6"/>
      <c r="CH62" s="6"/>
      <c r="CI62" s="6"/>
      <c r="CJ62" s="6"/>
    </row>
    <row r="63" spans="1:88" s="7" customFormat="1" x14ac:dyDescent="0.2">
      <c r="A63" s="5"/>
      <c r="B63" s="5"/>
      <c r="C63" s="5"/>
      <c r="D63" s="5"/>
      <c r="E63" s="5"/>
      <c r="F63" s="5"/>
      <c r="G63" s="5"/>
      <c r="H63" s="5"/>
      <c r="I63" s="5"/>
      <c r="J63" s="5"/>
      <c r="K63" s="5"/>
      <c r="L63" s="5"/>
      <c r="M63" s="53"/>
      <c r="N63" s="53"/>
      <c r="O63" s="53"/>
      <c r="P63" s="125"/>
      <c r="Q63" s="123"/>
      <c r="R63" s="5"/>
      <c r="S63" s="5"/>
      <c r="T63" s="5"/>
      <c r="U63" s="5"/>
      <c r="V63" s="5"/>
      <c r="W63" s="5"/>
      <c r="X63" s="5"/>
      <c r="Y63" s="5"/>
      <c r="Z63" s="38"/>
      <c r="AA63" s="5"/>
      <c r="AB63" s="5"/>
      <c r="AC63" s="5"/>
      <c r="AD63" s="5"/>
      <c r="AE63" s="5"/>
      <c r="AF63" s="5"/>
      <c r="AG63" s="195"/>
      <c r="AH63" s="6"/>
      <c r="AI63" s="6"/>
      <c r="AJ63" s="6"/>
      <c r="AK63" s="6"/>
      <c r="AL63" s="6"/>
      <c r="AM63" s="6"/>
      <c r="AN63" s="6"/>
      <c r="AO63" s="6"/>
      <c r="AP63" s="6"/>
      <c r="AQ63" s="6"/>
      <c r="AR63" s="6"/>
      <c r="AS63" s="6"/>
      <c r="AT63" s="6"/>
      <c r="AU63" s="6"/>
      <c r="AV63" s="6"/>
      <c r="AW63" s="6"/>
      <c r="AX63" s="6"/>
      <c r="AY63" s="6"/>
      <c r="AZ63" s="6"/>
      <c r="BA63" s="6"/>
      <c r="BB63" s="6"/>
      <c r="BC63" s="6"/>
      <c r="BD63" s="6"/>
      <c r="BE63" s="6"/>
      <c r="BF63" s="6"/>
      <c r="BG63" s="6"/>
      <c r="BH63" s="6"/>
      <c r="BI63" s="6"/>
      <c r="BJ63" s="6"/>
      <c r="BK63" s="6"/>
      <c r="BL63" s="6"/>
      <c r="BM63" s="6"/>
      <c r="BN63" s="6"/>
      <c r="BO63" s="6"/>
      <c r="BP63" s="6"/>
      <c r="BQ63" s="6"/>
      <c r="BR63" s="6"/>
      <c r="BS63" s="6"/>
      <c r="BT63" s="6"/>
      <c r="BU63" s="6"/>
      <c r="BV63" s="6"/>
      <c r="BW63" s="6"/>
      <c r="BX63" s="6"/>
      <c r="BY63" s="6"/>
      <c r="BZ63" s="6"/>
      <c r="CA63" s="6"/>
      <c r="CB63" s="6"/>
      <c r="CC63" s="6"/>
      <c r="CD63" s="6"/>
      <c r="CE63" s="6"/>
      <c r="CF63" s="6"/>
      <c r="CG63" s="6"/>
      <c r="CH63" s="6"/>
      <c r="CI63" s="6"/>
      <c r="CJ63" s="6"/>
    </row>
    <row r="64" spans="1:88" s="7" customFormat="1" x14ac:dyDescent="0.2">
      <c r="A64" s="5"/>
      <c r="B64" s="5"/>
      <c r="C64" s="5"/>
      <c r="D64" s="5"/>
      <c r="E64" s="5"/>
      <c r="F64" s="5"/>
      <c r="G64" s="5"/>
      <c r="H64" s="5"/>
      <c r="I64" s="5"/>
      <c r="J64" s="5"/>
      <c r="K64" s="5"/>
      <c r="L64" s="5"/>
      <c r="M64" s="53"/>
      <c r="N64" s="53"/>
      <c r="O64" s="53"/>
      <c r="P64" s="125"/>
      <c r="Q64" s="123"/>
      <c r="R64" s="5"/>
      <c r="S64" s="5"/>
      <c r="T64" s="5"/>
      <c r="U64" s="5"/>
      <c r="V64" s="5"/>
      <c r="W64" s="5"/>
      <c r="X64" s="5"/>
      <c r="Y64" s="5"/>
      <c r="Z64" s="38"/>
      <c r="AA64" s="5"/>
      <c r="AB64" s="5"/>
      <c r="AC64" s="5"/>
      <c r="AD64" s="5"/>
      <c r="AE64" s="5"/>
      <c r="AF64" s="5"/>
      <c r="AG64" s="195"/>
      <c r="AH64" s="6"/>
      <c r="AI64" s="6"/>
      <c r="AJ64" s="6"/>
      <c r="AK64" s="6"/>
      <c r="AL64" s="6"/>
      <c r="AM64" s="6"/>
      <c r="AN64" s="6"/>
      <c r="AO64" s="6"/>
      <c r="AP64" s="6"/>
      <c r="AQ64" s="6"/>
      <c r="AR64" s="6"/>
      <c r="AS64" s="6"/>
      <c r="AT64" s="6"/>
      <c r="AU64" s="6"/>
      <c r="AV64" s="6"/>
      <c r="AW64" s="6"/>
      <c r="AX64" s="6"/>
      <c r="AY64" s="6"/>
      <c r="AZ64" s="6"/>
      <c r="BA64" s="6"/>
      <c r="BB64" s="6"/>
      <c r="BC64" s="6"/>
      <c r="BD64" s="6"/>
      <c r="BE64" s="6"/>
      <c r="BF64" s="6"/>
      <c r="BG64" s="6"/>
      <c r="BH64" s="6"/>
      <c r="BI64" s="6"/>
      <c r="BJ64" s="6"/>
      <c r="BK64" s="6"/>
      <c r="BL64" s="6"/>
      <c r="BM64" s="6"/>
      <c r="BN64" s="6"/>
      <c r="BO64" s="6"/>
      <c r="BP64" s="6"/>
      <c r="BQ64" s="6"/>
      <c r="BR64" s="6"/>
      <c r="BS64" s="6"/>
      <c r="BT64" s="6"/>
      <c r="BU64" s="6"/>
      <c r="BV64" s="6"/>
      <c r="BW64" s="6"/>
      <c r="BX64" s="6"/>
      <c r="BY64" s="6"/>
      <c r="BZ64" s="6"/>
      <c r="CA64" s="6"/>
      <c r="CB64" s="6"/>
      <c r="CC64" s="6"/>
      <c r="CD64" s="6"/>
      <c r="CE64" s="6"/>
      <c r="CF64" s="6"/>
      <c r="CG64" s="6"/>
      <c r="CH64" s="6"/>
      <c r="CI64" s="6"/>
      <c r="CJ64" s="6"/>
    </row>
    <row r="65" spans="1:88" s="7" customFormat="1" x14ac:dyDescent="0.2">
      <c r="A65" s="5"/>
      <c r="B65" s="5"/>
      <c r="C65" s="5"/>
      <c r="D65" s="5"/>
      <c r="E65" s="5"/>
      <c r="F65" s="5"/>
      <c r="G65" s="5"/>
      <c r="H65" s="5"/>
      <c r="I65" s="5"/>
      <c r="J65" s="5"/>
      <c r="K65" s="5"/>
      <c r="L65" s="5"/>
      <c r="M65" s="53"/>
      <c r="N65" s="53"/>
      <c r="O65" s="53"/>
      <c r="P65" s="125"/>
      <c r="Q65" s="123"/>
      <c r="R65" s="5"/>
      <c r="S65" s="5"/>
      <c r="T65" s="5"/>
      <c r="U65" s="5"/>
      <c r="V65" s="5"/>
      <c r="W65" s="5"/>
      <c r="X65" s="5"/>
      <c r="Y65" s="5"/>
      <c r="Z65" s="38"/>
      <c r="AA65" s="5"/>
      <c r="AB65" s="5"/>
      <c r="AC65" s="5"/>
      <c r="AD65" s="5"/>
      <c r="AE65" s="5"/>
      <c r="AF65" s="5"/>
      <c r="AG65" s="168"/>
      <c r="AH65" s="116"/>
      <c r="AI65" s="116"/>
      <c r="AJ65" s="116"/>
      <c r="AK65" s="116"/>
      <c r="AL65" s="116"/>
      <c r="AM65" s="116"/>
      <c r="AN65" s="116"/>
      <c r="AO65" s="116"/>
      <c r="AP65" s="116"/>
      <c r="AQ65" s="116"/>
      <c r="AR65" s="116"/>
      <c r="AS65" s="116"/>
      <c r="AT65" s="116"/>
      <c r="AU65" s="116"/>
      <c r="AV65" s="116"/>
      <c r="AW65" s="116"/>
      <c r="AX65" s="116"/>
      <c r="AY65" s="116"/>
      <c r="AZ65" s="116"/>
      <c r="BA65" s="116"/>
      <c r="BB65" s="116"/>
      <c r="BC65" s="116"/>
      <c r="BD65" s="116"/>
      <c r="BE65" s="116"/>
      <c r="BF65" s="116"/>
      <c r="BG65" s="116"/>
      <c r="BH65" s="116"/>
      <c r="BI65" s="116"/>
      <c r="BJ65" s="116"/>
      <c r="BK65" s="116"/>
      <c r="BL65" s="116"/>
      <c r="BM65" s="116"/>
      <c r="BN65" s="116"/>
      <c r="BO65" s="116"/>
      <c r="BP65" s="116"/>
      <c r="BQ65" s="116"/>
      <c r="BR65" s="116"/>
      <c r="BS65" s="116"/>
      <c r="BT65" s="116"/>
      <c r="BU65" s="116"/>
      <c r="BV65" s="116"/>
      <c r="BW65" s="116"/>
      <c r="BX65" s="116"/>
      <c r="BY65" s="116"/>
      <c r="BZ65" s="116"/>
      <c r="CA65" s="116"/>
      <c r="CB65" s="116"/>
      <c r="CC65" s="116"/>
      <c r="CD65" s="116"/>
      <c r="CE65" s="6"/>
      <c r="CF65" s="6"/>
      <c r="CG65" s="116"/>
      <c r="CH65" s="116"/>
      <c r="CI65" s="116"/>
      <c r="CJ65" s="116"/>
    </row>
    <row r="66" spans="1:88" s="7" customFormat="1" x14ac:dyDescent="0.2">
      <c r="A66" s="5"/>
      <c r="B66" s="5"/>
      <c r="C66" s="5"/>
      <c r="D66" s="5"/>
      <c r="E66" s="5"/>
      <c r="F66" s="5"/>
      <c r="G66" s="5"/>
      <c r="H66" s="5"/>
      <c r="I66" s="5"/>
      <c r="J66" s="5"/>
      <c r="K66" s="5"/>
      <c r="L66" s="5"/>
      <c r="M66" s="53"/>
      <c r="N66" s="53"/>
      <c r="O66" s="53"/>
      <c r="P66" s="125"/>
      <c r="Q66" s="123"/>
      <c r="R66" s="5"/>
      <c r="S66" s="5"/>
      <c r="T66" s="5"/>
      <c r="U66" s="5"/>
      <c r="V66" s="5"/>
      <c r="W66" s="5"/>
      <c r="X66" s="5"/>
      <c r="Y66" s="5"/>
      <c r="Z66" s="38"/>
      <c r="AA66" s="5"/>
      <c r="AB66" s="5"/>
      <c r="AC66" s="5"/>
      <c r="AD66" s="5"/>
      <c r="AE66" s="5"/>
      <c r="AF66" s="5"/>
      <c r="AG66" s="168"/>
      <c r="AH66" s="116"/>
      <c r="AI66" s="116"/>
      <c r="AJ66" s="116"/>
      <c r="AK66" s="116"/>
      <c r="AL66" s="116"/>
      <c r="AM66" s="116"/>
      <c r="AN66" s="116"/>
      <c r="AO66" s="116"/>
      <c r="AP66" s="116"/>
      <c r="AQ66" s="116"/>
      <c r="AR66" s="116"/>
      <c r="AS66" s="116"/>
      <c r="AT66" s="116"/>
      <c r="AU66" s="116"/>
      <c r="AV66" s="116"/>
      <c r="AW66" s="116"/>
      <c r="AX66" s="116"/>
      <c r="AY66" s="116"/>
      <c r="AZ66" s="116"/>
      <c r="BA66" s="116"/>
      <c r="BB66" s="116"/>
      <c r="BC66" s="116"/>
      <c r="BD66" s="116"/>
      <c r="BE66" s="116"/>
      <c r="BF66" s="116"/>
      <c r="BG66" s="116"/>
      <c r="BH66" s="116"/>
      <c r="BI66" s="116"/>
      <c r="BJ66" s="116"/>
      <c r="BK66" s="116"/>
      <c r="BL66" s="116"/>
      <c r="BM66" s="116"/>
      <c r="BN66" s="116"/>
      <c r="BO66" s="116"/>
      <c r="BP66" s="116"/>
      <c r="BQ66" s="116"/>
      <c r="BR66" s="116"/>
      <c r="BS66" s="116"/>
      <c r="BT66" s="116"/>
      <c r="BU66" s="116"/>
      <c r="BV66" s="116"/>
      <c r="BW66" s="116"/>
      <c r="BX66" s="116"/>
      <c r="BY66" s="116"/>
      <c r="BZ66" s="116"/>
      <c r="CA66" s="116"/>
      <c r="CB66" s="116"/>
      <c r="CC66" s="116"/>
      <c r="CD66" s="116"/>
      <c r="CE66" s="6"/>
      <c r="CF66" s="6"/>
      <c r="CG66" s="116"/>
      <c r="CH66" s="116"/>
      <c r="CI66" s="116"/>
      <c r="CJ66" s="116"/>
    </row>
    <row r="67" spans="1:88" s="7" customFormat="1" x14ac:dyDescent="0.2">
      <c r="A67" s="5"/>
      <c r="B67" s="5"/>
      <c r="C67" s="5"/>
      <c r="D67" s="5"/>
      <c r="E67" s="5"/>
      <c r="F67" s="5"/>
      <c r="G67" s="5"/>
      <c r="H67" s="5"/>
      <c r="I67" s="5"/>
      <c r="J67" s="5"/>
      <c r="K67" s="5"/>
      <c r="L67" s="5"/>
      <c r="M67" s="53"/>
      <c r="N67" s="53"/>
      <c r="O67" s="53"/>
      <c r="P67" s="125"/>
      <c r="Q67" s="123"/>
      <c r="R67" s="5"/>
      <c r="S67" s="5"/>
      <c r="T67" s="5"/>
      <c r="U67" s="5"/>
      <c r="V67" s="5"/>
      <c r="W67" s="5"/>
      <c r="X67" s="5"/>
      <c r="Y67" s="5"/>
      <c r="Z67" s="38"/>
      <c r="AA67" s="5"/>
      <c r="AB67" s="5"/>
      <c r="AC67" s="5"/>
      <c r="AD67" s="5"/>
      <c r="AE67" s="5"/>
      <c r="AF67" s="5"/>
      <c r="AG67" s="168"/>
      <c r="AH67" s="116"/>
      <c r="AI67" s="116"/>
      <c r="AJ67" s="116"/>
      <c r="AK67" s="116"/>
      <c r="AL67" s="116"/>
      <c r="AM67" s="116"/>
      <c r="AN67" s="116"/>
      <c r="AO67" s="116"/>
      <c r="AP67" s="116"/>
      <c r="AQ67" s="116"/>
      <c r="AR67" s="116"/>
      <c r="AS67" s="116"/>
      <c r="AT67" s="116"/>
      <c r="AU67" s="116"/>
      <c r="AV67" s="116"/>
      <c r="AW67" s="116"/>
      <c r="AX67" s="116"/>
      <c r="AY67" s="116"/>
      <c r="AZ67" s="116"/>
      <c r="BA67" s="116"/>
      <c r="BB67" s="116"/>
      <c r="BC67" s="116"/>
      <c r="BD67" s="116"/>
      <c r="BE67" s="116"/>
      <c r="BF67" s="116"/>
      <c r="BG67" s="116"/>
      <c r="BH67" s="116"/>
      <c r="BI67" s="116"/>
      <c r="BJ67" s="116"/>
      <c r="BK67" s="116"/>
      <c r="BL67" s="116"/>
      <c r="BM67" s="116"/>
      <c r="BN67" s="116"/>
      <c r="BO67" s="116"/>
      <c r="BP67" s="116"/>
      <c r="BQ67" s="116"/>
      <c r="BR67" s="116"/>
      <c r="BS67" s="116"/>
      <c r="BT67" s="116"/>
      <c r="BU67" s="116"/>
      <c r="BV67" s="116"/>
      <c r="BW67" s="116"/>
      <c r="BX67" s="116"/>
      <c r="BY67" s="116"/>
      <c r="BZ67" s="116"/>
      <c r="CA67" s="116"/>
      <c r="CB67" s="116"/>
      <c r="CC67" s="116"/>
      <c r="CD67" s="116"/>
      <c r="CE67" s="6"/>
      <c r="CF67" s="6"/>
      <c r="CG67" s="116"/>
      <c r="CH67" s="116"/>
      <c r="CI67" s="116"/>
      <c r="CJ67" s="116"/>
    </row>
    <row r="68" spans="1:88" s="7" customFormat="1" x14ac:dyDescent="0.2">
      <c r="A68" s="5"/>
      <c r="B68" s="5"/>
      <c r="C68" s="5"/>
      <c r="D68" s="5"/>
      <c r="E68" s="5"/>
      <c r="F68" s="5"/>
      <c r="G68" s="5"/>
      <c r="H68" s="5"/>
      <c r="I68" s="5"/>
      <c r="J68" s="5"/>
      <c r="K68" s="5"/>
      <c r="L68" s="5"/>
      <c r="M68" s="53"/>
      <c r="N68" s="53"/>
      <c r="O68" s="53"/>
      <c r="P68" s="125"/>
      <c r="Q68" s="123"/>
      <c r="R68" s="5"/>
      <c r="S68" s="5"/>
      <c r="T68" s="5"/>
      <c r="U68" s="5"/>
      <c r="V68" s="5"/>
      <c r="W68" s="5"/>
      <c r="X68" s="5"/>
      <c r="Y68" s="5"/>
      <c r="Z68" s="38"/>
      <c r="AA68" s="5"/>
      <c r="AB68" s="5"/>
      <c r="AC68" s="5"/>
      <c r="AD68" s="5"/>
      <c r="AE68" s="5"/>
      <c r="AF68" s="5"/>
      <c r="AG68" s="168"/>
      <c r="AH68" s="116"/>
      <c r="AI68" s="116"/>
      <c r="AJ68" s="116"/>
      <c r="AK68" s="116"/>
      <c r="AL68" s="116"/>
      <c r="AM68" s="116"/>
      <c r="AN68" s="116"/>
      <c r="AO68" s="116"/>
      <c r="AP68" s="116"/>
      <c r="AQ68" s="116"/>
      <c r="AR68" s="116"/>
      <c r="AS68" s="116"/>
      <c r="AT68" s="116"/>
      <c r="AU68" s="116"/>
      <c r="AV68" s="116"/>
      <c r="AW68" s="116"/>
      <c r="AX68" s="116"/>
      <c r="AY68" s="116"/>
      <c r="AZ68" s="116"/>
      <c r="BA68" s="116"/>
      <c r="BB68" s="116"/>
      <c r="BC68" s="116"/>
      <c r="BD68" s="116"/>
      <c r="BE68" s="116"/>
      <c r="BF68" s="116"/>
      <c r="BG68" s="116"/>
      <c r="BH68" s="116"/>
      <c r="BI68" s="116"/>
      <c r="BJ68" s="116"/>
      <c r="BK68" s="116"/>
      <c r="BL68" s="116"/>
      <c r="BM68" s="116"/>
      <c r="BN68" s="116"/>
      <c r="BO68" s="116"/>
      <c r="BP68" s="116"/>
      <c r="BQ68" s="116"/>
      <c r="BR68" s="116"/>
      <c r="BS68" s="116"/>
      <c r="BT68" s="116"/>
      <c r="BU68" s="116"/>
      <c r="BV68" s="116"/>
      <c r="BW68" s="116"/>
      <c r="BX68" s="116"/>
      <c r="BY68" s="116"/>
      <c r="BZ68" s="116"/>
      <c r="CA68" s="116"/>
      <c r="CB68" s="116"/>
      <c r="CC68" s="116"/>
      <c r="CD68" s="116"/>
      <c r="CE68" s="6"/>
      <c r="CF68" s="6"/>
      <c r="CG68" s="116"/>
      <c r="CH68" s="116"/>
      <c r="CI68" s="116"/>
      <c r="CJ68" s="116"/>
    </row>
    <row r="69" spans="1:88" s="7" customFormat="1" x14ac:dyDescent="0.2">
      <c r="A69" s="5"/>
      <c r="B69" s="5"/>
      <c r="C69" s="5"/>
      <c r="D69" s="5"/>
      <c r="E69" s="5"/>
      <c r="F69" s="5"/>
      <c r="G69" s="5"/>
      <c r="H69" s="5"/>
      <c r="I69" s="5"/>
      <c r="J69" s="5"/>
      <c r="K69" s="5"/>
      <c r="L69" s="5"/>
      <c r="M69" s="53"/>
      <c r="N69" s="53"/>
      <c r="O69" s="53"/>
      <c r="P69" s="125"/>
      <c r="Q69" s="123"/>
      <c r="R69" s="5"/>
      <c r="S69" s="5"/>
      <c r="T69" s="5"/>
      <c r="U69" s="5"/>
      <c r="V69" s="5"/>
      <c r="W69" s="5"/>
      <c r="X69" s="5"/>
      <c r="Y69" s="5"/>
      <c r="Z69" s="38"/>
      <c r="AA69" s="5"/>
      <c r="AB69" s="5"/>
      <c r="AC69" s="5"/>
      <c r="AD69" s="5"/>
      <c r="AE69" s="5"/>
      <c r="AF69" s="5"/>
      <c r="AG69" s="168"/>
      <c r="AH69" s="116"/>
      <c r="AI69" s="116"/>
      <c r="AJ69" s="116"/>
      <c r="AK69" s="116"/>
      <c r="AL69" s="116"/>
      <c r="AM69" s="116"/>
      <c r="AN69" s="116"/>
      <c r="AO69" s="116"/>
      <c r="AP69" s="116"/>
      <c r="AQ69" s="116"/>
      <c r="AR69" s="116"/>
      <c r="AS69" s="116"/>
      <c r="AT69" s="116"/>
      <c r="AU69" s="116"/>
      <c r="AV69" s="116"/>
      <c r="AW69" s="116"/>
      <c r="AX69" s="116"/>
      <c r="AY69" s="116"/>
      <c r="AZ69" s="116"/>
      <c r="BA69" s="116"/>
      <c r="BB69" s="116"/>
      <c r="BC69" s="116"/>
      <c r="BD69" s="116"/>
      <c r="BE69" s="116"/>
      <c r="BF69" s="116"/>
      <c r="BG69" s="116"/>
      <c r="BH69" s="116"/>
      <c r="BI69" s="116"/>
      <c r="BJ69" s="116"/>
      <c r="BK69" s="116"/>
      <c r="BL69" s="116"/>
      <c r="BM69" s="116"/>
      <c r="BN69" s="116"/>
      <c r="BO69" s="116"/>
      <c r="BP69" s="116"/>
      <c r="BQ69" s="116"/>
      <c r="BR69" s="116"/>
      <c r="BS69" s="116"/>
      <c r="BT69" s="116"/>
      <c r="BU69" s="116"/>
      <c r="BV69" s="116"/>
      <c r="BW69" s="116"/>
      <c r="BX69" s="116"/>
      <c r="BY69" s="116"/>
      <c r="BZ69" s="116"/>
      <c r="CA69" s="116"/>
      <c r="CB69" s="116"/>
      <c r="CC69" s="116"/>
      <c r="CD69" s="116"/>
      <c r="CE69" s="6"/>
      <c r="CF69" s="6"/>
      <c r="CG69" s="116"/>
      <c r="CH69" s="116"/>
      <c r="CI69" s="116"/>
      <c r="CJ69" s="116"/>
    </row>
    <row r="70" spans="1:88" s="7" customFormat="1" x14ac:dyDescent="0.2">
      <c r="A70" s="5"/>
      <c r="B70" s="5"/>
      <c r="C70" s="5"/>
      <c r="D70" s="5"/>
      <c r="E70" s="5"/>
      <c r="F70" s="5"/>
      <c r="G70" s="5"/>
      <c r="H70" s="5"/>
      <c r="I70" s="5"/>
      <c r="J70" s="5"/>
      <c r="K70" s="5"/>
      <c r="L70" s="5"/>
      <c r="M70" s="53"/>
      <c r="N70" s="53"/>
      <c r="O70" s="53"/>
      <c r="P70" s="125"/>
      <c r="Q70" s="123"/>
      <c r="R70" s="5"/>
      <c r="S70" s="5"/>
      <c r="T70" s="5"/>
      <c r="U70" s="5"/>
      <c r="V70" s="5"/>
      <c r="W70" s="5"/>
      <c r="X70" s="5"/>
      <c r="Y70" s="5"/>
      <c r="Z70" s="38"/>
      <c r="AA70" s="5"/>
      <c r="AB70" s="5"/>
      <c r="AC70" s="5"/>
      <c r="AD70" s="5"/>
      <c r="AE70" s="5"/>
      <c r="AF70" s="5"/>
      <c r="AG70" s="168"/>
      <c r="AH70" s="116"/>
      <c r="AI70" s="116"/>
      <c r="AJ70" s="116"/>
      <c r="AK70" s="116"/>
      <c r="AL70" s="116"/>
      <c r="AM70" s="116"/>
      <c r="AN70" s="116"/>
      <c r="AO70" s="116"/>
      <c r="AP70" s="116"/>
      <c r="AQ70" s="116"/>
      <c r="AR70" s="116"/>
      <c r="AS70" s="116"/>
      <c r="AT70" s="116"/>
      <c r="AU70" s="116"/>
      <c r="AV70" s="116"/>
      <c r="AW70" s="116"/>
      <c r="AX70" s="116"/>
      <c r="AY70" s="116"/>
      <c r="AZ70" s="116"/>
      <c r="BA70" s="116"/>
      <c r="BB70" s="116"/>
      <c r="BC70" s="116"/>
      <c r="BD70" s="116"/>
      <c r="BE70" s="116"/>
      <c r="BF70" s="116"/>
      <c r="BG70" s="116"/>
      <c r="BH70" s="116"/>
      <c r="BI70" s="116"/>
      <c r="BJ70" s="116"/>
      <c r="BK70" s="116"/>
      <c r="BL70" s="116"/>
      <c r="BM70" s="116"/>
      <c r="BN70" s="116"/>
      <c r="BO70" s="116"/>
      <c r="BP70" s="116"/>
      <c r="BQ70" s="116"/>
      <c r="BR70" s="116"/>
      <c r="BS70" s="116"/>
      <c r="BT70" s="116"/>
      <c r="BU70" s="116"/>
      <c r="BV70" s="116"/>
      <c r="BW70" s="116"/>
      <c r="BX70" s="116"/>
      <c r="BY70" s="116"/>
      <c r="BZ70" s="116"/>
      <c r="CA70" s="116"/>
      <c r="CB70" s="116"/>
      <c r="CC70" s="116"/>
      <c r="CD70" s="116"/>
      <c r="CE70" s="6"/>
      <c r="CF70" s="6"/>
      <c r="CG70" s="116"/>
      <c r="CH70" s="116"/>
      <c r="CI70" s="116"/>
      <c r="CJ70" s="116"/>
    </row>
    <row r="71" spans="1:88" s="7" customFormat="1" x14ac:dyDescent="0.2">
      <c r="A71" s="5"/>
      <c r="B71" s="5"/>
      <c r="C71" s="5"/>
      <c r="D71" s="5"/>
      <c r="E71" s="5"/>
      <c r="F71" s="5"/>
      <c r="G71" s="5"/>
      <c r="H71" s="5"/>
      <c r="I71" s="5"/>
      <c r="J71" s="5"/>
      <c r="K71" s="5"/>
      <c r="L71" s="5"/>
      <c r="M71" s="53"/>
      <c r="N71" s="53"/>
      <c r="O71" s="53"/>
      <c r="P71" s="125"/>
      <c r="Q71" s="123"/>
      <c r="R71" s="5"/>
      <c r="S71" s="5"/>
      <c r="T71" s="5"/>
      <c r="U71" s="5"/>
      <c r="V71" s="5"/>
      <c r="W71" s="5"/>
      <c r="X71" s="5"/>
      <c r="Y71" s="5"/>
      <c r="Z71" s="38"/>
      <c r="AA71" s="5"/>
      <c r="AB71" s="5"/>
      <c r="AC71" s="5"/>
      <c r="AD71" s="5"/>
      <c r="AE71" s="5"/>
      <c r="AF71" s="5"/>
      <c r="AG71" s="168"/>
      <c r="AH71" s="116"/>
      <c r="AI71" s="116"/>
      <c r="AJ71" s="116"/>
      <c r="AK71" s="116"/>
      <c r="AL71" s="116"/>
      <c r="AM71" s="116"/>
      <c r="AN71" s="116"/>
      <c r="AO71" s="116"/>
      <c r="AP71" s="116"/>
      <c r="AQ71" s="116"/>
      <c r="AR71" s="116"/>
      <c r="AS71" s="116"/>
      <c r="AT71" s="116"/>
      <c r="AU71" s="116"/>
      <c r="AV71" s="116"/>
      <c r="AW71" s="116"/>
      <c r="AX71" s="116"/>
      <c r="AY71" s="116"/>
      <c r="AZ71" s="116"/>
      <c r="BA71" s="116"/>
      <c r="BB71" s="116"/>
      <c r="BC71" s="116"/>
      <c r="BD71" s="116"/>
      <c r="BE71" s="116"/>
      <c r="BF71" s="116"/>
      <c r="BG71" s="116"/>
      <c r="BH71" s="116"/>
      <c r="BI71" s="116"/>
      <c r="BJ71" s="116"/>
      <c r="BK71" s="116"/>
      <c r="BL71" s="116"/>
      <c r="BM71" s="116"/>
      <c r="BN71" s="116"/>
      <c r="BO71" s="116"/>
      <c r="BP71" s="116"/>
      <c r="BQ71" s="116"/>
      <c r="BR71" s="116"/>
      <c r="BS71" s="116"/>
      <c r="BT71" s="116"/>
      <c r="BU71" s="116"/>
      <c r="BV71" s="116"/>
      <c r="BW71" s="116"/>
      <c r="BX71" s="116"/>
      <c r="BY71" s="116"/>
      <c r="BZ71" s="116"/>
      <c r="CA71" s="116"/>
      <c r="CB71" s="116"/>
      <c r="CC71" s="116"/>
      <c r="CD71" s="116"/>
      <c r="CE71" s="6"/>
      <c r="CF71" s="6"/>
      <c r="CG71" s="116"/>
      <c r="CH71" s="116"/>
      <c r="CI71" s="116"/>
      <c r="CJ71" s="116"/>
    </row>
    <row r="72" spans="1:88" s="7" customFormat="1" x14ac:dyDescent="0.2">
      <c r="A72" s="5"/>
      <c r="B72" s="5"/>
      <c r="C72" s="5"/>
      <c r="D72" s="5"/>
      <c r="E72" s="5"/>
      <c r="F72" s="5"/>
      <c r="G72" s="5"/>
      <c r="H72" s="5"/>
      <c r="I72" s="5"/>
      <c r="J72" s="5"/>
      <c r="K72" s="5"/>
      <c r="L72" s="5"/>
      <c r="M72" s="53"/>
      <c r="N72" s="53"/>
      <c r="O72" s="53"/>
      <c r="P72" s="125"/>
      <c r="Q72" s="123"/>
      <c r="R72" s="5"/>
      <c r="S72" s="5"/>
      <c r="T72" s="5"/>
      <c r="U72" s="5"/>
      <c r="V72" s="5"/>
      <c r="W72" s="5"/>
      <c r="X72" s="5"/>
      <c r="Y72" s="5"/>
      <c r="Z72" s="38"/>
      <c r="AA72" s="5"/>
      <c r="AB72" s="5"/>
      <c r="AC72" s="5"/>
      <c r="AD72" s="5"/>
      <c r="AE72" s="5"/>
      <c r="AF72" s="5"/>
      <c r="AG72" s="168"/>
      <c r="AH72" s="116"/>
      <c r="AI72" s="116"/>
      <c r="AJ72" s="116"/>
      <c r="AK72" s="116"/>
      <c r="AL72" s="116"/>
      <c r="AM72" s="116"/>
      <c r="AN72" s="116"/>
      <c r="AO72" s="116"/>
      <c r="AP72" s="116"/>
      <c r="AQ72" s="116"/>
      <c r="AR72" s="116"/>
      <c r="AS72" s="116"/>
      <c r="AT72" s="116"/>
      <c r="AU72" s="116"/>
      <c r="AV72" s="116"/>
      <c r="AW72" s="116"/>
      <c r="AX72" s="116"/>
      <c r="AY72" s="116"/>
      <c r="AZ72" s="116"/>
      <c r="BA72" s="116"/>
      <c r="BB72" s="116"/>
      <c r="BC72" s="116"/>
      <c r="BD72" s="116"/>
      <c r="BE72" s="116"/>
      <c r="BF72" s="116"/>
      <c r="BG72" s="116"/>
      <c r="BH72" s="116"/>
      <c r="BI72" s="116"/>
      <c r="BJ72" s="116"/>
      <c r="BK72" s="116"/>
      <c r="BL72" s="116"/>
      <c r="BM72" s="116"/>
      <c r="BN72" s="116"/>
      <c r="BO72" s="116"/>
      <c r="BP72" s="116"/>
      <c r="BQ72" s="116"/>
      <c r="BR72" s="116"/>
      <c r="BS72" s="116"/>
      <c r="BT72" s="116"/>
      <c r="BU72" s="116"/>
      <c r="BV72" s="116"/>
      <c r="BW72" s="116"/>
      <c r="BX72" s="116"/>
      <c r="BY72" s="116"/>
      <c r="BZ72" s="116"/>
      <c r="CA72" s="116"/>
      <c r="CB72" s="116"/>
      <c r="CC72" s="116"/>
      <c r="CD72" s="116"/>
      <c r="CE72" s="6"/>
      <c r="CF72" s="6"/>
      <c r="CG72" s="116"/>
      <c r="CH72" s="116"/>
      <c r="CI72" s="116"/>
      <c r="CJ72" s="116"/>
    </row>
    <row r="73" spans="1:88" s="7" customFormat="1" x14ac:dyDescent="0.2">
      <c r="A73" s="5"/>
      <c r="B73" s="5"/>
      <c r="C73" s="5"/>
      <c r="D73" s="5"/>
      <c r="E73" s="5"/>
      <c r="F73" s="5"/>
      <c r="G73" s="5"/>
      <c r="H73" s="5"/>
      <c r="I73" s="5"/>
      <c r="J73" s="5"/>
      <c r="K73" s="5"/>
      <c r="L73" s="5"/>
      <c r="M73" s="53"/>
      <c r="N73" s="53"/>
      <c r="O73" s="53"/>
      <c r="P73" s="125"/>
      <c r="Q73" s="123"/>
      <c r="R73" s="5"/>
      <c r="S73" s="5"/>
      <c r="T73" s="5"/>
      <c r="U73" s="5"/>
      <c r="V73" s="5"/>
      <c r="W73" s="5"/>
      <c r="X73" s="5"/>
      <c r="Y73" s="5"/>
      <c r="Z73" s="38"/>
      <c r="AA73" s="5"/>
      <c r="AB73" s="5"/>
      <c r="AC73" s="5"/>
      <c r="AD73" s="5"/>
      <c r="AE73" s="5"/>
      <c r="AF73" s="5"/>
      <c r="AG73" s="168"/>
      <c r="AH73" s="116"/>
      <c r="AI73" s="116"/>
      <c r="AJ73" s="116"/>
      <c r="AK73" s="116"/>
      <c r="AL73" s="116"/>
      <c r="AM73" s="116"/>
      <c r="AN73" s="116"/>
      <c r="AO73" s="116"/>
      <c r="AP73" s="116"/>
      <c r="AQ73" s="116"/>
      <c r="AR73" s="116"/>
      <c r="AS73" s="116"/>
      <c r="AT73" s="116"/>
      <c r="AU73" s="116"/>
      <c r="AV73" s="116"/>
      <c r="AW73" s="116"/>
      <c r="AX73" s="116"/>
      <c r="AY73" s="116"/>
      <c r="AZ73" s="116"/>
      <c r="BA73" s="116"/>
      <c r="BB73" s="116"/>
      <c r="BC73" s="116"/>
      <c r="BD73" s="116"/>
      <c r="BE73" s="116"/>
      <c r="BF73" s="116"/>
      <c r="BG73" s="116"/>
      <c r="BH73" s="116"/>
      <c r="BI73" s="116"/>
      <c r="BJ73" s="116"/>
      <c r="BK73" s="116"/>
      <c r="BL73" s="116"/>
      <c r="BM73" s="116"/>
      <c r="BN73" s="116"/>
      <c r="BO73" s="116"/>
      <c r="BP73" s="116"/>
      <c r="BQ73" s="116"/>
      <c r="BR73" s="116"/>
      <c r="BS73" s="116"/>
      <c r="BT73" s="116"/>
      <c r="BU73" s="116"/>
      <c r="BV73" s="116"/>
      <c r="BW73" s="116"/>
      <c r="BX73" s="116"/>
      <c r="BY73" s="116"/>
      <c r="BZ73" s="116"/>
      <c r="CA73" s="116"/>
      <c r="CB73" s="116"/>
      <c r="CC73" s="116"/>
      <c r="CD73" s="116"/>
      <c r="CE73" s="6"/>
      <c r="CF73" s="6"/>
      <c r="CG73" s="116"/>
      <c r="CH73" s="116"/>
      <c r="CI73" s="116"/>
      <c r="CJ73" s="116"/>
    </row>
    <row r="74" spans="1:88" s="7" customFormat="1" x14ac:dyDescent="0.2">
      <c r="A74" s="5"/>
      <c r="B74" s="5"/>
      <c r="C74" s="5"/>
      <c r="D74" s="5"/>
      <c r="E74" s="5"/>
      <c r="F74" s="5"/>
      <c r="G74" s="5"/>
      <c r="H74" s="5"/>
      <c r="I74" s="5"/>
      <c r="J74" s="5"/>
      <c r="K74" s="5"/>
      <c r="L74" s="5"/>
      <c r="M74" s="53"/>
      <c r="N74" s="53"/>
      <c r="O74" s="53"/>
      <c r="P74" s="125"/>
      <c r="Q74" s="123"/>
      <c r="R74" s="5"/>
      <c r="S74" s="5"/>
      <c r="T74" s="5"/>
      <c r="U74" s="5"/>
      <c r="V74" s="5"/>
      <c r="W74" s="5"/>
      <c r="X74" s="5"/>
      <c r="Y74" s="5"/>
      <c r="Z74" s="38"/>
      <c r="AA74" s="5"/>
      <c r="AB74" s="5"/>
      <c r="AC74" s="5"/>
      <c r="AD74" s="5"/>
      <c r="AE74" s="5"/>
      <c r="AF74" s="5"/>
      <c r="AG74" s="168"/>
      <c r="AH74" s="116"/>
      <c r="AI74" s="116"/>
      <c r="AJ74" s="116"/>
      <c r="AK74" s="116"/>
      <c r="AL74" s="116"/>
      <c r="AM74" s="116"/>
      <c r="AN74" s="116"/>
      <c r="AO74" s="116"/>
      <c r="AP74" s="116"/>
      <c r="AQ74" s="116"/>
      <c r="AR74" s="116"/>
      <c r="AS74" s="116"/>
      <c r="AT74" s="116"/>
      <c r="AU74" s="116"/>
      <c r="AV74" s="116"/>
      <c r="AW74" s="116"/>
      <c r="AX74" s="116"/>
      <c r="AY74" s="116"/>
      <c r="AZ74" s="116"/>
      <c r="BA74" s="116"/>
      <c r="BB74" s="116"/>
      <c r="BC74" s="116"/>
      <c r="BD74" s="116"/>
      <c r="BE74" s="116"/>
      <c r="BF74" s="116"/>
      <c r="BG74" s="116"/>
      <c r="BH74" s="116"/>
      <c r="BI74" s="116"/>
      <c r="BJ74" s="116"/>
      <c r="BK74" s="116"/>
      <c r="BL74" s="116"/>
      <c r="BM74" s="116"/>
      <c r="BN74" s="116"/>
      <c r="BO74" s="116"/>
      <c r="BP74" s="116"/>
      <c r="BQ74" s="116"/>
      <c r="BR74" s="116"/>
      <c r="BS74" s="116"/>
      <c r="BT74" s="116"/>
      <c r="BU74" s="116"/>
      <c r="BV74" s="116"/>
      <c r="BW74" s="116"/>
      <c r="BX74" s="116"/>
      <c r="BY74" s="116"/>
      <c r="BZ74" s="116"/>
      <c r="CA74" s="116"/>
      <c r="CB74" s="116"/>
      <c r="CC74" s="116"/>
      <c r="CD74" s="116"/>
      <c r="CE74" s="6"/>
      <c r="CF74" s="6"/>
      <c r="CG74" s="116"/>
      <c r="CH74" s="116"/>
      <c r="CI74" s="116"/>
      <c r="CJ74" s="116"/>
    </row>
    <row r="75" spans="1:88" s="7" customFormat="1" x14ac:dyDescent="0.2">
      <c r="A75" s="5"/>
      <c r="B75" s="5"/>
      <c r="C75" s="5"/>
      <c r="D75" s="5"/>
      <c r="E75" s="5"/>
      <c r="F75" s="5"/>
      <c r="G75" s="5"/>
      <c r="H75" s="5"/>
      <c r="I75" s="5"/>
      <c r="J75" s="5"/>
      <c r="K75" s="5"/>
      <c r="L75" s="5"/>
      <c r="M75" s="53"/>
      <c r="N75" s="53"/>
      <c r="O75" s="53"/>
      <c r="P75" s="125"/>
      <c r="Q75" s="123"/>
      <c r="R75" s="5"/>
      <c r="S75" s="5"/>
      <c r="T75" s="5"/>
      <c r="U75" s="5"/>
      <c r="V75" s="5"/>
      <c r="W75" s="5"/>
      <c r="X75" s="5"/>
      <c r="Y75" s="5"/>
      <c r="Z75" s="38"/>
      <c r="AA75" s="5"/>
      <c r="AB75" s="5"/>
      <c r="AC75" s="5"/>
      <c r="AD75" s="5"/>
      <c r="AE75" s="5"/>
      <c r="AF75" s="5"/>
      <c r="AG75" s="168"/>
      <c r="AH75" s="116"/>
      <c r="AI75" s="116"/>
      <c r="AJ75" s="116"/>
      <c r="AK75" s="116"/>
      <c r="AL75" s="116"/>
      <c r="AM75" s="116"/>
      <c r="AN75" s="116"/>
      <c r="AO75" s="116"/>
      <c r="AP75" s="116"/>
      <c r="AQ75" s="116"/>
      <c r="AR75" s="116"/>
      <c r="AS75" s="116"/>
      <c r="AT75" s="116"/>
      <c r="AU75" s="116"/>
      <c r="AV75" s="116"/>
      <c r="AW75" s="116"/>
      <c r="AX75" s="116"/>
      <c r="AY75" s="116"/>
      <c r="AZ75" s="116"/>
      <c r="BA75" s="116"/>
      <c r="BB75" s="116"/>
      <c r="BC75" s="116"/>
      <c r="BD75" s="116"/>
      <c r="BE75" s="116"/>
      <c r="BF75" s="116"/>
      <c r="BG75" s="116"/>
      <c r="BH75" s="116"/>
      <c r="BI75" s="116"/>
      <c r="BJ75" s="116"/>
      <c r="BK75" s="116"/>
      <c r="BL75" s="116"/>
      <c r="BM75" s="116"/>
      <c r="BN75" s="116"/>
      <c r="BO75" s="116"/>
      <c r="BP75" s="116"/>
      <c r="BQ75" s="116"/>
      <c r="BR75" s="116"/>
      <c r="BS75" s="116"/>
      <c r="BT75" s="116"/>
      <c r="BU75" s="116"/>
      <c r="BV75" s="116"/>
      <c r="BW75" s="116"/>
      <c r="BX75" s="116"/>
      <c r="BY75" s="116"/>
      <c r="BZ75" s="116"/>
      <c r="CA75" s="116"/>
      <c r="CB75" s="116"/>
      <c r="CC75" s="116"/>
      <c r="CD75" s="116"/>
      <c r="CE75" s="6"/>
      <c r="CF75" s="6"/>
      <c r="CG75" s="116"/>
      <c r="CH75" s="116"/>
      <c r="CI75" s="116"/>
      <c r="CJ75" s="116"/>
    </row>
    <row r="76" spans="1:88" s="7" customFormat="1" x14ac:dyDescent="0.2">
      <c r="A76" s="5"/>
      <c r="B76" s="5"/>
      <c r="C76" s="5"/>
      <c r="D76" s="5"/>
      <c r="E76" s="5"/>
      <c r="F76" s="5"/>
      <c r="G76" s="5"/>
      <c r="H76" s="5"/>
      <c r="I76" s="5"/>
      <c r="J76" s="5"/>
      <c r="K76" s="5"/>
      <c r="L76" s="5"/>
      <c r="M76" s="53"/>
      <c r="N76" s="53"/>
      <c r="O76" s="53"/>
      <c r="P76" s="125"/>
      <c r="Q76" s="123"/>
      <c r="R76" s="5"/>
      <c r="S76" s="5"/>
      <c r="T76" s="5"/>
      <c r="U76" s="5"/>
      <c r="V76" s="5"/>
      <c r="W76" s="5"/>
      <c r="X76" s="5"/>
      <c r="Y76" s="5"/>
      <c r="Z76" s="38"/>
      <c r="AA76" s="5"/>
      <c r="AB76" s="5"/>
      <c r="AC76" s="5"/>
      <c r="AD76" s="5"/>
      <c r="AE76" s="5"/>
      <c r="AF76" s="5"/>
      <c r="AG76" s="168"/>
      <c r="AH76" s="116"/>
      <c r="AI76" s="116"/>
      <c r="AJ76" s="116"/>
      <c r="AK76" s="116"/>
      <c r="AL76" s="116"/>
      <c r="AM76" s="116"/>
      <c r="AN76" s="116"/>
      <c r="AO76" s="116"/>
      <c r="AP76" s="116"/>
      <c r="AQ76" s="116"/>
      <c r="AR76" s="116"/>
      <c r="AS76" s="116"/>
      <c r="AT76" s="116"/>
      <c r="AU76" s="116"/>
      <c r="AV76" s="116"/>
      <c r="AW76" s="116"/>
      <c r="AX76" s="116"/>
      <c r="AY76" s="116"/>
      <c r="AZ76" s="116"/>
      <c r="BA76" s="116"/>
      <c r="BB76" s="116"/>
      <c r="BC76" s="116"/>
      <c r="BD76" s="116"/>
      <c r="BE76" s="116"/>
      <c r="BF76" s="116"/>
      <c r="BG76" s="116"/>
      <c r="BH76" s="116"/>
      <c r="BI76" s="116"/>
      <c r="BJ76" s="116"/>
      <c r="BK76" s="116"/>
      <c r="BL76" s="116"/>
      <c r="BM76" s="116"/>
      <c r="BN76" s="116"/>
      <c r="BO76" s="116"/>
      <c r="BP76" s="116"/>
      <c r="BQ76" s="116"/>
      <c r="BR76" s="116"/>
      <c r="BS76" s="116"/>
      <c r="BT76" s="116"/>
      <c r="BU76" s="116"/>
      <c r="BV76" s="116"/>
      <c r="BW76" s="116"/>
      <c r="BX76" s="116"/>
      <c r="BY76" s="116"/>
      <c r="BZ76" s="116"/>
      <c r="CA76" s="116"/>
      <c r="CB76" s="116"/>
      <c r="CC76" s="116"/>
      <c r="CD76" s="116"/>
      <c r="CE76" s="6"/>
      <c r="CF76" s="6"/>
      <c r="CG76" s="116"/>
      <c r="CH76" s="116"/>
      <c r="CI76" s="116"/>
      <c r="CJ76" s="116"/>
    </row>
    <row r="77" spans="1:88" s="7" customFormat="1" x14ac:dyDescent="0.2">
      <c r="A77" s="5"/>
      <c r="B77" s="5"/>
      <c r="C77" s="5"/>
      <c r="D77" s="5"/>
      <c r="E77" s="5"/>
      <c r="F77" s="5"/>
      <c r="G77" s="5"/>
      <c r="H77" s="5"/>
      <c r="I77" s="5"/>
      <c r="J77" s="5"/>
      <c r="K77" s="5"/>
      <c r="L77" s="5"/>
      <c r="M77" s="53"/>
      <c r="N77" s="53"/>
      <c r="O77" s="53"/>
      <c r="P77" s="125"/>
      <c r="Q77" s="123"/>
      <c r="R77" s="5"/>
      <c r="S77" s="5"/>
      <c r="T77" s="5"/>
      <c r="U77" s="5"/>
      <c r="V77" s="5"/>
      <c r="W77" s="5"/>
      <c r="X77" s="5"/>
      <c r="Y77" s="5"/>
      <c r="Z77" s="38"/>
      <c r="AA77" s="5"/>
      <c r="AB77" s="5"/>
      <c r="AC77" s="5"/>
      <c r="AD77" s="5"/>
      <c r="AE77" s="5"/>
      <c r="AF77" s="5"/>
      <c r="AG77" s="168"/>
      <c r="AH77" s="116"/>
      <c r="AI77" s="116"/>
      <c r="AJ77" s="116"/>
      <c r="AK77" s="116"/>
      <c r="AL77" s="116"/>
      <c r="AM77" s="116"/>
      <c r="AN77" s="116"/>
      <c r="AO77" s="116"/>
      <c r="AP77" s="116"/>
      <c r="AQ77" s="116"/>
      <c r="AR77" s="116"/>
      <c r="AS77" s="116"/>
      <c r="AT77" s="116"/>
      <c r="AU77" s="116"/>
      <c r="AV77" s="116"/>
      <c r="AW77" s="116"/>
      <c r="AX77" s="116"/>
      <c r="AY77" s="116"/>
      <c r="AZ77" s="116"/>
      <c r="BA77" s="116"/>
      <c r="BB77" s="116"/>
      <c r="BC77" s="116"/>
      <c r="BD77" s="116"/>
      <c r="BE77" s="116"/>
      <c r="BF77" s="116"/>
      <c r="BG77" s="116"/>
      <c r="BH77" s="116"/>
      <c r="BI77" s="116"/>
      <c r="BJ77" s="116"/>
      <c r="BK77" s="116"/>
      <c r="BL77" s="116"/>
      <c r="BM77" s="116"/>
      <c r="BN77" s="116"/>
      <c r="BO77" s="116"/>
      <c r="BP77" s="116"/>
      <c r="BQ77" s="116"/>
      <c r="BR77" s="116"/>
      <c r="BS77" s="116"/>
      <c r="BT77" s="116"/>
      <c r="BU77" s="116"/>
      <c r="BV77" s="116"/>
      <c r="BW77" s="116"/>
      <c r="BX77" s="116"/>
      <c r="BY77" s="116"/>
      <c r="BZ77" s="116"/>
      <c r="CA77" s="116"/>
      <c r="CB77" s="116"/>
      <c r="CC77" s="116"/>
      <c r="CD77" s="116"/>
      <c r="CE77" s="6"/>
      <c r="CF77" s="6"/>
      <c r="CG77" s="116"/>
      <c r="CH77" s="116"/>
      <c r="CI77" s="116"/>
      <c r="CJ77" s="116"/>
    </row>
    <row r="78" spans="1:88" s="7" customFormat="1" x14ac:dyDescent="0.2">
      <c r="A78" s="5"/>
      <c r="B78" s="5"/>
      <c r="C78" s="5"/>
      <c r="D78" s="5"/>
      <c r="E78" s="5"/>
      <c r="F78" s="5"/>
      <c r="G78" s="5"/>
      <c r="H78" s="5"/>
      <c r="I78" s="5"/>
      <c r="J78" s="5"/>
      <c r="K78" s="5"/>
      <c r="L78" s="5"/>
      <c r="M78" s="53"/>
      <c r="N78" s="53"/>
      <c r="O78" s="53"/>
      <c r="P78" s="125"/>
      <c r="Q78" s="123"/>
      <c r="R78" s="5"/>
      <c r="S78" s="5"/>
      <c r="T78" s="5"/>
      <c r="U78" s="5"/>
      <c r="V78" s="5"/>
      <c r="W78" s="5"/>
      <c r="X78" s="5"/>
      <c r="Y78" s="5"/>
      <c r="Z78" s="38"/>
      <c r="AA78" s="5"/>
      <c r="AB78" s="5"/>
      <c r="AC78" s="5"/>
      <c r="AD78" s="5"/>
      <c r="AE78" s="5"/>
      <c r="AF78" s="5"/>
      <c r="AG78" s="168"/>
      <c r="AH78" s="116"/>
      <c r="AI78" s="116"/>
      <c r="AJ78" s="116"/>
      <c r="AK78" s="116"/>
      <c r="AL78" s="116"/>
      <c r="AM78" s="116"/>
      <c r="AN78" s="116"/>
      <c r="AO78" s="116"/>
      <c r="AP78" s="116"/>
      <c r="AQ78" s="116"/>
      <c r="AR78" s="116"/>
      <c r="AS78" s="116"/>
      <c r="AT78" s="116"/>
      <c r="AU78" s="116"/>
      <c r="AV78" s="116"/>
      <c r="AW78" s="116"/>
      <c r="AX78" s="116"/>
      <c r="AY78" s="116"/>
      <c r="AZ78" s="116"/>
      <c r="BA78" s="116"/>
      <c r="BB78" s="116"/>
      <c r="BC78" s="116"/>
      <c r="BD78" s="116"/>
      <c r="BE78" s="116"/>
      <c r="BF78" s="116"/>
      <c r="BG78" s="116"/>
      <c r="BH78" s="116"/>
      <c r="BI78" s="116"/>
      <c r="BJ78" s="116"/>
      <c r="BK78" s="116"/>
      <c r="BL78" s="116"/>
      <c r="BM78" s="116"/>
      <c r="BN78" s="116"/>
      <c r="BO78" s="116"/>
      <c r="BP78" s="116"/>
      <c r="BQ78" s="116"/>
      <c r="BR78" s="116"/>
      <c r="BS78" s="116"/>
      <c r="BT78" s="116"/>
      <c r="BU78" s="116"/>
      <c r="BV78" s="116"/>
      <c r="BW78" s="116"/>
      <c r="BX78" s="116"/>
      <c r="BY78" s="116"/>
      <c r="BZ78" s="116"/>
      <c r="CA78" s="116"/>
      <c r="CB78" s="116"/>
      <c r="CC78" s="116"/>
      <c r="CD78" s="116"/>
      <c r="CE78" s="6"/>
      <c r="CF78" s="6"/>
      <c r="CG78" s="116"/>
      <c r="CH78" s="116"/>
      <c r="CI78" s="116"/>
      <c r="CJ78" s="116"/>
    </row>
    <row r="79" spans="1:88" s="7" customFormat="1" x14ac:dyDescent="0.2">
      <c r="A79" s="5"/>
      <c r="B79" s="5"/>
      <c r="C79" s="5"/>
      <c r="D79" s="5"/>
      <c r="E79" s="5"/>
      <c r="F79" s="5"/>
      <c r="G79" s="5"/>
      <c r="H79" s="5"/>
      <c r="I79" s="5"/>
      <c r="J79" s="5"/>
      <c r="K79" s="5"/>
      <c r="L79" s="5"/>
      <c r="M79" s="53"/>
      <c r="N79" s="53"/>
      <c r="O79" s="53"/>
      <c r="P79" s="125"/>
      <c r="Q79" s="123"/>
      <c r="R79" s="5"/>
      <c r="S79" s="5"/>
      <c r="T79" s="5"/>
      <c r="U79" s="5"/>
      <c r="V79" s="5"/>
      <c r="W79" s="5"/>
      <c r="X79" s="5"/>
      <c r="Y79" s="5"/>
      <c r="Z79" s="38"/>
      <c r="AA79" s="5"/>
      <c r="AB79" s="5"/>
      <c r="AC79" s="5"/>
      <c r="AD79" s="5"/>
      <c r="AE79" s="5"/>
      <c r="AF79" s="5"/>
      <c r="AG79" s="168"/>
      <c r="AH79" s="116"/>
      <c r="AI79" s="116"/>
      <c r="AJ79" s="116"/>
      <c r="AK79" s="116"/>
      <c r="AL79" s="116"/>
      <c r="AM79" s="116"/>
      <c r="AN79" s="116"/>
      <c r="AO79" s="116"/>
      <c r="AP79" s="116"/>
      <c r="AQ79" s="116"/>
      <c r="AR79" s="116"/>
      <c r="AS79" s="116"/>
      <c r="AT79" s="116"/>
      <c r="AU79" s="116"/>
      <c r="AV79" s="116"/>
      <c r="AW79" s="116"/>
      <c r="AX79" s="116"/>
      <c r="AY79" s="116"/>
      <c r="AZ79" s="116"/>
      <c r="BA79" s="116"/>
      <c r="BB79" s="116"/>
      <c r="BC79" s="116"/>
      <c r="BD79" s="116"/>
      <c r="BE79" s="116"/>
      <c r="BF79" s="116"/>
      <c r="BG79" s="116"/>
      <c r="BH79" s="116"/>
      <c r="BI79" s="116"/>
      <c r="BJ79" s="116"/>
      <c r="BK79" s="116"/>
      <c r="BL79" s="116"/>
      <c r="BM79" s="116"/>
      <c r="BN79" s="116"/>
      <c r="BO79" s="116"/>
      <c r="BP79" s="116"/>
      <c r="BQ79" s="116"/>
      <c r="BR79" s="116"/>
      <c r="BS79" s="116"/>
      <c r="BT79" s="116"/>
      <c r="BU79" s="116"/>
      <c r="BV79" s="116"/>
      <c r="BW79" s="116"/>
      <c r="BX79" s="116"/>
      <c r="BY79" s="116"/>
      <c r="BZ79" s="116"/>
      <c r="CA79" s="116"/>
      <c r="CB79" s="116"/>
      <c r="CC79" s="116"/>
      <c r="CD79" s="116"/>
      <c r="CE79" s="6"/>
      <c r="CF79" s="6"/>
      <c r="CG79" s="116"/>
      <c r="CH79" s="116"/>
      <c r="CI79" s="116"/>
      <c r="CJ79" s="116"/>
    </row>
    <row r="80" spans="1:88" s="7" customFormat="1" x14ac:dyDescent="0.2">
      <c r="A80" s="5"/>
      <c r="B80" s="5"/>
      <c r="C80" s="5"/>
      <c r="D80" s="5"/>
      <c r="E80" s="5"/>
      <c r="F80" s="5"/>
      <c r="G80" s="5"/>
      <c r="H80" s="5"/>
      <c r="I80" s="5"/>
      <c r="J80" s="5"/>
      <c r="K80" s="5"/>
      <c r="L80" s="5"/>
      <c r="M80" s="53"/>
      <c r="N80" s="53"/>
      <c r="O80" s="53"/>
      <c r="P80" s="125"/>
      <c r="Q80" s="123"/>
      <c r="R80" s="5"/>
      <c r="S80" s="5"/>
      <c r="T80" s="5"/>
      <c r="U80" s="5"/>
      <c r="V80" s="5"/>
      <c r="W80" s="5"/>
      <c r="X80" s="5"/>
      <c r="Y80" s="5"/>
      <c r="Z80" s="38"/>
      <c r="AA80" s="5"/>
      <c r="AB80" s="5"/>
      <c r="AC80" s="5"/>
      <c r="AD80" s="5"/>
      <c r="AE80" s="5"/>
      <c r="AF80" s="5"/>
      <c r="AG80" s="168"/>
      <c r="AH80" s="116"/>
      <c r="AI80" s="116"/>
      <c r="AJ80" s="116"/>
      <c r="AK80" s="116"/>
      <c r="AL80" s="116"/>
      <c r="AM80" s="116"/>
      <c r="AN80" s="116"/>
      <c r="AO80" s="116"/>
      <c r="AP80" s="116"/>
      <c r="AQ80" s="116"/>
      <c r="AR80" s="116"/>
      <c r="AS80" s="116"/>
      <c r="AT80" s="116"/>
      <c r="AU80" s="116"/>
      <c r="AV80" s="116"/>
      <c r="AW80" s="116"/>
      <c r="AX80" s="116"/>
      <c r="AY80" s="116"/>
      <c r="AZ80" s="116"/>
      <c r="BA80" s="116"/>
      <c r="BB80" s="116"/>
      <c r="BC80" s="116"/>
      <c r="BD80" s="116"/>
      <c r="BE80" s="116"/>
      <c r="BF80" s="116"/>
      <c r="BG80" s="116"/>
      <c r="BH80" s="116"/>
      <c r="BI80" s="116"/>
      <c r="BJ80" s="116"/>
      <c r="BK80" s="116"/>
      <c r="BL80" s="116"/>
      <c r="BM80" s="116"/>
      <c r="BN80" s="116"/>
      <c r="BO80" s="116"/>
      <c r="BP80" s="116"/>
      <c r="BQ80" s="116"/>
      <c r="BR80" s="116"/>
      <c r="BS80" s="116"/>
      <c r="BT80" s="116"/>
      <c r="BU80" s="116"/>
      <c r="BV80" s="116"/>
      <c r="BW80" s="116"/>
      <c r="BX80" s="116"/>
      <c r="BY80" s="116"/>
      <c r="BZ80" s="116"/>
      <c r="CA80" s="116"/>
      <c r="CB80" s="116"/>
      <c r="CC80" s="116"/>
      <c r="CD80" s="116"/>
      <c r="CE80" s="6"/>
      <c r="CF80" s="6"/>
      <c r="CG80" s="116"/>
      <c r="CH80" s="116"/>
      <c r="CI80" s="116"/>
      <c r="CJ80" s="116"/>
    </row>
    <row r="81" spans="1:88" s="7" customFormat="1" x14ac:dyDescent="0.2">
      <c r="A81" s="5"/>
      <c r="B81" s="5"/>
      <c r="C81" s="5"/>
      <c r="D81" s="5"/>
      <c r="E81" s="5"/>
      <c r="F81" s="5"/>
      <c r="G81" s="5"/>
      <c r="H81" s="5"/>
      <c r="I81" s="5"/>
      <c r="J81" s="5"/>
      <c r="K81" s="5"/>
      <c r="L81" s="5"/>
      <c r="M81" s="53"/>
      <c r="N81" s="53"/>
      <c r="O81" s="53"/>
      <c r="P81" s="125"/>
      <c r="Q81" s="123"/>
      <c r="R81" s="5"/>
      <c r="S81" s="5"/>
      <c r="T81" s="5"/>
      <c r="U81" s="5"/>
      <c r="V81" s="5"/>
      <c r="W81" s="5"/>
      <c r="X81" s="5"/>
      <c r="Y81" s="5"/>
      <c r="Z81" s="38"/>
      <c r="AA81" s="5"/>
      <c r="AB81" s="5"/>
      <c r="AC81" s="5"/>
      <c r="AD81" s="5"/>
      <c r="AE81" s="5"/>
      <c r="AF81" s="5"/>
      <c r="AG81" s="168"/>
      <c r="AH81" s="116"/>
      <c r="AI81" s="116"/>
      <c r="AJ81" s="116"/>
      <c r="AK81" s="116"/>
      <c r="AL81" s="116"/>
      <c r="AM81" s="116"/>
      <c r="AN81" s="116"/>
      <c r="AO81" s="116"/>
      <c r="AP81" s="116"/>
      <c r="AQ81" s="116"/>
      <c r="AR81" s="116"/>
      <c r="AS81" s="116"/>
      <c r="AT81" s="116"/>
      <c r="AU81" s="116"/>
      <c r="AV81" s="116"/>
      <c r="AW81" s="116"/>
      <c r="AX81" s="116"/>
      <c r="AY81" s="116"/>
      <c r="AZ81" s="116"/>
      <c r="BA81" s="116"/>
      <c r="BB81" s="116"/>
      <c r="BC81" s="116"/>
      <c r="BD81" s="116"/>
      <c r="BE81" s="116"/>
      <c r="BF81" s="116"/>
      <c r="BG81" s="116"/>
      <c r="BH81" s="116"/>
      <c r="BI81" s="116"/>
      <c r="BJ81" s="116"/>
      <c r="BK81" s="116"/>
      <c r="BL81" s="116"/>
      <c r="BM81" s="116"/>
      <c r="BN81" s="116"/>
      <c r="BO81" s="116"/>
      <c r="BP81" s="116"/>
      <c r="BQ81" s="116"/>
      <c r="BR81" s="116"/>
      <c r="BS81" s="116"/>
      <c r="BT81" s="116"/>
      <c r="BU81" s="116"/>
      <c r="BV81" s="116"/>
      <c r="BW81" s="116"/>
      <c r="BX81" s="116"/>
      <c r="BY81" s="116"/>
      <c r="BZ81" s="116"/>
      <c r="CA81" s="116"/>
      <c r="CB81" s="116"/>
      <c r="CC81" s="116"/>
      <c r="CD81" s="116"/>
      <c r="CE81" s="6"/>
      <c r="CF81" s="6"/>
      <c r="CG81" s="116"/>
      <c r="CH81" s="116"/>
      <c r="CI81" s="116"/>
      <c r="CJ81" s="116"/>
    </row>
    <row r="82" spans="1:88" s="7" customFormat="1" x14ac:dyDescent="0.2">
      <c r="A82" s="5"/>
      <c r="B82" s="5"/>
      <c r="C82" s="5"/>
      <c r="D82" s="5"/>
      <c r="E82" s="5"/>
      <c r="F82" s="5"/>
      <c r="G82" s="5"/>
      <c r="H82" s="5"/>
      <c r="I82" s="5"/>
      <c r="J82" s="5"/>
      <c r="K82" s="5"/>
      <c r="L82" s="5"/>
      <c r="M82" s="53"/>
      <c r="N82" s="53"/>
      <c r="O82" s="53"/>
      <c r="P82" s="125"/>
      <c r="Q82" s="123"/>
      <c r="R82" s="5"/>
      <c r="S82" s="5"/>
      <c r="T82" s="5"/>
      <c r="U82" s="5"/>
      <c r="V82" s="5"/>
      <c r="W82" s="5"/>
      <c r="X82" s="5"/>
      <c r="Y82" s="5"/>
      <c r="Z82" s="38"/>
      <c r="AA82" s="5"/>
      <c r="AB82" s="5"/>
      <c r="AC82" s="5"/>
      <c r="AD82" s="5"/>
      <c r="AE82" s="5"/>
      <c r="AF82" s="5"/>
      <c r="AG82" s="168"/>
      <c r="AH82" s="116"/>
      <c r="AI82" s="116"/>
      <c r="AJ82" s="116"/>
      <c r="AK82" s="116"/>
      <c r="AL82" s="116"/>
      <c r="AM82" s="116"/>
      <c r="AN82" s="116"/>
      <c r="AO82" s="116"/>
      <c r="AP82" s="116"/>
      <c r="AQ82" s="116"/>
      <c r="AR82" s="116"/>
      <c r="AS82" s="116"/>
      <c r="AT82" s="116"/>
      <c r="AU82" s="116"/>
      <c r="AV82" s="116"/>
      <c r="AW82" s="116"/>
      <c r="AX82" s="116"/>
      <c r="AY82" s="116"/>
      <c r="AZ82" s="116"/>
      <c r="BA82" s="116"/>
      <c r="BB82" s="116"/>
      <c r="BC82" s="116"/>
      <c r="BD82" s="116"/>
      <c r="BE82" s="116"/>
      <c r="BF82" s="116"/>
      <c r="BG82" s="116"/>
      <c r="BH82" s="116"/>
      <c r="BI82" s="116"/>
      <c r="BJ82" s="116"/>
      <c r="BK82" s="116"/>
      <c r="BL82" s="116"/>
      <c r="BM82" s="116"/>
      <c r="BN82" s="116"/>
      <c r="BO82" s="116"/>
      <c r="BP82" s="116"/>
      <c r="BQ82" s="116"/>
      <c r="BR82" s="116"/>
      <c r="BS82" s="116"/>
      <c r="BT82" s="116"/>
      <c r="BU82" s="116"/>
      <c r="BV82" s="116"/>
      <c r="BW82" s="116"/>
      <c r="BX82" s="116"/>
      <c r="BY82" s="116"/>
      <c r="BZ82" s="116"/>
      <c r="CA82" s="116"/>
      <c r="CB82" s="116"/>
      <c r="CC82" s="116"/>
      <c r="CD82" s="116"/>
      <c r="CE82" s="6"/>
      <c r="CF82" s="6"/>
      <c r="CG82" s="116"/>
      <c r="CH82" s="116"/>
      <c r="CI82" s="116"/>
      <c r="CJ82" s="116"/>
    </row>
    <row r="83" spans="1:88" s="7" customFormat="1" x14ac:dyDescent="0.2">
      <c r="A83" s="5"/>
      <c r="B83" s="5"/>
      <c r="C83" s="5"/>
      <c r="D83" s="5"/>
      <c r="E83" s="5"/>
      <c r="F83" s="5"/>
      <c r="G83" s="5"/>
      <c r="H83" s="5"/>
      <c r="I83" s="5"/>
      <c r="J83" s="5"/>
      <c r="K83" s="5"/>
      <c r="L83" s="5"/>
      <c r="M83" s="53"/>
      <c r="N83" s="53"/>
      <c r="O83" s="53"/>
      <c r="P83" s="125"/>
      <c r="Q83" s="123"/>
      <c r="R83" s="5"/>
      <c r="S83" s="5"/>
      <c r="T83" s="5"/>
      <c r="U83" s="5"/>
      <c r="V83" s="5"/>
      <c r="W83" s="5"/>
      <c r="X83" s="5"/>
      <c r="Y83" s="5"/>
      <c r="Z83" s="38"/>
      <c r="AA83" s="5"/>
      <c r="AB83" s="5"/>
      <c r="AC83" s="5"/>
      <c r="AD83" s="5"/>
      <c r="AE83" s="5"/>
      <c r="AF83" s="5"/>
      <c r="AG83" s="168"/>
      <c r="AH83" s="116"/>
      <c r="AI83" s="116"/>
      <c r="AJ83" s="116"/>
      <c r="AK83" s="116"/>
      <c r="AL83" s="116"/>
      <c r="AM83" s="116"/>
      <c r="AN83" s="116"/>
      <c r="AO83" s="116"/>
      <c r="AP83" s="116"/>
      <c r="AQ83" s="116"/>
      <c r="AR83" s="116"/>
      <c r="AS83" s="116"/>
      <c r="AT83" s="116"/>
      <c r="AU83" s="116"/>
      <c r="AV83" s="116"/>
      <c r="AW83" s="116"/>
      <c r="AX83" s="116"/>
      <c r="AY83" s="116"/>
      <c r="AZ83" s="116"/>
      <c r="BA83" s="116"/>
      <c r="BB83" s="116"/>
      <c r="BC83" s="116"/>
      <c r="BD83" s="116"/>
      <c r="BE83" s="116"/>
      <c r="BF83" s="116"/>
      <c r="BG83" s="116"/>
      <c r="BH83" s="116"/>
      <c r="BI83" s="116"/>
      <c r="BJ83" s="116"/>
      <c r="BK83" s="116"/>
      <c r="BL83" s="116"/>
      <c r="BM83" s="116"/>
      <c r="BN83" s="116"/>
      <c r="BO83" s="116"/>
      <c r="BP83" s="116"/>
      <c r="BQ83" s="116"/>
      <c r="BR83" s="116"/>
      <c r="BS83" s="116"/>
      <c r="BT83" s="116"/>
      <c r="BU83" s="116"/>
      <c r="BV83" s="116"/>
      <c r="BW83" s="116"/>
      <c r="BX83" s="116"/>
      <c r="BY83" s="116"/>
      <c r="BZ83" s="116"/>
      <c r="CA83" s="116"/>
      <c r="CB83" s="116"/>
      <c r="CC83" s="116"/>
      <c r="CD83" s="116"/>
      <c r="CE83" s="6"/>
      <c r="CF83" s="6"/>
      <c r="CG83" s="116"/>
      <c r="CH83" s="116"/>
      <c r="CI83" s="116"/>
      <c r="CJ83" s="116"/>
    </row>
    <row r="84" spans="1:88" s="7" customFormat="1" x14ac:dyDescent="0.2">
      <c r="A84" s="5"/>
      <c r="B84" s="5"/>
      <c r="C84" s="5"/>
      <c r="D84" s="5"/>
      <c r="E84" s="5"/>
      <c r="F84" s="5"/>
      <c r="G84" s="5"/>
      <c r="H84" s="5"/>
      <c r="I84" s="5"/>
      <c r="J84" s="5"/>
      <c r="K84" s="5"/>
      <c r="L84" s="5"/>
      <c r="M84" s="53"/>
      <c r="N84" s="53"/>
      <c r="O84" s="53"/>
      <c r="P84" s="125"/>
      <c r="Q84" s="123"/>
      <c r="R84" s="5"/>
      <c r="S84" s="5"/>
      <c r="T84" s="5"/>
      <c r="U84" s="5"/>
      <c r="V84" s="5"/>
      <c r="W84" s="5"/>
      <c r="X84" s="5"/>
      <c r="Y84" s="5"/>
      <c r="Z84" s="38"/>
      <c r="AA84" s="5"/>
      <c r="AB84" s="5"/>
      <c r="AC84" s="5"/>
      <c r="AD84" s="5"/>
      <c r="AE84" s="5"/>
      <c r="AF84" s="5"/>
      <c r="AG84" s="168"/>
      <c r="AH84" s="116"/>
      <c r="AI84" s="116"/>
      <c r="AJ84" s="116"/>
      <c r="AK84" s="116"/>
      <c r="AL84" s="116"/>
      <c r="AM84" s="116"/>
      <c r="AN84" s="116"/>
      <c r="AO84" s="116"/>
      <c r="AP84" s="116"/>
      <c r="AQ84" s="116"/>
      <c r="AR84" s="116"/>
      <c r="AS84" s="116"/>
      <c r="AT84" s="116"/>
      <c r="AU84" s="116"/>
      <c r="AV84" s="116"/>
      <c r="AW84" s="116"/>
      <c r="AX84" s="116"/>
      <c r="AY84" s="116"/>
      <c r="AZ84" s="116"/>
      <c r="BA84" s="116"/>
      <c r="BB84" s="116"/>
      <c r="BC84" s="116"/>
      <c r="BD84" s="116"/>
      <c r="BE84" s="116"/>
      <c r="BF84" s="116"/>
      <c r="BG84" s="116"/>
      <c r="BH84" s="116"/>
      <c r="BI84" s="116"/>
      <c r="BJ84" s="116"/>
      <c r="BK84" s="116"/>
      <c r="BL84" s="116"/>
      <c r="BM84" s="116"/>
      <c r="BN84" s="116"/>
      <c r="BO84" s="116"/>
      <c r="BP84" s="116"/>
      <c r="BQ84" s="116"/>
      <c r="BR84" s="116"/>
      <c r="BS84" s="116"/>
      <c r="BT84" s="116"/>
      <c r="BU84" s="116"/>
      <c r="BV84" s="116"/>
      <c r="BW84" s="116"/>
      <c r="BX84" s="116"/>
      <c r="BY84" s="116"/>
      <c r="BZ84" s="116"/>
      <c r="CA84" s="116"/>
      <c r="CB84" s="116"/>
      <c r="CC84" s="116"/>
      <c r="CD84" s="116"/>
      <c r="CE84" s="6"/>
      <c r="CF84" s="6"/>
      <c r="CG84" s="116"/>
      <c r="CH84" s="116"/>
      <c r="CI84" s="116"/>
      <c r="CJ84" s="116"/>
    </row>
    <row r="85" spans="1:88" s="7" customFormat="1" x14ac:dyDescent="0.2">
      <c r="A85" s="5"/>
      <c r="B85" s="5"/>
      <c r="C85" s="5"/>
      <c r="D85" s="5"/>
      <c r="E85" s="5"/>
      <c r="F85" s="5"/>
      <c r="G85" s="5"/>
      <c r="H85" s="5"/>
      <c r="I85" s="5"/>
      <c r="J85" s="5"/>
      <c r="K85" s="5"/>
      <c r="L85" s="5"/>
      <c r="M85" s="53"/>
      <c r="N85" s="53"/>
      <c r="O85" s="53"/>
      <c r="P85" s="125"/>
      <c r="Q85" s="123"/>
      <c r="R85" s="5"/>
      <c r="S85" s="5"/>
      <c r="T85" s="5"/>
      <c r="U85" s="5"/>
      <c r="V85" s="5"/>
      <c r="W85" s="5"/>
      <c r="X85" s="5"/>
      <c r="Y85" s="5"/>
      <c r="Z85" s="38"/>
      <c r="AA85" s="5"/>
      <c r="AB85" s="5"/>
      <c r="AC85" s="5"/>
      <c r="AD85" s="5"/>
      <c r="AE85" s="5"/>
      <c r="AF85" s="5"/>
      <c r="AG85" s="168"/>
      <c r="AH85" s="116"/>
      <c r="AI85" s="116"/>
      <c r="AJ85" s="116"/>
      <c r="AK85" s="116"/>
      <c r="AL85" s="116"/>
      <c r="AM85" s="116"/>
      <c r="AN85" s="116"/>
      <c r="AO85" s="116"/>
      <c r="AP85" s="116"/>
      <c r="AQ85" s="116"/>
      <c r="AR85" s="116"/>
      <c r="AS85" s="116"/>
      <c r="AT85" s="116"/>
      <c r="AU85" s="116"/>
      <c r="AV85" s="116"/>
      <c r="AW85" s="116"/>
      <c r="AX85" s="116"/>
      <c r="AY85" s="116"/>
      <c r="AZ85" s="116"/>
      <c r="BA85" s="116"/>
      <c r="BB85" s="116"/>
      <c r="BC85" s="116"/>
      <c r="BD85" s="116"/>
      <c r="BE85" s="116"/>
      <c r="BF85" s="116"/>
      <c r="BG85" s="116"/>
      <c r="BH85" s="116"/>
      <c r="BI85" s="116"/>
      <c r="BJ85" s="116"/>
      <c r="BK85" s="116"/>
      <c r="BL85" s="116"/>
      <c r="BM85" s="116"/>
      <c r="BN85" s="116"/>
      <c r="BO85" s="116"/>
      <c r="BP85" s="116"/>
      <c r="BQ85" s="116"/>
      <c r="BR85" s="116"/>
      <c r="BS85" s="116"/>
      <c r="BT85" s="116"/>
      <c r="BU85" s="116"/>
      <c r="BV85" s="116"/>
      <c r="BW85" s="116"/>
      <c r="BX85" s="116"/>
      <c r="BY85" s="116"/>
      <c r="BZ85" s="116"/>
      <c r="CA85" s="116"/>
      <c r="CB85" s="116"/>
      <c r="CC85" s="116"/>
      <c r="CD85" s="116"/>
      <c r="CE85" s="6"/>
      <c r="CF85" s="6"/>
      <c r="CG85" s="116"/>
      <c r="CH85" s="116"/>
      <c r="CI85" s="116"/>
      <c r="CJ85" s="116"/>
    </row>
    <row r="86" spans="1:88" s="7" customFormat="1" x14ac:dyDescent="0.2">
      <c r="A86" s="5"/>
      <c r="B86" s="5"/>
      <c r="C86" s="5"/>
      <c r="D86" s="5"/>
      <c r="E86" s="5"/>
      <c r="F86" s="5"/>
      <c r="G86" s="5"/>
      <c r="H86" s="5"/>
      <c r="I86" s="5"/>
      <c r="J86" s="5"/>
      <c r="K86" s="5"/>
      <c r="L86" s="5"/>
      <c r="M86" s="53"/>
      <c r="N86" s="53"/>
      <c r="O86" s="53"/>
      <c r="P86" s="125"/>
      <c r="Q86" s="123"/>
      <c r="R86" s="5"/>
      <c r="S86" s="5"/>
      <c r="T86" s="5"/>
      <c r="U86" s="5"/>
      <c r="V86" s="5"/>
      <c r="W86" s="5"/>
      <c r="X86" s="5"/>
      <c r="Y86" s="5"/>
      <c r="Z86" s="38"/>
      <c r="AA86" s="5"/>
      <c r="AB86" s="5"/>
      <c r="AC86" s="5"/>
      <c r="AD86" s="5"/>
      <c r="AE86" s="5"/>
      <c r="AF86" s="5"/>
      <c r="AG86" s="168"/>
      <c r="AH86" s="116"/>
      <c r="AI86" s="116"/>
      <c r="AJ86" s="116"/>
      <c r="AK86" s="116"/>
      <c r="AL86" s="116"/>
      <c r="AM86" s="116"/>
      <c r="AN86" s="116"/>
      <c r="AO86" s="116"/>
      <c r="AP86" s="116"/>
      <c r="AQ86" s="116"/>
      <c r="AR86" s="116"/>
      <c r="AS86" s="116"/>
      <c r="AT86" s="116"/>
      <c r="AU86" s="116"/>
      <c r="AV86" s="116"/>
      <c r="AW86" s="116"/>
      <c r="AX86" s="116"/>
      <c r="AY86" s="116"/>
      <c r="AZ86" s="116"/>
      <c r="BA86" s="116"/>
      <c r="BB86" s="116"/>
      <c r="BC86" s="116"/>
      <c r="BD86" s="116"/>
      <c r="BE86" s="116"/>
      <c r="BF86" s="116"/>
      <c r="BG86" s="116"/>
      <c r="BH86" s="116"/>
      <c r="BI86" s="116"/>
      <c r="BJ86" s="116"/>
      <c r="BK86" s="116"/>
      <c r="BL86" s="116"/>
      <c r="BM86" s="116"/>
      <c r="BN86" s="116"/>
      <c r="BO86" s="116"/>
      <c r="BP86" s="116"/>
      <c r="BQ86" s="116"/>
      <c r="BR86" s="116"/>
      <c r="BS86" s="116"/>
      <c r="BT86" s="116"/>
      <c r="BU86" s="116"/>
      <c r="BV86" s="116"/>
      <c r="BW86" s="116"/>
      <c r="BX86" s="116"/>
      <c r="BY86" s="116"/>
      <c r="BZ86" s="116"/>
      <c r="CA86" s="116"/>
      <c r="CB86" s="116"/>
      <c r="CC86" s="116"/>
      <c r="CD86" s="116"/>
      <c r="CE86" s="6"/>
      <c r="CF86" s="6"/>
      <c r="CG86" s="116"/>
      <c r="CH86" s="116"/>
      <c r="CI86" s="116"/>
      <c r="CJ86" s="116"/>
    </row>
    <row r="87" spans="1:88" s="7" customFormat="1" x14ac:dyDescent="0.2">
      <c r="A87" s="5"/>
      <c r="B87" s="5"/>
      <c r="C87" s="5"/>
      <c r="D87" s="5"/>
      <c r="E87" s="5"/>
      <c r="F87" s="5"/>
      <c r="G87" s="5"/>
      <c r="H87" s="5"/>
      <c r="I87" s="5"/>
      <c r="J87" s="5"/>
      <c r="K87" s="5"/>
      <c r="L87" s="5"/>
      <c r="M87" s="53"/>
      <c r="N87" s="53"/>
      <c r="O87" s="53"/>
      <c r="P87" s="125"/>
      <c r="Q87" s="123"/>
      <c r="R87" s="5"/>
      <c r="S87" s="5"/>
      <c r="T87" s="5"/>
      <c r="U87" s="5"/>
      <c r="V87" s="5"/>
      <c r="W87" s="5"/>
      <c r="X87" s="5"/>
      <c r="Y87" s="5"/>
      <c r="Z87" s="38"/>
      <c r="AA87" s="5"/>
      <c r="AB87" s="5"/>
      <c r="AC87" s="5"/>
      <c r="AD87" s="5"/>
      <c r="AE87" s="5"/>
      <c r="AF87" s="5"/>
      <c r="AG87" s="168"/>
      <c r="AH87" s="116"/>
      <c r="AI87" s="116"/>
      <c r="AJ87" s="116"/>
      <c r="AK87" s="116"/>
      <c r="AL87" s="116"/>
      <c r="AM87" s="116"/>
      <c r="AN87" s="116"/>
      <c r="AO87" s="116"/>
      <c r="AP87" s="116"/>
      <c r="AQ87" s="116"/>
      <c r="AR87" s="116"/>
      <c r="AS87" s="116"/>
      <c r="AT87" s="116"/>
      <c r="AU87" s="116"/>
      <c r="AV87" s="116"/>
      <c r="AW87" s="116"/>
      <c r="AX87" s="116"/>
      <c r="AY87" s="116"/>
      <c r="AZ87" s="116"/>
      <c r="BA87" s="116"/>
      <c r="BB87" s="116"/>
      <c r="BC87" s="116"/>
      <c r="BD87" s="116"/>
      <c r="BE87" s="116"/>
      <c r="BF87" s="116"/>
      <c r="BG87" s="116"/>
      <c r="BH87" s="116"/>
      <c r="BI87" s="116"/>
      <c r="BJ87" s="116"/>
      <c r="BK87" s="116"/>
      <c r="BL87" s="116"/>
      <c r="BM87" s="116"/>
      <c r="BN87" s="116"/>
      <c r="BO87" s="116"/>
      <c r="BP87" s="116"/>
      <c r="BQ87" s="116"/>
      <c r="BR87" s="116"/>
      <c r="BS87" s="116"/>
      <c r="BT87" s="116"/>
      <c r="BU87" s="116"/>
      <c r="BV87" s="116"/>
      <c r="BW87" s="116"/>
      <c r="BX87" s="116"/>
      <c r="BY87" s="116"/>
      <c r="BZ87" s="116"/>
      <c r="CA87" s="116"/>
      <c r="CB87" s="116"/>
      <c r="CC87" s="116"/>
      <c r="CD87" s="116"/>
      <c r="CE87" s="6"/>
      <c r="CF87" s="6"/>
      <c r="CG87" s="116"/>
      <c r="CH87" s="116"/>
      <c r="CI87" s="116"/>
      <c r="CJ87" s="116"/>
    </row>
    <row r="88" spans="1:88" s="7" customFormat="1" x14ac:dyDescent="0.2">
      <c r="A88" s="5"/>
      <c r="B88" s="5"/>
      <c r="C88" s="5"/>
      <c r="D88" s="5"/>
      <c r="E88" s="5"/>
      <c r="F88" s="5"/>
      <c r="G88" s="5"/>
      <c r="H88" s="5"/>
      <c r="I88" s="5"/>
      <c r="J88" s="5"/>
      <c r="K88" s="5"/>
      <c r="L88" s="5"/>
      <c r="M88" s="53"/>
      <c r="N88" s="53"/>
      <c r="O88" s="53"/>
      <c r="P88" s="125"/>
      <c r="Q88" s="123"/>
      <c r="R88" s="5"/>
      <c r="S88" s="5"/>
      <c r="T88" s="5"/>
      <c r="U88" s="5"/>
      <c r="V88" s="5"/>
      <c r="W88" s="5"/>
      <c r="X88" s="5"/>
      <c r="Y88" s="5"/>
      <c r="Z88" s="38"/>
      <c r="AA88" s="5"/>
      <c r="AB88" s="5"/>
      <c r="AC88" s="5"/>
      <c r="AD88" s="5"/>
      <c r="AE88" s="5"/>
      <c r="AF88" s="5"/>
      <c r="AG88" s="168"/>
      <c r="AH88" s="116"/>
      <c r="AI88" s="116"/>
      <c r="AJ88" s="116"/>
      <c r="AK88" s="116"/>
      <c r="AL88" s="116"/>
      <c r="AM88" s="116"/>
      <c r="AN88" s="116"/>
      <c r="AO88" s="116"/>
      <c r="AP88" s="116"/>
      <c r="AQ88" s="116"/>
      <c r="AR88" s="116"/>
      <c r="AS88" s="116"/>
      <c r="AT88" s="116"/>
      <c r="AU88" s="116"/>
      <c r="AV88" s="116"/>
      <c r="AW88" s="116"/>
      <c r="AX88" s="116"/>
      <c r="AY88" s="116"/>
      <c r="AZ88" s="116"/>
      <c r="BA88" s="116"/>
      <c r="BB88" s="116"/>
      <c r="BC88" s="116"/>
      <c r="BD88" s="116"/>
      <c r="BE88" s="116"/>
      <c r="BF88" s="116"/>
      <c r="BG88" s="116"/>
      <c r="BH88" s="116"/>
      <c r="BI88" s="116"/>
      <c r="BJ88" s="116"/>
      <c r="BK88" s="116"/>
      <c r="BL88" s="116"/>
      <c r="BM88" s="116"/>
      <c r="BN88" s="116"/>
      <c r="BO88" s="116"/>
      <c r="BP88" s="116"/>
      <c r="BQ88" s="116"/>
      <c r="BR88" s="116"/>
      <c r="BS88" s="116"/>
      <c r="BT88" s="116"/>
      <c r="BU88" s="116"/>
      <c r="BV88" s="116"/>
      <c r="BW88" s="116"/>
      <c r="BX88" s="116"/>
      <c r="BY88" s="116"/>
      <c r="BZ88" s="116"/>
      <c r="CA88" s="116"/>
      <c r="CB88" s="116"/>
      <c r="CC88" s="116"/>
      <c r="CD88" s="116"/>
      <c r="CE88" s="6"/>
      <c r="CF88" s="6"/>
      <c r="CG88" s="116"/>
      <c r="CH88" s="116"/>
      <c r="CI88" s="116"/>
      <c r="CJ88" s="116"/>
    </row>
    <row r="89" spans="1:88" s="7" customFormat="1" x14ac:dyDescent="0.2">
      <c r="A89" s="5"/>
      <c r="B89" s="5"/>
      <c r="C89" s="5"/>
      <c r="D89" s="5"/>
      <c r="E89" s="5"/>
      <c r="F89" s="5"/>
      <c r="G89" s="5"/>
      <c r="H89" s="5"/>
      <c r="I89" s="5"/>
      <c r="J89" s="5"/>
      <c r="K89" s="5"/>
      <c r="L89" s="5"/>
      <c r="M89" s="53"/>
      <c r="N89" s="53"/>
      <c r="O89" s="53"/>
      <c r="P89" s="125"/>
      <c r="Q89" s="123"/>
      <c r="R89" s="5"/>
      <c r="S89" s="5"/>
      <c r="T89" s="5"/>
      <c r="U89" s="5"/>
      <c r="V89" s="5"/>
      <c r="W89" s="5"/>
      <c r="X89" s="5"/>
      <c r="Y89" s="5"/>
      <c r="Z89" s="38"/>
      <c r="AA89" s="5"/>
      <c r="AB89" s="5"/>
      <c r="AC89" s="5"/>
      <c r="AD89" s="5"/>
      <c r="AE89" s="5"/>
      <c r="AF89" s="5"/>
      <c r="AG89" s="168"/>
      <c r="AH89" s="116"/>
      <c r="AI89" s="116"/>
      <c r="AJ89" s="116"/>
      <c r="AK89" s="116"/>
      <c r="AL89" s="116"/>
      <c r="AM89" s="116"/>
      <c r="AN89" s="116"/>
      <c r="AO89" s="116"/>
      <c r="AP89" s="116"/>
      <c r="AQ89" s="116"/>
      <c r="AR89" s="116"/>
      <c r="AS89" s="116"/>
      <c r="AT89" s="116"/>
      <c r="AU89" s="116"/>
      <c r="AV89" s="116"/>
      <c r="AW89" s="116"/>
      <c r="AX89" s="116"/>
      <c r="AY89" s="116"/>
      <c r="AZ89" s="116"/>
      <c r="BA89" s="116"/>
      <c r="BB89" s="116"/>
      <c r="BC89" s="116"/>
      <c r="BD89" s="116"/>
      <c r="BE89" s="116"/>
      <c r="BF89" s="116"/>
      <c r="BG89" s="116"/>
      <c r="BH89" s="116"/>
      <c r="BI89" s="116"/>
      <c r="BJ89" s="116"/>
      <c r="BK89" s="116"/>
      <c r="BL89" s="116"/>
      <c r="BM89" s="116"/>
      <c r="BN89" s="116"/>
      <c r="BO89" s="116"/>
      <c r="BP89" s="116"/>
      <c r="BQ89" s="116"/>
      <c r="BR89" s="116"/>
      <c r="BS89" s="116"/>
      <c r="BT89" s="116"/>
      <c r="BU89" s="116"/>
      <c r="BV89" s="116"/>
      <c r="BW89" s="116"/>
      <c r="BX89" s="116"/>
      <c r="BY89" s="116"/>
      <c r="BZ89" s="116"/>
      <c r="CA89" s="116"/>
      <c r="CB89" s="116"/>
      <c r="CC89" s="116"/>
      <c r="CD89" s="116"/>
      <c r="CE89" s="6"/>
      <c r="CF89" s="6"/>
      <c r="CG89" s="116"/>
      <c r="CH89" s="116"/>
      <c r="CI89" s="116"/>
      <c r="CJ89" s="116"/>
    </row>
    <row r="90" spans="1:88" s="7" customFormat="1" x14ac:dyDescent="0.2">
      <c r="A90" s="5"/>
      <c r="B90" s="5"/>
      <c r="C90" s="5"/>
      <c r="D90" s="5"/>
      <c r="E90" s="5"/>
      <c r="F90" s="5"/>
      <c r="G90" s="5"/>
      <c r="H90" s="5"/>
      <c r="I90" s="5"/>
      <c r="J90" s="5"/>
      <c r="K90" s="5"/>
      <c r="L90" s="5"/>
      <c r="M90" s="53"/>
      <c r="N90" s="53"/>
      <c r="O90" s="53"/>
      <c r="P90" s="125"/>
      <c r="Q90" s="123"/>
      <c r="R90" s="5"/>
      <c r="S90" s="5"/>
      <c r="T90" s="5"/>
      <c r="U90" s="5"/>
      <c r="V90" s="5"/>
      <c r="W90" s="5"/>
      <c r="X90" s="5"/>
      <c r="Y90" s="5"/>
      <c r="Z90" s="38"/>
      <c r="AA90" s="5"/>
      <c r="AB90" s="5"/>
      <c r="AC90" s="5"/>
      <c r="AD90" s="5"/>
      <c r="AE90" s="5"/>
      <c r="AF90" s="5"/>
      <c r="AG90" s="168"/>
      <c r="AH90" s="116"/>
      <c r="AI90" s="116"/>
      <c r="AJ90" s="116"/>
      <c r="AK90" s="116"/>
      <c r="AL90" s="116"/>
      <c r="AM90" s="116"/>
      <c r="AN90" s="116"/>
      <c r="AO90" s="116"/>
      <c r="AP90" s="116"/>
      <c r="AQ90" s="116"/>
      <c r="AR90" s="116"/>
      <c r="AS90" s="116"/>
      <c r="AT90" s="116"/>
      <c r="AU90" s="116"/>
      <c r="AV90" s="116"/>
      <c r="AW90" s="116"/>
      <c r="AX90" s="116"/>
      <c r="AY90" s="116"/>
      <c r="AZ90" s="116"/>
      <c r="BA90" s="116"/>
      <c r="BB90" s="116"/>
      <c r="BC90" s="116"/>
      <c r="BD90" s="116"/>
      <c r="BE90" s="116"/>
      <c r="BF90" s="116"/>
      <c r="BG90" s="116"/>
      <c r="BH90" s="116"/>
      <c r="BI90" s="116"/>
      <c r="BJ90" s="116"/>
      <c r="BK90" s="116"/>
      <c r="BL90" s="116"/>
      <c r="BM90" s="116"/>
      <c r="BN90" s="116"/>
      <c r="BO90" s="116"/>
      <c r="BP90" s="116"/>
      <c r="BQ90" s="116"/>
      <c r="BR90" s="116"/>
      <c r="BS90" s="116"/>
      <c r="BT90" s="116"/>
      <c r="BU90" s="116"/>
      <c r="BV90" s="116"/>
      <c r="BW90" s="116"/>
      <c r="BX90" s="116"/>
      <c r="BY90" s="116"/>
      <c r="BZ90" s="116"/>
      <c r="CA90" s="116"/>
      <c r="CB90" s="116"/>
      <c r="CC90" s="116"/>
      <c r="CD90" s="116"/>
      <c r="CE90" s="6"/>
      <c r="CF90" s="6"/>
      <c r="CG90" s="116"/>
      <c r="CH90" s="116"/>
      <c r="CI90" s="116"/>
      <c r="CJ90" s="116"/>
    </row>
    <row r="91" spans="1:88" s="7" customFormat="1" x14ac:dyDescent="0.2">
      <c r="A91" s="5"/>
      <c r="B91" s="5"/>
      <c r="C91" s="5"/>
      <c r="D91" s="5"/>
      <c r="E91" s="5"/>
      <c r="F91" s="5"/>
      <c r="G91" s="5"/>
      <c r="H91" s="5"/>
      <c r="I91" s="5"/>
      <c r="J91" s="5"/>
      <c r="K91" s="5"/>
      <c r="L91" s="5"/>
      <c r="M91" s="53"/>
      <c r="N91" s="53"/>
      <c r="O91" s="53"/>
      <c r="P91" s="125"/>
      <c r="Q91" s="123"/>
      <c r="R91" s="5"/>
      <c r="S91" s="5"/>
      <c r="T91" s="5"/>
      <c r="U91" s="5"/>
      <c r="V91" s="5"/>
      <c r="W91" s="5"/>
      <c r="X91" s="5"/>
      <c r="Y91" s="5"/>
      <c r="Z91" s="38"/>
      <c r="AA91" s="5"/>
      <c r="AB91" s="5"/>
      <c r="AC91" s="5"/>
      <c r="AD91" s="5"/>
      <c r="AE91" s="5"/>
      <c r="AF91" s="5"/>
      <c r="AG91" s="168"/>
      <c r="AH91" s="116"/>
      <c r="AI91" s="116"/>
      <c r="AJ91" s="116"/>
      <c r="AK91" s="116"/>
      <c r="AL91" s="116"/>
      <c r="AM91" s="116"/>
      <c r="AN91" s="116"/>
      <c r="AO91" s="116"/>
      <c r="AP91" s="116"/>
      <c r="AQ91" s="116"/>
      <c r="AR91" s="116"/>
      <c r="AS91" s="116"/>
      <c r="AT91" s="116"/>
      <c r="AU91" s="116"/>
      <c r="AV91" s="116"/>
      <c r="AW91" s="116"/>
      <c r="AX91" s="116"/>
      <c r="AY91" s="116"/>
      <c r="AZ91" s="116"/>
      <c r="BA91" s="116"/>
      <c r="BB91" s="116"/>
      <c r="BC91" s="116"/>
      <c r="BD91" s="116"/>
      <c r="BE91" s="116"/>
      <c r="BF91" s="116"/>
      <c r="BG91" s="116"/>
      <c r="BH91" s="116"/>
      <c r="BI91" s="116"/>
      <c r="BJ91" s="116"/>
      <c r="BK91" s="116"/>
      <c r="BL91" s="116"/>
      <c r="BM91" s="116"/>
      <c r="BN91" s="116"/>
      <c r="BO91" s="116"/>
      <c r="BP91" s="116"/>
      <c r="BQ91" s="116"/>
      <c r="BR91" s="116"/>
      <c r="BS91" s="116"/>
      <c r="BT91" s="116"/>
      <c r="BU91" s="116"/>
      <c r="BV91" s="116"/>
      <c r="BW91" s="116"/>
      <c r="BX91" s="116"/>
      <c r="BY91" s="116"/>
      <c r="BZ91" s="116"/>
      <c r="CA91" s="116"/>
      <c r="CB91" s="116"/>
      <c r="CC91" s="116"/>
      <c r="CD91" s="116"/>
      <c r="CE91" s="6"/>
      <c r="CF91" s="6"/>
      <c r="CG91" s="116"/>
      <c r="CH91" s="116"/>
      <c r="CI91" s="116"/>
      <c r="CJ91" s="116"/>
    </row>
    <row r="92" spans="1:88" s="7" customFormat="1" x14ac:dyDescent="0.2">
      <c r="A92" s="5"/>
      <c r="B92" s="5"/>
      <c r="C92" s="5"/>
      <c r="D92" s="5"/>
      <c r="E92" s="5"/>
      <c r="F92" s="5"/>
      <c r="G92" s="5"/>
      <c r="H92" s="5"/>
      <c r="I92" s="5"/>
      <c r="J92" s="5"/>
      <c r="K92" s="5"/>
      <c r="L92" s="5"/>
      <c r="M92" s="53"/>
      <c r="N92" s="53"/>
      <c r="O92" s="53"/>
      <c r="P92" s="125"/>
      <c r="Q92" s="123"/>
      <c r="R92" s="5"/>
      <c r="S92" s="5"/>
      <c r="T92" s="5"/>
      <c r="U92" s="5"/>
      <c r="V92" s="5"/>
      <c r="W92" s="5"/>
      <c r="X92" s="5"/>
      <c r="Y92" s="5"/>
      <c r="Z92" s="38"/>
      <c r="AA92" s="5"/>
      <c r="AB92" s="5"/>
      <c r="AC92" s="5"/>
      <c r="AD92" s="5"/>
      <c r="AE92" s="5"/>
      <c r="AF92" s="5"/>
      <c r="AG92" s="168"/>
      <c r="AH92" s="116"/>
      <c r="AI92" s="116"/>
      <c r="AJ92" s="116"/>
      <c r="AK92" s="116"/>
      <c r="AL92" s="116"/>
      <c r="AM92" s="116"/>
      <c r="AN92" s="116"/>
      <c r="AO92" s="116"/>
      <c r="AP92" s="116"/>
      <c r="AQ92" s="116"/>
      <c r="AR92" s="116"/>
      <c r="AS92" s="116"/>
      <c r="AT92" s="116"/>
      <c r="AU92" s="116"/>
      <c r="AV92" s="116"/>
      <c r="AW92" s="116"/>
      <c r="AX92" s="116"/>
      <c r="AY92" s="116"/>
      <c r="AZ92" s="116"/>
      <c r="BA92" s="116"/>
      <c r="BB92" s="116"/>
      <c r="BC92" s="116"/>
      <c r="BD92" s="116"/>
      <c r="BE92" s="116"/>
      <c r="BF92" s="116"/>
      <c r="BG92" s="116"/>
      <c r="BH92" s="116"/>
      <c r="BI92" s="116"/>
      <c r="BJ92" s="116"/>
      <c r="BK92" s="116"/>
      <c r="BL92" s="116"/>
      <c r="BM92" s="116"/>
      <c r="BN92" s="116"/>
      <c r="BO92" s="116"/>
      <c r="BP92" s="116"/>
      <c r="BQ92" s="116"/>
      <c r="BR92" s="116"/>
      <c r="BS92" s="116"/>
      <c r="BT92" s="116"/>
      <c r="BU92" s="116"/>
      <c r="BV92" s="116"/>
      <c r="BW92" s="116"/>
      <c r="BX92" s="116"/>
      <c r="BY92" s="116"/>
      <c r="BZ92" s="116"/>
      <c r="CA92" s="116"/>
      <c r="CB92" s="116"/>
      <c r="CC92" s="116"/>
      <c r="CD92" s="116"/>
      <c r="CE92" s="6"/>
      <c r="CF92" s="6"/>
      <c r="CG92" s="116"/>
      <c r="CH92" s="116"/>
      <c r="CI92" s="116"/>
      <c r="CJ92" s="116"/>
    </row>
    <row r="93" spans="1:88" s="7" customFormat="1" x14ac:dyDescent="0.2">
      <c r="A93" s="5"/>
      <c r="B93" s="5"/>
      <c r="C93" s="5"/>
      <c r="D93" s="5"/>
      <c r="E93" s="5"/>
      <c r="F93" s="5"/>
      <c r="G93" s="5"/>
      <c r="H93" s="5"/>
      <c r="I93" s="5"/>
      <c r="J93" s="5"/>
      <c r="K93" s="5"/>
      <c r="L93" s="5"/>
      <c r="M93" s="53"/>
      <c r="N93" s="53"/>
      <c r="O93" s="53"/>
      <c r="P93" s="125"/>
      <c r="Q93" s="123"/>
      <c r="R93" s="5"/>
      <c r="S93" s="5"/>
      <c r="T93" s="5"/>
      <c r="U93" s="5"/>
      <c r="V93" s="5"/>
      <c r="W93" s="5"/>
      <c r="X93" s="5"/>
      <c r="Y93" s="5"/>
      <c r="Z93" s="38"/>
      <c r="AA93" s="5"/>
      <c r="AB93" s="5"/>
      <c r="AC93" s="5"/>
      <c r="AD93" s="5"/>
      <c r="AE93" s="5"/>
      <c r="AF93" s="5"/>
      <c r="AG93" s="168"/>
      <c r="AH93" s="116"/>
      <c r="AI93" s="116"/>
      <c r="AJ93" s="116"/>
      <c r="AK93" s="116"/>
      <c r="AL93" s="116"/>
      <c r="AM93" s="116"/>
      <c r="AN93" s="116"/>
      <c r="AO93" s="116"/>
      <c r="AP93" s="116"/>
      <c r="AQ93" s="116"/>
      <c r="AR93" s="116"/>
      <c r="AS93" s="116"/>
      <c r="AT93" s="116"/>
      <c r="AU93" s="116"/>
      <c r="AV93" s="116"/>
      <c r="AW93" s="116"/>
      <c r="AX93" s="116"/>
      <c r="AY93" s="116"/>
      <c r="AZ93" s="116"/>
      <c r="BA93" s="116"/>
      <c r="BB93" s="116"/>
      <c r="BC93" s="116"/>
      <c r="BD93" s="116"/>
      <c r="BE93" s="116"/>
      <c r="BF93" s="116"/>
      <c r="BG93" s="116"/>
      <c r="BH93" s="116"/>
      <c r="BI93" s="116"/>
      <c r="BJ93" s="116"/>
      <c r="BK93" s="116"/>
      <c r="BL93" s="116"/>
      <c r="BM93" s="116"/>
      <c r="BN93" s="116"/>
      <c r="BO93" s="116"/>
      <c r="BP93" s="116"/>
      <c r="BQ93" s="116"/>
      <c r="BR93" s="116"/>
      <c r="BS93" s="116"/>
      <c r="BT93" s="116"/>
      <c r="BU93" s="116"/>
      <c r="BV93" s="116"/>
      <c r="BW93" s="116"/>
      <c r="BX93" s="116"/>
      <c r="BY93" s="116"/>
      <c r="BZ93" s="116"/>
      <c r="CA93" s="116"/>
      <c r="CB93" s="116"/>
      <c r="CC93" s="116"/>
      <c r="CD93" s="116"/>
      <c r="CE93" s="6"/>
      <c r="CF93" s="6"/>
      <c r="CG93" s="116"/>
      <c r="CH93" s="116"/>
      <c r="CI93" s="116"/>
      <c r="CJ93" s="116"/>
    </row>
    <row r="94" spans="1:88" s="7" customFormat="1" x14ac:dyDescent="0.2">
      <c r="A94" s="5"/>
      <c r="B94" s="5"/>
      <c r="C94" s="5"/>
      <c r="D94" s="5"/>
      <c r="E94" s="5"/>
      <c r="F94" s="5"/>
      <c r="G94" s="5"/>
      <c r="H94" s="5"/>
      <c r="I94" s="5"/>
      <c r="J94" s="5"/>
      <c r="K94" s="5"/>
      <c r="L94" s="5"/>
      <c r="M94" s="53"/>
      <c r="N94" s="53"/>
      <c r="O94" s="53"/>
      <c r="P94" s="125"/>
      <c r="Q94" s="123"/>
      <c r="R94" s="5"/>
      <c r="S94" s="5"/>
      <c r="T94" s="5"/>
      <c r="U94" s="5"/>
      <c r="V94" s="5"/>
      <c r="W94" s="5"/>
      <c r="X94" s="5"/>
      <c r="Y94" s="5"/>
      <c r="Z94" s="38"/>
      <c r="AA94" s="5"/>
      <c r="AB94" s="5"/>
      <c r="AC94" s="5"/>
      <c r="AD94" s="5"/>
      <c r="AE94" s="5"/>
      <c r="AF94" s="5"/>
      <c r="AG94" s="168"/>
      <c r="AH94" s="116"/>
      <c r="AI94" s="116"/>
      <c r="AJ94" s="116"/>
      <c r="AK94" s="116"/>
      <c r="AL94" s="116"/>
      <c r="AM94" s="116"/>
      <c r="AN94" s="116"/>
      <c r="AO94" s="116"/>
      <c r="AP94" s="116"/>
      <c r="AQ94" s="116"/>
      <c r="AR94" s="116"/>
      <c r="AS94" s="116"/>
      <c r="AT94" s="116"/>
      <c r="AU94" s="116"/>
      <c r="AV94" s="116"/>
      <c r="AW94" s="116"/>
      <c r="AX94" s="116"/>
      <c r="AY94" s="116"/>
      <c r="AZ94" s="116"/>
      <c r="BA94" s="116"/>
      <c r="BB94" s="116"/>
      <c r="BC94" s="116"/>
      <c r="BD94" s="116"/>
      <c r="BE94" s="116"/>
      <c r="BF94" s="116"/>
      <c r="BG94" s="116"/>
      <c r="BH94" s="116"/>
      <c r="BI94" s="116"/>
      <c r="BJ94" s="116"/>
      <c r="BK94" s="116"/>
      <c r="BL94" s="116"/>
      <c r="BM94" s="116"/>
      <c r="BN94" s="116"/>
      <c r="BO94" s="116"/>
      <c r="BP94" s="116"/>
      <c r="BQ94" s="116"/>
      <c r="BR94" s="116"/>
      <c r="BS94" s="116"/>
      <c r="BT94" s="116"/>
      <c r="BU94" s="116"/>
      <c r="BV94" s="116"/>
      <c r="BW94" s="116"/>
      <c r="BX94" s="116"/>
      <c r="BY94" s="116"/>
      <c r="BZ94" s="116"/>
      <c r="CA94" s="116"/>
      <c r="CB94" s="116"/>
      <c r="CC94" s="116"/>
      <c r="CD94" s="116"/>
      <c r="CE94" s="6"/>
      <c r="CF94" s="6"/>
      <c r="CG94" s="116"/>
      <c r="CH94" s="116"/>
      <c r="CI94" s="116"/>
      <c r="CJ94" s="116"/>
    </row>
    <row r="95" spans="1:88" s="7" customFormat="1" x14ac:dyDescent="0.2">
      <c r="A95" s="5"/>
      <c r="B95" s="5"/>
      <c r="C95" s="5"/>
      <c r="D95" s="5"/>
      <c r="E95" s="5"/>
      <c r="F95" s="5"/>
      <c r="G95" s="5"/>
      <c r="H95" s="5"/>
      <c r="I95" s="5"/>
      <c r="J95" s="5"/>
      <c r="K95" s="5"/>
      <c r="L95" s="5"/>
      <c r="M95" s="53"/>
      <c r="N95" s="53"/>
      <c r="O95" s="53"/>
      <c r="P95" s="125"/>
      <c r="Q95" s="123"/>
      <c r="R95" s="5"/>
      <c r="S95" s="5"/>
      <c r="T95" s="5"/>
      <c r="U95" s="5"/>
      <c r="V95" s="5"/>
      <c r="W95" s="5"/>
      <c r="X95" s="5"/>
      <c r="Y95" s="5"/>
      <c r="Z95" s="38"/>
      <c r="AA95" s="5"/>
      <c r="AB95" s="5"/>
      <c r="AC95" s="5"/>
      <c r="AD95" s="5"/>
      <c r="AE95" s="5"/>
      <c r="AF95" s="5"/>
      <c r="AG95" s="168"/>
      <c r="AH95" s="116"/>
      <c r="AI95" s="116"/>
      <c r="AJ95" s="116"/>
      <c r="AK95" s="116"/>
      <c r="AL95" s="116"/>
      <c r="AM95" s="116"/>
      <c r="AN95" s="116"/>
      <c r="AO95" s="116"/>
      <c r="AP95" s="116"/>
      <c r="AQ95" s="116"/>
      <c r="AR95" s="116"/>
      <c r="AS95" s="116"/>
      <c r="AT95" s="116"/>
      <c r="AU95" s="116"/>
      <c r="AV95" s="116"/>
      <c r="AW95" s="116"/>
      <c r="AX95" s="116"/>
      <c r="AY95" s="116"/>
      <c r="AZ95" s="116"/>
      <c r="BA95" s="116"/>
      <c r="BB95" s="116"/>
      <c r="BC95" s="116"/>
      <c r="BD95" s="116"/>
      <c r="BE95" s="116"/>
      <c r="BF95" s="116"/>
      <c r="BG95" s="116"/>
      <c r="BH95" s="116"/>
      <c r="BI95" s="116"/>
      <c r="BJ95" s="116"/>
      <c r="BK95" s="116"/>
      <c r="BL95" s="116"/>
      <c r="BM95" s="116"/>
      <c r="BN95" s="116"/>
      <c r="BO95" s="116"/>
      <c r="BP95" s="116"/>
      <c r="BQ95" s="116"/>
      <c r="BR95" s="116"/>
      <c r="BS95" s="116"/>
      <c r="BT95" s="116"/>
      <c r="BU95" s="116"/>
      <c r="BV95" s="116"/>
      <c r="BW95" s="116"/>
      <c r="BX95" s="116"/>
      <c r="BY95" s="116"/>
      <c r="BZ95" s="116"/>
      <c r="CA95" s="116"/>
      <c r="CB95" s="116"/>
      <c r="CC95" s="116"/>
      <c r="CD95" s="116"/>
      <c r="CE95" s="6"/>
      <c r="CF95" s="6"/>
      <c r="CG95" s="116"/>
      <c r="CH95" s="116"/>
      <c r="CI95" s="116"/>
      <c r="CJ95" s="116"/>
    </row>
    <row r="96" spans="1:88" s="7" customFormat="1" x14ac:dyDescent="0.2">
      <c r="A96" s="5"/>
      <c r="B96" s="5"/>
      <c r="C96" s="5"/>
      <c r="D96" s="5"/>
      <c r="E96" s="5"/>
      <c r="F96" s="5"/>
      <c r="G96" s="5"/>
      <c r="H96" s="5"/>
      <c r="I96" s="5"/>
      <c r="J96" s="5"/>
      <c r="K96" s="5"/>
      <c r="L96" s="5"/>
      <c r="M96" s="53"/>
      <c r="N96" s="53"/>
      <c r="O96" s="53"/>
      <c r="P96" s="125"/>
      <c r="Q96" s="123"/>
      <c r="R96" s="5"/>
      <c r="S96" s="5"/>
      <c r="T96" s="5"/>
      <c r="U96" s="5"/>
      <c r="V96" s="5"/>
      <c r="W96" s="5"/>
      <c r="X96" s="5"/>
      <c r="Y96" s="5"/>
      <c r="Z96" s="38"/>
      <c r="AA96" s="5"/>
      <c r="AB96" s="5"/>
      <c r="AC96" s="5"/>
      <c r="AD96" s="5"/>
      <c r="AE96" s="5"/>
      <c r="AF96" s="5"/>
    </row>
    <row r="97" spans="1:32" s="7" customFormat="1" x14ac:dyDescent="0.2">
      <c r="A97" s="5"/>
      <c r="B97" s="5"/>
      <c r="C97" s="5"/>
      <c r="D97" s="5"/>
      <c r="E97" s="5"/>
      <c r="F97" s="5"/>
      <c r="G97" s="5"/>
      <c r="H97" s="5"/>
      <c r="I97" s="5"/>
      <c r="J97" s="5"/>
      <c r="K97" s="5"/>
      <c r="L97" s="5"/>
      <c r="M97" s="53"/>
      <c r="N97" s="53"/>
      <c r="O97" s="53"/>
      <c r="P97" s="125"/>
      <c r="Q97" s="123"/>
      <c r="R97" s="5"/>
      <c r="S97" s="5"/>
      <c r="T97" s="5"/>
      <c r="U97" s="5"/>
      <c r="V97" s="5"/>
      <c r="W97" s="5"/>
      <c r="X97" s="5"/>
      <c r="Y97" s="5"/>
      <c r="Z97" s="38"/>
      <c r="AA97" s="5"/>
      <c r="AB97" s="5"/>
      <c r="AC97" s="5"/>
      <c r="AD97" s="5"/>
      <c r="AE97" s="5"/>
      <c r="AF97" s="5"/>
    </row>
    <row r="98" spans="1:32" s="7" customFormat="1" x14ac:dyDescent="0.2">
      <c r="A98" s="5"/>
      <c r="B98" s="5"/>
      <c r="C98" s="5"/>
      <c r="D98" s="5"/>
      <c r="E98" s="5"/>
      <c r="F98" s="5"/>
      <c r="G98" s="5"/>
      <c r="H98" s="5"/>
      <c r="I98" s="5"/>
      <c r="J98" s="5"/>
      <c r="K98" s="5"/>
      <c r="L98" s="5"/>
      <c r="M98" s="53"/>
      <c r="N98" s="53"/>
      <c r="O98" s="53"/>
      <c r="P98" s="125"/>
      <c r="Q98" s="123"/>
      <c r="R98" s="5"/>
      <c r="S98" s="5"/>
      <c r="T98" s="5"/>
      <c r="U98" s="5"/>
      <c r="V98" s="5"/>
      <c r="W98" s="5"/>
      <c r="X98" s="5"/>
      <c r="Y98" s="5"/>
      <c r="Z98" s="38"/>
      <c r="AA98" s="5"/>
      <c r="AB98" s="5"/>
      <c r="AC98" s="5"/>
      <c r="AD98" s="5"/>
      <c r="AE98" s="5"/>
      <c r="AF98" s="5"/>
    </row>
    <row r="99" spans="1:32" s="7" customFormat="1" x14ac:dyDescent="0.2">
      <c r="A99" s="5"/>
      <c r="B99" s="5"/>
      <c r="C99" s="5"/>
      <c r="D99" s="5"/>
      <c r="E99" s="5"/>
      <c r="F99" s="5"/>
      <c r="G99" s="5"/>
      <c r="H99" s="5"/>
      <c r="I99" s="5"/>
      <c r="J99" s="5"/>
      <c r="K99" s="5"/>
      <c r="L99" s="5"/>
      <c r="M99" s="53"/>
      <c r="N99" s="53"/>
      <c r="O99" s="53"/>
      <c r="P99" s="125"/>
      <c r="Q99" s="123"/>
      <c r="R99" s="5"/>
      <c r="S99" s="5"/>
      <c r="T99" s="5"/>
      <c r="U99" s="5"/>
      <c r="V99" s="5"/>
      <c r="W99" s="5"/>
      <c r="X99" s="5"/>
      <c r="Y99" s="5"/>
      <c r="Z99" s="38"/>
      <c r="AA99" s="5"/>
      <c r="AB99" s="5"/>
      <c r="AC99" s="5"/>
      <c r="AD99" s="5"/>
      <c r="AE99" s="5"/>
      <c r="AF99" s="5"/>
    </row>
    <row r="100" spans="1:32" s="7" customFormat="1" x14ac:dyDescent="0.2">
      <c r="A100" s="120"/>
      <c r="B100" s="120"/>
      <c r="C100" s="120"/>
      <c r="D100" s="120"/>
      <c r="E100" s="120"/>
      <c r="F100" s="120"/>
      <c r="G100" s="120"/>
      <c r="H100" s="120"/>
      <c r="I100" s="120"/>
      <c r="J100" s="120"/>
      <c r="K100" s="120"/>
      <c r="L100" s="120"/>
      <c r="M100" s="121"/>
      <c r="N100" s="121"/>
      <c r="O100" s="121"/>
      <c r="P100" s="126"/>
      <c r="Q100" s="123"/>
      <c r="R100" s="5"/>
      <c r="S100" s="5"/>
      <c r="T100" s="5"/>
      <c r="U100" s="5"/>
      <c r="V100" s="5"/>
      <c r="W100" s="5"/>
      <c r="X100" s="5"/>
      <c r="Y100" s="5"/>
      <c r="Z100" s="117"/>
      <c r="AA100" s="120"/>
      <c r="AB100" s="120"/>
      <c r="AC100" s="120"/>
      <c r="AD100" s="120"/>
      <c r="AE100" s="120"/>
      <c r="AF100" s="120"/>
    </row>
    <row r="101" spans="1:32" s="7" customFormat="1" x14ac:dyDescent="0.2">
      <c r="A101" s="120"/>
      <c r="B101" s="120"/>
      <c r="C101" s="120"/>
      <c r="D101" s="120"/>
      <c r="E101" s="120"/>
      <c r="F101" s="120"/>
      <c r="G101" s="120"/>
      <c r="H101" s="120"/>
      <c r="I101" s="120"/>
      <c r="J101" s="120"/>
      <c r="K101" s="120"/>
      <c r="L101" s="120"/>
      <c r="M101" s="121"/>
      <c r="N101" s="121"/>
      <c r="O101" s="121"/>
      <c r="P101" s="126"/>
      <c r="Q101" s="123"/>
      <c r="R101" s="5"/>
      <c r="S101" s="5"/>
      <c r="T101" s="5"/>
      <c r="U101" s="5"/>
      <c r="V101" s="5"/>
      <c r="W101" s="5"/>
      <c r="X101" s="5"/>
      <c r="Y101" s="5"/>
      <c r="Z101" s="117"/>
      <c r="AA101" s="120"/>
      <c r="AB101" s="120"/>
      <c r="AC101" s="120"/>
      <c r="AD101" s="120"/>
      <c r="AE101" s="120"/>
      <c r="AF101" s="120"/>
    </row>
    <row r="102" spans="1:32" s="7" customFormat="1" x14ac:dyDescent="0.2">
      <c r="A102" s="120"/>
      <c r="B102" s="120"/>
      <c r="C102" s="120"/>
      <c r="D102" s="120"/>
      <c r="E102" s="120"/>
      <c r="F102" s="120"/>
      <c r="G102" s="120"/>
      <c r="H102" s="120"/>
      <c r="I102" s="120"/>
      <c r="J102" s="120"/>
      <c r="K102" s="120"/>
      <c r="L102" s="120"/>
      <c r="M102" s="121"/>
      <c r="N102" s="121"/>
      <c r="O102" s="121"/>
      <c r="P102" s="126"/>
      <c r="Q102" s="123"/>
      <c r="R102" s="5"/>
      <c r="S102" s="5"/>
      <c r="T102" s="5"/>
      <c r="U102" s="5"/>
      <c r="V102" s="5"/>
      <c r="W102" s="5"/>
      <c r="X102" s="5"/>
      <c r="Y102" s="5"/>
      <c r="Z102" s="117"/>
      <c r="AA102" s="120"/>
      <c r="AB102" s="120"/>
      <c r="AC102" s="120"/>
      <c r="AD102" s="120"/>
      <c r="AE102" s="120"/>
      <c r="AF102" s="120"/>
    </row>
    <row r="103" spans="1:32" s="7" customFormat="1" x14ac:dyDescent="0.2">
      <c r="A103" s="120"/>
      <c r="B103" s="120"/>
      <c r="C103" s="120"/>
      <c r="D103" s="120"/>
      <c r="E103" s="120"/>
      <c r="F103" s="120"/>
      <c r="G103" s="120"/>
      <c r="H103" s="120"/>
      <c r="I103" s="120"/>
      <c r="J103" s="120"/>
      <c r="K103" s="120"/>
      <c r="L103" s="120"/>
      <c r="M103" s="121"/>
      <c r="N103" s="121"/>
      <c r="O103" s="121"/>
      <c r="P103" s="126"/>
      <c r="Q103" s="123"/>
      <c r="R103" s="5"/>
      <c r="S103" s="5"/>
      <c r="T103" s="5"/>
      <c r="U103" s="5"/>
      <c r="V103" s="5"/>
      <c r="W103" s="5"/>
      <c r="X103" s="5"/>
      <c r="Y103" s="5"/>
      <c r="Z103" s="117"/>
      <c r="AA103" s="120"/>
      <c r="AB103" s="120"/>
      <c r="AC103" s="120"/>
      <c r="AD103" s="120"/>
      <c r="AE103" s="120"/>
      <c r="AF103" s="120"/>
    </row>
    <row r="104" spans="1:32" s="7" customFormat="1" x14ac:dyDescent="0.2">
      <c r="A104" s="120"/>
      <c r="B104" s="120"/>
      <c r="C104" s="120"/>
      <c r="D104" s="120"/>
      <c r="E104" s="120"/>
      <c r="F104" s="120"/>
      <c r="G104" s="120"/>
      <c r="H104" s="120"/>
      <c r="I104" s="120"/>
      <c r="J104" s="120"/>
      <c r="K104" s="120"/>
      <c r="L104" s="120"/>
      <c r="M104" s="121"/>
      <c r="N104" s="121"/>
      <c r="O104" s="121"/>
      <c r="P104" s="126"/>
      <c r="Q104" s="123"/>
      <c r="R104" s="5"/>
      <c r="S104" s="5"/>
      <c r="T104" s="5"/>
      <c r="U104" s="5"/>
      <c r="V104" s="5"/>
      <c r="W104" s="5"/>
      <c r="X104" s="5"/>
      <c r="Y104" s="5"/>
      <c r="Z104" s="117"/>
      <c r="AA104" s="120"/>
      <c r="AB104" s="120"/>
      <c r="AC104" s="120"/>
      <c r="AD104" s="120"/>
      <c r="AE104" s="120"/>
      <c r="AF104" s="120"/>
    </row>
    <row r="105" spans="1:32" s="7" customFormat="1" x14ac:dyDescent="0.2">
      <c r="A105" s="120"/>
      <c r="B105" s="120"/>
      <c r="C105" s="120"/>
      <c r="D105" s="120"/>
      <c r="E105" s="120"/>
      <c r="F105" s="120"/>
      <c r="G105" s="120"/>
      <c r="H105" s="120"/>
      <c r="I105" s="120"/>
      <c r="J105" s="120"/>
      <c r="K105" s="120"/>
      <c r="L105" s="120"/>
      <c r="M105" s="121"/>
      <c r="N105" s="121"/>
      <c r="O105" s="121"/>
      <c r="P105" s="126"/>
      <c r="Q105" s="123"/>
      <c r="R105" s="5"/>
      <c r="S105" s="5"/>
      <c r="T105" s="5"/>
      <c r="U105" s="5"/>
      <c r="V105" s="5"/>
      <c r="W105" s="5"/>
      <c r="X105" s="5"/>
      <c r="Y105" s="5"/>
      <c r="Z105" s="117"/>
      <c r="AA105" s="120"/>
      <c r="AB105" s="120"/>
      <c r="AC105" s="120"/>
      <c r="AD105" s="120"/>
      <c r="AE105" s="120"/>
      <c r="AF105" s="120"/>
    </row>
    <row r="106" spans="1:32" s="7" customFormat="1" x14ac:dyDescent="0.2">
      <c r="A106" s="120"/>
      <c r="B106" s="120"/>
      <c r="C106" s="120"/>
      <c r="D106" s="120"/>
      <c r="E106" s="120"/>
      <c r="F106" s="120"/>
      <c r="G106" s="120"/>
      <c r="H106" s="120"/>
      <c r="I106" s="120"/>
      <c r="J106" s="120"/>
      <c r="K106" s="120"/>
      <c r="L106" s="120"/>
      <c r="M106" s="121"/>
      <c r="N106" s="121"/>
      <c r="O106" s="121"/>
      <c r="P106" s="126"/>
      <c r="Q106" s="123"/>
      <c r="R106" s="5"/>
      <c r="S106" s="5"/>
      <c r="T106" s="5"/>
      <c r="U106" s="5"/>
      <c r="V106" s="5"/>
      <c r="W106" s="5"/>
      <c r="X106" s="5"/>
      <c r="Y106" s="5"/>
      <c r="Z106" s="117"/>
      <c r="AA106" s="120"/>
      <c r="AB106" s="120"/>
      <c r="AC106" s="120"/>
      <c r="AD106" s="120"/>
      <c r="AE106" s="120"/>
      <c r="AF106" s="120"/>
    </row>
    <row r="107" spans="1:32" s="7" customFormat="1" x14ac:dyDescent="0.2">
      <c r="A107" s="120"/>
      <c r="B107" s="120"/>
      <c r="C107" s="120"/>
      <c r="D107" s="120"/>
      <c r="E107" s="120"/>
      <c r="F107" s="120"/>
      <c r="G107" s="120"/>
      <c r="H107" s="120"/>
      <c r="I107" s="120"/>
      <c r="J107" s="120"/>
      <c r="K107" s="120"/>
      <c r="L107" s="120"/>
      <c r="M107" s="121"/>
      <c r="N107" s="121"/>
      <c r="O107" s="121"/>
      <c r="P107" s="126"/>
      <c r="Q107" s="123"/>
      <c r="R107" s="5"/>
      <c r="S107" s="5"/>
      <c r="T107" s="5"/>
      <c r="U107" s="5"/>
      <c r="V107" s="5"/>
      <c r="W107" s="5"/>
      <c r="X107" s="5"/>
      <c r="Y107" s="5"/>
      <c r="Z107" s="117"/>
      <c r="AA107" s="120"/>
      <c r="AB107" s="120"/>
      <c r="AC107" s="120"/>
      <c r="AD107" s="120"/>
      <c r="AE107" s="120"/>
      <c r="AF107" s="120"/>
    </row>
    <row r="108" spans="1:32" s="7" customFormat="1" x14ac:dyDescent="0.2">
      <c r="A108" s="120"/>
      <c r="B108" s="120"/>
      <c r="C108" s="120"/>
      <c r="D108" s="120"/>
      <c r="E108" s="120"/>
      <c r="F108" s="120"/>
      <c r="G108" s="120"/>
      <c r="H108" s="120"/>
      <c r="I108" s="120"/>
      <c r="J108" s="120"/>
      <c r="K108" s="120"/>
      <c r="L108" s="120"/>
      <c r="M108" s="121"/>
      <c r="N108" s="121"/>
      <c r="O108" s="121"/>
      <c r="P108" s="126"/>
      <c r="Q108" s="123"/>
      <c r="R108" s="5"/>
      <c r="S108" s="5"/>
      <c r="T108" s="5"/>
      <c r="U108" s="5"/>
      <c r="V108" s="5"/>
      <c r="W108" s="5"/>
      <c r="X108" s="5"/>
      <c r="Y108" s="5"/>
      <c r="Z108" s="117"/>
      <c r="AA108" s="120"/>
      <c r="AB108" s="120"/>
      <c r="AC108" s="120"/>
      <c r="AD108" s="120"/>
      <c r="AE108" s="120"/>
      <c r="AF108" s="120"/>
    </row>
    <row r="109" spans="1:32" s="7" customFormat="1" x14ac:dyDescent="0.2">
      <c r="A109" s="120"/>
      <c r="B109" s="120"/>
      <c r="C109" s="120"/>
      <c r="D109" s="120"/>
      <c r="E109" s="120"/>
      <c r="F109" s="120"/>
      <c r="G109" s="120"/>
      <c r="H109" s="120"/>
      <c r="I109" s="120"/>
      <c r="J109" s="120"/>
      <c r="K109" s="120"/>
      <c r="L109" s="120"/>
      <c r="M109" s="121"/>
      <c r="N109" s="121"/>
      <c r="O109" s="121"/>
      <c r="P109" s="126"/>
      <c r="Q109" s="123"/>
      <c r="R109" s="5"/>
      <c r="S109" s="5"/>
      <c r="T109" s="5"/>
      <c r="U109" s="5"/>
      <c r="V109" s="5"/>
      <c r="W109" s="5"/>
      <c r="X109" s="5"/>
      <c r="Y109" s="5"/>
      <c r="Z109" s="117"/>
      <c r="AA109" s="120"/>
      <c r="AB109" s="120"/>
      <c r="AC109" s="120"/>
      <c r="AD109" s="120"/>
      <c r="AE109" s="120"/>
      <c r="AF109" s="120"/>
    </row>
    <row r="110" spans="1:32" s="7" customFormat="1" x14ac:dyDescent="0.2">
      <c r="A110" s="120"/>
      <c r="B110" s="120"/>
      <c r="C110" s="120"/>
      <c r="D110" s="120"/>
      <c r="E110" s="120"/>
      <c r="F110" s="120"/>
      <c r="G110" s="120"/>
      <c r="H110" s="120"/>
      <c r="I110" s="120"/>
      <c r="J110" s="120"/>
      <c r="K110" s="120"/>
      <c r="L110" s="120"/>
      <c r="M110" s="121"/>
      <c r="N110" s="121"/>
      <c r="O110" s="121"/>
      <c r="P110" s="126"/>
      <c r="Q110" s="123"/>
      <c r="R110" s="5"/>
      <c r="S110" s="5"/>
      <c r="T110" s="5"/>
      <c r="U110" s="5"/>
      <c r="V110" s="5"/>
      <c r="W110" s="5"/>
      <c r="X110" s="5"/>
      <c r="Y110" s="5"/>
      <c r="Z110" s="117"/>
      <c r="AA110" s="120"/>
      <c r="AB110" s="120"/>
      <c r="AC110" s="120"/>
      <c r="AD110" s="120"/>
      <c r="AE110" s="120"/>
      <c r="AF110" s="120"/>
    </row>
    <row r="111" spans="1:32" s="7" customFormat="1" x14ac:dyDescent="0.2">
      <c r="A111" s="120"/>
      <c r="B111" s="120"/>
      <c r="C111" s="120"/>
      <c r="D111" s="120"/>
      <c r="E111" s="120"/>
      <c r="F111" s="120"/>
      <c r="G111" s="120"/>
      <c r="H111" s="120"/>
      <c r="I111" s="120"/>
      <c r="J111" s="120"/>
      <c r="K111" s="120"/>
      <c r="L111" s="120"/>
      <c r="M111" s="121"/>
      <c r="N111" s="121"/>
      <c r="O111" s="121"/>
      <c r="P111" s="126"/>
      <c r="Q111" s="123"/>
      <c r="R111" s="5"/>
      <c r="S111" s="5"/>
      <c r="T111" s="5"/>
      <c r="U111" s="5"/>
      <c r="V111" s="5"/>
      <c r="W111" s="5"/>
      <c r="X111" s="5"/>
      <c r="Y111" s="5"/>
      <c r="Z111" s="117"/>
      <c r="AA111" s="120"/>
      <c r="AB111" s="120"/>
      <c r="AC111" s="120"/>
      <c r="AD111" s="120"/>
      <c r="AE111" s="120"/>
      <c r="AF111" s="120"/>
    </row>
    <row r="112" spans="1:32" s="7" customFormat="1" x14ac:dyDescent="0.2">
      <c r="A112" s="120"/>
      <c r="B112" s="120"/>
      <c r="C112" s="120"/>
      <c r="D112" s="120"/>
      <c r="E112" s="120"/>
      <c r="F112" s="120"/>
      <c r="G112" s="120"/>
      <c r="H112" s="120"/>
      <c r="I112" s="120"/>
      <c r="J112" s="120"/>
      <c r="K112" s="120"/>
      <c r="L112" s="120"/>
      <c r="M112" s="121"/>
      <c r="N112" s="121"/>
      <c r="O112" s="121"/>
      <c r="P112" s="126"/>
      <c r="Q112" s="123"/>
      <c r="R112" s="5"/>
      <c r="S112" s="5"/>
      <c r="T112" s="5"/>
      <c r="U112" s="5"/>
      <c r="V112" s="5"/>
      <c r="W112" s="5"/>
      <c r="X112" s="5"/>
      <c r="Y112" s="5"/>
      <c r="Z112" s="117"/>
      <c r="AA112" s="120"/>
      <c r="AB112" s="120"/>
      <c r="AC112" s="120"/>
      <c r="AD112" s="120"/>
      <c r="AE112" s="120"/>
      <c r="AF112" s="120"/>
    </row>
    <row r="113" spans="1:32" s="7" customFormat="1" x14ac:dyDescent="0.2">
      <c r="A113" s="120"/>
      <c r="B113" s="120"/>
      <c r="C113" s="120"/>
      <c r="D113" s="120"/>
      <c r="E113" s="120"/>
      <c r="F113" s="120"/>
      <c r="G113" s="120"/>
      <c r="H113" s="120"/>
      <c r="I113" s="120"/>
      <c r="J113" s="120"/>
      <c r="K113" s="120"/>
      <c r="L113" s="120"/>
      <c r="M113" s="121"/>
      <c r="N113" s="121"/>
      <c r="O113" s="121"/>
      <c r="P113" s="126"/>
      <c r="Q113" s="123"/>
      <c r="R113" s="5"/>
      <c r="S113" s="5"/>
      <c r="T113" s="5"/>
      <c r="U113" s="5"/>
      <c r="V113" s="5"/>
      <c r="W113" s="5"/>
      <c r="X113" s="5"/>
      <c r="Y113" s="5"/>
      <c r="Z113" s="117"/>
      <c r="AA113" s="120"/>
      <c r="AB113" s="120"/>
      <c r="AC113" s="120"/>
      <c r="AD113" s="120"/>
      <c r="AE113" s="120"/>
      <c r="AF113" s="120"/>
    </row>
    <row r="114" spans="1:32" s="7" customFormat="1" x14ac:dyDescent="0.2">
      <c r="A114" s="120"/>
      <c r="B114" s="120"/>
      <c r="C114" s="120"/>
      <c r="D114" s="120"/>
      <c r="E114" s="120"/>
      <c r="F114" s="120"/>
      <c r="G114" s="120"/>
      <c r="H114" s="120"/>
      <c r="I114" s="120"/>
      <c r="J114" s="120"/>
      <c r="K114" s="120"/>
      <c r="L114" s="120"/>
      <c r="M114" s="121"/>
      <c r="N114" s="121"/>
      <c r="O114" s="121"/>
      <c r="P114" s="126"/>
      <c r="Q114" s="123"/>
      <c r="R114" s="5"/>
      <c r="S114" s="5"/>
      <c r="T114" s="5"/>
      <c r="U114" s="5"/>
      <c r="V114" s="5"/>
      <c r="W114" s="5"/>
      <c r="X114" s="5"/>
      <c r="Y114" s="5"/>
      <c r="Z114" s="117"/>
      <c r="AA114" s="120"/>
      <c r="AB114" s="120"/>
      <c r="AC114" s="120"/>
      <c r="AD114" s="120"/>
      <c r="AE114" s="120"/>
      <c r="AF114" s="120"/>
    </row>
    <row r="115" spans="1:32" s="7" customFormat="1" x14ac:dyDescent="0.2">
      <c r="A115" s="120"/>
      <c r="B115" s="120"/>
      <c r="C115" s="120"/>
      <c r="D115" s="120"/>
      <c r="E115" s="120"/>
      <c r="F115" s="120"/>
      <c r="G115" s="120"/>
      <c r="H115" s="120"/>
      <c r="I115" s="120"/>
      <c r="J115" s="120"/>
      <c r="K115" s="120"/>
      <c r="L115" s="120"/>
      <c r="M115" s="121"/>
      <c r="N115" s="121"/>
      <c r="O115" s="121"/>
      <c r="P115" s="126"/>
      <c r="Q115" s="123"/>
      <c r="R115" s="5"/>
      <c r="S115" s="5"/>
      <c r="T115" s="5"/>
      <c r="U115" s="5"/>
      <c r="V115" s="5"/>
      <c r="W115" s="5"/>
      <c r="X115" s="5"/>
      <c r="Y115" s="5"/>
      <c r="Z115" s="117"/>
      <c r="AA115" s="120"/>
      <c r="AB115" s="120"/>
      <c r="AC115" s="120"/>
      <c r="AD115" s="120"/>
      <c r="AE115" s="120"/>
      <c r="AF115" s="120"/>
    </row>
    <row r="116" spans="1:32" s="7" customFormat="1" x14ac:dyDescent="0.2">
      <c r="A116" s="120"/>
      <c r="B116" s="120"/>
      <c r="C116" s="120"/>
      <c r="D116" s="120"/>
      <c r="E116" s="120"/>
      <c r="F116" s="120"/>
      <c r="G116" s="120"/>
      <c r="H116" s="120"/>
      <c r="I116" s="120"/>
      <c r="J116" s="120"/>
      <c r="K116" s="120"/>
      <c r="L116" s="120"/>
      <c r="M116" s="121"/>
      <c r="N116" s="121"/>
      <c r="O116" s="121"/>
      <c r="P116" s="126"/>
      <c r="Q116" s="123"/>
      <c r="R116" s="5"/>
      <c r="S116" s="5"/>
      <c r="T116" s="5"/>
      <c r="U116" s="5"/>
      <c r="V116" s="5"/>
      <c r="W116" s="5"/>
      <c r="X116" s="5"/>
      <c r="Y116" s="5"/>
      <c r="Z116" s="117"/>
      <c r="AA116" s="120"/>
      <c r="AB116" s="120"/>
      <c r="AC116" s="120"/>
      <c r="AD116" s="120"/>
      <c r="AE116" s="120"/>
      <c r="AF116" s="120"/>
    </row>
    <row r="117" spans="1:32" s="7" customFormat="1" x14ac:dyDescent="0.2">
      <c r="A117" s="120"/>
      <c r="B117" s="120"/>
      <c r="C117" s="120"/>
      <c r="D117" s="120"/>
      <c r="E117" s="120"/>
      <c r="F117" s="120"/>
      <c r="G117" s="120"/>
      <c r="H117" s="120"/>
      <c r="I117" s="120"/>
      <c r="J117" s="120"/>
      <c r="K117" s="120"/>
      <c r="L117" s="120"/>
      <c r="M117" s="121"/>
      <c r="N117" s="121"/>
      <c r="O117" s="121"/>
      <c r="P117" s="126"/>
      <c r="Q117" s="123"/>
      <c r="R117" s="5"/>
      <c r="S117" s="5"/>
      <c r="T117" s="5"/>
      <c r="U117" s="5"/>
      <c r="V117" s="5"/>
      <c r="W117" s="5"/>
      <c r="X117" s="5"/>
      <c r="Y117" s="5"/>
      <c r="Z117" s="117"/>
      <c r="AA117" s="120"/>
      <c r="AB117" s="120"/>
      <c r="AC117" s="120"/>
      <c r="AD117" s="120"/>
      <c r="AE117" s="120"/>
      <c r="AF117" s="120"/>
    </row>
    <row r="118" spans="1:32" s="7" customFormat="1" x14ac:dyDescent="0.2">
      <c r="A118" s="120"/>
      <c r="B118" s="120"/>
      <c r="C118" s="120"/>
      <c r="D118" s="120"/>
      <c r="E118" s="120"/>
      <c r="F118" s="120"/>
      <c r="G118" s="120"/>
      <c r="H118" s="120"/>
      <c r="I118" s="120"/>
      <c r="J118" s="120"/>
      <c r="K118" s="120"/>
      <c r="L118" s="120"/>
      <c r="M118" s="121"/>
      <c r="N118" s="121"/>
      <c r="O118" s="121"/>
      <c r="P118" s="126"/>
      <c r="Q118" s="123"/>
      <c r="R118" s="5"/>
      <c r="S118" s="5"/>
      <c r="T118" s="5"/>
      <c r="U118" s="5"/>
      <c r="V118" s="5"/>
      <c r="W118" s="5"/>
      <c r="X118" s="5"/>
      <c r="Y118" s="5"/>
      <c r="Z118" s="117"/>
      <c r="AA118" s="120"/>
      <c r="AB118" s="120"/>
      <c r="AC118" s="120"/>
      <c r="AD118" s="120"/>
      <c r="AE118" s="120"/>
      <c r="AF118" s="120"/>
    </row>
    <row r="119" spans="1:32" s="7" customFormat="1" x14ac:dyDescent="0.2">
      <c r="A119" s="120"/>
      <c r="B119" s="120"/>
      <c r="C119" s="120"/>
      <c r="D119" s="120"/>
      <c r="E119" s="120"/>
      <c r="F119" s="120"/>
      <c r="G119" s="120"/>
      <c r="H119" s="120"/>
      <c r="I119" s="120"/>
      <c r="J119" s="120"/>
      <c r="K119" s="120"/>
      <c r="L119" s="120"/>
      <c r="M119" s="121"/>
      <c r="N119" s="121"/>
      <c r="O119" s="121"/>
      <c r="P119" s="126"/>
      <c r="Q119" s="123"/>
      <c r="R119" s="5"/>
      <c r="S119" s="5"/>
      <c r="T119" s="5"/>
      <c r="U119" s="5"/>
      <c r="V119" s="5"/>
      <c r="W119" s="5"/>
      <c r="X119" s="5"/>
      <c r="Y119" s="5"/>
      <c r="Z119" s="117"/>
      <c r="AA119" s="120"/>
      <c r="AB119" s="120"/>
      <c r="AC119" s="120"/>
      <c r="AD119" s="120"/>
      <c r="AE119" s="120"/>
      <c r="AF119" s="120"/>
    </row>
    <row r="120" spans="1:32" s="7" customFormat="1" x14ac:dyDescent="0.2">
      <c r="A120" s="120"/>
      <c r="B120" s="120"/>
      <c r="C120" s="120"/>
      <c r="D120" s="120"/>
      <c r="E120" s="120"/>
      <c r="F120" s="120"/>
      <c r="G120" s="120"/>
      <c r="H120" s="120"/>
      <c r="I120" s="120"/>
      <c r="J120" s="120"/>
      <c r="K120" s="120"/>
      <c r="L120" s="120"/>
      <c r="M120" s="121"/>
      <c r="N120" s="121"/>
      <c r="O120" s="121"/>
      <c r="P120" s="126"/>
      <c r="Q120" s="123"/>
      <c r="R120" s="5"/>
      <c r="S120" s="5"/>
      <c r="T120" s="5"/>
      <c r="U120" s="5"/>
      <c r="V120" s="5"/>
      <c r="W120" s="5"/>
      <c r="X120" s="5"/>
      <c r="Y120" s="5"/>
      <c r="Z120" s="117"/>
      <c r="AA120" s="120"/>
      <c r="AB120" s="120"/>
      <c r="AC120" s="120"/>
      <c r="AD120" s="120"/>
      <c r="AE120" s="120"/>
      <c r="AF120" s="120"/>
    </row>
    <row r="121" spans="1:32" s="7" customFormat="1" x14ac:dyDescent="0.2">
      <c r="A121" s="120"/>
      <c r="B121" s="120"/>
      <c r="C121" s="120"/>
      <c r="D121" s="120"/>
      <c r="E121" s="120"/>
      <c r="F121" s="120"/>
      <c r="G121" s="120"/>
      <c r="H121" s="120"/>
      <c r="I121" s="120"/>
      <c r="J121" s="120"/>
      <c r="K121" s="120"/>
      <c r="L121" s="120"/>
      <c r="M121" s="121"/>
      <c r="N121" s="121"/>
      <c r="O121" s="121"/>
      <c r="P121" s="126"/>
      <c r="Q121" s="123"/>
      <c r="R121" s="5"/>
      <c r="S121" s="5"/>
      <c r="T121" s="5"/>
      <c r="U121" s="5"/>
      <c r="V121" s="5"/>
      <c r="W121" s="5"/>
      <c r="X121" s="5"/>
      <c r="Y121" s="5"/>
      <c r="Z121" s="117"/>
      <c r="AA121" s="120"/>
      <c r="AB121" s="120"/>
      <c r="AC121" s="120"/>
      <c r="AD121" s="120"/>
      <c r="AE121" s="120"/>
      <c r="AF121" s="120"/>
    </row>
    <row r="122" spans="1:32" s="7" customFormat="1" x14ac:dyDescent="0.2">
      <c r="A122" s="120"/>
      <c r="B122" s="120"/>
      <c r="C122" s="120"/>
      <c r="D122" s="120"/>
      <c r="E122" s="120"/>
      <c r="F122" s="120"/>
      <c r="G122" s="120"/>
      <c r="H122" s="120"/>
      <c r="I122" s="120"/>
      <c r="J122" s="120"/>
      <c r="K122" s="120"/>
      <c r="L122" s="120"/>
      <c r="M122" s="121"/>
      <c r="N122" s="121"/>
      <c r="O122" s="121"/>
      <c r="P122" s="126"/>
      <c r="Q122" s="123"/>
      <c r="R122" s="5"/>
      <c r="S122" s="5"/>
      <c r="T122" s="5"/>
      <c r="U122" s="5"/>
      <c r="V122" s="5"/>
      <c r="W122" s="5"/>
      <c r="X122" s="5"/>
      <c r="Y122" s="5"/>
      <c r="Z122" s="117"/>
      <c r="AA122" s="120"/>
      <c r="AB122" s="120"/>
      <c r="AC122" s="120"/>
      <c r="AD122" s="120"/>
      <c r="AE122" s="120"/>
      <c r="AF122" s="120"/>
    </row>
    <row r="123" spans="1:32" s="7" customFormat="1" x14ac:dyDescent="0.2">
      <c r="A123" s="120"/>
      <c r="B123" s="120"/>
      <c r="C123" s="120"/>
      <c r="D123" s="120"/>
      <c r="E123" s="120"/>
      <c r="F123" s="120"/>
      <c r="G123" s="120"/>
      <c r="H123" s="120"/>
      <c r="I123" s="120"/>
      <c r="J123" s="120"/>
      <c r="K123" s="120"/>
      <c r="L123" s="120"/>
      <c r="M123" s="121"/>
      <c r="N123" s="121"/>
      <c r="O123" s="121"/>
      <c r="P123" s="126"/>
      <c r="Q123" s="123"/>
      <c r="R123" s="5"/>
      <c r="S123" s="5"/>
      <c r="T123" s="5"/>
      <c r="U123" s="5"/>
      <c r="V123" s="5"/>
      <c r="W123" s="5"/>
      <c r="X123" s="5"/>
      <c r="Y123" s="5"/>
      <c r="Z123" s="117"/>
      <c r="AA123" s="120"/>
      <c r="AB123" s="120"/>
      <c r="AC123" s="120"/>
      <c r="AD123" s="120"/>
      <c r="AE123" s="120"/>
      <c r="AF123" s="120"/>
    </row>
    <row r="124" spans="1:32" s="7" customFormat="1" x14ac:dyDescent="0.2">
      <c r="A124" s="120"/>
      <c r="B124" s="120"/>
      <c r="C124" s="120"/>
      <c r="D124" s="120"/>
      <c r="E124" s="120"/>
      <c r="F124" s="120"/>
      <c r="G124" s="120"/>
      <c r="H124" s="120"/>
      <c r="I124" s="120"/>
      <c r="J124" s="120"/>
      <c r="K124" s="120"/>
      <c r="L124" s="120"/>
      <c r="M124" s="121"/>
      <c r="N124" s="121"/>
      <c r="O124" s="121"/>
      <c r="P124" s="126"/>
      <c r="Q124" s="123"/>
      <c r="R124" s="5"/>
      <c r="S124" s="5"/>
      <c r="T124" s="5"/>
      <c r="U124" s="5"/>
      <c r="V124" s="5"/>
      <c r="W124" s="5"/>
      <c r="X124" s="5"/>
      <c r="Y124" s="5"/>
      <c r="Z124" s="117"/>
      <c r="AA124" s="120"/>
      <c r="AB124" s="120"/>
      <c r="AC124" s="120"/>
      <c r="AD124" s="120"/>
      <c r="AE124" s="120"/>
      <c r="AF124" s="120"/>
    </row>
    <row r="125" spans="1:32" s="7" customFormat="1" x14ac:dyDescent="0.2">
      <c r="A125" s="120"/>
      <c r="B125" s="120"/>
      <c r="C125" s="120"/>
      <c r="D125" s="120"/>
      <c r="E125" s="120"/>
      <c r="F125" s="120"/>
      <c r="G125" s="120"/>
      <c r="H125" s="120"/>
      <c r="I125" s="120"/>
      <c r="J125" s="120"/>
      <c r="K125" s="120"/>
      <c r="L125" s="120"/>
      <c r="M125" s="121"/>
      <c r="N125" s="121"/>
      <c r="O125" s="121"/>
      <c r="P125" s="126"/>
      <c r="Q125" s="123"/>
      <c r="R125" s="5"/>
      <c r="S125" s="5"/>
      <c r="T125" s="5"/>
      <c r="U125" s="5"/>
      <c r="V125" s="5"/>
      <c r="W125" s="5"/>
      <c r="X125" s="5"/>
      <c r="Y125" s="5"/>
      <c r="Z125" s="117"/>
      <c r="AA125" s="120"/>
      <c r="AB125" s="120"/>
      <c r="AC125" s="120"/>
      <c r="AD125" s="120"/>
      <c r="AE125" s="120"/>
      <c r="AF125" s="120"/>
    </row>
    <row r="126" spans="1:32" s="7" customFormat="1" x14ac:dyDescent="0.2">
      <c r="A126" s="120"/>
      <c r="B126" s="120"/>
      <c r="C126" s="120"/>
      <c r="D126" s="120"/>
      <c r="E126" s="120"/>
      <c r="F126" s="120"/>
      <c r="G126" s="120"/>
      <c r="H126" s="120"/>
      <c r="I126" s="120"/>
      <c r="J126" s="120"/>
      <c r="K126" s="120"/>
      <c r="L126" s="120"/>
      <c r="M126" s="121"/>
      <c r="N126" s="121"/>
      <c r="O126" s="121"/>
      <c r="P126" s="126"/>
      <c r="Q126" s="123"/>
      <c r="R126" s="5"/>
      <c r="S126" s="5"/>
      <c r="T126" s="5"/>
      <c r="U126" s="5"/>
      <c r="V126" s="5"/>
      <c r="W126" s="5"/>
      <c r="X126" s="5"/>
      <c r="Y126" s="5"/>
      <c r="Z126" s="117"/>
      <c r="AA126" s="120"/>
      <c r="AB126" s="120"/>
      <c r="AC126" s="120"/>
      <c r="AD126" s="120"/>
      <c r="AE126" s="120"/>
      <c r="AF126" s="120"/>
    </row>
    <row r="127" spans="1:32" s="7" customFormat="1" x14ac:dyDescent="0.2">
      <c r="A127" s="120"/>
      <c r="B127" s="120"/>
      <c r="C127" s="120"/>
      <c r="D127" s="120"/>
      <c r="E127" s="120"/>
      <c r="F127" s="120"/>
      <c r="G127" s="120"/>
      <c r="H127" s="120"/>
      <c r="I127" s="120"/>
      <c r="J127" s="120"/>
      <c r="K127" s="120"/>
      <c r="L127" s="120"/>
      <c r="M127" s="121"/>
      <c r="N127" s="121"/>
      <c r="O127" s="121"/>
      <c r="P127" s="126"/>
      <c r="Q127" s="123"/>
      <c r="R127" s="5"/>
      <c r="S127" s="5"/>
      <c r="T127" s="5"/>
      <c r="U127" s="5"/>
      <c r="V127" s="5"/>
      <c r="W127" s="5"/>
      <c r="X127" s="5"/>
      <c r="Y127" s="5"/>
      <c r="Z127" s="117"/>
      <c r="AA127" s="120"/>
      <c r="AB127" s="120"/>
      <c r="AC127" s="120"/>
      <c r="AD127" s="120"/>
      <c r="AE127" s="120"/>
      <c r="AF127" s="120"/>
    </row>
    <row r="128" spans="1:32" s="7" customFormat="1" x14ac:dyDescent="0.2">
      <c r="A128" s="120"/>
      <c r="B128" s="120"/>
      <c r="C128" s="120"/>
      <c r="D128" s="120"/>
      <c r="E128" s="120"/>
      <c r="F128" s="120"/>
      <c r="G128" s="120"/>
      <c r="H128" s="120"/>
      <c r="I128" s="120"/>
      <c r="J128" s="120"/>
      <c r="K128" s="120"/>
      <c r="L128" s="120"/>
      <c r="M128" s="121"/>
      <c r="N128" s="121"/>
      <c r="O128" s="121"/>
      <c r="P128" s="126"/>
      <c r="Q128" s="123"/>
      <c r="R128" s="5"/>
      <c r="S128" s="5"/>
      <c r="T128" s="5"/>
      <c r="U128" s="5"/>
      <c r="V128" s="5"/>
      <c r="W128" s="5"/>
      <c r="X128" s="5"/>
      <c r="Y128" s="5"/>
      <c r="Z128" s="117"/>
      <c r="AA128" s="120"/>
      <c r="AB128" s="120"/>
      <c r="AC128" s="120"/>
      <c r="AD128" s="120"/>
      <c r="AE128" s="120"/>
      <c r="AF128" s="120"/>
    </row>
    <row r="129" spans="1:32" s="7" customFormat="1" x14ac:dyDescent="0.2">
      <c r="A129" s="120"/>
      <c r="B129" s="120"/>
      <c r="C129" s="120"/>
      <c r="D129" s="120"/>
      <c r="E129" s="120"/>
      <c r="F129" s="120"/>
      <c r="G129" s="120"/>
      <c r="H129" s="120"/>
      <c r="I129" s="120"/>
      <c r="J129" s="120"/>
      <c r="K129" s="120"/>
      <c r="L129" s="120"/>
      <c r="M129" s="121"/>
      <c r="N129" s="121"/>
      <c r="O129" s="121"/>
      <c r="P129" s="126"/>
      <c r="Q129" s="123"/>
      <c r="R129" s="5"/>
      <c r="S129" s="5"/>
      <c r="T129" s="5"/>
      <c r="U129" s="5"/>
      <c r="V129" s="5"/>
      <c r="W129" s="5"/>
      <c r="X129" s="5"/>
      <c r="Y129" s="5"/>
      <c r="Z129" s="117"/>
      <c r="AA129" s="120"/>
      <c r="AB129" s="120"/>
      <c r="AC129" s="120"/>
      <c r="AD129" s="120"/>
      <c r="AE129" s="120"/>
      <c r="AF129" s="120"/>
    </row>
    <row r="130" spans="1:32" s="7" customFormat="1" x14ac:dyDescent="0.2">
      <c r="A130" s="120"/>
      <c r="B130" s="120"/>
      <c r="C130" s="120"/>
      <c r="D130" s="120"/>
      <c r="E130" s="120"/>
      <c r="F130" s="120"/>
      <c r="G130" s="120"/>
      <c r="H130" s="120"/>
      <c r="I130" s="120"/>
      <c r="J130" s="120"/>
      <c r="K130" s="120"/>
      <c r="L130" s="120"/>
      <c r="M130" s="121"/>
      <c r="N130" s="121"/>
      <c r="O130" s="121"/>
      <c r="P130" s="126"/>
      <c r="Q130" s="123"/>
      <c r="R130" s="5"/>
      <c r="S130" s="5"/>
      <c r="T130" s="5"/>
      <c r="U130" s="5"/>
      <c r="V130" s="5"/>
      <c r="W130" s="5"/>
      <c r="X130" s="5"/>
      <c r="Y130" s="5"/>
      <c r="Z130" s="117"/>
      <c r="AA130" s="120"/>
      <c r="AB130" s="120"/>
      <c r="AC130" s="120"/>
      <c r="AD130" s="120"/>
      <c r="AE130" s="120"/>
      <c r="AF130" s="120"/>
    </row>
    <row r="131" spans="1:32" s="7" customFormat="1" x14ac:dyDescent="0.2">
      <c r="A131" s="120"/>
      <c r="B131" s="120"/>
      <c r="C131" s="120"/>
      <c r="D131" s="120"/>
      <c r="E131" s="120"/>
      <c r="F131" s="120"/>
      <c r="G131" s="120"/>
      <c r="H131" s="120"/>
      <c r="I131" s="120"/>
      <c r="J131" s="120"/>
      <c r="K131" s="120"/>
      <c r="L131" s="120"/>
      <c r="M131" s="121"/>
      <c r="N131" s="121"/>
      <c r="O131" s="121"/>
      <c r="P131" s="126"/>
      <c r="Q131" s="123"/>
      <c r="R131" s="5"/>
      <c r="S131" s="5"/>
      <c r="T131" s="5"/>
      <c r="U131" s="5"/>
      <c r="V131" s="5"/>
      <c r="W131" s="5"/>
      <c r="X131" s="5"/>
      <c r="Y131" s="5"/>
      <c r="Z131" s="117"/>
      <c r="AA131" s="120"/>
      <c r="AB131" s="120"/>
      <c r="AC131" s="120"/>
      <c r="AD131" s="120"/>
      <c r="AE131" s="120"/>
      <c r="AF131" s="120"/>
    </row>
    <row r="132" spans="1:32" s="7" customFormat="1" x14ac:dyDescent="0.2">
      <c r="A132" s="120"/>
      <c r="B132" s="120"/>
      <c r="C132" s="120"/>
      <c r="D132" s="120"/>
      <c r="E132" s="120"/>
      <c r="F132" s="120"/>
      <c r="G132" s="120"/>
      <c r="H132" s="120"/>
      <c r="I132" s="120"/>
      <c r="J132" s="120"/>
      <c r="K132" s="120"/>
      <c r="L132" s="120"/>
      <c r="M132" s="121"/>
      <c r="N132" s="121"/>
      <c r="O132" s="121"/>
      <c r="P132" s="126"/>
      <c r="Q132" s="123"/>
      <c r="R132" s="5"/>
      <c r="S132" s="5"/>
      <c r="T132" s="5"/>
      <c r="U132" s="5"/>
      <c r="V132" s="5"/>
      <c r="W132" s="5"/>
      <c r="X132" s="5"/>
      <c r="Y132" s="5"/>
      <c r="Z132" s="117"/>
      <c r="AA132" s="120"/>
      <c r="AB132" s="120"/>
      <c r="AC132" s="120"/>
      <c r="AD132" s="120"/>
      <c r="AE132" s="120"/>
      <c r="AF132" s="120"/>
    </row>
    <row r="133" spans="1:32" s="7" customFormat="1" x14ac:dyDescent="0.2">
      <c r="A133" s="120"/>
      <c r="B133" s="120"/>
      <c r="C133" s="120"/>
      <c r="D133" s="120"/>
      <c r="E133" s="120"/>
      <c r="F133" s="120"/>
      <c r="G133" s="120"/>
      <c r="H133" s="120"/>
      <c r="I133" s="120"/>
      <c r="J133" s="120"/>
      <c r="K133" s="120"/>
      <c r="L133" s="120"/>
      <c r="M133" s="121"/>
      <c r="N133" s="121"/>
      <c r="O133" s="121"/>
      <c r="P133" s="126"/>
      <c r="Q133" s="123"/>
      <c r="R133" s="5"/>
      <c r="S133" s="5"/>
      <c r="T133" s="5"/>
      <c r="U133" s="5"/>
      <c r="V133" s="5"/>
      <c r="W133" s="5"/>
      <c r="X133" s="5"/>
      <c r="Y133" s="5"/>
      <c r="Z133" s="117"/>
      <c r="AA133" s="120"/>
      <c r="AB133" s="120"/>
      <c r="AC133" s="120"/>
      <c r="AD133" s="120"/>
      <c r="AE133" s="120"/>
      <c r="AF133" s="120"/>
    </row>
    <row r="134" spans="1:32" s="7" customFormat="1" x14ac:dyDescent="0.2">
      <c r="A134" s="120"/>
      <c r="B134" s="120"/>
      <c r="C134" s="120"/>
      <c r="D134" s="120"/>
      <c r="E134" s="120"/>
      <c r="F134" s="120"/>
      <c r="G134" s="120"/>
      <c r="H134" s="120"/>
      <c r="I134" s="120"/>
      <c r="J134" s="120"/>
      <c r="K134" s="120"/>
      <c r="L134" s="120"/>
      <c r="M134" s="121"/>
      <c r="N134" s="121"/>
      <c r="O134" s="121"/>
      <c r="P134" s="126"/>
      <c r="Q134" s="123"/>
      <c r="R134" s="5"/>
      <c r="S134" s="5"/>
      <c r="T134" s="5"/>
      <c r="U134" s="5"/>
      <c r="V134" s="5"/>
      <c r="W134" s="5"/>
      <c r="X134" s="5"/>
      <c r="Y134" s="5"/>
      <c r="Z134" s="117"/>
      <c r="AA134" s="120"/>
      <c r="AB134" s="120"/>
      <c r="AC134" s="120"/>
      <c r="AD134" s="120"/>
      <c r="AE134" s="120"/>
      <c r="AF134" s="120"/>
    </row>
    <row r="135" spans="1:32" s="7" customFormat="1" x14ac:dyDescent="0.2">
      <c r="A135" s="120"/>
      <c r="B135" s="120"/>
      <c r="C135" s="120"/>
      <c r="D135" s="120"/>
      <c r="E135" s="120"/>
      <c r="F135" s="120"/>
      <c r="G135" s="120"/>
      <c r="H135" s="120"/>
      <c r="I135" s="120"/>
      <c r="J135" s="120"/>
      <c r="K135" s="120"/>
      <c r="L135" s="120"/>
      <c r="M135" s="121"/>
      <c r="N135" s="121"/>
      <c r="O135" s="121"/>
      <c r="P135" s="126"/>
      <c r="Q135" s="123"/>
      <c r="R135" s="5"/>
      <c r="S135" s="5"/>
      <c r="T135" s="5"/>
      <c r="U135" s="5"/>
      <c r="V135" s="5"/>
      <c r="W135" s="5"/>
      <c r="X135" s="5"/>
      <c r="Y135" s="5"/>
      <c r="Z135" s="117"/>
      <c r="AA135" s="120"/>
      <c r="AB135" s="120"/>
      <c r="AC135" s="120"/>
      <c r="AD135" s="120"/>
      <c r="AE135" s="120"/>
      <c r="AF135" s="120"/>
    </row>
    <row r="136" spans="1:32" s="7" customFormat="1" x14ac:dyDescent="0.2">
      <c r="A136" s="120"/>
      <c r="B136" s="120"/>
      <c r="C136" s="120"/>
      <c r="D136" s="120"/>
      <c r="E136" s="120"/>
      <c r="F136" s="120"/>
      <c r="G136" s="120"/>
      <c r="H136" s="120"/>
      <c r="I136" s="120"/>
      <c r="J136" s="120"/>
      <c r="K136" s="120"/>
      <c r="L136" s="120"/>
      <c r="M136" s="121"/>
      <c r="N136" s="121"/>
      <c r="O136" s="121"/>
      <c r="P136" s="126"/>
      <c r="Q136" s="123"/>
      <c r="R136" s="5"/>
      <c r="S136" s="5"/>
      <c r="T136" s="5"/>
      <c r="U136" s="5"/>
      <c r="V136" s="5"/>
      <c r="W136" s="5"/>
      <c r="X136" s="5"/>
      <c r="Y136" s="5"/>
      <c r="Z136" s="117"/>
      <c r="AA136" s="120"/>
      <c r="AB136" s="120"/>
      <c r="AC136" s="120"/>
      <c r="AD136" s="120"/>
      <c r="AE136" s="120"/>
      <c r="AF136" s="120"/>
    </row>
    <row r="137" spans="1:32" s="7" customFormat="1" x14ac:dyDescent="0.2">
      <c r="A137" s="120"/>
      <c r="B137" s="120"/>
      <c r="C137" s="120"/>
      <c r="D137" s="120"/>
      <c r="E137" s="120"/>
      <c r="F137" s="120"/>
      <c r="G137" s="120"/>
      <c r="H137" s="120"/>
      <c r="I137" s="120"/>
      <c r="J137" s="120"/>
      <c r="K137" s="120"/>
      <c r="L137" s="120"/>
      <c r="M137" s="121"/>
      <c r="N137" s="121"/>
      <c r="O137" s="121"/>
      <c r="P137" s="126"/>
      <c r="Q137" s="123"/>
      <c r="R137" s="5"/>
      <c r="S137" s="5"/>
      <c r="T137" s="5"/>
      <c r="U137" s="5"/>
      <c r="V137" s="5"/>
      <c r="W137" s="5"/>
      <c r="X137" s="5"/>
      <c r="Y137" s="5"/>
      <c r="Z137" s="117"/>
      <c r="AA137" s="120"/>
      <c r="AB137" s="120"/>
      <c r="AC137" s="120"/>
      <c r="AD137" s="120"/>
      <c r="AE137" s="120"/>
      <c r="AF137" s="120"/>
    </row>
    <row r="138" spans="1:32" s="7" customFormat="1" x14ac:dyDescent="0.2">
      <c r="A138" s="120"/>
      <c r="B138" s="120"/>
      <c r="C138" s="120"/>
      <c r="D138" s="120"/>
      <c r="E138" s="120"/>
      <c r="F138" s="120"/>
      <c r="G138" s="120"/>
      <c r="H138" s="120"/>
      <c r="I138" s="120"/>
      <c r="J138" s="120"/>
      <c r="K138" s="120"/>
      <c r="L138" s="120"/>
      <c r="M138" s="121"/>
      <c r="N138" s="121"/>
      <c r="O138" s="121"/>
      <c r="P138" s="126"/>
      <c r="Q138" s="123"/>
      <c r="R138" s="5"/>
      <c r="S138" s="5"/>
      <c r="T138" s="5"/>
      <c r="U138" s="5"/>
      <c r="V138" s="5"/>
      <c r="W138" s="5"/>
      <c r="X138" s="5"/>
      <c r="Y138" s="5"/>
      <c r="Z138" s="117"/>
      <c r="AA138" s="120"/>
      <c r="AB138" s="120"/>
      <c r="AC138" s="120"/>
      <c r="AD138" s="120"/>
      <c r="AE138" s="120"/>
      <c r="AF138" s="120"/>
    </row>
    <row r="139" spans="1:32" s="7" customFormat="1" x14ac:dyDescent="0.2">
      <c r="A139" s="120"/>
      <c r="B139" s="120"/>
      <c r="C139" s="120"/>
      <c r="D139" s="120"/>
      <c r="E139" s="120"/>
      <c r="F139" s="120"/>
      <c r="G139" s="120"/>
      <c r="H139" s="120"/>
      <c r="I139" s="120"/>
      <c r="J139" s="120"/>
      <c r="K139" s="120"/>
      <c r="L139" s="120"/>
      <c r="M139" s="121"/>
      <c r="N139" s="121"/>
      <c r="O139" s="121"/>
      <c r="P139" s="126"/>
      <c r="Q139" s="123"/>
      <c r="R139" s="5"/>
      <c r="S139" s="5"/>
      <c r="T139" s="5"/>
      <c r="U139" s="5"/>
      <c r="V139" s="5"/>
      <c r="W139" s="5"/>
      <c r="X139" s="5"/>
      <c r="Y139" s="5"/>
      <c r="Z139" s="117"/>
      <c r="AA139" s="120"/>
      <c r="AB139" s="120"/>
      <c r="AC139" s="120"/>
      <c r="AD139" s="120"/>
      <c r="AE139" s="120"/>
      <c r="AF139" s="120"/>
    </row>
    <row r="140" spans="1:32" s="7" customFormat="1" x14ac:dyDescent="0.2">
      <c r="A140" s="120"/>
      <c r="B140" s="120"/>
      <c r="C140" s="120"/>
      <c r="D140" s="120"/>
      <c r="E140" s="120"/>
      <c r="F140" s="120"/>
      <c r="G140" s="120"/>
      <c r="H140" s="120"/>
      <c r="I140" s="120"/>
      <c r="J140" s="120"/>
      <c r="K140" s="120"/>
      <c r="L140" s="120"/>
      <c r="M140" s="121"/>
      <c r="N140" s="121"/>
      <c r="O140" s="121"/>
      <c r="P140" s="126"/>
      <c r="Q140" s="123"/>
      <c r="R140" s="5"/>
      <c r="S140" s="5"/>
      <c r="T140" s="5"/>
      <c r="U140" s="5"/>
      <c r="V140" s="5"/>
      <c r="W140" s="5"/>
      <c r="X140" s="5"/>
      <c r="Y140" s="5"/>
      <c r="Z140" s="117"/>
      <c r="AA140" s="120"/>
      <c r="AB140" s="120"/>
      <c r="AC140" s="120"/>
      <c r="AD140" s="120"/>
      <c r="AE140" s="120"/>
      <c r="AF140" s="120"/>
    </row>
    <row r="141" spans="1:32" s="7" customFormat="1" x14ac:dyDescent="0.2">
      <c r="A141" s="120"/>
      <c r="B141" s="120"/>
      <c r="C141" s="120"/>
      <c r="D141" s="120"/>
      <c r="E141" s="120"/>
      <c r="F141" s="120"/>
      <c r="G141" s="120"/>
      <c r="H141" s="120"/>
      <c r="I141" s="120"/>
      <c r="J141" s="120"/>
      <c r="K141" s="120"/>
      <c r="L141" s="120"/>
      <c r="M141" s="121"/>
      <c r="N141" s="121"/>
      <c r="O141" s="121"/>
      <c r="P141" s="126"/>
      <c r="Q141" s="123"/>
      <c r="R141" s="5"/>
      <c r="S141" s="5"/>
      <c r="T141" s="5"/>
      <c r="U141" s="5"/>
      <c r="V141" s="5"/>
      <c r="W141" s="5"/>
      <c r="X141" s="5"/>
      <c r="Y141" s="5"/>
      <c r="Z141" s="117"/>
      <c r="AA141" s="120"/>
      <c r="AB141" s="120"/>
      <c r="AC141" s="120"/>
      <c r="AD141" s="120"/>
      <c r="AE141" s="120"/>
      <c r="AF141" s="120"/>
    </row>
    <row r="142" spans="1:32" s="7" customFormat="1" x14ac:dyDescent="0.2">
      <c r="A142" s="120"/>
      <c r="B142" s="120"/>
      <c r="C142" s="120"/>
      <c r="D142" s="120"/>
      <c r="E142" s="120"/>
      <c r="F142" s="120"/>
      <c r="G142" s="120"/>
      <c r="H142" s="120"/>
      <c r="I142" s="120"/>
      <c r="J142" s="120"/>
      <c r="K142" s="120"/>
      <c r="L142" s="120"/>
      <c r="M142" s="121"/>
      <c r="N142" s="121"/>
      <c r="O142" s="121"/>
      <c r="P142" s="126"/>
      <c r="Q142" s="123"/>
      <c r="R142" s="5"/>
      <c r="S142" s="5"/>
      <c r="T142" s="5"/>
      <c r="U142" s="5"/>
      <c r="V142" s="5"/>
      <c r="W142" s="5"/>
      <c r="X142" s="5"/>
      <c r="Y142" s="5"/>
      <c r="Z142" s="117"/>
      <c r="AA142" s="120"/>
      <c r="AB142" s="120"/>
      <c r="AC142" s="120"/>
      <c r="AD142" s="120"/>
      <c r="AE142" s="120"/>
      <c r="AF142" s="120"/>
    </row>
    <row r="143" spans="1:32" s="7" customFormat="1" x14ac:dyDescent="0.2">
      <c r="A143" s="120"/>
      <c r="B143" s="120"/>
      <c r="C143" s="120"/>
      <c r="D143" s="120"/>
      <c r="E143" s="120"/>
      <c r="F143" s="120"/>
      <c r="G143" s="120"/>
      <c r="H143" s="120"/>
      <c r="I143" s="120"/>
      <c r="J143" s="120"/>
      <c r="K143" s="120"/>
      <c r="L143" s="120"/>
      <c r="M143" s="121"/>
      <c r="N143" s="121"/>
      <c r="O143" s="121"/>
      <c r="P143" s="126"/>
      <c r="Q143" s="123"/>
      <c r="R143" s="5"/>
      <c r="S143" s="5"/>
      <c r="T143" s="5"/>
      <c r="U143" s="5"/>
      <c r="V143" s="5"/>
      <c r="W143" s="5"/>
      <c r="X143" s="5"/>
      <c r="Y143" s="5"/>
      <c r="Z143" s="117"/>
      <c r="AA143" s="120"/>
      <c r="AB143" s="120"/>
      <c r="AC143" s="120"/>
      <c r="AD143" s="120"/>
      <c r="AE143" s="120"/>
      <c r="AF143" s="120"/>
    </row>
    <row r="144" spans="1:32" s="7" customFormat="1" x14ac:dyDescent="0.2">
      <c r="A144" s="120"/>
      <c r="B144" s="120"/>
      <c r="C144" s="120"/>
      <c r="D144" s="120"/>
      <c r="E144" s="120"/>
      <c r="F144" s="120"/>
      <c r="G144" s="120"/>
      <c r="H144" s="120"/>
      <c r="I144" s="120"/>
      <c r="J144" s="120"/>
      <c r="K144" s="120"/>
      <c r="L144" s="120"/>
      <c r="M144" s="121"/>
      <c r="N144" s="121"/>
      <c r="O144" s="121"/>
      <c r="P144" s="126"/>
      <c r="Q144" s="123"/>
      <c r="R144" s="5"/>
      <c r="S144" s="5"/>
      <c r="T144" s="5"/>
      <c r="U144" s="5"/>
      <c r="V144" s="5"/>
      <c r="W144" s="5"/>
      <c r="X144" s="5"/>
      <c r="Y144" s="5"/>
      <c r="Z144" s="117"/>
      <c r="AA144" s="120"/>
      <c r="AB144" s="120"/>
      <c r="AC144" s="120"/>
      <c r="AD144" s="120"/>
      <c r="AE144" s="120"/>
      <c r="AF144" s="120"/>
    </row>
    <row r="145" spans="1:32" s="7" customFormat="1" x14ac:dyDescent="0.2">
      <c r="A145" s="120"/>
      <c r="B145" s="120"/>
      <c r="C145" s="120"/>
      <c r="D145" s="120"/>
      <c r="E145" s="120"/>
      <c r="F145" s="120"/>
      <c r="G145" s="120"/>
      <c r="H145" s="120"/>
      <c r="I145" s="120"/>
      <c r="J145" s="120"/>
      <c r="K145" s="120"/>
      <c r="L145" s="120"/>
      <c r="M145" s="121"/>
      <c r="N145" s="121"/>
      <c r="O145" s="121"/>
      <c r="P145" s="126"/>
      <c r="Q145" s="123"/>
      <c r="R145" s="5"/>
      <c r="S145" s="5"/>
      <c r="T145" s="5"/>
      <c r="U145" s="5"/>
      <c r="V145" s="5"/>
      <c r="W145" s="5"/>
      <c r="X145" s="5"/>
      <c r="Y145" s="5"/>
      <c r="Z145" s="117"/>
      <c r="AA145" s="120"/>
      <c r="AB145" s="120"/>
      <c r="AC145" s="120"/>
      <c r="AD145" s="120"/>
      <c r="AE145" s="120"/>
      <c r="AF145" s="120"/>
    </row>
    <row r="146" spans="1:32" s="7" customFormat="1" x14ac:dyDescent="0.2">
      <c r="A146" s="120"/>
      <c r="B146" s="120"/>
      <c r="C146" s="120"/>
      <c r="D146" s="120"/>
      <c r="E146" s="120"/>
      <c r="F146" s="120"/>
      <c r="G146" s="120"/>
      <c r="H146" s="120"/>
      <c r="I146" s="120"/>
      <c r="J146" s="120"/>
      <c r="K146" s="120"/>
      <c r="L146" s="120"/>
      <c r="M146" s="121"/>
      <c r="N146" s="121"/>
      <c r="O146" s="121"/>
      <c r="P146" s="126"/>
      <c r="Q146" s="123"/>
      <c r="R146" s="5"/>
      <c r="S146" s="5"/>
      <c r="T146" s="5"/>
      <c r="U146" s="5"/>
      <c r="V146" s="5"/>
      <c r="W146" s="5"/>
      <c r="X146" s="5"/>
      <c r="Y146" s="5"/>
      <c r="Z146" s="117"/>
      <c r="AA146" s="120"/>
      <c r="AB146" s="120"/>
      <c r="AC146" s="120"/>
      <c r="AD146" s="120"/>
      <c r="AE146" s="120"/>
      <c r="AF146" s="120"/>
    </row>
    <row r="147" spans="1:32" s="7" customFormat="1" x14ac:dyDescent="0.2">
      <c r="A147" s="120"/>
      <c r="B147" s="120"/>
      <c r="C147" s="120"/>
      <c r="D147" s="120"/>
      <c r="E147" s="120"/>
      <c r="F147" s="120"/>
      <c r="G147" s="120"/>
      <c r="H147" s="120"/>
      <c r="I147" s="120"/>
      <c r="J147" s="120"/>
      <c r="K147" s="120"/>
      <c r="L147" s="120"/>
      <c r="M147" s="121"/>
      <c r="N147" s="121"/>
      <c r="O147" s="121"/>
      <c r="P147" s="126"/>
      <c r="Q147" s="123"/>
      <c r="R147" s="5"/>
      <c r="S147" s="5"/>
      <c r="T147" s="5"/>
      <c r="U147" s="5"/>
      <c r="V147" s="5"/>
      <c r="W147" s="5"/>
      <c r="X147" s="5"/>
      <c r="Y147" s="5"/>
      <c r="Z147" s="117"/>
      <c r="AA147" s="120"/>
      <c r="AB147" s="120"/>
      <c r="AC147" s="120"/>
      <c r="AD147" s="120"/>
      <c r="AE147" s="120"/>
      <c r="AF147" s="120"/>
    </row>
    <row r="148" spans="1:32" s="7" customFormat="1" x14ac:dyDescent="0.2">
      <c r="A148" s="120"/>
      <c r="B148" s="120"/>
      <c r="C148" s="120"/>
      <c r="D148" s="120"/>
      <c r="E148" s="120"/>
      <c r="F148" s="120"/>
      <c r="G148" s="120"/>
      <c r="H148" s="120"/>
      <c r="I148" s="120"/>
      <c r="J148" s="120"/>
      <c r="K148" s="120"/>
      <c r="L148" s="120"/>
      <c r="M148" s="121"/>
      <c r="N148" s="121"/>
      <c r="O148" s="121"/>
      <c r="P148" s="126"/>
      <c r="Q148" s="123"/>
      <c r="R148" s="5"/>
      <c r="S148" s="5"/>
      <c r="T148" s="5"/>
      <c r="U148" s="5"/>
      <c r="V148" s="5"/>
      <c r="W148" s="5"/>
      <c r="X148" s="5"/>
      <c r="Y148" s="5"/>
      <c r="Z148" s="117"/>
      <c r="AA148" s="120"/>
      <c r="AB148" s="120"/>
      <c r="AC148" s="120"/>
      <c r="AD148" s="120"/>
      <c r="AE148" s="120"/>
      <c r="AF148" s="120"/>
    </row>
    <row r="149" spans="1:32" s="7" customFormat="1" x14ac:dyDescent="0.2">
      <c r="A149" s="120"/>
      <c r="B149" s="120"/>
      <c r="C149" s="120"/>
      <c r="D149" s="120"/>
      <c r="E149" s="120"/>
      <c r="F149" s="120"/>
      <c r="G149" s="120"/>
      <c r="H149" s="120"/>
      <c r="I149" s="120"/>
      <c r="J149" s="120"/>
      <c r="K149" s="120"/>
      <c r="L149" s="120"/>
      <c r="M149" s="121"/>
      <c r="N149" s="121"/>
      <c r="O149" s="121"/>
      <c r="P149" s="126"/>
      <c r="Q149" s="123"/>
      <c r="R149" s="5"/>
      <c r="S149" s="5"/>
      <c r="T149" s="5"/>
      <c r="U149" s="5"/>
      <c r="V149" s="5"/>
      <c r="W149" s="5"/>
      <c r="X149" s="5"/>
      <c r="Y149" s="5"/>
      <c r="Z149" s="117"/>
      <c r="AA149" s="120"/>
      <c r="AB149" s="120"/>
      <c r="AC149" s="120"/>
      <c r="AD149" s="120"/>
      <c r="AE149" s="120"/>
      <c r="AF149" s="120"/>
    </row>
    <row r="150" spans="1:32" s="7" customFormat="1" x14ac:dyDescent="0.2">
      <c r="A150" s="120"/>
      <c r="B150" s="120"/>
      <c r="C150" s="120"/>
      <c r="D150" s="120"/>
      <c r="E150" s="120"/>
      <c r="F150" s="120"/>
      <c r="G150" s="120"/>
      <c r="H150" s="120"/>
      <c r="I150" s="120"/>
      <c r="J150" s="120"/>
      <c r="K150" s="120"/>
      <c r="L150" s="120"/>
      <c r="M150" s="121"/>
      <c r="N150" s="121"/>
      <c r="O150" s="121"/>
      <c r="P150" s="126"/>
      <c r="Q150" s="123"/>
      <c r="R150" s="5"/>
      <c r="S150" s="5"/>
      <c r="T150" s="5"/>
      <c r="U150" s="5"/>
      <c r="V150" s="5"/>
      <c r="W150" s="5"/>
      <c r="X150" s="5"/>
      <c r="Y150" s="5"/>
      <c r="Z150" s="117"/>
      <c r="AA150" s="120"/>
      <c r="AB150" s="120"/>
      <c r="AC150" s="120"/>
      <c r="AD150" s="120"/>
      <c r="AE150" s="120"/>
      <c r="AF150" s="120"/>
    </row>
    <row r="151" spans="1:32" s="7" customFormat="1" x14ac:dyDescent="0.2">
      <c r="A151" s="120"/>
      <c r="B151" s="120"/>
      <c r="C151" s="120"/>
      <c r="D151" s="120"/>
      <c r="E151" s="120"/>
      <c r="F151" s="120"/>
      <c r="G151" s="120"/>
      <c r="H151" s="120"/>
      <c r="I151" s="120"/>
      <c r="J151" s="120"/>
      <c r="K151" s="120"/>
      <c r="L151" s="120"/>
      <c r="M151" s="121"/>
      <c r="N151" s="121"/>
      <c r="O151" s="121"/>
      <c r="P151" s="126"/>
      <c r="Q151" s="123"/>
      <c r="R151" s="5"/>
      <c r="S151" s="5"/>
      <c r="T151" s="5"/>
      <c r="U151" s="5"/>
      <c r="V151" s="5"/>
      <c r="W151" s="5"/>
      <c r="X151" s="5"/>
      <c r="Y151" s="5"/>
      <c r="Z151" s="117"/>
      <c r="AA151" s="120"/>
      <c r="AB151" s="120"/>
      <c r="AC151" s="120"/>
      <c r="AD151" s="120"/>
      <c r="AE151" s="120"/>
      <c r="AF151" s="120"/>
    </row>
    <row r="152" spans="1:32" s="7" customFormat="1" x14ac:dyDescent="0.2">
      <c r="A152" s="120"/>
      <c r="B152" s="120"/>
      <c r="C152" s="120"/>
      <c r="D152" s="120"/>
      <c r="E152" s="120"/>
      <c r="F152" s="120"/>
      <c r="G152" s="120"/>
      <c r="H152" s="120"/>
      <c r="I152" s="120"/>
      <c r="J152" s="120"/>
      <c r="K152" s="120"/>
      <c r="L152" s="120"/>
      <c r="M152" s="121"/>
      <c r="N152" s="121"/>
      <c r="O152" s="121"/>
      <c r="P152" s="126"/>
      <c r="Q152" s="123"/>
      <c r="R152" s="5"/>
      <c r="S152" s="5"/>
      <c r="T152" s="5"/>
      <c r="U152" s="5"/>
      <c r="V152" s="5"/>
      <c r="W152" s="5"/>
      <c r="X152" s="5"/>
      <c r="Y152" s="5"/>
      <c r="Z152" s="117"/>
      <c r="AA152" s="120"/>
      <c r="AB152" s="120"/>
      <c r="AC152" s="120"/>
      <c r="AD152" s="120"/>
      <c r="AE152" s="120"/>
      <c r="AF152" s="120"/>
    </row>
    <row r="153" spans="1:32" s="7" customFormat="1" x14ac:dyDescent="0.2">
      <c r="A153" s="120"/>
      <c r="B153" s="120"/>
      <c r="C153" s="120"/>
      <c r="D153" s="120"/>
      <c r="E153" s="120"/>
      <c r="F153" s="120"/>
      <c r="G153" s="120"/>
      <c r="H153" s="120"/>
      <c r="I153" s="120"/>
      <c r="J153" s="120"/>
      <c r="K153" s="120"/>
      <c r="L153" s="120"/>
      <c r="M153" s="121"/>
      <c r="N153" s="121"/>
      <c r="O153" s="121"/>
      <c r="P153" s="126"/>
      <c r="Q153" s="123"/>
      <c r="R153" s="5"/>
      <c r="S153" s="5"/>
      <c r="T153" s="5"/>
      <c r="U153" s="5"/>
      <c r="V153" s="5"/>
      <c r="W153" s="5"/>
      <c r="X153" s="5"/>
      <c r="Y153" s="5"/>
      <c r="Z153" s="117"/>
      <c r="AA153" s="120"/>
      <c r="AB153" s="120"/>
      <c r="AC153" s="120"/>
      <c r="AD153" s="120"/>
      <c r="AE153" s="120"/>
      <c r="AF153" s="120"/>
    </row>
    <row r="154" spans="1:32" s="7" customFormat="1" x14ac:dyDescent="0.2">
      <c r="A154" s="120"/>
      <c r="B154" s="120"/>
      <c r="C154" s="120"/>
      <c r="D154" s="120"/>
      <c r="E154" s="120"/>
      <c r="F154" s="120"/>
      <c r="G154" s="120"/>
      <c r="H154" s="120"/>
      <c r="I154" s="120"/>
      <c r="J154" s="120"/>
      <c r="K154" s="120"/>
      <c r="L154" s="120"/>
      <c r="M154" s="121"/>
      <c r="N154" s="121"/>
      <c r="O154" s="121"/>
      <c r="P154" s="126"/>
      <c r="Q154" s="123"/>
      <c r="R154" s="5"/>
      <c r="S154" s="5"/>
      <c r="T154" s="5"/>
      <c r="U154" s="5"/>
      <c r="V154" s="5"/>
      <c r="W154" s="5"/>
      <c r="X154" s="5"/>
      <c r="Y154" s="5"/>
      <c r="Z154" s="117"/>
      <c r="AA154" s="120"/>
      <c r="AB154" s="120"/>
      <c r="AC154" s="120"/>
      <c r="AD154" s="120"/>
      <c r="AE154" s="120"/>
      <c r="AF154" s="120"/>
    </row>
    <row r="155" spans="1:32" s="7" customFormat="1" x14ac:dyDescent="0.2">
      <c r="A155" s="120"/>
      <c r="B155" s="120"/>
      <c r="C155" s="120"/>
      <c r="D155" s="120"/>
      <c r="E155" s="120"/>
      <c r="F155" s="120"/>
      <c r="G155" s="120"/>
      <c r="H155" s="120"/>
      <c r="I155" s="120"/>
      <c r="J155" s="120"/>
      <c r="K155" s="120"/>
      <c r="L155" s="120"/>
      <c r="M155" s="121"/>
      <c r="N155" s="121"/>
      <c r="O155" s="121"/>
      <c r="P155" s="126"/>
      <c r="Q155" s="123"/>
      <c r="R155" s="5"/>
      <c r="S155" s="5"/>
      <c r="T155" s="5"/>
      <c r="U155" s="5"/>
      <c r="V155" s="5"/>
      <c r="W155" s="5"/>
      <c r="X155" s="5"/>
      <c r="Y155" s="5"/>
      <c r="Z155" s="117"/>
      <c r="AA155" s="120"/>
      <c r="AB155" s="120"/>
      <c r="AC155" s="120"/>
      <c r="AD155" s="120"/>
      <c r="AE155" s="120"/>
      <c r="AF155" s="120"/>
    </row>
    <row r="156" spans="1:32" s="7" customFormat="1" x14ac:dyDescent="0.2">
      <c r="A156" s="120"/>
      <c r="B156" s="120"/>
      <c r="C156" s="120"/>
      <c r="D156" s="120"/>
      <c r="E156" s="120"/>
      <c r="F156" s="120"/>
      <c r="G156" s="120"/>
      <c r="H156" s="120"/>
      <c r="I156" s="120"/>
      <c r="J156" s="120"/>
      <c r="K156" s="120"/>
      <c r="L156" s="120"/>
      <c r="M156" s="121"/>
      <c r="N156" s="121"/>
      <c r="O156" s="121"/>
      <c r="P156" s="126"/>
      <c r="Q156" s="123"/>
      <c r="R156" s="5"/>
      <c r="S156" s="5"/>
      <c r="T156" s="5"/>
      <c r="U156" s="5"/>
      <c r="V156" s="5"/>
      <c r="W156" s="5"/>
      <c r="X156" s="5"/>
      <c r="Y156" s="5"/>
      <c r="Z156" s="117"/>
      <c r="AA156" s="120"/>
      <c r="AB156" s="120"/>
      <c r="AC156" s="120"/>
      <c r="AD156" s="120"/>
      <c r="AE156" s="120"/>
      <c r="AF156" s="120"/>
    </row>
    <row r="157" spans="1:32" s="7" customFormat="1" x14ac:dyDescent="0.2">
      <c r="A157" s="120"/>
      <c r="B157" s="120"/>
      <c r="C157" s="120"/>
      <c r="D157" s="120"/>
      <c r="E157" s="120"/>
      <c r="F157" s="120"/>
      <c r="G157" s="120"/>
      <c r="H157" s="120"/>
      <c r="I157" s="120"/>
      <c r="J157" s="120"/>
      <c r="K157" s="120"/>
      <c r="L157" s="120"/>
      <c r="M157" s="121"/>
      <c r="N157" s="121"/>
      <c r="O157" s="121"/>
      <c r="P157" s="126"/>
      <c r="Q157" s="123"/>
      <c r="R157" s="5"/>
      <c r="S157" s="5"/>
      <c r="T157" s="5"/>
      <c r="U157" s="5"/>
      <c r="V157" s="5"/>
      <c r="W157" s="5"/>
      <c r="X157" s="5"/>
      <c r="Y157" s="5"/>
      <c r="Z157" s="117"/>
      <c r="AA157" s="120"/>
      <c r="AB157" s="120"/>
      <c r="AC157" s="120"/>
      <c r="AD157" s="120"/>
      <c r="AE157" s="120"/>
      <c r="AF157" s="120"/>
    </row>
    <row r="158" spans="1:32" s="7" customFormat="1" x14ac:dyDescent="0.2">
      <c r="A158" s="120"/>
      <c r="B158" s="120"/>
      <c r="C158" s="120"/>
      <c r="D158" s="120"/>
      <c r="E158" s="120"/>
      <c r="F158" s="120"/>
      <c r="G158" s="120"/>
      <c r="H158" s="120"/>
      <c r="I158" s="120"/>
      <c r="J158" s="120"/>
      <c r="K158" s="120"/>
      <c r="L158" s="120"/>
      <c r="M158" s="121"/>
      <c r="N158" s="121"/>
      <c r="O158" s="121"/>
      <c r="P158" s="126"/>
      <c r="Q158" s="123"/>
      <c r="R158" s="5"/>
      <c r="S158" s="5"/>
      <c r="T158" s="5"/>
      <c r="U158" s="5"/>
      <c r="V158" s="5"/>
      <c r="W158" s="5"/>
      <c r="X158" s="5"/>
      <c r="Y158" s="5"/>
      <c r="Z158" s="117"/>
      <c r="AA158" s="120"/>
      <c r="AB158" s="120"/>
      <c r="AC158" s="120"/>
      <c r="AD158" s="120"/>
      <c r="AE158" s="120"/>
      <c r="AF158" s="120"/>
    </row>
    <row r="159" spans="1:32" s="7" customFormat="1" x14ac:dyDescent="0.2">
      <c r="A159" s="120"/>
      <c r="B159" s="120"/>
      <c r="C159" s="120"/>
      <c r="D159" s="120"/>
      <c r="E159" s="120"/>
      <c r="F159" s="120"/>
      <c r="G159" s="120"/>
      <c r="H159" s="120"/>
      <c r="I159" s="120"/>
      <c r="J159" s="120"/>
      <c r="K159" s="120"/>
      <c r="L159" s="120"/>
      <c r="M159" s="121"/>
      <c r="N159" s="121"/>
      <c r="O159" s="121"/>
      <c r="P159" s="126"/>
      <c r="Q159" s="123"/>
      <c r="R159" s="5"/>
      <c r="S159" s="5"/>
      <c r="T159" s="5"/>
      <c r="U159" s="5"/>
      <c r="V159" s="5"/>
      <c r="W159" s="5"/>
      <c r="X159" s="5"/>
      <c r="Y159" s="5"/>
      <c r="Z159" s="117"/>
      <c r="AA159" s="120"/>
      <c r="AB159" s="120"/>
      <c r="AC159" s="120"/>
      <c r="AD159" s="120"/>
      <c r="AE159" s="120"/>
      <c r="AF159" s="120"/>
    </row>
    <row r="160" spans="1:32" s="7" customFormat="1" x14ac:dyDescent="0.2">
      <c r="A160" s="120"/>
      <c r="B160" s="120"/>
      <c r="C160" s="120"/>
      <c r="D160" s="120"/>
      <c r="E160" s="120"/>
      <c r="F160" s="120"/>
      <c r="G160" s="120"/>
      <c r="H160" s="120"/>
      <c r="I160" s="120"/>
      <c r="J160" s="120"/>
      <c r="K160" s="120"/>
      <c r="L160" s="120"/>
      <c r="M160" s="121"/>
      <c r="N160" s="121"/>
      <c r="O160" s="121"/>
      <c r="P160" s="126"/>
      <c r="Q160" s="123"/>
      <c r="R160" s="5"/>
      <c r="S160" s="5"/>
      <c r="T160" s="5"/>
      <c r="U160" s="5"/>
      <c r="V160" s="5"/>
      <c r="W160" s="5"/>
      <c r="X160" s="5"/>
      <c r="Y160" s="5"/>
      <c r="Z160" s="117"/>
      <c r="AA160" s="120"/>
      <c r="AB160" s="120"/>
      <c r="AC160" s="120"/>
      <c r="AD160" s="120"/>
      <c r="AE160" s="120"/>
      <c r="AF160" s="120"/>
    </row>
    <row r="161" spans="1:32" s="7" customFormat="1" x14ac:dyDescent="0.2">
      <c r="A161" s="120"/>
      <c r="B161" s="120"/>
      <c r="C161" s="120"/>
      <c r="D161" s="120"/>
      <c r="E161" s="120"/>
      <c r="F161" s="120"/>
      <c r="G161" s="120"/>
      <c r="H161" s="120"/>
      <c r="I161" s="120"/>
      <c r="J161" s="120"/>
      <c r="K161" s="120"/>
      <c r="L161" s="120"/>
      <c r="M161" s="121"/>
      <c r="N161" s="121"/>
      <c r="O161" s="121"/>
      <c r="P161" s="126"/>
      <c r="Q161" s="123"/>
      <c r="R161" s="5"/>
      <c r="S161" s="5"/>
      <c r="T161" s="5"/>
      <c r="U161" s="5"/>
      <c r="V161" s="5"/>
      <c r="W161" s="5"/>
      <c r="X161" s="5"/>
      <c r="Y161" s="5"/>
      <c r="Z161" s="117"/>
      <c r="AA161" s="120"/>
      <c r="AB161" s="120"/>
      <c r="AC161" s="120"/>
      <c r="AD161" s="120"/>
      <c r="AE161" s="120"/>
      <c r="AF161" s="120"/>
    </row>
    <row r="162" spans="1:32" s="7" customFormat="1" x14ac:dyDescent="0.2">
      <c r="A162" s="120"/>
      <c r="B162" s="120"/>
      <c r="C162" s="120"/>
      <c r="D162" s="120"/>
      <c r="E162" s="120"/>
      <c r="F162" s="120"/>
      <c r="G162" s="120"/>
      <c r="H162" s="120"/>
      <c r="I162" s="120"/>
      <c r="J162" s="120"/>
      <c r="K162" s="120"/>
      <c r="L162" s="120"/>
      <c r="M162" s="121"/>
      <c r="N162" s="121"/>
      <c r="O162" s="121"/>
      <c r="P162" s="126"/>
      <c r="Q162" s="123"/>
      <c r="R162" s="5"/>
      <c r="S162" s="5"/>
      <c r="T162" s="5"/>
      <c r="U162" s="5"/>
      <c r="V162" s="5"/>
      <c r="W162" s="5"/>
      <c r="X162" s="5"/>
      <c r="Y162" s="5"/>
      <c r="Z162" s="117"/>
      <c r="AA162" s="120"/>
      <c r="AB162" s="120"/>
      <c r="AC162" s="120"/>
      <c r="AD162" s="120"/>
      <c r="AE162" s="120"/>
      <c r="AF162" s="120"/>
    </row>
    <row r="163" spans="1:32" s="7" customFormat="1" x14ac:dyDescent="0.2">
      <c r="A163" s="120"/>
      <c r="B163" s="120"/>
      <c r="C163" s="120"/>
      <c r="D163" s="120"/>
      <c r="E163" s="120"/>
      <c r="F163" s="120"/>
      <c r="G163" s="120"/>
      <c r="H163" s="120"/>
      <c r="I163" s="120"/>
      <c r="J163" s="120"/>
      <c r="K163" s="120"/>
      <c r="L163" s="120"/>
      <c r="M163" s="121"/>
      <c r="N163" s="121"/>
      <c r="O163" s="121"/>
      <c r="P163" s="126"/>
      <c r="Q163" s="123"/>
      <c r="R163" s="5"/>
      <c r="S163" s="5"/>
      <c r="T163" s="5"/>
      <c r="U163" s="5"/>
      <c r="V163" s="5"/>
      <c r="W163" s="5"/>
      <c r="X163" s="5"/>
      <c r="Y163" s="5"/>
      <c r="Z163" s="117"/>
      <c r="AA163" s="120"/>
      <c r="AB163" s="120"/>
      <c r="AC163" s="120"/>
      <c r="AD163" s="120"/>
      <c r="AE163" s="120"/>
      <c r="AF163" s="120"/>
    </row>
    <row r="164" spans="1:32" s="7" customFormat="1" x14ac:dyDescent="0.2">
      <c r="A164" s="120"/>
      <c r="B164" s="120"/>
      <c r="C164" s="120"/>
      <c r="D164" s="120"/>
      <c r="E164" s="120"/>
      <c r="F164" s="120"/>
      <c r="G164" s="120"/>
      <c r="H164" s="120"/>
      <c r="I164" s="120"/>
      <c r="J164" s="120"/>
      <c r="K164" s="120"/>
      <c r="L164" s="120"/>
      <c r="M164" s="121"/>
      <c r="N164" s="121"/>
      <c r="O164" s="121"/>
      <c r="P164" s="126"/>
      <c r="Q164" s="123"/>
      <c r="R164" s="5"/>
      <c r="S164" s="5"/>
      <c r="T164" s="5"/>
      <c r="U164" s="5"/>
      <c r="V164" s="5"/>
      <c r="W164" s="5"/>
      <c r="X164" s="5"/>
      <c r="Y164" s="5"/>
      <c r="Z164" s="117"/>
      <c r="AA164" s="120"/>
      <c r="AB164" s="120"/>
      <c r="AC164" s="120"/>
      <c r="AD164" s="120"/>
      <c r="AE164" s="120"/>
      <c r="AF164" s="120"/>
    </row>
    <row r="165" spans="1:32" s="7" customFormat="1" x14ac:dyDescent="0.2">
      <c r="A165" s="120"/>
      <c r="B165" s="120"/>
      <c r="C165" s="120"/>
      <c r="D165" s="120"/>
      <c r="E165" s="120"/>
      <c r="F165" s="120"/>
      <c r="G165" s="120"/>
      <c r="H165" s="120"/>
      <c r="I165" s="120"/>
      <c r="J165" s="120"/>
      <c r="K165" s="120"/>
      <c r="L165" s="120"/>
      <c r="M165" s="121"/>
      <c r="N165" s="121"/>
      <c r="O165" s="121"/>
      <c r="P165" s="126"/>
      <c r="Q165" s="123"/>
      <c r="R165" s="5"/>
      <c r="S165" s="5"/>
      <c r="T165" s="5"/>
      <c r="U165" s="5"/>
      <c r="V165" s="5"/>
      <c r="W165" s="5"/>
      <c r="X165" s="5"/>
      <c r="Y165" s="5"/>
      <c r="Z165" s="117"/>
      <c r="AA165" s="120"/>
      <c r="AB165" s="120"/>
      <c r="AC165" s="120"/>
      <c r="AD165" s="120"/>
      <c r="AE165" s="120"/>
      <c r="AF165" s="120"/>
    </row>
    <row r="166" spans="1:32" s="7" customFormat="1" x14ac:dyDescent="0.2">
      <c r="A166" s="120"/>
      <c r="B166" s="120"/>
      <c r="C166" s="120"/>
      <c r="D166" s="120"/>
      <c r="E166" s="120"/>
      <c r="F166" s="120"/>
      <c r="G166" s="120"/>
      <c r="H166" s="120"/>
      <c r="I166" s="120"/>
      <c r="J166" s="120"/>
      <c r="K166" s="120"/>
      <c r="L166" s="120"/>
      <c r="M166" s="121"/>
      <c r="N166" s="121"/>
      <c r="O166" s="121"/>
      <c r="P166" s="126"/>
      <c r="Q166" s="123"/>
      <c r="R166" s="5"/>
      <c r="S166" s="5"/>
      <c r="T166" s="5"/>
      <c r="U166" s="5"/>
      <c r="V166" s="5"/>
      <c r="W166" s="5"/>
      <c r="X166" s="5"/>
      <c r="Y166" s="5"/>
      <c r="Z166" s="117"/>
      <c r="AA166" s="120"/>
      <c r="AB166" s="120"/>
      <c r="AC166" s="120"/>
      <c r="AD166" s="120"/>
      <c r="AE166" s="120"/>
      <c r="AF166" s="120"/>
    </row>
    <row r="167" spans="1:32" s="7" customFormat="1" x14ac:dyDescent="0.2">
      <c r="A167" s="120"/>
      <c r="B167" s="120"/>
      <c r="C167" s="120"/>
      <c r="D167" s="120"/>
      <c r="E167" s="120"/>
      <c r="F167" s="120"/>
      <c r="G167" s="120"/>
      <c r="H167" s="120"/>
      <c r="I167" s="120"/>
      <c r="J167" s="120"/>
      <c r="K167" s="120"/>
      <c r="L167" s="120"/>
      <c r="M167" s="121"/>
      <c r="N167" s="121"/>
      <c r="O167" s="121"/>
      <c r="P167" s="126"/>
      <c r="Q167" s="123"/>
      <c r="R167" s="5"/>
      <c r="S167" s="5"/>
      <c r="T167" s="5"/>
      <c r="U167" s="5"/>
      <c r="V167" s="5"/>
      <c r="W167" s="5"/>
      <c r="X167" s="5"/>
      <c r="Y167" s="5"/>
      <c r="Z167" s="117"/>
      <c r="AA167" s="120"/>
      <c r="AB167" s="120"/>
      <c r="AC167" s="120"/>
      <c r="AD167" s="120"/>
      <c r="AE167" s="120"/>
      <c r="AF167" s="120"/>
    </row>
    <row r="168" spans="1:32" s="7" customFormat="1" x14ac:dyDescent="0.2">
      <c r="A168" s="120"/>
      <c r="B168" s="120"/>
      <c r="C168" s="120"/>
      <c r="D168" s="120"/>
      <c r="E168" s="120"/>
      <c r="F168" s="120"/>
      <c r="G168" s="120"/>
      <c r="H168" s="120"/>
      <c r="I168" s="120"/>
      <c r="J168" s="120"/>
      <c r="K168" s="120"/>
      <c r="L168" s="120"/>
      <c r="M168" s="121"/>
      <c r="N168" s="121"/>
      <c r="O168" s="121"/>
      <c r="P168" s="126"/>
      <c r="Q168" s="123"/>
      <c r="R168" s="5"/>
      <c r="S168" s="5"/>
      <c r="T168" s="5"/>
      <c r="U168" s="5"/>
      <c r="V168" s="5"/>
      <c r="W168" s="5"/>
      <c r="X168" s="5"/>
      <c r="Y168" s="5"/>
      <c r="Z168" s="117"/>
      <c r="AA168" s="120"/>
      <c r="AB168" s="120"/>
      <c r="AC168" s="120"/>
      <c r="AD168" s="120"/>
      <c r="AE168" s="120"/>
      <c r="AF168" s="120"/>
    </row>
    <row r="169" spans="1:32" s="7" customFormat="1" x14ac:dyDescent="0.2">
      <c r="A169" s="120"/>
      <c r="B169" s="120"/>
      <c r="C169" s="120"/>
      <c r="D169" s="120"/>
      <c r="E169" s="120"/>
      <c r="F169" s="120"/>
      <c r="G169" s="120"/>
      <c r="H169" s="120"/>
      <c r="I169" s="120"/>
      <c r="J169" s="120"/>
      <c r="K169" s="120"/>
      <c r="L169" s="120"/>
      <c r="M169" s="121"/>
      <c r="N169" s="121"/>
      <c r="O169" s="121"/>
      <c r="P169" s="126"/>
      <c r="Q169" s="123"/>
      <c r="R169" s="5"/>
      <c r="S169" s="5"/>
      <c r="T169" s="5"/>
      <c r="U169" s="5"/>
      <c r="V169" s="5"/>
      <c r="W169" s="5"/>
      <c r="X169" s="5"/>
      <c r="Y169" s="5"/>
      <c r="Z169" s="117"/>
      <c r="AA169" s="120"/>
      <c r="AB169" s="120"/>
      <c r="AC169" s="120"/>
      <c r="AD169" s="120"/>
      <c r="AE169" s="120"/>
      <c r="AF169" s="120"/>
    </row>
    <row r="170" spans="1:32" s="7" customFormat="1" x14ac:dyDescent="0.2">
      <c r="A170" s="120"/>
      <c r="B170" s="120"/>
      <c r="C170" s="120"/>
      <c r="D170" s="120"/>
      <c r="E170" s="120"/>
      <c r="F170" s="120"/>
      <c r="G170" s="120"/>
      <c r="H170" s="120"/>
      <c r="I170" s="120"/>
      <c r="J170" s="120"/>
      <c r="K170" s="120"/>
      <c r="L170" s="120"/>
      <c r="M170" s="121"/>
      <c r="N170" s="121"/>
      <c r="O170" s="121"/>
      <c r="P170" s="126"/>
      <c r="Q170" s="123"/>
      <c r="R170" s="5"/>
      <c r="S170" s="5"/>
      <c r="T170" s="5"/>
      <c r="U170" s="5"/>
      <c r="V170" s="5"/>
      <c r="W170" s="5"/>
      <c r="X170" s="5"/>
      <c r="Y170" s="5"/>
      <c r="Z170" s="117"/>
      <c r="AA170" s="120"/>
      <c r="AB170" s="120"/>
      <c r="AC170" s="120"/>
      <c r="AD170" s="120"/>
      <c r="AE170" s="120"/>
      <c r="AF170" s="120"/>
    </row>
    <row r="171" spans="1:32" s="7" customFormat="1" x14ac:dyDescent="0.2">
      <c r="A171" s="120"/>
      <c r="B171" s="120"/>
      <c r="C171" s="120"/>
      <c r="D171" s="120"/>
      <c r="E171" s="120"/>
      <c r="F171" s="120"/>
      <c r="G171" s="120"/>
      <c r="H171" s="120"/>
      <c r="I171" s="120"/>
      <c r="J171" s="120"/>
      <c r="K171" s="120"/>
      <c r="L171" s="120"/>
      <c r="M171" s="121"/>
      <c r="N171" s="121"/>
      <c r="O171" s="121"/>
      <c r="P171" s="126"/>
      <c r="Q171" s="123"/>
      <c r="R171" s="5"/>
      <c r="S171" s="5"/>
      <c r="T171" s="5"/>
      <c r="U171" s="5"/>
      <c r="V171" s="5"/>
      <c r="W171" s="5"/>
      <c r="X171" s="5"/>
      <c r="Y171" s="5"/>
      <c r="Z171" s="117"/>
      <c r="AA171" s="120"/>
      <c r="AB171" s="120"/>
      <c r="AC171" s="120"/>
      <c r="AD171" s="120"/>
      <c r="AE171" s="120"/>
      <c r="AF171" s="120"/>
    </row>
    <row r="172" spans="1:32" s="7" customFormat="1" x14ac:dyDescent="0.2">
      <c r="A172" s="120"/>
      <c r="B172" s="120"/>
      <c r="C172" s="120"/>
      <c r="D172" s="120"/>
      <c r="E172" s="120"/>
      <c r="F172" s="120"/>
      <c r="G172" s="120"/>
      <c r="H172" s="120"/>
      <c r="I172" s="120"/>
      <c r="J172" s="120"/>
      <c r="K172" s="120"/>
      <c r="L172" s="120"/>
      <c r="M172" s="121"/>
      <c r="N172" s="121"/>
      <c r="O172" s="121"/>
      <c r="P172" s="126"/>
      <c r="Q172" s="123"/>
      <c r="R172" s="5"/>
      <c r="S172" s="5"/>
      <c r="T172" s="5"/>
      <c r="U172" s="5"/>
      <c r="V172" s="5"/>
      <c r="W172" s="5"/>
      <c r="X172" s="5"/>
      <c r="Y172" s="5"/>
      <c r="Z172" s="117"/>
      <c r="AA172" s="120"/>
      <c r="AB172" s="120"/>
      <c r="AC172" s="120"/>
      <c r="AD172" s="120"/>
      <c r="AE172" s="120"/>
      <c r="AF172" s="120"/>
    </row>
    <row r="173" spans="1:32" s="7" customFormat="1" x14ac:dyDescent="0.2">
      <c r="A173" s="120"/>
      <c r="B173" s="120"/>
      <c r="C173" s="120"/>
      <c r="D173" s="120"/>
      <c r="E173" s="120"/>
      <c r="F173" s="120"/>
      <c r="G173" s="120"/>
      <c r="H173" s="120"/>
      <c r="I173" s="120"/>
      <c r="J173" s="120"/>
      <c r="K173" s="120"/>
      <c r="L173" s="120"/>
      <c r="M173" s="121"/>
      <c r="N173" s="121"/>
      <c r="O173" s="121"/>
      <c r="P173" s="126"/>
      <c r="Q173" s="123"/>
      <c r="R173" s="5"/>
      <c r="S173" s="5"/>
      <c r="T173" s="5"/>
      <c r="U173" s="5"/>
      <c r="V173" s="5"/>
      <c r="W173" s="5"/>
      <c r="X173" s="5"/>
      <c r="Y173" s="5"/>
      <c r="Z173" s="117"/>
      <c r="AA173" s="120"/>
      <c r="AB173" s="120"/>
      <c r="AC173" s="120"/>
      <c r="AD173" s="120"/>
      <c r="AE173" s="120"/>
      <c r="AF173" s="120"/>
    </row>
    <row r="174" spans="1:32" s="7" customFormat="1" x14ac:dyDescent="0.2">
      <c r="A174" s="120"/>
      <c r="B174" s="120"/>
      <c r="C174" s="120"/>
      <c r="D174" s="120"/>
      <c r="E174" s="120"/>
      <c r="F174" s="120"/>
      <c r="G174" s="120"/>
      <c r="H174" s="120"/>
      <c r="I174" s="120"/>
      <c r="J174" s="120"/>
      <c r="K174" s="120"/>
      <c r="L174" s="120"/>
      <c r="M174" s="121"/>
      <c r="N174" s="121"/>
      <c r="O174" s="121"/>
      <c r="P174" s="126"/>
      <c r="Q174" s="123"/>
      <c r="R174" s="5"/>
      <c r="S174" s="5"/>
      <c r="T174" s="5"/>
      <c r="U174" s="5"/>
      <c r="V174" s="5"/>
      <c r="W174" s="5"/>
      <c r="X174" s="5"/>
      <c r="Y174" s="5"/>
      <c r="Z174" s="117"/>
      <c r="AA174" s="120"/>
      <c r="AB174" s="120"/>
      <c r="AC174" s="120"/>
      <c r="AD174" s="120"/>
      <c r="AE174" s="120"/>
      <c r="AF174" s="120"/>
    </row>
    <row r="175" spans="1:32" s="7" customFormat="1" x14ac:dyDescent="0.2">
      <c r="A175" s="120"/>
      <c r="B175" s="120"/>
      <c r="C175" s="120"/>
      <c r="D175" s="120"/>
      <c r="E175" s="120"/>
      <c r="F175" s="120"/>
      <c r="G175" s="120"/>
      <c r="H175" s="120"/>
      <c r="I175" s="120"/>
      <c r="J175" s="120"/>
      <c r="K175" s="120"/>
      <c r="L175" s="120"/>
      <c r="M175" s="121"/>
      <c r="N175" s="121"/>
      <c r="O175" s="121"/>
      <c r="P175" s="126"/>
      <c r="Q175" s="123"/>
      <c r="R175" s="5"/>
      <c r="S175" s="5"/>
      <c r="T175" s="5"/>
      <c r="U175" s="5"/>
      <c r="V175" s="5"/>
      <c r="W175" s="5"/>
      <c r="X175" s="5"/>
      <c r="Y175" s="5"/>
      <c r="Z175" s="117"/>
      <c r="AA175" s="120"/>
      <c r="AB175" s="120"/>
      <c r="AC175" s="120"/>
      <c r="AD175" s="120"/>
      <c r="AE175" s="120"/>
      <c r="AF175" s="120"/>
    </row>
    <row r="176" spans="1:32" s="7" customFormat="1" x14ac:dyDescent="0.2">
      <c r="A176" s="120"/>
      <c r="B176" s="120"/>
      <c r="C176" s="120"/>
      <c r="D176" s="120"/>
      <c r="E176" s="120"/>
      <c r="F176" s="120"/>
      <c r="G176" s="120"/>
      <c r="H176" s="120"/>
      <c r="I176" s="120"/>
      <c r="J176" s="120"/>
      <c r="K176" s="120"/>
      <c r="L176" s="120"/>
      <c r="M176" s="121"/>
      <c r="N176" s="121"/>
      <c r="O176" s="121"/>
      <c r="P176" s="126"/>
      <c r="Q176" s="123"/>
      <c r="R176" s="5"/>
      <c r="S176" s="5"/>
      <c r="T176" s="5"/>
      <c r="U176" s="5"/>
      <c r="V176" s="5"/>
      <c r="W176" s="5"/>
      <c r="X176" s="5"/>
      <c r="Y176" s="5"/>
      <c r="Z176" s="117"/>
      <c r="AA176" s="120"/>
      <c r="AB176" s="120"/>
      <c r="AC176" s="120"/>
      <c r="AD176" s="120"/>
      <c r="AE176" s="120"/>
      <c r="AF176" s="120"/>
    </row>
    <row r="177" spans="1:32" s="7" customFormat="1" x14ac:dyDescent="0.2">
      <c r="A177" s="120"/>
      <c r="B177" s="120"/>
      <c r="C177" s="120"/>
      <c r="D177" s="120"/>
      <c r="E177" s="120"/>
      <c r="F177" s="120"/>
      <c r="G177" s="120"/>
      <c r="H177" s="120"/>
      <c r="I177" s="120"/>
      <c r="J177" s="120"/>
      <c r="K177" s="120"/>
      <c r="L177" s="120"/>
      <c r="M177" s="121"/>
      <c r="N177" s="121"/>
      <c r="O177" s="121"/>
      <c r="P177" s="126"/>
      <c r="Q177" s="123"/>
      <c r="R177" s="5"/>
      <c r="S177" s="5"/>
      <c r="T177" s="5"/>
      <c r="U177" s="5"/>
      <c r="V177" s="5"/>
      <c r="W177" s="5"/>
      <c r="X177" s="5"/>
      <c r="Y177" s="5"/>
      <c r="Z177" s="117"/>
      <c r="AA177" s="120"/>
      <c r="AB177" s="120"/>
      <c r="AC177" s="120"/>
      <c r="AD177" s="120"/>
      <c r="AE177" s="120"/>
      <c r="AF177" s="120"/>
    </row>
    <row r="178" spans="1:32" s="7" customFormat="1" x14ac:dyDescent="0.2">
      <c r="A178" s="120"/>
      <c r="B178" s="120"/>
      <c r="C178" s="120"/>
      <c r="D178" s="120"/>
      <c r="E178" s="120"/>
      <c r="F178" s="120"/>
      <c r="G178" s="120"/>
      <c r="H178" s="120"/>
      <c r="I178" s="120"/>
      <c r="J178" s="120"/>
      <c r="K178" s="120"/>
      <c r="L178" s="120"/>
      <c r="M178" s="121"/>
      <c r="N178" s="121"/>
      <c r="O178" s="121"/>
      <c r="P178" s="126"/>
      <c r="Q178" s="123"/>
      <c r="R178" s="5"/>
      <c r="S178" s="5"/>
      <c r="T178" s="5"/>
      <c r="U178" s="5"/>
      <c r="V178" s="5"/>
      <c r="W178" s="5"/>
      <c r="X178" s="5"/>
      <c r="Y178" s="5"/>
      <c r="Z178" s="117"/>
      <c r="AA178" s="120"/>
      <c r="AB178" s="120"/>
      <c r="AC178" s="120"/>
      <c r="AD178" s="120"/>
      <c r="AE178" s="120"/>
      <c r="AF178" s="120"/>
    </row>
    <row r="179" spans="1:32" s="7" customFormat="1" x14ac:dyDescent="0.2">
      <c r="A179" s="120"/>
      <c r="B179" s="120"/>
      <c r="C179" s="120"/>
      <c r="D179" s="120"/>
      <c r="E179" s="120"/>
      <c r="F179" s="120"/>
      <c r="G179" s="120"/>
      <c r="H179" s="120"/>
      <c r="I179" s="120"/>
      <c r="J179" s="120"/>
      <c r="K179" s="120"/>
      <c r="L179" s="120"/>
      <c r="M179" s="121"/>
      <c r="N179" s="121"/>
      <c r="O179" s="121"/>
      <c r="P179" s="126"/>
      <c r="Q179" s="123"/>
      <c r="R179" s="5"/>
      <c r="S179" s="5"/>
      <c r="T179" s="5"/>
      <c r="U179" s="5"/>
      <c r="V179" s="5"/>
      <c r="W179" s="5"/>
      <c r="X179" s="5"/>
      <c r="Y179" s="5"/>
      <c r="Z179" s="117"/>
      <c r="AA179" s="120"/>
      <c r="AB179" s="120"/>
      <c r="AC179" s="120"/>
      <c r="AD179" s="120"/>
      <c r="AE179" s="120"/>
      <c r="AF179" s="120"/>
    </row>
    <row r="180" spans="1:32" s="7" customFormat="1" x14ac:dyDescent="0.2">
      <c r="A180" s="120"/>
      <c r="B180" s="120"/>
      <c r="C180" s="120"/>
      <c r="D180" s="120"/>
      <c r="E180" s="120"/>
      <c r="F180" s="120"/>
      <c r="G180" s="120"/>
      <c r="H180" s="120"/>
      <c r="I180" s="120"/>
      <c r="J180" s="120"/>
      <c r="K180" s="120"/>
      <c r="L180" s="120"/>
      <c r="M180" s="121"/>
      <c r="N180" s="121"/>
      <c r="O180" s="121"/>
      <c r="P180" s="126"/>
      <c r="Q180" s="123"/>
      <c r="R180" s="5"/>
      <c r="S180" s="5"/>
      <c r="T180" s="5"/>
      <c r="U180" s="5"/>
      <c r="V180" s="5"/>
      <c r="W180" s="5"/>
      <c r="X180" s="5"/>
      <c r="Y180" s="5"/>
      <c r="Z180" s="117"/>
      <c r="AA180" s="120"/>
      <c r="AB180" s="120"/>
      <c r="AC180" s="120"/>
      <c r="AD180" s="120"/>
      <c r="AE180" s="120"/>
      <c r="AF180" s="120"/>
    </row>
    <row r="181" spans="1:32" s="7" customFormat="1" x14ac:dyDescent="0.2">
      <c r="A181" s="120"/>
      <c r="B181" s="120"/>
      <c r="C181" s="120"/>
      <c r="D181" s="120"/>
      <c r="E181" s="120"/>
      <c r="F181" s="120"/>
      <c r="G181" s="120"/>
      <c r="H181" s="120"/>
      <c r="I181" s="120"/>
      <c r="J181" s="120"/>
      <c r="K181" s="120"/>
      <c r="L181" s="120"/>
      <c r="M181" s="121"/>
      <c r="N181" s="121"/>
      <c r="O181" s="121"/>
      <c r="P181" s="126"/>
      <c r="Q181" s="123"/>
      <c r="R181" s="5"/>
      <c r="S181" s="5"/>
      <c r="T181" s="5"/>
      <c r="U181" s="5"/>
      <c r="V181" s="5"/>
      <c r="W181" s="5"/>
      <c r="X181" s="5"/>
      <c r="Y181" s="5"/>
      <c r="Z181" s="117"/>
      <c r="AA181" s="120"/>
      <c r="AB181" s="120"/>
      <c r="AC181" s="120"/>
      <c r="AD181" s="120"/>
      <c r="AE181" s="120"/>
      <c r="AF181" s="120"/>
    </row>
    <row r="182" spans="1:32" s="7" customFormat="1" x14ac:dyDescent="0.2">
      <c r="A182" s="120"/>
      <c r="B182" s="120"/>
      <c r="C182" s="120"/>
      <c r="D182" s="120"/>
      <c r="E182" s="120"/>
      <c r="F182" s="120"/>
      <c r="G182" s="120"/>
      <c r="H182" s="120"/>
      <c r="I182" s="120"/>
      <c r="J182" s="120"/>
      <c r="K182" s="120"/>
      <c r="L182" s="120"/>
      <c r="M182" s="121"/>
      <c r="N182" s="121"/>
      <c r="O182" s="121"/>
      <c r="P182" s="126"/>
      <c r="Q182" s="123"/>
      <c r="R182" s="5"/>
      <c r="S182" s="5"/>
      <c r="T182" s="5"/>
      <c r="U182" s="5"/>
      <c r="V182" s="5"/>
      <c r="W182" s="5"/>
      <c r="X182" s="5"/>
      <c r="Y182" s="5"/>
      <c r="Z182" s="117"/>
      <c r="AA182" s="120"/>
      <c r="AB182" s="120"/>
      <c r="AC182" s="120"/>
      <c r="AD182" s="120"/>
      <c r="AE182" s="120"/>
      <c r="AF182" s="120"/>
    </row>
    <row r="183" spans="1:32" s="7" customFormat="1" x14ac:dyDescent="0.2">
      <c r="A183" s="120"/>
      <c r="B183" s="120"/>
      <c r="C183" s="120"/>
      <c r="D183" s="120"/>
      <c r="E183" s="120"/>
      <c r="F183" s="120"/>
      <c r="G183" s="120"/>
      <c r="H183" s="120"/>
      <c r="I183" s="120"/>
      <c r="J183" s="120"/>
      <c r="K183" s="120"/>
      <c r="L183" s="120"/>
      <c r="M183" s="121"/>
      <c r="N183" s="121"/>
      <c r="O183" s="121"/>
      <c r="P183" s="126"/>
      <c r="Q183" s="123"/>
      <c r="R183" s="5"/>
      <c r="S183" s="5"/>
      <c r="T183" s="5"/>
      <c r="U183" s="5"/>
      <c r="V183" s="5"/>
      <c r="W183" s="5"/>
      <c r="X183" s="5"/>
      <c r="Y183" s="5"/>
      <c r="Z183" s="117"/>
      <c r="AA183" s="120"/>
      <c r="AB183" s="120"/>
      <c r="AC183" s="120"/>
      <c r="AD183" s="120"/>
      <c r="AE183" s="120"/>
      <c r="AF183" s="120"/>
    </row>
    <row r="184" spans="1:32" s="7" customFormat="1" x14ac:dyDescent="0.2">
      <c r="A184" s="120"/>
      <c r="B184" s="120"/>
      <c r="C184" s="120"/>
      <c r="D184" s="120"/>
      <c r="E184" s="120"/>
      <c r="F184" s="120"/>
      <c r="G184" s="120"/>
      <c r="H184" s="120"/>
      <c r="I184" s="120"/>
      <c r="J184" s="120"/>
      <c r="K184" s="120"/>
      <c r="L184" s="120"/>
      <c r="M184" s="121"/>
      <c r="N184" s="121"/>
      <c r="O184" s="121"/>
      <c r="P184" s="126"/>
      <c r="Q184" s="123"/>
      <c r="R184" s="5"/>
      <c r="S184" s="5"/>
      <c r="T184" s="5"/>
      <c r="U184" s="5"/>
      <c r="V184" s="5"/>
      <c r="W184" s="5"/>
      <c r="X184" s="5"/>
      <c r="Y184" s="5"/>
      <c r="Z184" s="117"/>
      <c r="AA184" s="120"/>
      <c r="AB184" s="120"/>
      <c r="AC184" s="120"/>
      <c r="AD184" s="120"/>
      <c r="AE184" s="120"/>
      <c r="AF184" s="120"/>
    </row>
    <row r="185" spans="1:32" s="7" customFormat="1" x14ac:dyDescent="0.2">
      <c r="A185" s="120"/>
      <c r="B185" s="120"/>
      <c r="C185" s="120"/>
      <c r="D185" s="120"/>
      <c r="E185" s="120"/>
      <c r="F185" s="120"/>
      <c r="G185" s="120"/>
      <c r="H185" s="120"/>
      <c r="I185" s="120"/>
      <c r="J185" s="120"/>
      <c r="K185" s="120"/>
      <c r="L185" s="120"/>
      <c r="M185" s="121"/>
      <c r="N185" s="121"/>
      <c r="O185" s="121"/>
      <c r="P185" s="126"/>
      <c r="Q185" s="123"/>
      <c r="R185" s="5"/>
      <c r="S185" s="5"/>
      <c r="T185" s="5"/>
      <c r="U185" s="5"/>
      <c r="V185" s="5"/>
      <c r="W185" s="5"/>
      <c r="X185" s="5"/>
      <c r="Y185" s="5"/>
      <c r="Z185" s="117"/>
      <c r="AA185" s="120"/>
      <c r="AB185" s="120"/>
      <c r="AC185" s="120"/>
      <c r="AD185" s="120"/>
      <c r="AE185" s="120"/>
      <c r="AF185" s="120"/>
    </row>
    <row r="186" spans="1:32" s="7" customFormat="1" x14ac:dyDescent="0.2">
      <c r="A186" s="120"/>
      <c r="B186" s="120"/>
      <c r="C186" s="120"/>
      <c r="D186" s="120"/>
      <c r="E186" s="120"/>
      <c r="F186" s="120"/>
      <c r="G186" s="120"/>
      <c r="H186" s="120"/>
      <c r="I186" s="120"/>
      <c r="J186" s="120"/>
      <c r="K186" s="120"/>
      <c r="L186" s="120"/>
      <c r="M186" s="121"/>
      <c r="N186" s="121"/>
      <c r="O186" s="121"/>
      <c r="P186" s="126"/>
      <c r="Q186" s="123"/>
      <c r="R186" s="5"/>
      <c r="S186" s="5"/>
      <c r="T186" s="5"/>
      <c r="U186" s="5"/>
      <c r="V186" s="5"/>
      <c r="W186" s="5"/>
      <c r="X186" s="5"/>
      <c r="Y186" s="5"/>
      <c r="Z186" s="117"/>
      <c r="AA186" s="120"/>
      <c r="AB186" s="120"/>
      <c r="AC186" s="120"/>
      <c r="AD186" s="120"/>
      <c r="AE186" s="120"/>
      <c r="AF186" s="120"/>
    </row>
    <row r="187" spans="1:32" s="7" customFormat="1" x14ac:dyDescent="0.2">
      <c r="A187" s="120"/>
      <c r="B187" s="120"/>
      <c r="C187" s="120"/>
      <c r="D187" s="120"/>
      <c r="E187" s="120"/>
      <c r="F187" s="120"/>
      <c r="G187" s="120"/>
      <c r="H187" s="120"/>
      <c r="I187" s="120"/>
      <c r="J187" s="120"/>
      <c r="K187" s="120"/>
      <c r="L187" s="120"/>
      <c r="M187" s="121"/>
      <c r="N187" s="121"/>
      <c r="O187" s="121"/>
      <c r="P187" s="126"/>
      <c r="Q187" s="123"/>
      <c r="R187" s="5"/>
      <c r="S187" s="5"/>
      <c r="T187" s="5"/>
      <c r="U187" s="5"/>
      <c r="V187" s="5"/>
      <c r="W187" s="5"/>
      <c r="X187" s="5"/>
      <c r="Y187" s="5"/>
      <c r="Z187" s="117"/>
      <c r="AA187" s="120"/>
      <c r="AB187" s="120"/>
      <c r="AC187" s="120"/>
      <c r="AD187" s="120"/>
      <c r="AE187" s="120"/>
      <c r="AF187" s="120"/>
    </row>
    <row r="188" spans="1:32" s="7" customFormat="1" x14ac:dyDescent="0.2">
      <c r="A188" s="120"/>
      <c r="B188" s="120"/>
      <c r="C188" s="120"/>
      <c r="D188" s="120"/>
      <c r="E188" s="120"/>
      <c r="F188" s="120"/>
      <c r="G188" s="120"/>
      <c r="H188" s="120"/>
      <c r="I188" s="120"/>
      <c r="J188" s="120"/>
      <c r="K188" s="120"/>
      <c r="L188" s="120"/>
      <c r="M188" s="121"/>
      <c r="N188" s="121"/>
      <c r="O188" s="121"/>
      <c r="P188" s="126"/>
      <c r="Q188" s="123"/>
      <c r="R188" s="5"/>
      <c r="S188" s="5"/>
      <c r="T188" s="5"/>
      <c r="U188" s="5"/>
      <c r="V188" s="5"/>
      <c r="W188" s="5"/>
      <c r="X188" s="5"/>
      <c r="Y188" s="5"/>
      <c r="Z188" s="117"/>
      <c r="AA188" s="120"/>
      <c r="AB188" s="120"/>
      <c r="AC188" s="120"/>
      <c r="AD188" s="120"/>
      <c r="AE188" s="120"/>
      <c r="AF188" s="120"/>
    </row>
    <row r="189" spans="1:32" s="7" customFormat="1" x14ac:dyDescent="0.2">
      <c r="A189" s="120"/>
      <c r="B189" s="120"/>
      <c r="C189" s="120"/>
      <c r="D189" s="120"/>
      <c r="E189" s="120"/>
      <c r="F189" s="120"/>
      <c r="G189" s="120"/>
      <c r="H189" s="120"/>
      <c r="I189" s="120"/>
      <c r="J189" s="120"/>
      <c r="K189" s="120"/>
      <c r="L189" s="120"/>
      <c r="M189" s="121"/>
      <c r="N189" s="121"/>
      <c r="O189" s="121"/>
      <c r="P189" s="126"/>
      <c r="Q189" s="123"/>
      <c r="R189" s="5"/>
      <c r="S189" s="5"/>
      <c r="T189" s="5"/>
      <c r="U189" s="5"/>
      <c r="V189" s="5"/>
      <c r="W189" s="5"/>
      <c r="X189" s="5"/>
      <c r="Y189" s="5"/>
      <c r="Z189" s="117"/>
      <c r="AA189" s="120"/>
      <c r="AB189" s="120"/>
      <c r="AC189" s="120"/>
      <c r="AD189" s="120"/>
      <c r="AE189" s="120"/>
      <c r="AF189" s="120"/>
    </row>
    <row r="190" spans="1:32" s="7" customFormat="1" x14ac:dyDescent="0.2">
      <c r="A190" s="120"/>
      <c r="B190" s="120"/>
      <c r="C190" s="120"/>
      <c r="D190" s="120"/>
      <c r="E190" s="120"/>
      <c r="F190" s="120"/>
      <c r="G190" s="120"/>
      <c r="H190" s="120"/>
      <c r="I190" s="120"/>
      <c r="J190" s="120"/>
      <c r="K190" s="120"/>
      <c r="L190" s="120"/>
      <c r="M190" s="121"/>
      <c r="N190" s="121"/>
      <c r="O190" s="121"/>
      <c r="P190" s="126"/>
      <c r="Q190" s="123"/>
      <c r="R190" s="5"/>
      <c r="S190" s="5"/>
      <c r="T190" s="5"/>
      <c r="U190" s="5"/>
      <c r="V190" s="5"/>
      <c r="W190" s="5"/>
      <c r="X190" s="5"/>
      <c r="Y190" s="5"/>
      <c r="Z190" s="117"/>
      <c r="AA190" s="120"/>
      <c r="AB190" s="120"/>
      <c r="AC190" s="120"/>
      <c r="AD190" s="120"/>
      <c r="AE190" s="120"/>
      <c r="AF190" s="120"/>
    </row>
    <row r="191" spans="1:32" s="7" customFormat="1" x14ac:dyDescent="0.2">
      <c r="A191" s="120"/>
      <c r="B191" s="120"/>
      <c r="C191" s="120"/>
      <c r="D191" s="120"/>
      <c r="E191" s="120"/>
      <c r="F191" s="120"/>
      <c r="G191" s="120"/>
      <c r="H191" s="120"/>
      <c r="I191" s="120"/>
      <c r="J191" s="120"/>
      <c r="K191" s="120"/>
      <c r="L191" s="120"/>
      <c r="M191" s="121"/>
      <c r="N191" s="121"/>
      <c r="O191" s="121"/>
      <c r="P191" s="126"/>
      <c r="Q191" s="123"/>
      <c r="R191" s="5"/>
      <c r="S191" s="5"/>
      <c r="T191" s="5"/>
      <c r="U191" s="5"/>
      <c r="V191" s="5"/>
      <c r="W191" s="5"/>
      <c r="X191" s="5"/>
      <c r="Y191" s="5"/>
      <c r="Z191" s="117"/>
      <c r="AA191" s="120"/>
      <c r="AB191" s="120"/>
      <c r="AC191" s="120"/>
      <c r="AD191" s="120"/>
      <c r="AE191" s="120"/>
      <c r="AF191" s="120"/>
    </row>
    <row r="192" spans="1:32" s="7" customFormat="1" x14ac:dyDescent="0.2">
      <c r="A192" s="120"/>
      <c r="B192" s="120"/>
      <c r="C192" s="120"/>
      <c r="D192" s="120"/>
      <c r="E192" s="120"/>
      <c r="F192" s="120"/>
      <c r="G192" s="120"/>
      <c r="H192" s="120"/>
      <c r="I192" s="120"/>
      <c r="J192" s="120"/>
      <c r="K192" s="120"/>
      <c r="L192" s="120"/>
      <c r="M192" s="121"/>
      <c r="N192" s="121"/>
      <c r="O192" s="121"/>
      <c r="P192" s="126"/>
      <c r="Q192" s="123"/>
      <c r="R192" s="5"/>
      <c r="S192" s="5"/>
      <c r="T192" s="5"/>
      <c r="U192" s="5"/>
      <c r="V192" s="5"/>
      <c r="W192" s="5"/>
      <c r="X192" s="5"/>
      <c r="Y192" s="5"/>
      <c r="Z192" s="117"/>
      <c r="AA192" s="120"/>
      <c r="AB192" s="120"/>
      <c r="AC192" s="120"/>
      <c r="AD192" s="120"/>
      <c r="AE192" s="120"/>
      <c r="AF192" s="120"/>
    </row>
    <row r="193" spans="1:32" s="7" customFormat="1" x14ac:dyDescent="0.2">
      <c r="A193" s="120"/>
      <c r="B193" s="120"/>
      <c r="C193" s="120"/>
      <c r="D193" s="120"/>
      <c r="E193" s="120"/>
      <c r="F193" s="120"/>
      <c r="G193" s="120"/>
      <c r="H193" s="120"/>
      <c r="I193" s="120"/>
      <c r="J193" s="120"/>
      <c r="K193" s="120"/>
      <c r="L193" s="120"/>
      <c r="M193" s="121"/>
      <c r="N193" s="121"/>
      <c r="O193" s="121"/>
      <c r="P193" s="126"/>
      <c r="Q193" s="123"/>
      <c r="R193" s="5"/>
      <c r="S193" s="5"/>
      <c r="T193" s="5"/>
      <c r="U193" s="5"/>
      <c r="V193" s="5"/>
      <c r="W193" s="5"/>
      <c r="X193" s="5"/>
      <c r="Y193" s="5"/>
      <c r="Z193" s="117"/>
      <c r="AA193" s="120"/>
      <c r="AB193" s="120"/>
      <c r="AC193" s="120"/>
      <c r="AD193" s="120"/>
      <c r="AE193" s="120"/>
      <c r="AF193" s="120"/>
    </row>
    <row r="194" spans="1:32" s="7" customFormat="1" x14ac:dyDescent="0.2">
      <c r="A194" s="120"/>
      <c r="B194" s="120"/>
      <c r="C194" s="120"/>
      <c r="D194" s="120"/>
      <c r="E194" s="120"/>
      <c r="F194" s="120"/>
      <c r="G194" s="120"/>
      <c r="H194" s="120"/>
      <c r="I194" s="120"/>
      <c r="J194" s="120"/>
      <c r="K194" s="120"/>
      <c r="L194" s="120"/>
      <c r="M194" s="121"/>
      <c r="N194" s="121"/>
      <c r="O194" s="121"/>
      <c r="P194" s="126"/>
      <c r="Q194" s="123"/>
      <c r="R194" s="5"/>
      <c r="S194" s="5"/>
      <c r="T194" s="5"/>
      <c r="U194" s="5"/>
      <c r="V194" s="5"/>
      <c r="W194" s="5"/>
      <c r="X194" s="5"/>
      <c r="Y194" s="5"/>
      <c r="Z194" s="117"/>
      <c r="AA194" s="120"/>
      <c r="AB194" s="120"/>
      <c r="AC194" s="120"/>
      <c r="AD194" s="120"/>
      <c r="AE194" s="120"/>
      <c r="AF194" s="120"/>
    </row>
    <row r="195" spans="1:32" s="7" customFormat="1" x14ac:dyDescent="0.2">
      <c r="A195" s="120"/>
      <c r="B195" s="120"/>
      <c r="C195" s="120"/>
      <c r="D195" s="120"/>
      <c r="E195" s="120"/>
      <c r="F195" s="120"/>
      <c r="G195" s="120"/>
      <c r="H195" s="120"/>
      <c r="I195" s="120"/>
      <c r="J195" s="120"/>
      <c r="K195" s="120"/>
      <c r="L195" s="120"/>
      <c r="M195" s="121"/>
      <c r="N195" s="121"/>
      <c r="O195" s="121"/>
      <c r="P195" s="126"/>
      <c r="Q195" s="123"/>
      <c r="R195" s="5"/>
      <c r="S195" s="5"/>
      <c r="T195" s="5"/>
      <c r="U195" s="5"/>
      <c r="V195" s="5"/>
      <c r="W195" s="5"/>
      <c r="X195" s="5"/>
      <c r="Y195" s="5"/>
      <c r="Z195" s="117"/>
      <c r="AA195" s="120"/>
      <c r="AB195" s="120"/>
      <c r="AC195" s="120"/>
      <c r="AD195" s="120"/>
      <c r="AE195" s="120"/>
      <c r="AF195" s="120"/>
    </row>
    <row r="196" spans="1:32" s="7" customFormat="1" x14ac:dyDescent="0.2">
      <c r="A196" s="120"/>
      <c r="B196" s="120"/>
      <c r="C196" s="120"/>
      <c r="D196" s="120"/>
      <c r="E196" s="120"/>
      <c r="F196" s="120"/>
      <c r="G196" s="120"/>
      <c r="H196" s="120"/>
      <c r="I196" s="120"/>
      <c r="J196" s="120"/>
      <c r="K196" s="120"/>
      <c r="L196" s="120"/>
      <c r="M196" s="121"/>
      <c r="N196" s="121"/>
      <c r="O196" s="121"/>
      <c r="P196" s="126"/>
      <c r="Q196" s="123"/>
      <c r="R196" s="5"/>
      <c r="S196" s="5"/>
      <c r="T196" s="5"/>
      <c r="U196" s="5"/>
      <c r="V196" s="5"/>
      <c r="W196" s="5"/>
      <c r="X196" s="5"/>
      <c r="Y196" s="5"/>
      <c r="Z196" s="117"/>
      <c r="AA196" s="120"/>
      <c r="AB196" s="120"/>
      <c r="AC196" s="120"/>
      <c r="AD196" s="120"/>
      <c r="AE196" s="120"/>
      <c r="AF196" s="120"/>
    </row>
    <row r="197" spans="1:32" s="7" customFormat="1" x14ac:dyDescent="0.2">
      <c r="A197" s="120"/>
      <c r="B197" s="120"/>
      <c r="C197" s="120"/>
      <c r="D197" s="120"/>
      <c r="E197" s="120"/>
      <c r="F197" s="120"/>
      <c r="G197" s="120"/>
      <c r="H197" s="120"/>
      <c r="I197" s="120"/>
      <c r="J197" s="120"/>
      <c r="K197" s="120"/>
      <c r="L197" s="120"/>
      <c r="M197" s="121"/>
      <c r="N197" s="121"/>
      <c r="O197" s="121"/>
      <c r="P197" s="126"/>
      <c r="Q197" s="123"/>
      <c r="R197" s="5"/>
      <c r="S197" s="5"/>
      <c r="T197" s="5"/>
      <c r="U197" s="5"/>
      <c r="V197" s="5"/>
      <c r="W197" s="5"/>
      <c r="X197" s="5"/>
      <c r="Y197" s="5"/>
      <c r="Z197" s="117"/>
      <c r="AA197" s="120"/>
      <c r="AB197" s="120"/>
      <c r="AC197" s="120"/>
      <c r="AD197" s="120"/>
      <c r="AE197" s="120"/>
      <c r="AF197" s="120"/>
    </row>
    <row r="198" spans="1:32" s="7" customFormat="1" x14ac:dyDescent="0.2">
      <c r="A198" s="120"/>
      <c r="B198" s="120"/>
      <c r="C198" s="120"/>
      <c r="D198" s="120"/>
      <c r="E198" s="120"/>
      <c r="F198" s="120"/>
      <c r="G198" s="120"/>
      <c r="H198" s="120"/>
      <c r="I198" s="120"/>
      <c r="J198" s="120"/>
      <c r="K198" s="120"/>
      <c r="L198" s="120"/>
      <c r="M198" s="121"/>
      <c r="N198" s="121"/>
      <c r="O198" s="121"/>
      <c r="P198" s="126"/>
      <c r="Q198" s="123"/>
      <c r="R198" s="5"/>
      <c r="S198" s="5"/>
      <c r="T198" s="5"/>
      <c r="U198" s="5"/>
      <c r="V198" s="5"/>
      <c r="W198" s="5"/>
      <c r="X198" s="5"/>
      <c r="Y198" s="5"/>
      <c r="Z198" s="117"/>
      <c r="AA198" s="120"/>
      <c r="AB198" s="120"/>
      <c r="AC198" s="120"/>
      <c r="AD198" s="120"/>
      <c r="AE198" s="120"/>
      <c r="AF198" s="120"/>
    </row>
    <row r="199" spans="1:32" s="7" customFormat="1" x14ac:dyDescent="0.2">
      <c r="A199" s="120"/>
      <c r="B199" s="120"/>
      <c r="C199" s="120"/>
      <c r="D199" s="120"/>
      <c r="E199" s="120"/>
      <c r="F199" s="120"/>
      <c r="G199" s="120"/>
      <c r="H199" s="120"/>
      <c r="I199" s="120"/>
      <c r="J199" s="120"/>
      <c r="K199" s="120"/>
      <c r="L199" s="120"/>
      <c r="M199" s="121"/>
      <c r="N199" s="121"/>
      <c r="O199" s="121"/>
      <c r="P199" s="126"/>
      <c r="Q199" s="123"/>
      <c r="R199" s="5"/>
      <c r="S199" s="5"/>
      <c r="T199" s="5"/>
      <c r="U199" s="5"/>
      <c r="V199" s="5"/>
      <c r="W199" s="5"/>
      <c r="X199" s="5"/>
      <c r="Y199" s="5"/>
      <c r="Z199" s="117"/>
      <c r="AA199" s="120"/>
      <c r="AB199" s="120"/>
      <c r="AC199" s="120"/>
      <c r="AD199" s="120"/>
      <c r="AE199" s="120"/>
      <c r="AF199" s="120"/>
    </row>
    <row r="200" spans="1:32" s="7" customFormat="1" x14ac:dyDescent="0.2">
      <c r="A200" s="120"/>
      <c r="B200" s="120"/>
      <c r="C200" s="120"/>
      <c r="D200" s="120"/>
      <c r="E200" s="120"/>
      <c r="F200" s="120"/>
      <c r="G200" s="120"/>
      <c r="H200" s="120"/>
      <c r="I200" s="120"/>
      <c r="J200" s="120"/>
      <c r="K200" s="120"/>
      <c r="L200" s="120"/>
      <c r="M200" s="121"/>
      <c r="N200" s="121"/>
      <c r="O200" s="121"/>
      <c r="P200" s="126"/>
      <c r="Q200" s="123"/>
      <c r="R200" s="5"/>
      <c r="S200" s="5"/>
      <c r="T200" s="5"/>
      <c r="U200" s="5"/>
      <c r="V200" s="5"/>
      <c r="W200" s="5"/>
      <c r="X200" s="5"/>
      <c r="Y200" s="5"/>
      <c r="Z200" s="117"/>
      <c r="AA200" s="120"/>
      <c r="AB200" s="120"/>
      <c r="AC200" s="120"/>
      <c r="AD200" s="120"/>
      <c r="AE200" s="120"/>
      <c r="AF200" s="120"/>
    </row>
    <row r="201" spans="1:32" s="7" customFormat="1" x14ac:dyDescent="0.2">
      <c r="A201" s="120"/>
      <c r="B201" s="120"/>
      <c r="C201" s="120"/>
      <c r="D201" s="120"/>
      <c r="E201" s="120"/>
      <c r="F201" s="120"/>
      <c r="G201" s="120"/>
      <c r="H201" s="120"/>
      <c r="I201" s="120"/>
      <c r="J201" s="120"/>
      <c r="K201" s="120"/>
      <c r="L201" s="120"/>
      <c r="M201" s="121"/>
      <c r="N201" s="121"/>
      <c r="O201" s="121"/>
      <c r="P201" s="126"/>
      <c r="Q201" s="123"/>
      <c r="R201" s="5"/>
      <c r="S201" s="5"/>
      <c r="T201" s="5"/>
      <c r="U201" s="5"/>
      <c r="V201" s="5"/>
      <c r="W201" s="5"/>
      <c r="X201" s="5"/>
      <c r="Y201" s="5"/>
      <c r="Z201" s="117"/>
      <c r="AA201" s="120"/>
      <c r="AB201" s="120"/>
      <c r="AC201" s="120"/>
      <c r="AD201" s="120"/>
      <c r="AE201" s="120"/>
      <c r="AF201" s="120"/>
    </row>
    <row r="202" spans="1:32" s="7" customFormat="1" x14ac:dyDescent="0.2">
      <c r="A202" s="120"/>
      <c r="B202" s="120"/>
      <c r="C202" s="120"/>
      <c r="D202" s="120"/>
      <c r="E202" s="120"/>
      <c r="F202" s="120"/>
      <c r="G202" s="120"/>
      <c r="H202" s="120"/>
      <c r="I202" s="120"/>
      <c r="J202" s="120"/>
      <c r="K202" s="120"/>
      <c r="L202" s="120"/>
      <c r="M202" s="121"/>
      <c r="N202" s="121"/>
      <c r="O202" s="121"/>
      <c r="P202" s="126"/>
      <c r="Q202" s="123"/>
      <c r="R202" s="5"/>
      <c r="S202" s="5"/>
      <c r="T202" s="5"/>
      <c r="U202" s="5"/>
      <c r="V202" s="5"/>
      <c r="W202" s="5"/>
      <c r="X202" s="5"/>
      <c r="Y202" s="5"/>
      <c r="Z202" s="117"/>
      <c r="AA202" s="120"/>
      <c r="AB202" s="120"/>
      <c r="AC202" s="120"/>
      <c r="AD202" s="120"/>
      <c r="AE202" s="120"/>
      <c r="AF202" s="120"/>
    </row>
    <row r="203" spans="1:32" s="7" customFormat="1" x14ac:dyDescent="0.2">
      <c r="A203" s="120"/>
      <c r="B203" s="120"/>
      <c r="C203" s="120"/>
      <c r="D203" s="120"/>
      <c r="E203" s="120"/>
      <c r="F203" s="120"/>
      <c r="G203" s="120"/>
      <c r="H203" s="120"/>
      <c r="I203" s="120"/>
      <c r="J203" s="120"/>
      <c r="K203" s="120"/>
      <c r="L203" s="120"/>
      <c r="M203" s="121"/>
      <c r="N203" s="121"/>
      <c r="O203" s="121"/>
      <c r="P203" s="126"/>
      <c r="Q203" s="123"/>
      <c r="R203" s="5"/>
      <c r="S203" s="5"/>
      <c r="T203" s="5"/>
      <c r="U203" s="5"/>
      <c r="V203" s="5"/>
      <c r="W203" s="5"/>
      <c r="X203" s="5"/>
      <c r="Y203" s="5"/>
      <c r="Z203" s="117"/>
      <c r="AA203" s="120"/>
      <c r="AB203" s="120"/>
      <c r="AC203" s="120"/>
      <c r="AD203" s="120"/>
      <c r="AE203" s="120"/>
      <c r="AF203" s="120"/>
    </row>
    <row r="204" spans="1:32" s="7" customFormat="1" x14ac:dyDescent="0.2">
      <c r="A204" s="120"/>
      <c r="B204" s="120"/>
      <c r="C204" s="120"/>
      <c r="D204" s="120"/>
      <c r="E204" s="120"/>
      <c r="F204" s="120"/>
      <c r="G204" s="120"/>
      <c r="H204" s="120"/>
      <c r="I204" s="120"/>
      <c r="J204" s="120"/>
      <c r="K204" s="120"/>
      <c r="L204" s="120"/>
      <c r="M204" s="121"/>
      <c r="N204" s="121"/>
      <c r="O204" s="121"/>
      <c r="P204" s="126"/>
      <c r="Q204" s="123"/>
      <c r="R204" s="5"/>
      <c r="S204" s="5"/>
      <c r="T204" s="5"/>
      <c r="U204" s="5"/>
      <c r="V204" s="5"/>
      <c r="W204" s="5"/>
      <c r="X204" s="5"/>
      <c r="Y204" s="5"/>
      <c r="Z204" s="117"/>
      <c r="AA204" s="120"/>
      <c r="AB204" s="120"/>
      <c r="AC204" s="120"/>
      <c r="AD204" s="120"/>
      <c r="AE204" s="120"/>
      <c r="AF204" s="120"/>
    </row>
    <row r="205" spans="1:32" s="7" customFormat="1" x14ac:dyDescent="0.2">
      <c r="A205" s="120"/>
      <c r="B205" s="120"/>
      <c r="C205" s="120"/>
      <c r="D205" s="120"/>
      <c r="E205" s="120"/>
      <c r="F205" s="120"/>
      <c r="G205" s="120"/>
      <c r="H205" s="120"/>
      <c r="I205" s="120"/>
      <c r="J205" s="120"/>
      <c r="K205" s="120"/>
      <c r="L205" s="120"/>
      <c r="M205" s="121"/>
      <c r="N205" s="121"/>
      <c r="O205" s="121"/>
      <c r="P205" s="126"/>
      <c r="Q205" s="123"/>
      <c r="R205" s="5"/>
      <c r="S205" s="5"/>
      <c r="T205" s="5"/>
      <c r="U205" s="5"/>
      <c r="V205" s="5"/>
      <c r="W205" s="5"/>
      <c r="X205" s="5"/>
      <c r="Y205" s="5"/>
      <c r="Z205" s="117"/>
      <c r="AA205" s="120"/>
      <c r="AB205" s="120"/>
      <c r="AC205" s="120"/>
      <c r="AD205" s="120"/>
      <c r="AE205" s="120"/>
      <c r="AF205" s="120"/>
    </row>
    <row r="206" spans="1:32" s="7" customFormat="1" x14ac:dyDescent="0.2">
      <c r="A206" s="120"/>
      <c r="B206" s="120"/>
      <c r="C206" s="120"/>
      <c r="D206" s="120"/>
      <c r="E206" s="120"/>
      <c r="F206" s="120"/>
      <c r="G206" s="120"/>
      <c r="H206" s="120"/>
      <c r="I206" s="120"/>
      <c r="J206" s="120"/>
      <c r="K206" s="120"/>
      <c r="L206" s="120"/>
      <c r="M206" s="121"/>
      <c r="N206" s="121"/>
      <c r="O206" s="121"/>
      <c r="P206" s="126"/>
      <c r="Q206" s="123"/>
      <c r="R206" s="5"/>
      <c r="S206" s="5"/>
      <c r="T206" s="5"/>
      <c r="U206" s="5"/>
      <c r="V206" s="5"/>
      <c r="W206" s="5"/>
      <c r="X206" s="5"/>
      <c r="Y206" s="5"/>
      <c r="Z206" s="117"/>
      <c r="AA206" s="120"/>
      <c r="AB206" s="120"/>
      <c r="AC206" s="120"/>
      <c r="AD206" s="120"/>
      <c r="AE206" s="120"/>
      <c r="AF206" s="120"/>
    </row>
    <row r="207" spans="1:32" s="7" customFormat="1" x14ac:dyDescent="0.2">
      <c r="A207" s="120"/>
      <c r="B207" s="120"/>
      <c r="C207" s="120"/>
      <c r="D207" s="120"/>
      <c r="E207" s="120"/>
      <c r="F207" s="120"/>
      <c r="G207" s="120"/>
      <c r="H207" s="120"/>
      <c r="I207" s="120"/>
      <c r="J207" s="120"/>
      <c r="K207" s="120"/>
      <c r="L207" s="120"/>
      <c r="M207" s="121"/>
      <c r="N207" s="121"/>
      <c r="O207" s="121"/>
      <c r="P207" s="126"/>
      <c r="Q207" s="123"/>
      <c r="R207" s="5"/>
      <c r="S207" s="5"/>
      <c r="T207" s="5"/>
      <c r="U207" s="5"/>
      <c r="V207" s="5"/>
      <c r="W207" s="5"/>
      <c r="X207" s="5"/>
      <c r="Y207" s="5"/>
      <c r="Z207" s="117"/>
      <c r="AA207" s="120"/>
      <c r="AB207" s="120"/>
      <c r="AC207" s="120"/>
      <c r="AD207" s="120"/>
      <c r="AE207" s="120"/>
      <c r="AF207" s="120"/>
    </row>
    <row r="208" spans="1:32" s="7" customFormat="1" x14ac:dyDescent="0.2">
      <c r="A208" s="120"/>
      <c r="B208" s="120"/>
      <c r="C208" s="120"/>
      <c r="D208" s="120"/>
      <c r="E208" s="120"/>
      <c r="F208" s="120"/>
      <c r="G208" s="120"/>
      <c r="H208" s="120"/>
      <c r="I208" s="120"/>
      <c r="J208" s="120"/>
      <c r="K208" s="120"/>
      <c r="L208" s="120"/>
      <c r="M208" s="121"/>
      <c r="N208" s="121"/>
      <c r="O208" s="121"/>
      <c r="P208" s="126"/>
      <c r="Q208" s="123"/>
      <c r="R208" s="5"/>
      <c r="S208" s="5"/>
      <c r="T208" s="5"/>
      <c r="U208" s="5"/>
      <c r="V208" s="5"/>
      <c r="W208" s="5"/>
      <c r="X208" s="5"/>
      <c r="Y208" s="5"/>
      <c r="Z208" s="117"/>
      <c r="AA208" s="120"/>
      <c r="AB208" s="120"/>
      <c r="AC208" s="120"/>
      <c r="AD208" s="120"/>
      <c r="AE208" s="120"/>
      <c r="AF208" s="120"/>
    </row>
    <row r="209" spans="1:32" s="7" customFormat="1" x14ac:dyDescent="0.2">
      <c r="A209" s="120"/>
      <c r="B209" s="120"/>
      <c r="C209" s="120"/>
      <c r="D209" s="120"/>
      <c r="E209" s="120"/>
      <c r="F209" s="120"/>
      <c r="G209" s="120"/>
      <c r="H209" s="120"/>
      <c r="I209" s="120"/>
      <c r="J209" s="120"/>
      <c r="K209" s="120"/>
      <c r="L209" s="120"/>
      <c r="M209" s="121"/>
      <c r="N209" s="121"/>
      <c r="O209" s="121"/>
      <c r="P209" s="126"/>
      <c r="Q209" s="123"/>
      <c r="R209" s="5"/>
      <c r="S209" s="5"/>
      <c r="T209" s="5"/>
      <c r="U209" s="5"/>
      <c r="V209" s="5"/>
      <c r="W209" s="5"/>
      <c r="X209" s="5"/>
      <c r="Y209" s="5"/>
      <c r="Z209" s="117"/>
      <c r="AA209" s="120"/>
      <c r="AB209" s="120"/>
      <c r="AC209" s="120"/>
      <c r="AD209" s="120"/>
      <c r="AE209" s="120"/>
      <c r="AF209" s="120"/>
    </row>
  </sheetData>
  <mergeCells count="77">
    <mergeCell ref="A4:F4"/>
    <mergeCell ref="X2:AD4"/>
    <mergeCell ref="Z8:AF8"/>
    <mergeCell ref="A3:I3"/>
    <mergeCell ref="A6:I6"/>
    <mergeCell ref="CI8:CI9"/>
    <mergeCell ref="CJ8:CJ9"/>
    <mergeCell ref="AG6:CJ6"/>
    <mergeCell ref="CH8:CH9"/>
    <mergeCell ref="D5:E5"/>
    <mergeCell ref="CE7:CF7"/>
    <mergeCell ref="CF8:CF9"/>
    <mergeCell ref="CB8:CB9"/>
    <mergeCell ref="BK7:BM7"/>
    <mergeCell ref="BO7:BQ7"/>
    <mergeCell ref="R8:Y8"/>
    <mergeCell ref="AU8:AU9"/>
    <mergeCell ref="A7:AF7"/>
    <mergeCell ref="BA8:BA9"/>
    <mergeCell ref="BB8:BB9"/>
    <mergeCell ref="A8:L8"/>
    <mergeCell ref="AX8:AX9"/>
    <mergeCell ref="AV8:AV9"/>
    <mergeCell ref="AI8:AI9"/>
    <mergeCell ref="N2:V2"/>
    <mergeCell ref="AW8:AW9"/>
    <mergeCell ref="AM8:AM9"/>
    <mergeCell ref="AP8:AP9"/>
    <mergeCell ref="AQ8:AQ9"/>
    <mergeCell ref="AN8:AN9"/>
    <mergeCell ref="AO8:AO9"/>
    <mergeCell ref="AK8:AK9"/>
    <mergeCell ref="AJ8:AJ9"/>
    <mergeCell ref="M8:Q8"/>
    <mergeCell ref="AR8:AR9"/>
    <mergeCell ref="AG8:AG9"/>
    <mergeCell ref="AH8:AH9"/>
    <mergeCell ref="AT8:AT9"/>
    <mergeCell ref="A1:K1"/>
    <mergeCell ref="A2:K2"/>
    <mergeCell ref="AI7:AK7"/>
    <mergeCell ref="BW8:BW9"/>
    <mergeCell ref="BF8:BF9"/>
    <mergeCell ref="BJ8:BJ9"/>
    <mergeCell ref="BS8:BS9"/>
    <mergeCell ref="BB7:BC7"/>
    <mergeCell ref="BO8:BO9"/>
    <mergeCell ref="BH8:BH9"/>
    <mergeCell ref="BI8:BI9"/>
    <mergeCell ref="BR7:BS7"/>
    <mergeCell ref="AL8:AL9"/>
    <mergeCell ref="BM8:BM9"/>
    <mergeCell ref="BQ8:BQ9"/>
    <mergeCell ref="CG8:CG9"/>
    <mergeCell ref="CE8:CE9"/>
    <mergeCell ref="BT8:BT9"/>
    <mergeCell ref="BU8:BU9"/>
    <mergeCell ref="BV8:BV9"/>
    <mergeCell ref="BY8:BY9"/>
    <mergeCell ref="CC8:CC9"/>
    <mergeCell ref="BZ8:BZ9"/>
    <mergeCell ref="AX7:BA7"/>
    <mergeCell ref="CD8:CD9"/>
    <mergeCell ref="BD8:BD9"/>
    <mergeCell ref="BX8:BX9"/>
    <mergeCell ref="CA8:CA9"/>
    <mergeCell ref="BC8:BC9"/>
    <mergeCell ref="BN8:BN9"/>
    <mergeCell ref="BT7:BY7"/>
    <mergeCell ref="BK8:BK9"/>
    <mergeCell ref="BL8:BL9"/>
    <mergeCell ref="CA7:CC7"/>
    <mergeCell ref="BR8:BR9"/>
    <mergeCell ref="BG8:BG9"/>
    <mergeCell ref="AY8:AY9"/>
    <mergeCell ref="AZ8:AZ9"/>
    <mergeCell ref="BP8:BP9"/>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3.placeConditionalOrder">
                <anchor moveWithCells="1">
                  <from>
                    <xdr:col>2</xdr:col>
                    <xdr:colOff>314325</xdr:colOff>
                    <xdr:row>1</xdr:row>
                    <xdr:rowOff>76200</xdr:rowOff>
                  </from>
                  <to>
                    <xdr:col>4</xdr:col>
                    <xdr:colOff>123825</xdr:colOff>
                    <xdr:row>1</xdr:row>
                    <xdr:rowOff>276225</xdr:rowOff>
                  </to>
                </anchor>
              </controlPr>
            </control>
          </mc:Choice>
        </mc:AlternateContent>
        <mc:AlternateContent xmlns:mc="http://schemas.openxmlformats.org/markup-compatibility/2006">
          <mc:Choice Requires="x14">
            <control shapeId="13314" r:id="rId5" name="Button 2">
              <controlPr defaultSize="0" print="0" autoFill="0" autoPict="0" macro="[0]!Sheet3.cancelConditionalOrder">
                <anchor moveWithCells="1">
                  <from>
                    <xdr:col>8</xdr:col>
                    <xdr:colOff>295275</xdr:colOff>
                    <xdr:row>1</xdr:row>
                    <xdr:rowOff>76200</xdr:rowOff>
                  </from>
                  <to>
                    <xdr:col>9</xdr:col>
                    <xdr:colOff>152400</xdr:colOff>
                    <xdr:row>1</xdr:row>
                    <xdr:rowOff>276225</xdr:rowOff>
                  </to>
                </anchor>
              </controlPr>
            </control>
          </mc:Choice>
        </mc:AlternateContent>
        <mc:AlternateContent xmlns:mc="http://schemas.openxmlformats.org/markup-compatibility/2006">
          <mc:Choice Requires="x14">
            <control shapeId="13315" r:id="rId6" name="Button 3">
              <controlPr defaultSize="0" print="0" autoFill="0" autoPict="0" macro="[0]!Sheet3.onShowError">
                <anchor moveWithCells="1">
                  <from>
                    <xdr:col>9</xdr:col>
                    <xdr:colOff>485775</xdr:colOff>
                    <xdr:row>1</xdr:row>
                    <xdr:rowOff>76200</xdr:rowOff>
                  </from>
                  <to>
                    <xdr:col>10</xdr:col>
                    <xdr:colOff>857250</xdr:colOff>
                    <xdr:row>1</xdr:row>
                    <xdr:rowOff>276225</xdr:rowOff>
                  </to>
                </anchor>
              </controlPr>
            </control>
          </mc:Choice>
        </mc:AlternateContent>
        <mc:AlternateContent xmlns:mc="http://schemas.openxmlformats.org/markup-compatibility/2006">
          <mc:Choice Requires="x14">
            <control shapeId="13316" r:id="rId7" name="Button 4">
              <controlPr defaultSize="0" print="0" autoFill="0" autoPict="0" macro="[0]!createComboLegs">
                <anchor moveWithCells="1">
                  <from>
                    <xdr:col>0</xdr:col>
                    <xdr:colOff>123825</xdr:colOff>
                    <xdr:row>1</xdr:row>
                    <xdr:rowOff>76200</xdr:rowOff>
                  </from>
                  <to>
                    <xdr:col>2</xdr:col>
                    <xdr:colOff>152400</xdr:colOff>
                    <xdr:row>1</xdr:row>
                    <xdr:rowOff>276225</xdr:rowOff>
                  </to>
                </anchor>
              </controlPr>
            </control>
          </mc:Choice>
        </mc:AlternateContent>
        <mc:AlternateContent xmlns:mc="http://schemas.openxmlformats.org/markup-compatibility/2006">
          <mc:Choice Requires="x14">
            <control shapeId="13317" r:id="rId8" name="Button 5">
              <controlPr defaultSize="0" print="0" autoFill="0" autoPict="0" macro="[0]!Sheet3.applyTemplate">
                <anchor moveWithCells="1">
                  <from>
                    <xdr:col>5</xdr:col>
                    <xdr:colOff>533400</xdr:colOff>
                    <xdr:row>1</xdr:row>
                    <xdr:rowOff>76200</xdr:rowOff>
                  </from>
                  <to>
                    <xdr:col>7</xdr:col>
                    <xdr:colOff>714375</xdr:colOff>
                    <xdr:row>1</xdr:row>
                    <xdr:rowOff>276225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CC209"/>
  <sheetViews>
    <sheetView zoomScale="80" zoomScaleNormal="80" workbookViewId="0">
      <pane ySplit="9" topLeftCell="A10" activePane="bottomLeft" state="frozen"/>
      <selection activeCell="Q35" sqref="Q35"/>
      <selection pane="bottomLeft" activeCell="Q35" sqref="Q35"/>
    </sheetView>
  </sheetViews>
  <sheetFormatPr defaultRowHeight="12.75" x14ac:dyDescent="0.2"/>
  <cols>
    <col min="1" max="1" width="18.85546875" bestFit="1" customWidth="1"/>
    <col min="2" max="2" width="6" bestFit="1" customWidth="1"/>
    <col min="3" max="3" width="14.140625" customWidth="1"/>
    <col min="4" max="4" width="5.85546875" bestFit="1" customWidth="1"/>
    <col min="5" max="5" width="4.28515625" customWidth="1"/>
    <col min="6" max="6" width="8.42578125" customWidth="1"/>
    <col min="7" max="7" width="12.28515625" customWidth="1"/>
    <col min="8" max="8" width="11.140625" customWidth="1"/>
    <col min="9" max="9" width="15.85546875" customWidth="1"/>
    <col min="10" max="10" width="10.42578125" customWidth="1"/>
    <col min="11" max="11" width="12.140625" customWidth="1"/>
    <col min="12" max="12" width="10" customWidth="1"/>
    <col min="13" max="13" width="10.85546875" customWidth="1"/>
    <col min="14" max="14" width="10.140625" bestFit="1" customWidth="1"/>
    <col min="15" max="15" width="11.85546875" customWidth="1"/>
    <col min="17" max="17" width="8.85546875" bestFit="1" customWidth="1"/>
    <col min="18" max="18" width="13.42578125" bestFit="1" customWidth="1"/>
    <col min="19" max="19" width="13.5703125" bestFit="1" customWidth="1"/>
    <col min="20" max="21" width="10.7109375" customWidth="1"/>
    <col min="22" max="22" width="12.7109375" customWidth="1"/>
    <col min="23" max="23" width="12.5703125" customWidth="1"/>
    <col min="24" max="24" width="9.85546875" customWidth="1"/>
    <col min="26" max="27" width="9.140625" style="7"/>
    <col min="28" max="28" width="11.140625" style="7" customWidth="1"/>
    <col min="29" max="32" width="9.140625" style="7"/>
    <col min="33" max="33" width="10.5703125" style="7" customWidth="1"/>
    <col min="34" max="34" width="10.140625" style="7" customWidth="1"/>
    <col min="35" max="36" width="9.140625" style="7"/>
    <col min="37" max="37" width="0" style="7" hidden="1" customWidth="1"/>
    <col min="38" max="38" width="9.140625" style="7"/>
    <col min="39" max="39" width="12.42578125" style="7" customWidth="1"/>
    <col min="40" max="40" width="10.5703125" style="7" customWidth="1"/>
    <col min="41" max="48" width="9.140625" style="7"/>
    <col min="49" max="49" width="0" style="7" hidden="1" customWidth="1"/>
    <col min="50" max="50" width="9.140625" style="7"/>
    <col min="51" max="51" width="11.85546875" style="7" customWidth="1"/>
    <col min="52" max="52" width="10.42578125" style="7" customWidth="1"/>
    <col min="53" max="54" width="9.140625" style="7"/>
    <col min="55" max="55" width="15.5703125" style="7" customWidth="1"/>
    <col min="56" max="56" width="11.85546875" style="7" customWidth="1"/>
    <col min="57" max="57" width="9.140625" style="7"/>
    <col min="58" max="58" width="15.5703125" style="7" customWidth="1"/>
    <col min="59" max="59" width="9" style="7" customWidth="1"/>
    <col min="60" max="62" width="9.140625" style="7"/>
    <col min="63" max="63" width="12.5703125" style="7" customWidth="1"/>
    <col min="64" max="64" width="12.7109375" style="7" customWidth="1"/>
    <col min="65" max="66" width="9.140625" style="7"/>
    <col min="67" max="67" width="10.42578125" style="7" customWidth="1"/>
    <col min="68" max="68" width="9.140625" style="7"/>
    <col min="69" max="69" width="11.140625" style="7" customWidth="1"/>
    <col min="70" max="70" width="9.140625" style="7"/>
    <col min="71" max="71" width="12.5703125" style="7" customWidth="1"/>
    <col min="72" max="72" width="12.5703125" style="7" hidden="1" customWidth="1"/>
    <col min="73" max="75" width="12.5703125" style="7" customWidth="1"/>
    <col min="76" max="76" width="13" style="7" customWidth="1"/>
    <col min="77" max="77" width="15.42578125" style="7" customWidth="1"/>
    <col min="78" max="79" width="9.140625" style="7"/>
    <col min="80" max="80" width="10.28515625" style="7" customWidth="1"/>
    <col min="81" max="81" width="10.7109375" style="7" customWidth="1"/>
    <col min="82" max="16384" width="9.140625" style="7"/>
  </cols>
  <sheetData>
    <row r="1" spans="1:81" x14ac:dyDescent="0.2">
      <c r="A1" s="299" t="s">
        <v>48</v>
      </c>
      <c r="B1" s="300"/>
      <c r="C1" s="300"/>
      <c r="D1" s="300"/>
      <c r="E1" s="300"/>
      <c r="F1" s="300"/>
      <c r="G1" s="300"/>
      <c r="H1" s="300"/>
      <c r="I1" s="300"/>
      <c r="J1" s="300"/>
      <c r="K1" s="73"/>
      <c r="L1" s="50"/>
      <c r="M1" s="73"/>
      <c r="P1" s="7"/>
      <c r="Q1" s="7"/>
      <c r="R1" s="7"/>
      <c r="S1" s="7"/>
      <c r="T1" s="7"/>
      <c r="U1" s="7"/>
      <c r="V1" s="7"/>
      <c r="W1" s="7"/>
      <c r="X1" s="7"/>
      <c r="Y1" s="7"/>
    </row>
    <row r="2" spans="1:81" ht="27.75" customHeight="1" x14ac:dyDescent="0.2">
      <c r="A2" s="309"/>
      <c r="B2" s="310"/>
      <c r="C2" s="310"/>
      <c r="D2" s="310"/>
      <c r="E2" s="310"/>
      <c r="F2" s="310"/>
      <c r="G2" s="310"/>
      <c r="H2" s="310"/>
      <c r="I2" s="310"/>
      <c r="J2" s="310"/>
      <c r="K2" s="81"/>
      <c r="L2" s="270" t="s">
        <v>395</v>
      </c>
      <c r="M2" s="301"/>
      <c r="N2" s="301"/>
      <c r="O2" s="301"/>
      <c r="P2" s="301"/>
      <c r="Q2" s="301"/>
      <c r="R2" s="301"/>
      <c r="S2" s="302"/>
      <c r="U2" s="81"/>
      <c r="V2" s="81"/>
      <c r="W2" s="81"/>
      <c r="Y2" s="7"/>
    </row>
    <row r="3" spans="1:81" x14ac:dyDescent="0.2">
      <c r="A3" s="19"/>
      <c r="B3" s="19"/>
      <c r="C3" s="19"/>
      <c r="D3" s="19"/>
      <c r="E3" s="19"/>
      <c r="F3" s="19"/>
      <c r="G3" s="19"/>
      <c r="H3" s="19"/>
      <c r="I3" s="19"/>
      <c r="J3" s="19"/>
      <c r="K3" s="19"/>
      <c r="L3" s="50"/>
      <c r="Y3" s="7"/>
    </row>
    <row r="4" spans="1:81" ht="12.75" customHeight="1" x14ac:dyDescent="0.2">
      <c r="A4" s="86" t="s">
        <v>52</v>
      </c>
      <c r="B4" s="87"/>
      <c r="C4" s="87"/>
      <c r="D4" s="87"/>
      <c r="E4" s="107"/>
      <c r="F4" s="87"/>
      <c r="G4" s="50"/>
      <c r="L4" s="373" t="s">
        <v>401</v>
      </c>
      <c r="M4" s="374"/>
      <c r="N4" s="374"/>
      <c r="O4" s="374"/>
      <c r="P4" s="374"/>
      <c r="Q4" s="374"/>
      <c r="R4" s="374"/>
      <c r="S4" s="375"/>
      <c r="Y4" s="7"/>
    </row>
    <row r="5" spans="1:81" x14ac:dyDescent="0.2">
      <c r="A5" s="75" t="s">
        <v>59</v>
      </c>
      <c r="B5" s="76"/>
      <c r="C5" s="76"/>
      <c r="D5" s="308"/>
      <c r="E5" s="372"/>
      <c r="F5" s="35"/>
      <c r="L5" s="376"/>
      <c r="M5" s="377"/>
      <c r="N5" s="377"/>
      <c r="O5" s="377"/>
      <c r="P5" s="377"/>
      <c r="Q5" s="377"/>
      <c r="R5" s="377"/>
      <c r="S5" s="378"/>
      <c r="Y5" s="7"/>
      <c r="AF5" s="26"/>
      <c r="AG5" s="26"/>
      <c r="AH5" s="26"/>
      <c r="AI5" s="26"/>
      <c r="AJ5" s="26"/>
      <c r="AK5" s="26"/>
      <c r="AL5" s="26"/>
      <c r="AM5" s="26"/>
      <c r="AN5" s="26"/>
      <c r="AO5" s="26"/>
      <c r="AP5" s="26"/>
      <c r="AQ5" s="26"/>
      <c r="AR5" s="26"/>
      <c r="AS5" s="26"/>
      <c r="AT5" s="26"/>
      <c r="AU5" s="26"/>
      <c r="AV5" s="26"/>
      <c r="AW5" s="26"/>
      <c r="AX5" s="26"/>
      <c r="AY5" s="26"/>
      <c r="AZ5" s="26"/>
      <c r="BA5" s="26"/>
      <c r="BB5" s="26"/>
      <c r="BC5" s="26"/>
      <c r="BD5" s="26"/>
      <c r="BE5" s="26"/>
      <c r="BF5" s="26"/>
      <c r="BG5" s="26"/>
      <c r="BH5" s="26"/>
      <c r="BI5" s="26"/>
      <c r="BJ5" s="26"/>
      <c r="BK5" s="26"/>
      <c r="BL5" s="26"/>
      <c r="BM5" s="26"/>
      <c r="BN5" s="26"/>
      <c r="BO5" s="26"/>
      <c r="BP5" s="26"/>
      <c r="BQ5" s="26"/>
      <c r="BR5" s="26"/>
      <c r="BS5" s="26"/>
      <c r="BT5" s="26"/>
      <c r="BU5" s="26"/>
      <c r="BV5" s="26"/>
      <c r="BW5" s="26"/>
      <c r="BX5" s="26"/>
      <c r="BY5" s="26"/>
    </row>
    <row r="6" spans="1:81" x14ac:dyDescent="0.2">
      <c r="A6" s="83"/>
      <c r="B6" s="84"/>
      <c r="C6" s="84"/>
      <c r="D6" s="82"/>
      <c r="E6" s="82"/>
      <c r="F6" s="82"/>
      <c r="L6" s="50"/>
      <c r="Q6" s="26"/>
      <c r="R6" s="26"/>
      <c r="S6" s="26"/>
      <c r="T6" s="26"/>
      <c r="Z6" s="316" t="s">
        <v>71</v>
      </c>
      <c r="AA6" s="316"/>
      <c r="AB6" s="316"/>
      <c r="AC6" s="316"/>
      <c r="AD6" s="316"/>
      <c r="AE6" s="316"/>
      <c r="AF6" s="316"/>
      <c r="AG6" s="316"/>
      <c r="AH6" s="316"/>
      <c r="AI6" s="316"/>
      <c r="AJ6" s="316"/>
      <c r="AK6" s="316"/>
      <c r="AL6" s="316"/>
      <c r="AM6" s="316"/>
      <c r="AN6" s="316"/>
      <c r="AO6" s="316"/>
      <c r="AP6" s="316"/>
      <c r="AQ6" s="316"/>
      <c r="AR6" s="316"/>
      <c r="AS6" s="316"/>
      <c r="AT6" s="316"/>
      <c r="AU6" s="316"/>
      <c r="AV6" s="316"/>
      <c r="AW6" s="316"/>
      <c r="AX6" s="316"/>
      <c r="AY6" s="316"/>
      <c r="AZ6" s="316"/>
      <c r="BA6" s="316"/>
      <c r="BB6" s="316"/>
      <c r="BC6" s="316"/>
      <c r="BD6" s="316"/>
      <c r="BE6" s="316"/>
      <c r="BF6" s="316"/>
      <c r="BG6" s="316"/>
      <c r="BH6" s="316"/>
      <c r="BI6" s="316"/>
      <c r="BJ6" s="316"/>
      <c r="BK6" s="316"/>
      <c r="BL6" s="316"/>
      <c r="BM6" s="316"/>
      <c r="BN6" s="316"/>
      <c r="BO6" s="316"/>
      <c r="BP6" s="316"/>
      <c r="BQ6" s="316"/>
      <c r="BR6" s="316"/>
      <c r="BS6" s="316"/>
      <c r="BT6" s="316"/>
      <c r="BU6" s="316"/>
      <c r="BV6" s="316"/>
      <c r="BW6" s="316"/>
      <c r="BX6" s="316"/>
      <c r="BY6" s="316"/>
      <c r="BZ6" s="316"/>
      <c r="CA6" s="316"/>
      <c r="CB6" s="316"/>
      <c r="CC6" s="316"/>
    </row>
    <row r="7" spans="1:81" s="129" customFormat="1" x14ac:dyDescent="0.2">
      <c r="A7" s="311" t="s">
        <v>49</v>
      </c>
      <c r="B7" s="312"/>
      <c r="C7" s="312"/>
      <c r="D7" s="312"/>
      <c r="E7" s="312"/>
      <c r="F7" s="312"/>
      <c r="G7" s="312"/>
      <c r="H7" s="312"/>
      <c r="I7" s="312"/>
      <c r="J7" s="312"/>
      <c r="K7" s="312"/>
      <c r="L7" s="312"/>
      <c r="M7" s="312"/>
      <c r="N7" s="312"/>
      <c r="O7" s="312"/>
      <c r="P7" s="312"/>
      <c r="Q7" s="312"/>
      <c r="R7" s="312"/>
      <c r="S7" s="312"/>
      <c r="T7" s="312"/>
      <c r="U7" s="312"/>
      <c r="V7" s="312"/>
      <c r="W7" s="312"/>
      <c r="X7" s="312"/>
      <c r="Y7" s="312"/>
      <c r="Z7" s="132"/>
      <c r="AA7" s="132"/>
      <c r="AB7" s="291" t="s">
        <v>290</v>
      </c>
      <c r="AC7" s="292"/>
      <c r="AD7" s="293"/>
      <c r="AE7" s="132"/>
      <c r="AF7" s="132"/>
      <c r="AG7" s="132"/>
      <c r="AH7" s="132"/>
      <c r="AI7" s="132"/>
      <c r="AJ7" s="132"/>
      <c r="AK7" s="132"/>
      <c r="AL7" s="132"/>
      <c r="AM7" s="132"/>
      <c r="AN7" s="131" t="s">
        <v>68</v>
      </c>
      <c r="AO7" s="132"/>
      <c r="AP7" s="132"/>
      <c r="AQ7" s="291" t="s">
        <v>289</v>
      </c>
      <c r="AR7" s="292"/>
      <c r="AS7" s="292"/>
      <c r="AT7" s="293"/>
      <c r="AU7" s="291" t="s">
        <v>290</v>
      </c>
      <c r="AV7" s="293"/>
      <c r="AW7" s="132"/>
      <c r="AX7" s="132"/>
      <c r="AY7" s="132"/>
      <c r="AZ7" s="131" t="s">
        <v>290</v>
      </c>
      <c r="BA7" s="132"/>
      <c r="BB7" s="133"/>
      <c r="BC7" s="131" t="s">
        <v>294</v>
      </c>
      <c r="BD7" s="291" t="s">
        <v>293</v>
      </c>
      <c r="BE7" s="296"/>
      <c r="BF7" s="296"/>
      <c r="BG7" s="130" t="s">
        <v>312</v>
      </c>
      <c r="BH7" s="291" t="s">
        <v>291</v>
      </c>
      <c r="BI7" s="314"/>
      <c r="BJ7" s="313"/>
      <c r="BK7" s="291" t="s">
        <v>305</v>
      </c>
      <c r="BL7" s="293"/>
      <c r="BM7" s="291" t="s">
        <v>292</v>
      </c>
      <c r="BN7" s="292"/>
      <c r="BO7" s="292"/>
      <c r="BP7" s="292"/>
      <c r="BQ7" s="292"/>
      <c r="BR7" s="293"/>
      <c r="BS7" s="131" t="s">
        <v>275</v>
      </c>
      <c r="BT7" s="291" t="s">
        <v>377</v>
      </c>
      <c r="BU7" s="296"/>
      <c r="BV7" s="315"/>
      <c r="BW7" s="167"/>
      <c r="BX7" s="291" t="s">
        <v>290</v>
      </c>
      <c r="BY7" s="313"/>
      <c r="BZ7" s="167"/>
      <c r="CA7" s="167"/>
      <c r="CB7" s="167"/>
      <c r="CC7" s="167"/>
    </row>
    <row r="8" spans="1:81" ht="12.75" customHeight="1" x14ac:dyDescent="0.2">
      <c r="A8" s="284" t="s">
        <v>28</v>
      </c>
      <c r="B8" s="282"/>
      <c r="C8" s="282"/>
      <c r="D8" s="282"/>
      <c r="E8" s="282"/>
      <c r="F8" s="282"/>
      <c r="G8" s="282"/>
      <c r="H8" s="282"/>
      <c r="I8" s="282"/>
      <c r="J8" s="282"/>
      <c r="K8" s="282"/>
      <c r="L8" s="290"/>
      <c r="M8" s="79"/>
      <c r="N8" s="79"/>
      <c r="O8" s="78" t="s">
        <v>29</v>
      </c>
      <c r="P8" s="79"/>
      <c r="Q8" s="80"/>
      <c r="R8" s="284" t="s">
        <v>30</v>
      </c>
      <c r="S8" s="285"/>
      <c r="T8" s="285"/>
      <c r="U8" s="285"/>
      <c r="V8" s="285"/>
      <c r="W8" s="285"/>
      <c r="X8" s="285"/>
      <c r="Y8" s="278"/>
      <c r="Z8" s="294" t="s">
        <v>276</v>
      </c>
      <c r="AA8" s="294" t="s">
        <v>73</v>
      </c>
      <c r="AB8" s="294" t="s">
        <v>74</v>
      </c>
      <c r="AC8" s="294" t="s">
        <v>277</v>
      </c>
      <c r="AD8" s="294" t="s">
        <v>278</v>
      </c>
      <c r="AE8" s="294" t="s">
        <v>75</v>
      </c>
      <c r="AF8" s="294" t="s">
        <v>279</v>
      </c>
      <c r="AG8" s="294" t="s">
        <v>84</v>
      </c>
      <c r="AH8" s="294" t="s">
        <v>280</v>
      </c>
      <c r="AI8" s="294" t="s">
        <v>281</v>
      </c>
      <c r="AJ8" s="294" t="s">
        <v>98</v>
      </c>
      <c r="AK8" s="294" t="s">
        <v>99</v>
      </c>
      <c r="AL8" s="207"/>
      <c r="AM8" s="294" t="s">
        <v>282</v>
      </c>
      <c r="AN8" s="294" t="s">
        <v>283</v>
      </c>
      <c r="AO8" s="294" t="s">
        <v>133</v>
      </c>
      <c r="AP8" s="294" t="s">
        <v>134</v>
      </c>
      <c r="AQ8" s="294" t="s">
        <v>135</v>
      </c>
      <c r="AR8" s="294" t="s">
        <v>136</v>
      </c>
      <c r="AS8" s="294" t="s">
        <v>137</v>
      </c>
      <c r="AT8" s="294" t="s">
        <v>138</v>
      </c>
      <c r="AU8" s="294" t="s">
        <v>284</v>
      </c>
      <c r="AV8" s="294" t="s">
        <v>285</v>
      </c>
      <c r="AW8" s="294" t="s">
        <v>155</v>
      </c>
      <c r="AX8" s="207"/>
      <c r="AY8" s="294" t="s">
        <v>156</v>
      </c>
      <c r="AZ8" s="294" t="s">
        <v>157</v>
      </c>
      <c r="BA8" s="294" t="s">
        <v>286</v>
      </c>
      <c r="BB8" s="294" t="s">
        <v>166</v>
      </c>
      <c r="BC8" s="294" t="s">
        <v>158</v>
      </c>
      <c r="BD8" s="294" t="s">
        <v>287</v>
      </c>
      <c r="BE8" s="294" t="s">
        <v>288</v>
      </c>
      <c r="BF8" s="294" t="s">
        <v>159</v>
      </c>
      <c r="BG8" s="294" t="s">
        <v>160</v>
      </c>
      <c r="BH8" s="294" t="s">
        <v>161</v>
      </c>
      <c r="BI8" s="294" t="s">
        <v>162</v>
      </c>
      <c r="BJ8" s="294" t="s">
        <v>163</v>
      </c>
      <c r="BK8" s="297" t="s">
        <v>445</v>
      </c>
      <c r="BL8" s="297" t="s">
        <v>446</v>
      </c>
      <c r="BM8" s="294" t="s">
        <v>205</v>
      </c>
      <c r="BN8" s="294" t="s">
        <v>208</v>
      </c>
      <c r="BO8" s="294" t="s">
        <v>209</v>
      </c>
      <c r="BP8" s="294" t="s">
        <v>212</v>
      </c>
      <c r="BQ8" s="294" t="s">
        <v>207</v>
      </c>
      <c r="BR8" s="294" t="s">
        <v>213</v>
      </c>
      <c r="BS8" s="294" t="s">
        <v>274</v>
      </c>
      <c r="BT8" s="294" t="s">
        <v>380</v>
      </c>
      <c r="BU8" s="294" t="s">
        <v>381</v>
      </c>
      <c r="BV8" s="294" t="s">
        <v>382</v>
      </c>
      <c r="BW8" s="294" t="s">
        <v>385</v>
      </c>
      <c r="BX8" s="294" t="s">
        <v>455</v>
      </c>
      <c r="BY8" s="297" t="s">
        <v>483</v>
      </c>
      <c r="BZ8" s="297" t="s">
        <v>489</v>
      </c>
      <c r="CA8" s="297" t="s">
        <v>558</v>
      </c>
      <c r="CB8" s="297" t="s">
        <v>560</v>
      </c>
      <c r="CC8" s="297" t="s">
        <v>561</v>
      </c>
    </row>
    <row r="9" spans="1:81" x14ac:dyDescent="0.2">
      <c r="A9" s="1" t="s">
        <v>10</v>
      </c>
      <c r="B9" s="1" t="s">
        <v>22</v>
      </c>
      <c r="C9" s="1" t="s">
        <v>565</v>
      </c>
      <c r="D9" s="1" t="s">
        <v>11</v>
      </c>
      <c r="E9" s="52" t="s">
        <v>24</v>
      </c>
      <c r="F9" s="1" t="s">
        <v>88</v>
      </c>
      <c r="G9" s="1" t="s">
        <v>87</v>
      </c>
      <c r="H9" s="2" t="s">
        <v>13</v>
      </c>
      <c r="I9" s="16" t="s">
        <v>141</v>
      </c>
      <c r="J9" s="2" t="s">
        <v>41</v>
      </c>
      <c r="K9" s="2" t="s">
        <v>115</v>
      </c>
      <c r="L9" s="2" t="s">
        <v>139</v>
      </c>
      <c r="M9" s="2" t="s">
        <v>14</v>
      </c>
      <c r="N9" s="1" t="s">
        <v>15</v>
      </c>
      <c r="O9" s="1" t="s">
        <v>16</v>
      </c>
      <c r="P9" s="1" t="s">
        <v>17</v>
      </c>
      <c r="Q9" s="1" t="s">
        <v>18</v>
      </c>
      <c r="R9" s="172" t="s">
        <v>23</v>
      </c>
      <c r="S9" s="172" t="s">
        <v>25</v>
      </c>
      <c r="T9" s="172" t="s">
        <v>19</v>
      </c>
      <c r="U9" s="172" t="s">
        <v>20</v>
      </c>
      <c r="V9" s="172" t="s">
        <v>21</v>
      </c>
      <c r="W9" s="172" t="s">
        <v>112</v>
      </c>
      <c r="X9" s="172" t="s">
        <v>113</v>
      </c>
      <c r="Y9" s="172" t="s">
        <v>85</v>
      </c>
      <c r="Z9" s="295"/>
      <c r="AA9" s="295"/>
      <c r="AB9" s="295"/>
      <c r="AC9" s="295"/>
      <c r="AD9" s="295"/>
      <c r="AE9" s="295"/>
      <c r="AF9" s="295"/>
      <c r="AG9" s="295"/>
      <c r="AH9" s="295"/>
      <c r="AI9" s="295"/>
      <c r="AJ9" s="295"/>
      <c r="AK9" s="295"/>
      <c r="AL9" s="208"/>
      <c r="AM9" s="295"/>
      <c r="AN9" s="295"/>
      <c r="AO9" s="295"/>
      <c r="AP9" s="295"/>
      <c r="AQ9" s="295"/>
      <c r="AR9" s="295"/>
      <c r="AS9" s="295"/>
      <c r="AT9" s="295"/>
      <c r="AU9" s="295"/>
      <c r="AV9" s="295"/>
      <c r="AW9" s="295"/>
      <c r="AX9" s="208"/>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W9" s="295"/>
      <c r="BX9" s="295"/>
      <c r="BY9" s="295"/>
      <c r="BZ9" s="298"/>
      <c r="CA9" s="298"/>
      <c r="CB9" s="298"/>
      <c r="CC9" s="298"/>
    </row>
    <row r="10" spans="1:81" x14ac:dyDescent="0.2">
      <c r="A10" s="5"/>
      <c r="B10" s="5"/>
      <c r="C10" s="5"/>
      <c r="D10" s="5"/>
      <c r="E10" s="64"/>
      <c r="F10" s="5"/>
      <c r="G10" s="5"/>
      <c r="H10" s="5"/>
      <c r="I10" s="5"/>
      <c r="J10" s="5"/>
      <c r="K10" s="5"/>
      <c r="L10" s="5"/>
      <c r="M10" s="6"/>
      <c r="N10" s="6"/>
      <c r="O10" s="6"/>
      <c r="P10" s="6"/>
      <c r="Q10" s="123"/>
      <c r="R10" s="5"/>
      <c r="S10" s="5"/>
      <c r="T10" s="5"/>
      <c r="U10" s="5"/>
      <c r="V10" s="5"/>
      <c r="W10" s="5"/>
      <c r="X10" s="5"/>
      <c r="Y10" s="5"/>
      <c r="Z10" s="195"/>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c r="BH10" s="6"/>
      <c r="BI10" s="6"/>
      <c r="BJ10" s="6"/>
      <c r="BK10" s="6"/>
      <c r="BL10" s="6"/>
      <c r="BM10" s="6"/>
      <c r="BN10" s="6"/>
      <c r="BO10" s="6"/>
      <c r="BP10" s="6"/>
      <c r="BQ10" s="6"/>
      <c r="BR10" s="6"/>
      <c r="BS10" s="6"/>
      <c r="BT10" s="6"/>
      <c r="BU10" s="6"/>
      <c r="BV10" s="6"/>
      <c r="BW10" s="6"/>
      <c r="BX10" s="6"/>
      <c r="BY10" s="6"/>
      <c r="BZ10" s="6"/>
      <c r="CA10" s="6"/>
      <c r="CB10" s="6"/>
      <c r="CC10" s="6"/>
    </row>
    <row r="11" spans="1:81" x14ac:dyDescent="0.2">
      <c r="A11" s="385" t="s">
        <v>398</v>
      </c>
      <c r="B11" s="386"/>
      <c r="C11" s="386"/>
      <c r="D11" s="387"/>
      <c r="E11" s="64"/>
      <c r="F11" s="5"/>
      <c r="G11" s="5"/>
      <c r="H11" s="5"/>
      <c r="I11" s="5"/>
      <c r="J11" s="5"/>
      <c r="K11" s="37"/>
      <c r="L11" s="5"/>
      <c r="M11" s="6"/>
      <c r="N11" s="6"/>
      <c r="O11" s="6"/>
      <c r="P11" s="6"/>
      <c r="Q11" s="123"/>
      <c r="R11" s="5"/>
      <c r="S11" s="5"/>
      <c r="T11" s="5"/>
      <c r="U11" s="5"/>
      <c r="V11" s="5"/>
      <c r="W11" s="5"/>
      <c r="X11" s="5"/>
      <c r="Y11" s="5"/>
      <c r="Z11" s="195"/>
      <c r="AA11" s="6"/>
      <c r="AB11" s="6"/>
      <c r="AC11" s="6"/>
      <c r="AD11" s="6"/>
      <c r="AE11" s="6"/>
      <c r="AF11" s="6"/>
      <c r="AG11" s="6"/>
      <c r="AH11" s="6"/>
      <c r="AI11" s="6"/>
      <c r="AJ11" s="6"/>
      <c r="AK11" s="6"/>
      <c r="AL11" s="6"/>
      <c r="AM11" s="6"/>
      <c r="AN11" s="6"/>
      <c r="AO11" s="6"/>
      <c r="AP11" s="6"/>
      <c r="AQ11" s="6"/>
      <c r="AR11" s="6"/>
      <c r="AS11" s="6"/>
      <c r="AT11" s="6"/>
      <c r="AU11" s="6"/>
      <c r="AV11" s="6"/>
      <c r="AW11" s="6"/>
      <c r="AX11" s="6"/>
      <c r="AY11" s="6"/>
      <c r="AZ11" s="6"/>
      <c r="BA11" s="6"/>
      <c r="BB11" s="6"/>
      <c r="BC11" s="6"/>
      <c r="BD11" s="6"/>
      <c r="BE11" s="6"/>
      <c r="BF11" s="6"/>
      <c r="BG11" s="6"/>
      <c r="BH11" s="6"/>
      <c r="BI11" s="6"/>
      <c r="BJ11" s="6"/>
      <c r="BK11" s="6"/>
      <c r="BL11" s="6"/>
      <c r="BM11" s="6"/>
      <c r="BN11" s="6"/>
      <c r="BO11" s="6"/>
      <c r="BP11" s="6"/>
      <c r="BQ11" s="6"/>
      <c r="BR11" s="6"/>
      <c r="BS11" s="6"/>
      <c r="BT11" s="6"/>
      <c r="BU11" s="6"/>
      <c r="BV11" s="6"/>
      <c r="BW11" s="6"/>
      <c r="BX11" s="6"/>
      <c r="BY11" s="6"/>
      <c r="BZ11" s="6"/>
      <c r="CA11" s="6"/>
      <c r="CB11" s="6"/>
      <c r="CC11" s="6"/>
    </row>
    <row r="12" spans="1:81" x14ac:dyDescent="0.2">
      <c r="A12" s="379" t="s">
        <v>409</v>
      </c>
      <c r="B12" s="380"/>
      <c r="C12" s="380"/>
      <c r="D12" s="380"/>
      <c r="E12" s="380"/>
      <c r="F12" s="380"/>
      <c r="G12" s="228"/>
      <c r="H12" s="5"/>
      <c r="I12" s="5"/>
      <c r="J12" s="5"/>
      <c r="K12" s="37"/>
      <c r="L12" s="5"/>
      <c r="M12" s="6"/>
      <c r="N12" s="6"/>
      <c r="O12" s="6"/>
      <c r="P12" s="6"/>
      <c r="Q12" s="123"/>
      <c r="R12" s="5"/>
      <c r="S12" s="5"/>
      <c r="T12" s="5"/>
      <c r="U12" s="5"/>
      <c r="V12" s="5"/>
      <c r="W12" s="5"/>
      <c r="X12" s="5"/>
      <c r="Y12" s="5"/>
      <c r="Z12" s="195"/>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c r="BA12" s="6"/>
      <c r="BB12" s="6"/>
      <c r="BC12" s="6"/>
      <c r="BD12" s="6"/>
      <c r="BE12" s="6"/>
      <c r="BF12" s="6"/>
      <c r="BG12" s="6"/>
      <c r="BH12" s="6"/>
      <c r="BI12" s="6"/>
      <c r="BJ12" s="6"/>
      <c r="BK12" s="6"/>
      <c r="BL12" s="6"/>
      <c r="BM12" s="6"/>
      <c r="BN12" s="6"/>
      <c r="BO12" s="6"/>
      <c r="BP12" s="6"/>
      <c r="BQ12" s="6"/>
      <c r="BR12" s="6"/>
      <c r="BS12" s="6"/>
      <c r="BT12" s="6"/>
      <c r="BU12" s="6"/>
      <c r="BV12" s="6"/>
      <c r="BW12" s="6"/>
      <c r="BX12" s="6"/>
      <c r="BY12" s="6"/>
      <c r="BZ12" s="6"/>
      <c r="CA12" s="6"/>
      <c r="CB12" s="6"/>
      <c r="CC12" s="6"/>
    </row>
    <row r="13" spans="1:81" x14ac:dyDescent="0.2">
      <c r="A13" s="5" t="s">
        <v>389</v>
      </c>
      <c r="B13" s="5" t="s">
        <v>12</v>
      </c>
      <c r="C13" s="5"/>
      <c r="D13" s="5"/>
      <c r="E13" s="64"/>
      <c r="F13" s="5"/>
      <c r="G13" s="3"/>
      <c r="H13" s="13" t="s">
        <v>68</v>
      </c>
      <c r="I13" s="5"/>
      <c r="J13" s="5" t="s">
        <v>44</v>
      </c>
      <c r="K13" s="101"/>
      <c r="L13" s="5"/>
      <c r="M13" s="4" t="s">
        <v>147</v>
      </c>
      <c r="N13" s="6">
        <v>100</v>
      </c>
      <c r="O13" s="6" t="s">
        <v>393</v>
      </c>
      <c r="P13" s="6"/>
      <c r="Q13" s="124"/>
      <c r="R13" s="5"/>
      <c r="S13" s="5"/>
      <c r="T13" s="5"/>
      <c r="U13" s="5"/>
      <c r="V13" s="5"/>
      <c r="W13" s="5"/>
      <c r="X13" s="5"/>
      <c r="Y13" s="5"/>
      <c r="Z13" s="195"/>
      <c r="AA13" s="6"/>
      <c r="AB13" s="6"/>
      <c r="AC13" s="6"/>
      <c r="AD13" s="6"/>
      <c r="AE13" s="6"/>
      <c r="AF13" s="6"/>
      <c r="AG13" s="6"/>
      <c r="AH13" s="6"/>
      <c r="AI13" s="6"/>
      <c r="AJ13" s="6"/>
      <c r="AK13" s="6"/>
      <c r="AL13" s="6"/>
      <c r="AM13" s="6"/>
      <c r="AN13" s="6"/>
      <c r="AO13" s="6"/>
      <c r="AP13" s="6"/>
      <c r="AQ13" s="6"/>
      <c r="AR13" s="6"/>
      <c r="AS13" s="6"/>
      <c r="AT13" s="6"/>
      <c r="AU13" s="6"/>
      <c r="AV13" s="6"/>
      <c r="AW13" s="6"/>
      <c r="AX13" s="6"/>
      <c r="AY13" s="6"/>
      <c r="AZ13" s="6"/>
      <c r="BA13" s="6"/>
      <c r="BB13" s="6"/>
      <c r="BC13" s="6"/>
      <c r="BD13" s="6"/>
      <c r="BE13" s="6"/>
      <c r="BF13" s="6"/>
      <c r="BG13" s="6"/>
      <c r="BH13" s="6"/>
      <c r="BI13" s="6"/>
      <c r="BJ13" s="6"/>
      <c r="BK13" s="6"/>
      <c r="BL13" s="6"/>
      <c r="BM13" s="6"/>
      <c r="BN13" s="6"/>
      <c r="BO13" s="6"/>
      <c r="BP13" s="6"/>
      <c r="BQ13" s="6"/>
      <c r="BR13" s="6"/>
      <c r="BS13" s="6"/>
      <c r="BT13" s="6"/>
      <c r="BU13" s="6"/>
      <c r="BV13" s="6"/>
      <c r="BW13" s="6"/>
      <c r="BX13" s="6"/>
      <c r="BY13" s="6"/>
      <c r="BZ13" s="6"/>
      <c r="CA13" s="6"/>
      <c r="CB13" s="6"/>
      <c r="CC13" s="6"/>
    </row>
    <row r="14" spans="1:81" x14ac:dyDescent="0.2">
      <c r="A14" s="5" t="s">
        <v>389</v>
      </c>
      <c r="B14" s="5" t="s">
        <v>12</v>
      </c>
      <c r="C14" s="5"/>
      <c r="D14" s="5"/>
      <c r="E14" s="64"/>
      <c r="F14" s="5"/>
      <c r="G14" s="5"/>
      <c r="H14" s="13" t="s">
        <v>68</v>
      </c>
      <c r="I14" s="5"/>
      <c r="J14" s="5" t="s">
        <v>44</v>
      </c>
      <c r="K14" s="101"/>
      <c r="L14" s="5"/>
      <c r="M14" s="4" t="s">
        <v>149</v>
      </c>
      <c r="N14" s="6">
        <v>100</v>
      </c>
      <c r="O14" s="6" t="s">
        <v>394</v>
      </c>
      <c r="P14" s="6"/>
      <c r="Q14" s="124"/>
      <c r="R14" s="5"/>
      <c r="S14" s="5"/>
      <c r="T14" s="5"/>
      <c r="U14" s="5"/>
      <c r="V14" s="5"/>
      <c r="W14" s="5"/>
      <c r="X14" s="5"/>
      <c r="Y14" s="5"/>
      <c r="Z14" s="195"/>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row>
    <row r="15" spans="1:81" x14ac:dyDescent="0.2">
      <c r="A15" s="5" t="s">
        <v>389</v>
      </c>
      <c r="B15" s="5" t="s">
        <v>12</v>
      </c>
      <c r="C15" s="5"/>
      <c r="D15" s="5"/>
      <c r="E15" s="64"/>
      <c r="F15" s="5"/>
      <c r="G15" s="5"/>
      <c r="H15" s="13" t="s">
        <v>68</v>
      </c>
      <c r="I15" s="5"/>
      <c r="J15" s="5" t="s">
        <v>44</v>
      </c>
      <c r="K15" s="101"/>
      <c r="L15" s="5"/>
      <c r="M15" s="4" t="s">
        <v>149</v>
      </c>
      <c r="N15" s="6">
        <v>100</v>
      </c>
      <c r="O15" s="6" t="s">
        <v>393</v>
      </c>
      <c r="P15" s="6"/>
      <c r="Q15" s="124"/>
      <c r="R15" s="5"/>
      <c r="S15" s="5"/>
      <c r="T15" s="5"/>
      <c r="U15" s="5"/>
      <c r="V15" s="5"/>
      <c r="W15" s="5"/>
      <c r="X15" s="5"/>
      <c r="Y15" s="5"/>
      <c r="Z15" s="195"/>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row>
    <row r="16" spans="1:81" x14ac:dyDescent="0.2">
      <c r="A16" s="5"/>
      <c r="B16" s="5"/>
      <c r="C16" s="5"/>
      <c r="D16" s="5"/>
      <c r="E16" s="64"/>
      <c r="F16" s="5"/>
      <c r="G16" s="5"/>
      <c r="H16" s="13"/>
      <c r="I16" s="5"/>
      <c r="J16" s="5"/>
      <c r="K16" s="101"/>
      <c r="L16" s="5"/>
      <c r="M16" s="4"/>
      <c r="N16" s="6"/>
      <c r="O16" s="6"/>
      <c r="P16" s="6"/>
      <c r="Q16" s="124"/>
      <c r="R16" s="5"/>
      <c r="S16" s="5"/>
      <c r="T16" s="5"/>
      <c r="U16" s="5"/>
      <c r="V16" s="5"/>
      <c r="W16" s="5"/>
      <c r="X16" s="5"/>
      <c r="Y16" s="5"/>
      <c r="Z16" s="195"/>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row>
    <row r="17" spans="1:81" x14ac:dyDescent="0.2">
      <c r="A17" s="8" t="s">
        <v>403</v>
      </c>
      <c r="B17" s="8"/>
      <c r="C17" s="8"/>
      <c r="D17" s="8"/>
      <c r="E17" s="8"/>
      <c r="F17" s="8"/>
      <c r="G17" s="8"/>
      <c r="H17" s="8"/>
      <c r="I17" s="5"/>
      <c r="J17" s="5"/>
      <c r="K17" s="37"/>
      <c r="L17" s="5"/>
      <c r="M17" s="6"/>
      <c r="N17" s="6"/>
      <c r="O17" s="6"/>
      <c r="P17" s="6"/>
      <c r="Q17" s="123"/>
      <c r="R17" s="5"/>
      <c r="S17" s="5"/>
      <c r="T17" s="5"/>
      <c r="U17" s="5"/>
      <c r="V17" s="5"/>
      <c r="W17" s="5"/>
      <c r="X17" s="5"/>
      <c r="Y17" s="5"/>
      <c r="Z17" s="195"/>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row>
    <row r="18" spans="1:81" x14ac:dyDescent="0.2">
      <c r="A18" s="379" t="s">
        <v>409</v>
      </c>
      <c r="B18" s="380"/>
      <c r="C18" s="380"/>
      <c r="D18" s="380"/>
      <c r="E18" s="380"/>
      <c r="F18" s="381"/>
      <c r="G18" s="229"/>
      <c r="H18" s="13"/>
      <c r="I18" s="13"/>
      <c r="J18" s="13"/>
      <c r="K18" s="37"/>
      <c r="L18" s="5"/>
      <c r="M18" s="6"/>
      <c r="N18" s="6"/>
      <c r="O18" s="6"/>
      <c r="P18" s="6"/>
      <c r="Q18" s="123"/>
      <c r="R18" s="5"/>
      <c r="S18" s="5"/>
      <c r="T18" s="5"/>
      <c r="U18" s="5"/>
      <c r="V18" s="5"/>
      <c r="W18" s="5"/>
      <c r="X18" s="5"/>
      <c r="Y18" s="5"/>
      <c r="Z18" s="195"/>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row>
    <row r="19" spans="1:81" x14ac:dyDescent="0.2">
      <c r="A19" s="13" t="s">
        <v>197</v>
      </c>
      <c r="B19" s="13" t="s">
        <v>31</v>
      </c>
      <c r="C19" s="13">
        <v>201101</v>
      </c>
      <c r="D19" s="13">
        <v>470</v>
      </c>
      <c r="E19" s="63" t="s">
        <v>36</v>
      </c>
      <c r="F19" s="13">
        <v>100</v>
      </c>
      <c r="G19" s="13"/>
      <c r="H19" s="13" t="s">
        <v>68</v>
      </c>
      <c r="I19" s="13"/>
      <c r="J19" s="13" t="s">
        <v>44</v>
      </c>
      <c r="K19" s="37"/>
      <c r="L19" s="5"/>
      <c r="M19" s="6" t="s">
        <v>147</v>
      </c>
      <c r="N19" s="6">
        <v>1</v>
      </c>
      <c r="O19" s="6" t="s">
        <v>400</v>
      </c>
      <c r="P19" s="6"/>
      <c r="Q19" s="123"/>
      <c r="R19" s="5"/>
      <c r="S19" s="5"/>
      <c r="T19" s="5"/>
      <c r="U19" s="5"/>
      <c r="V19" s="5"/>
      <c r="W19" s="5"/>
      <c r="X19" s="5"/>
      <c r="Y19" s="5"/>
      <c r="Z19" s="195"/>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A19" s="6"/>
      <c r="BB19" s="6"/>
      <c r="BC19" s="6"/>
      <c r="BD19" s="6"/>
      <c r="BE19" s="6"/>
      <c r="BF19" s="6"/>
      <c r="BG19" s="6"/>
      <c r="BH19" s="6"/>
      <c r="BI19" s="6"/>
      <c r="BJ19" s="6"/>
      <c r="BK19" s="6"/>
      <c r="BL19" s="6"/>
      <c r="BM19" s="6"/>
      <c r="BN19" s="6"/>
      <c r="BO19" s="6"/>
      <c r="BP19" s="6"/>
      <c r="BQ19" s="6"/>
      <c r="BR19" s="6"/>
      <c r="BS19" s="6"/>
      <c r="BT19" s="6"/>
      <c r="BU19" s="6"/>
      <c r="BV19" s="6"/>
      <c r="BW19" s="6"/>
      <c r="BX19" s="6"/>
      <c r="BY19" s="6"/>
      <c r="BZ19" s="6"/>
      <c r="CA19" s="6"/>
      <c r="CB19" s="6"/>
      <c r="CC19" s="6"/>
    </row>
    <row r="20" spans="1:81" x14ac:dyDescent="0.2">
      <c r="A20" s="14" t="s">
        <v>69</v>
      </c>
      <c r="B20" s="13" t="s">
        <v>31</v>
      </c>
      <c r="C20" s="13">
        <v>201101</v>
      </c>
      <c r="D20" s="13">
        <v>20</v>
      </c>
      <c r="E20" s="63" t="s">
        <v>36</v>
      </c>
      <c r="F20" s="13">
        <v>100</v>
      </c>
      <c r="G20" s="13"/>
      <c r="H20" s="13" t="s">
        <v>68</v>
      </c>
      <c r="I20" s="13" t="s">
        <v>210</v>
      </c>
      <c r="J20" s="13" t="s">
        <v>44</v>
      </c>
      <c r="K20" s="37"/>
      <c r="L20" s="5"/>
      <c r="M20" s="6" t="s">
        <v>147</v>
      </c>
      <c r="N20" s="6">
        <v>1</v>
      </c>
      <c r="O20" s="6" t="s">
        <v>400</v>
      </c>
      <c r="P20" s="6"/>
      <c r="Q20" s="123"/>
      <c r="R20" s="5"/>
      <c r="S20" s="5"/>
      <c r="T20" s="5"/>
      <c r="U20" s="5"/>
      <c r="V20" s="5"/>
      <c r="W20" s="5"/>
      <c r="X20" s="5"/>
      <c r="Y20" s="5"/>
      <c r="Z20" s="195"/>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row>
    <row r="21" spans="1:81" x14ac:dyDescent="0.2">
      <c r="A21" s="14"/>
      <c r="B21" s="13"/>
      <c r="C21" s="13"/>
      <c r="D21" s="13"/>
      <c r="E21" s="63"/>
      <c r="F21" s="13"/>
      <c r="G21" s="14"/>
      <c r="H21" s="13"/>
      <c r="I21" s="13"/>
      <c r="J21" s="13"/>
      <c r="K21" s="37"/>
      <c r="L21" s="5"/>
      <c r="M21" s="6"/>
      <c r="N21" s="6"/>
      <c r="O21" s="6"/>
      <c r="P21" s="6"/>
      <c r="Q21" s="123"/>
      <c r="R21" s="5"/>
      <c r="S21" s="5"/>
      <c r="T21" s="5"/>
      <c r="U21" s="5"/>
      <c r="V21" s="5"/>
      <c r="W21" s="5"/>
      <c r="X21" s="5"/>
      <c r="Y21" s="5"/>
      <c r="Z21" s="195"/>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c r="BH21" s="6"/>
      <c r="BI21" s="6"/>
      <c r="BJ21" s="6"/>
      <c r="BK21" s="6"/>
      <c r="BL21" s="6"/>
      <c r="BM21" s="6"/>
      <c r="BN21" s="6"/>
      <c r="BO21" s="6"/>
      <c r="BP21" s="6"/>
      <c r="BQ21" s="6"/>
      <c r="BR21" s="6"/>
      <c r="BS21" s="6"/>
      <c r="BT21" s="6"/>
      <c r="BU21" s="6"/>
      <c r="BV21" s="6"/>
      <c r="BW21" s="6"/>
      <c r="BX21" s="6"/>
      <c r="BY21" s="6"/>
      <c r="BZ21" s="6"/>
      <c r="CA21" s="6"/>
      <c r="CB21" s="6"/>
      <c r="CC21" s="6"/>
    </row>
    <row r="22" spans="1:81" x14ac:dyDescent="0.2">
      <c r="A22" s="382" t="s">
        <v>399</v>
      </c>
      <c r="B22" s="383"/>
      <c r="C22" s="383"/>
      <c r="D22" s="383"/>
      <c r="E22" s="383"/>
      <c r="F22" s="384"/>
      <c r="G22" s="230"/>
      <c r="H22" s="5"/>
      <c r="I22" s="5"/>
      <c r="J22" s="5"/>
      <c r="K22" s="37"/>
      <c r="L22" s="5"/>
      <c r="M22" s="6"/>
      <c r="N22" s="6"/>
      <c r="O22" s="6"/>
      <c r="P22" s="6"/>
      <c r="Q22" s="123"/>
      <c r="R22" s="5"/>
      <c r="S22" s="5"/>
      <c r="T22" s="5"/>
      <c r="U22" s="5"/>
      <c r="V22" s="5"/>
      <c r="W22" s="5"/>
      <c r="X22" s="5"/>
      <c r="Y22" s="5"/>
      <c r="Z22" s="195"/>
      <c r="AA22" s="6"/>
      <c r="AB22" s="6"/>
      <c r="AC22" s="6"/>
      <c r="AD22" s="6"/>
      <c r="AE22" s="6"/>
      <c r="AF22" s="6"/>
      <c r="AG22" s="6"/>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c r="BH22" s="6"/>
      <c r="BI22" s="6"/>
      <c r="BJ22" s="6"/>
      <c r="BK22" s="6"/>
      <c r="BL22" s="6"/>
      <c r="BM22" s="6"/>
      <c r="BN22" s="6"/>
      <c r="BO22" s="6"/>
      <c r="BP22" s="6"/>
      <c r="BQ22" s="6"/>
      <c r="BR22" s="6"/>
      <c r="BS22" s="6"/>
      <c r="BT22" s="6"/>
      <c r="BU22" s="6"/>
      <c r="BV22" s="6"/>
      <c r="BW22" s="6"/>
      <c r="BX22" s="6"/>
      <c r="BY22" s="6"/>
      <c r="BZ22" s="6"/>
      <c r="CA22" s="6"/>
      <c r="CB22" s="6"/>
      <c r="CC22" s="6"/>
    </row>
    <row r="23" spans="1:81" ht="12.75" customHeight="1" x14ac:dyDescent="0.2">
      <c r="A23" s="379" t="s">
        <v>409</v>
      </c>
      <c r="B23" s="380"/>
      <c r="C23" s="380"/>
      <c r="D23" s="380"/>
      <c r="E23" s="380"/>
      <c r="F23" s="381"/>
      <c r="G23" s="229"/>
      <c r="H23" s="5"/>
      <c r="I23" s="5"/>
      <c r="J23" s="5"/>
      <c r="K23" s="37"/>
      <c r="L23" s="5"/>
      <c r="M23" s="6"/>
      <c r="N23" s="6"/>
      <c r="O23" s="6"/>
      <c r="P23" s="6"/>
      <c r="Q23" s="123"/>
      <c r="R23" s="5"/>
      <c r="S23" s="5"/>
      <c r="T23" s="5"/>
      <c r="U23" s="5"/>
      <c r="V23" s="5"/>
      <c r="W23" s="5"/>
      <c r="X23" s="5"/>
      <c r="Y23" s="5"/>
      <c r="Z23" s="195"/>
      <c r="AA23" s="6"/>
      <c r="AB23" s="6"/>
      <c r="AC23" s="6"/>
      <c r="AD23" s="6"/>
      <c r="AE23" s="6"/>
      <c r="AF23" s="6"/>
      <c r="AG23" s="6"/>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c r="BM23" s="6"/>
      <c r="BN23" s="6"/>
      <c r="BO23" s="6"/>
      <c r="BP23" s="6"/>
      <c r="BQ23" s="6"/>
      <c r="BR23" s="6"/>
      <c r="BS23" s="6"/>
      <c r="BT23" s="6"/>
      <c r="BU23" s="6"/>
      <c r="BV23" s="6"/>
      <c r="BW23" s="6"/>
      <c r="BX23" s="6"/>
      <c r="BY23" s="6"/>
      <c r="BZ23" s="6"/>
      <c r="CA23" s="6"/>
      <c r="CB23" s="6"/>
      <c r="CC23" s="6"/>
    </row>
    <row r="24" spans="1:81" x14ac:dyDescent="0.2">
      <c r="A24" s="3" t="s">
        <v>452</v>
      </c>
      <c r="B24" s="3" t="s">
        <v>12</v>
      </c>
      <c r="C24" s="5"/>
      <c r="D24" s="5"/>
      <c r="E24" s="64"/>
      <c r="F24" s="5"/>
      <c r="G24" s="5"/>
      <c r="H24" s="3" t="s">
        <v>68</v>
      </c>
      <c r="I24" s="5"/>
      <c r="J24" s="3" t="s">
        <v>44</v>
      </c>
      <c r="K24" s="101"/>
      <c r="L24" s="5"/>
      <c r="M24" s="6" t="s">
        <v>149</v>
      </c>
      <c r="N24" s="6">
        <v>100</v>
      </c>
      <c r="O24" s="6" t="s">
        <v>275</v>
      </c>
      <c r="P24" s="6"/>
      <c r="Q24" s="123"/>
      <c r="R24" s="5"/>
      <c r="S24" s="5"/>
      <c r="T24" s="5"/>
      <c r="U24" s="5"/>
      <c r="V24" s="5"/>
      <c r="W24" s="5"/>
      <c r="X24" s="5"/>
      <c r="Y24" s="5"/>
      <c r="Z24" s="195"/>
      <c r="AA24" s="6"/>
      <c r="AB24" s="6"/>
      <c r="AC24" s="6"/>
      <c r="AD24" s="6"/>
      <c r="AE24" s="6"/>
      <c r="AF24" s="6"/>
      <c r="AG24" s="6"/>
      <c r="AH24" s="6"/>
      <c r="AI24" s="6"/>
      <c r="AJ24" s="6"/>
      <c r="AK24" s="6"/>
      <c r="AL24" s="6"/>
      <c r="AM24" s="6"/>
      <c r="AN24" s="6"/>
      <c r="AO24" s="6"/>
      <c r="AP24" s="6"/>
      <c r="AQ24" s="6"/>
      <c r="AR24" s="6"/>
      <c r="AS24" s="6"/>
      <c r="AT24" s="6"/>
      <c r="AU24" s="6"/>
      <c r="AV24" s="6"/>
      <c r="AW24" s="6"/>
      <c r="AX24" s="6"/>
      <c r="AY24" s="6"/>
      <c r="AZ24" s="6"/>
      <c r="BA24" s="6"/>
      <c r="BB24" s="6"/>
      <c r="BC24" s="6"/>
      <c r="BD24" s="6"/>
      <c r="BE24" s="6"/>
      <c r="BF24" s="6"/>
      <c r="BG24" s="6"/>
      <c r="BH24" s="6"/>
      <c r="BI24" s="6"/>
      <c r="BJ24" s="6"/>
      <c r="BK24" s="6"/>
      <c r="BL24" s="6"/>
      <c r="BM24" s="6"/>
      <c r="BN24" s="6"/>
      <c r="BO24" s="6"/>
      <c r="BP24" s="6"/>
      <c r="BQ24" s="6"/>
      <c r="BR24" s="6"/>
      <c r="BS24" s="6"/>
      <c r="BT24" s="6"/>
      <c r="BU24" s="6"/>
      <c r="BV24" s="6"/>
      <c r="BW24" s="6"/>
      <c r="BX24" s="6"/>
      <c r="BY24" s="6"/>
      <c r="BZ24" s="6"/>
      <c r="CA24" s="6"/>
      <c r="CB24" s="6"/>
      <c r="CC24" s="6"/>
    </row>
    <row r="25" spans="1:81" x14ac:dyDescent="0.2">
      <c r="A25" s="8"/>
      <c r="B25" s="5"/>
      <c r="C25" s="5"/>
      <c r="D25" s="5"/>
      <c r="E25" s="64"/>
      <c r="F25" s="5"/>
      <c r="G25" s="5"/>
      <c r="H25" s="5"/>
      <c r="I25" s="5"/>
      <c r="J25" s="5"/>
      <c r="K25" s="101"/>
      <c r="L25" s="5"/>
      <c r="M25" s="4"/>
      <c r="N25" s="6"/>
      <c r="O25" s="6"/>
      <c r="P25" s="4"/>
      <c r="Q25" s="124"/>
      <c r="R25" s="5"/>
      <c r="S25" s="5"/>
      <c r="T25" s="5"/>
      <c r="U25" s="5"/>
      <c r="V25" s="5"/>
      <c r="W25" s="5"/>
      <c r="X25" s="5"/>
      <c r="Y25" s="5"/>
      <c r="Z25" s="195"/>
      <c r="AA25" s="6"/>
      <c r="AB25" s="6"/>
      <c r="AC25" s="6"/>
      <c r="AD25" s="6"/>
      <c r="AE25" s="6"/>
      <c r="AF25" s="6"/>
      <c r="AG25" s="6"/>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c r="BH25" s="6"/>
      <c r="BI25" s="6"/>
      <c r="BJ25" s="6"/>
      <c r="BK25" s="6"/>
      <c r="BL25" s="6"/>
      <c r="BM25" s="6"/>
      <c r="BN25" s="6"/>
      <c r="BO25" s="6"/>
      <c r="BP25" s="6"/>
      <c r="BQ25" s="6"/>
      <c r="BR25" s="6"/>
      <c r="BS25" s="6"/>
      <c r="BT25" s="6"/>
      <c r="BU25" s="6"/>
      <c r="BV25" s="6"/>
      <c r="BW25" s="6"/>
      <c r="BX25" s="6"/>
      <c r="BY25" s="6"/>
      <c r="BZ25" s="6"/>
      <c r="CA25" s="6"/>
      <c r="CB25" s="6"/>
      <c r="CC25" s="6"/>
    </row>
    <row r="26" spans="1:81" x14ac:dyDescent="0.2">
      <c r="A26" s="8"/>
      <c r="B26" s="5"/>
      <c r="C26" s="5"/>
      <c r="D26" s="5"/>
      <c r="E26" s="64"/>
      <c r="F26" s="5"/>
      <c r="G26" s="5"/>
      <c r="H26" s="5"/>
      <c r="I26" s="5"/>
      <c r="J26" s="5"/>
      <c r="K26" s="101"/>
      <c r="L26" s="5"/>
      <c r="M26" s="4"/>
      <c r="N26" s="6"/>
      <c r="O26" s="6"/>
      <c r="P26" s="4"/>
      <c r="Q26" s="124"/>
      <c r="R26" s="5"/>
      <c r="S26" s="5"/>
      <c r="T26" s="5"/>
      <c r="U26" s="5"/>
      <c r="V26" s="5"/>
      <c r="W26" s="5"/>
      <c r="X26" s="5"/>
      <c r="Y26" s="5"/>
      <c r="Z26" s="195"/>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c r="BQ26" s="6"/>
      <c r="BR26" s="6"/>
      <c r="BS26" s="6"/>
      <c r="BT26" s="6"/>
      <c r="BU26" s="6"/>
      <c r="BV26" s="6"/>
      <c r="BW26" s="6"/>
      <c r="BX26" s="6"/>
      <c r="BY26" s="6"/>
      <c r="BZ26" s="6"/>
      <c r="CA26" s="6"/>
      <c r="CB26" s="6"/>
      <c r="CC26" s="6"/>
    </row>
    <row r="27" spans="1:81" ht="12.75" customHeight="1" x14ac:dyDescent="0.2">
      <c r="A27" s="8" t="s">
        <v>402</v>
      </c>
      <c r="B27" s="5"/>
      <c r="C27" s="5"/>
      <c r="D27" s="5"/>
      <c r="E27" s="64"/>
      <c r="F27" s="5"/>
      <c r="G27" s="5"/>
      <c r="H27" s="5"/>
      <c r="I27" s="5"/>
      <c r="J27" s="5"/>
      <c r="K27" s="101"/>
      <c r="L27" s="5"/>
      <c r="M27" s="4"/>
      <c r="N27" s="6"/>
      <c r="O27" s="6"/>
      <c r="P27" s="4"/>
      <c r="Q27" s="124"/>
      <c r="R27" s="5"/>
      <c r="S27" s="5"/>
      <c r="T27" s="5"/>
      <c r="U27" s="5"/>
      <c r="V27" s="5"/>
      <c r="W27" s="5"/>
      <c r="X27" s="5"/>
      <c r="Y27" s="5"/>
      <c r="Z27" s="195"/>
      <c r="AA27" s="6"/>
      <c r="AB27" s="6"/>
      <c r="AC27" s="6"/>
      <c r="AD27" s="6"/>
      <c r="AE27" s="6"/>
      <c r="AF27" s="6"/>
      <c r="AG27" s="6"/>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c r="BH27" s="6"/>
      <c r="BI27" s="6"/>
      <c r="BJ27" s="6"/>
      <c r="BK27" s="6"/>
      <c r="BL27" s="6"/>
      <c r="BM27" s="6"/>
      <c r="BN27" s="6"/>
      <c r="BO27" s="6"/>
      <c r="BP27" s="6"/>
      <c r="BQ27" s="6"/>
      <c r="BR27" s="6"/>
      <c r="BS27" s="6"/>
      <c r="BT27" s="6"/>
      <c r="BU27" s="6"/>
      <c r="BV27" s="6"/>
      <c r="BW27" s="6"/>
      <c r="BX27" s="6"/>
      <c r="BY27" s="6"/>
      <c r="BZ27" s="6"/>
      <c r="CA27" s="6"/>
      <c r="CB27" s="6"/>
      <c r="CC27" s="6"/>
    </row>
    <row r="28" spans="1:81" ht="15" customHeight="1" x14ac:dyDescent="0.2">
      <c r="A28" s="379" t="s">
        <v>409</v>
      </c>
      <c r="B28" s="380"/>
      <c r="C28" s="380"/>
      <c r="D28" s="380"/>
      <c r="E28" s="380"/>
      <c r="F28" s="381"/>
      <c r="G28" s="229"/>
      <c r="H28" s="5"/>
      <c r="I28" s="5"/>
      <c r="J28" s="5"/>
      <c r="K28" s="101"/>
      <c r="L28" s="5"/>
      <c r="M28" s="4"/>
      <c r="N28" s="6"/>
      <c r="O28" s="6"/>
      <c r="P28" s="4"/>
      <c r="Q28" s="124"/>
      <c r="R28" s="5"/>
      <c r="S28" s="5"/>
      <c r="T28" s="5"/>
      <c r="U28" s="5"/>
      <c r="V28" s="5"/>
      <c r="W28" s="5"/>
      <c r="X28" s="5"/>
      <c r="Y28" s="5"/>
      <c r="Z28" s="195"/>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c r="BU28" s="6"/>
      <c r="BV28" s="6"/>
      <c r="BW28" s="6"/>
      <c r="BX28" s="6"/>
      <c r="BY28" s="6"/>
      <c r="BZ28" s="6"/>
      <c r="CA28" s="6"/>
      <c r="CB28" s="6"/>
      <c r="CC28" s="6"/>
    </row>
    <row r="29" spans="1:81" x14ac:dyDescent="0.2">
      <c r="A29" s="5" t="s">
        <v>26</v>
      </c>
      <c r="B29" s="5" t="s">
        <v>12</v>
      </c>
      <c r="C29" s="5"/>
      <c r="D29" s="5"/>
      <c r="E29" s="64"/>
      <c r="F29" s="5"/>
      <c r="G29" s="5"/>
      <c r="H29" s="3" t="s">
        <v>68</v>
      </c>
      <c r="I29" s="5"/>
      <c r="J29" s="3" t="s">
        <v>44</v>
      </c>
      <c r="K29" s="101"/>
      <c r="L29" s="5"/>
      <c r="M29" s="4" t="s">
        <v>147</v>
      </c>
      <c r="N29" s="6">
        <v>10000</v>
      </c>
      <c r="O29" s="6" t="s">
        <v>393</v>
      </c>
      <c r="P29" s="4"/>
      <c r="Q29" s="124"/>
      <c r="R29" s="5"/>
      <c r="S29" s="5"/>
      <c r="T29" s="5"/>
      <c r="U29" s="5"/>
      <c r="V29" s="5"/>
      <c r="W29" s="5"/>
      <c r="X29" s="5"/>
      <c r="Y29" s="5"/>
      <c r="Z29" s="195"/>
      <c r="AA29" s="6"/>
      <c r="AB29" s="6"/>
      <c r="AC29" s="6"/>
      <c r="AD29" s="6"/>
      <c r="AE29" s="6"/>
      <c r="AF29" s="6"/>
      <c r="AG29" s="6"/>
      <c r="AH29" s="6"/>
      <c r="AI29" s="6"/>
      <c r="AJ29" s="6"/>
      <c r="AK29" s="6"/>
      <c r="AL29" s="6"/>
      <c r="AM29" s="6"/>
      <c r="AN29" s="6"/>
      <c r="AO29" s="6"/>
      <c r="AP29" s="6"/>
      <c r="AQ29" s="6"/>
      <c r="AR29" s="6"/>
      <c r="AS29" s="6"/>
      <c r="AT29" s="6"/>
      <c r="AU29" s="6"/>
      <c r="AV29" s="6"/>
      <c r="AW29" s="6"/>
      <c r="AX29" s="6"/>
      <c r="AY29" s="6"/>
      <c r="AZ29" s="6"/>
      <c r="BA29" s="6"/>
      <c r="BB29" s="6"/>
      <c r="BC29" s="6"/>
      <c r="BD29" s="6"/>
      <c r="BE29" s="6"/>
      <c r="BF29" s="6"/>
      <c r="BG29" s="6"/>
      <c r="BH29" s="6"/>
      <c r="BI29" s="6"/>
      <c r="BJ29" s="6"/>
      <c r="BK29" s="6"/>
      <c r="BL29" s="6"/>
      <c r="BM29" s="6"/>
      <c r="BN29" s="6"/>
      <c r="BO29" s="6"/>
      <c r="BP29" s="6"/>
      <c r="BQ29" s="6"/>
      <c r="BR29" s="6"/>
      <c r="BS29" s="6"/>
      <c r="BT29" s="6"/>
      <c r="BU29" s="6"/>
      <c r="BV29" s="6"/>
      <c r="BW29" s="6"/>
      <c r="BX29" s="6"/>
      <c r="BY29" s="6"/>
      <c r="BZ29" s="6"/>
      <c r="CA29" s="6"/>
      <c r="CB29" s="6"/>
      <c r="CC29" s="6"/>
    </row>
    <row r="30" spans="1:81" x14ac:dyDescent="0.2">
      <c r="A30" s="8"/>
      <c r="B30" s="5"/>
      <c r="C30" s="5"/>
      <c r="D30" s="5"/>
      <c r="E30" s="64"/>
      <c r="F30" s="5"/>
      <c r="G30" s="5"/>
      <c r="H30" s="5"/>
      <c r="I30" s="5"/>
      <c r="J30" s="5"/>
      <c r="K30" s="101"/>
      <c r="L30" s="5"/>
      <c r="M30" s="4"/>
      <c r="N30" s="6"/>
      <c r="O30" s="6"/>
      <c r="P30" s="4"/>
      <c r="Q30" s="124"/>
      <c r="R30" s="5"/>
      <c r="S30" s="5"/>
      <c r="T30" s="5"/>
      <c r="U30" s="5"/>
      <c r="V30" s="5"/>
      <c r="W30" s="5"/>
      <c r="X30" s="5"/>
      <c r="Y30" s="5"/>
      <c r="Z30" s="195"/>
      <c r="AA30" s="6"/>
      <c r="AB30" s="6"/>
      <c r="AC30" s="6"/>
      <c r="AD30" s="6"/>
      <c r="AE30" s="6"/>
      <c r="AF30" s="6"/>
      <c r="AG30" s="6"/>
      <c r="AH30" s="6"/>
      <c r="AI30" s="6"/>
      <c r="AJ30" s="6"/>
      <c r="AK30" s="6"/>
      <c r="AL30" s="6"/>
      <c r="AM30" s="6"/>
      <c r="AN30" s="6"/>
      <c r="AO30" s="6"/>
      <c r="AP30" s="6"/>
      <c r="AQ30" s="6"/>
      <c r="AR30" s="6"/>
      <c r="AS30" s="6"/>
      <c r="AT30" s="6"/>
      <c r="AU30" s="6"/>
      <c r="AV30" s="6"/>
      <c r="AW30" s="6"/>
      <c r="AX30" s="6"/>
      <c r="AY30" s="6"/>
      <c r="AZ30" s="6"/>
      <c r="BA30" s="6"/>
      <c r="BB30" s="6"/>
      <c r="BC30" s="6"/>
      <c r="BD30" s="6"/>
      <c r="BE30" s="6"/>
      <c r="BF30" s="6"/>
      <c r="BG30" s="6"/>
      <c r="BH30" s="6"/>
      <c r="BI30" s="6"/>
      <c r="BJ30" s="6"/>
      <c r="BK30" s="6"/>
      <c r="BL30" s="6"/>
      <c r="BM30" s="6"/>
      <c r="BN30" s="6"/>
      <c r="BO30" s="6"/>
      <c r="BP30" s="6"/>
      <c r="BQ30" s="6"/>
      <c r="BR30" s="6"/>
      <c r="BS30" s="6"/>
      <c r="BT30" s="6"/>
      <c r="BU30" s="6"/>
      <c r="BV30" s="6"/>
      <c r="BW30" s="6"/>
      <c r="BX30" s="6"/>
      <c r="BY30" s="6"/>
      <c r="BZ30" s="6"/>
      <c r="CA30" s="6"/>
      <c r="CB30" s="6"/>
      <c r="CC30" s="6"/>
    </row>
    <row r="31" spans="1:81" x14ac:dyDescent="0.2">
      <c r="A31" s="8"/>
      <c r="B31" s="5"/>
      <c r="C31" s="5"/>
      <c r="D31" s="5"/>
      <c r="E31" s="64"/>
      <c r="F31" s="5"/>
      <c r="G31" s="5"/>
      <c r="H31" s="13"/>
      <c r="I31" s="13"/>
      <c r="J31" s="13"/>
      <c r="K31" s="101"/>
      <c r="L31" s="5"/>
      <c r="M31" s="6"/>
      <c r="N31" s="6"/>
      <c r="O31" s="6"/>
      <c r="P31" s="4"/>
      <c r="Q31" s="124"/>
      <c r="R31" s="5"/>
      <c r="S31" s="5"/>
      <c r="T31" s="5"/>
      <c r="U31" s="5"/>
      <c r="V31" s="5"/>
      <c r="W31" s="5"/>
      <c r="X31" s="5"/>
      <c r="Y31" s="5"/>
      <c r="Z31" s="195"/>
      <c r="AA31" s="6"/>
      <c r="AB31" s="6"/>
      <c r="AC31" s="6"/>
      <c r="AD31" s="6"/>
      <c r="AE31" s="6"/>
      <c r="AF31" s="6"/>
      <c r="AG31" s="6"/>
      <c r="AH31" s="6"/>
      <c r="AI31" s="6"/>
      <c r="AJ31" s="6"/>
      <c r="AK31" s="6"/>
      <c r="AL31" s="6"/>
      <c r="AM31" s="6"/>
      <c r="AN31" s="6"/>
      <c r="AO31" s="6"/>
      <c r="AP31" s="6"/>
      <c r="AQ31" s="6"/>
      <c r="AR31" s="6"/>
      <c r="AS31" s="6"/>
      <c r="AT31" s="6"/>
      <c r="AU31" s="6"/>
      <c r="AV31" s="6"/>
      <c r="AW31" s="6"/>
      <c r="AX31" s="6"/>
      <c r="AY31" s="6"/>
      <c r="AZ31" s="6"/>
      <c r="BA31" s="6"/>
      <c r="BB31" s="6"/>
      <c r="BC31" s="6"/>
      <c r="BD31" s="6"/>
      <c r="BE31" s="6"/>
      <c r="BF31" s="6"/>
      <c r="BG31" s="6"/>
      <c r="BH31" s="6"/>
      <c r="BI31" s="6"/>
      <c r="BJ31" s="6"/>
      <c r="BK31" s="6"/>
      <c r="BL31" s="6"/>
      <c r="BM31" s="6"/>
      <c r="BN31" s="6"/>
      <c r="BO31" s="6"/>
      <c r="BP31" s="6"/>
      <c r="BQ31" s="6"/>
      <c r="BR31" s="6"/>
      <c r="BS31" s="6"/>
      <c r="BT31" s="6"/>
      <c r="BU31" s="6"/>
      <c r="BV31" s="6"/>
      <c r="BW31" s="6"/>
      <c r="BX31" s="6"/>
      <c r="BY31" s="6"/>
      <c r="BZ31" s="6"/>
      <c r="CA31" s="6"/>
      <c r="CB31" s="6"/>
      <c r="CC31" s="6"/>
    </row>
    <row r="32" spans="1:81" x14ac:dyDescent="0.2">
      <c r="A32" s="8" t="s">
        <v>451</v>
      </c>
      <c r="B32" s="13"/>
      <c r="C32" s="13"/>
      <c r="D32" s="13"/>
      <c r="E32" s="63"/>
      <c r="F32" s="13"/>
      <c r="G32" s="13"/>
      <c r="H32" s="13"/>
      <c r="I32" s="13"/>
      <c r="J32" s="13"/>
      <c r="K32" s="101"/>
      <c r="L32" s="5"/>
      <c r="M32" s="4"/>
      <c r="N32" s="6"/>
      <c r="O32" s="6"/>
      <c r="P32" s="4"/>
      <c r="Q32" s="124"/>
      <c r="R32" s="5"/>
      <c r="S32" s="5"/>
      <c r="T32" s="5"/>
      <c r="U32" s="5"/>
      <c r="V32" s="5"/>
      <c r="W32" s="5"/>
      <c r="X32" s="5"/>
      <c r="Y32" s="5"/>
      <c r="Z32" s="195"/>
      <c r="AA32" s="6"/>
      <c r="AB32" s="6"/>
      <c r="AC32" s="6"/>
      <c r="AD32" s="6"/>
      <c r="AE32" s="6"/>
      <c r="AF32" s="6"/>
      <c r="AG32" s="6"/>
      <c r="AH32" s="6"/>
      <c r="AI32" s="6"/>
      <c r="AJ32" s="6"/>
      <c r="AK32" s="6"/>
      <c r="AL32" s="6"/>
      <c r="AM32" s="6"/>
      <c r="AN32" s="6"/>
      <c r="AO32" s="6"/>
      <c r="AP32" s="6"/>
      <c r="AQ32" s="6"/>
      <c r="AR32" s="6"/>
      <c r="AS32" s="6"/>
      <c r="AT32" s="6"/>
      <c r="AU32" s="6"/>
      <c r="AV32" s="6"/>
      <c r="AW32" s="6"/>
      <c r="AX32" s="6"/>
      <c r="AY32" s="6"/>
      <c r="AZ32" s="6"/>
      <c r="BA32" s="6"/>
      <c r="BB32" s="6"/>
      <c r="BC32" s="6"/>
      <c r="BD32" s="6"/>
      <c r="BE32" s="6"/>
      <c r="BF32" s="6"/>
      <c r="BG32" s="6"/>
      <c r="BH32" s="6"/>
      <c r="BI32" s="6"/>
      <c r="BJ32" s="6"/>
      <c r="BK32" s="6"/>
      <c r="BL32" s="6"/>
      <c r="BM32" s="6"/>
      <c r="BN32" s="6"/>
      <c r="BO32" s="6"/>
      <c r="BP32" s="6"/>
      <c r="BQ32" s="6"/>
      <c r="BR32" s="6"/>
      <c r="BS32" s="6"/>
      <c r="BT32" s="6"/>
      <c r="BU32" s="6"/>
      <c r="BV32" s="6"/>
      <c r="BW32" s="6"/>
      <c r="BX32" s="6"/>
      <c r="BY32" s="6"/>
      <c r="BZ32" s="6"/>
      <c r="CA32" s="6"/>
      <c r="CB32" s="6"/>
      <c r="CC32" s="6"/>
    </row>
    <row r="33" spans="1:81" x14ac:dyDescent="0.2">
      <c r="A33" s="379" t="s">
        <v>409</v>
      </c>
      <c r="B33" s="380"/>
      <c r="C33" s="380"/>
      <c r="D33" s="380"/>
      <c r="E33" s="380"/>
      <c r="F33" s="381"/>
      <c r="G33" s="229"/>
      <c r="H33" s="13"/>
      <c r="I33" s="13"/>
      <c r="J33" s="13"/>
      <c r="K33" s="101"/>
      <c r="L33" s="5"/>
      <c r="M33" s="4"/>
      <c r="N33" s="6"/>
      <c r="O33" s="6"/>
      <c r="P33" s="4"/>
      <c r="Q33" s="124"/>
      <c r="R33" s="5"/>
      <c r="S33" s="5"/>
      <c r="T33" s="5"/>
      <c r="U33" s="5"/>
      <c r="V33" s="5"/>
      <c r="W33" s="5"/>
      <c r="X33" s="5"/>
      <c r="Y33" s="5"/>
      <c r="Z33" s="195"/>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6"/>
      <c r="BA33" s="6"/>
      <c r="BB33" s="6"/>
      <c r="BC33" s="6"/>
      <c r="BD33" s="6"/>
      <c r="BE33" s="6"/>
      <c r="BF33" s="6"/>
      <c r="BG33" s="6"/>
      <c r="BH33" s="6"/>
      <c r="BI33" s="6"/>
      <c r="BJ33" s="6"/>
      <c r="BK33" s="6"/>
      <c r="BL33" s="6"/>
      <c r="BM33" s="6"/>
      <c r="BN33" s="6"/>
      <c r="BO33" s="6"/>
      <c r="BP33" s="6"/>
      <c r="BQ33" s="6"/>
      <c r="BR33" s="6"/>
      <c r="BS33" s="6"/>
      <c r="BT33" s="6"/>
      <c r="BU33" s="6"/>
      <c r="BV33" s="6"/>
      <c r="BW33" s="6"/>
      <c r="BX33" s="6"/>
      <c r="BY33" s="6"/>
      <c r="BZ33" s="6"/>
      <c r="CA33" s="6"/>
      <c r="CB33" s="6"/>
      <c r="CC33" s="6"/>
    </row>
    <row r="34" spans="1:81" x14ac:dyDescent="0.2">
      <c r="A34" s="14" t="s">
        <v>197</v>
      </c>
      <c r="B34" s="14" t="s">
        <v>12</v>
      </c>
      <c r="C34" s="13"/>
      <c r="D34" s="13"/>
      <c r="E34" s="63"/>
      <c r="F34" s="13"/>
      <c r="G34" s="13"/>
      <c r="H34" s="14" t="s">
        <v>68</v>
      </c>
      <c r="I34" s="13"/>
      <c r="J34" s="14" t="s">
        <v>44</v>
      </c>
      <c r="K34" s="101"/>
      <c r="L34" s="5"/>
      <c r="M34" s="4" t="s">
        <v>147</v>
      </c>
      <c r="N34" s="6">
        <v>100</v>
      </c>
      <c r="O34" s="6" t="s">
        <v>450</v>
      </c>
      <c r="P34" s="4"/>
      <c r="Q34" s="124"/>
      <c r="R34" s="5"/>
      <c r="S34" s="5"/>
      <c r="T34" s="5"/>
      <c r="U34" s="5"/>
      <c r="V34" s="5"/>
      <c r="W34" s="5"/>
      <c r="X34" s="5"/>
      <c r="Y34" s="5"/>
      <c r="Z34" s="195"/>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6"/>
      <c r="BA34" s="6"/>
      <c r="BB34" s="6"/>
      <c r="BC34" s="6"/>
      <c r="BD34" s="6"/>
      <c r="BE34" s="6"/>
      <c r="BF34" s="6"/>
      <c r="BG34" s="6"/>
      <c r="BH34" s="6"/>
      <c r="BI34" s="6"/>
      <c r="BJ34" s="6"/>
      <c r="BK34" s="6"/>
      <c r="BL34" s="6"/>
      <c r="BM34" s="6"/>
      <c r="BN34" s="6"/>
      <c r="BO34" s="6"/>
      <c r="BP34" s="6"/>
      <c r="BQ34" s="6"/>
      <c r="BR34" s="6"/>
      <c r="BS34" s="6"/>
      <c r="BT34" s="6"/>
      <c r="BU34" s="6"/>
      <c r="BV34" s="6"/>
      <c r="BW34" s="6"/>
      <c r="BX34" s="6"/>
      <c r="BY34" s="6"/>
      <c r="BZ34" s="6"/>
      <c r="CA34" s="6"/>
      <c r="CB34" s="6"/>
      <c r="CC34" s="6"/>
    </row>
    <row r="35" spans="1:81" x14ac:dyDescent="0.2">
      <c r="A35" s="14"/>
      <c r="B35" s="14"/>
      <c r="C35" s="13"/>
      <c r="D35" s="13"/>
      <c r="E35" s="63"/>
      <c r="F35" s="13"/>
      <c r="G35" s="13"/>
      <c r="H35" s="14"/>
      <c r="I35" s="13"/>
      <c r="J35" s="14"/>
      <c r="K35" s="101"/>
      <c r="L35" s="5"/>
      <c r="M35" s="4"/>
      <c r="N35" s="6"/>
      <c r="O35" s="6"/>
      <c r="P35" s="4"/>
      <c r="Q35" s="124"/>
      <c r="R35" s="5"/>
      <c r="S35" s="5"/>
      <c r="T35" s="5"/>
      <c r="U35" s="5"/>
      <c r="V35" s="5"/>
      <c r="W35" s="5"/>
      <c r="X35" s="5"/>
      <c r="Y35" s="5"/>
      <c r="Z35" s="195"/>
      <c r="AA35" s="6"/>
      <c r="AB35" s="6"/>
      <c r="AC35" s="6"/>
      <c r="AD35" s="6"/>
      <c r="AE35" s="6"/>
      <c r="AF35" s="6"/>
      <c r="AG35" s="6"/>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6"/>
      <c r="BY35" s="6"/>
      <c r="BZ35" s="6"/>
      <c r="CA35" s="6"/>
      <c r="CB35" s="6"/>
      <c r="CC35" s="6"/>
    </row>
    <row r="36" spans="1:81" x14ac:dyDescent="0.2">
      <c r="A36" s="14"/>
      <c r="B36" s="13"/>
      <c r="C36" s="13"/>
      <c r="D36" s="13"/>
      <c r="E36" s="63"/>
      <c r="F36" s="13"/>
      <c r="G36" s="13"/>
      <c r="H36" s="13"/>
      <c r="I36" s="13"/>
      <c r="J36" s="13"/>
      <c r="K36" s="180"/>
      <c r="L36" s="37"/>
      <c r="M36" s="6"/>
      <c r="N36" s="6"/>
      <c r="O36" s="6"/>
      <c r="P36" s="6"/>
      <c r="Q36" s="124"/>
      <c r="R36" s="5"/>
      <c r="S36" s="5"/>
      <c r="T36" s="5"/>
      <c r="U36" s="5"/>
      <c r="V36" s="5"/>
      <c r="W36" s="5"/>
      <c r="X36" s="5"/>
      <c r="Y36" s="5"/>
      <c r="Z36" s="195"/>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c r="BH36" s="6"/>
      <c r="BI36" s="6"/>
      <c r="BJ36" s="6"/>
      <c r="BK36" s="6"/>
      <c r="BL36" s="6"/>
      <c r="BM36" s="6"/>
      <c r="BN36" s="6"/>
      <c r="BO36" s="6"/>
      <c r="BP36" s="6"/>
      <c r="BQ36" s="6"/>
      <c r="BR36" s="6"/>
      <c r="BS36" s="6"/>
      <c r="BT36" s="6"/>
      <c r="BU36" s="6"/>
      <c r="BV36" s="6"/>
      <c r="BW36" s="6"/>
      <c r="BX36" s="6"/>
      <c r="BY36" s="6"/>
      <c r="BZ36" s="6"/>
      <c r="CA36" s="6"/>
      <c r="CB36" s="6"/>
      <c r="CC36" s="6"/>
    </row>
    <row r="37" spans="1:81" x14ac:dyDescent="0.2">
      <c r="A37" s="14"/>
      <c r="B37" s="13"/>
      <c r="C37" s="13"/>
      <c r="D37" s="13"/>
      <c r="E37" s="63"/>
      <c r="F37" s="13"/>
      <c r="G37" s="13"/>
      <c r="H37" s="13"/>
      <c r="I37" s="13"/>
      <c r="J37" s="13"/>
      <c r="K37" s="180"/>
      <c r="L37" s="37"/>
      <c r="M37" s="4"/>
      <c r="N37" s="6"/>
      <c r="O37" s="6"/>
      <c r="P37" s="4"/>
      <c r="Q37" s="124"/>
      <c r="R37" s="5"/>
      <c r="S37" s="5"/>
      <c r="T37" s="5"/>
      <c r="U37" s="5"/>
      <c r="V37" s="5"/>
      <c r="W37" s="5"/>
      <c r="X37" s="5"/>
      <c r="Y37" s="5"/>
      <c r="Z37" s="195"/>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c r="BH37" s="6"/>
      <c r="BI37" s="6"/>
      <c r="BJ37" s="6"/>
      <c r="BK37" s="6"/>
      <c r="BL37" s="6"/>
      <c r="BM37" s="6"/>
      <c r="BN37" s="6"/>
      <c r="BO37" s="6"/>
      <c r="BP37" s="6"/>
      <c r="BQ37" s="6"/>
      <c r="BR37" s="6"/>
      <c r="BS37" s="6"/>
      <c r="BT37" s="6"/>
      <c r="BU37" s="6"/>
      <c r="BV37" s="6"/>
      <c r="BW37" s="6"/>
      <c r="BX37" s="6"/>
      <c r="BY37" s="6"/>
      <c r="BZ37" s="6"/>
      <c r="CA37" s="6"/>
      <c r="CB37" s="6"/>
      <c r="CC37" s="6"/>
    </row>
    <row r="38" spans="1:81" x14ac:dyDescent="0.2">
      <c r="A38" s="5"/>
      <c r="B38" s="5"/>
      <c r="C38" s="5"/>
      <c r="D38" s="5"/>
      <c r="E38" s="64"/>
      <c r="F38" s="5"/>
      <c r="G38" s="5"/>
      <c r="H38" s="5"/>
      <c r="I38" s="5"/>
      <c r="J38" s="5"/>
      <c r="K38" s="101"/>
      <c r="L38" s="5"/>
      <c r="M38" s="4"/>
      <c r="N38" s="6"/>
      <c r="O38" s="6"/>
      <c r="P38" s="4"/>
      <c r="Q38" s="124"/>
      <c r="R38" s="5"/>
      <c r="S38" s="5"/>
      <c r="T38" s="5"/>
      <c r="U38" s="5"/>
      <c r="V38" s="5"/>
      <c r="W38" s="5"/>
      <c r="X38" s="5"/>
      <c r="Y38" s="5"/>
      <c r="Z38" s="195"/>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c r="BA38" s="6"/>
      <c r="BB38" s="6"/>
      <c r="BC38" s="6"/>
      <c r="BD38" s="6"/>
      <c r="BE38" s="6"/>
      <c r="BF38" s="6"/>
      <c r="BG38" s="6"/>
      <c r="BH38" s="6"/>
      <c r="BI38" s="6"/>
      <c r="BJ38" s="6"/>
      <c r="BK38" s="6"/>
      <c r="BL38" s="6"/>
      <c r="BM38" s="6"/>
      <c r="BN38" s="6"/>
      <c r="BO38" s="6"/>
      <c r="BP38" s="6"/>
      <c r="BQ38" s="6"/>
      <c r="BR38" s="6"/>
      <c r="BS38" s="6"/>
      <c r="BT38" s="6"/>
      <c r="BU38" s="6"/>
      <c r="BV38" s="6"/>
      <c r="BW38" s="6"/>
      <c r="BX38" s="6"/>
      <c r="BY38" s="6"/>
      <c r="BZ38" s="6"/>
      <c r="CA38" s="6"/>
      <c r="CB38" s="6"/>
      <c r="CC38" s="6"/>
    </row>
    <row r="39" spans="1:81" x14ac:dyDescent="0.2">
      <c r="A39" s="5"/>
      <c r="B39" s="5"/>
      <c r="C39" s="5"/>
      <c r="D39" s="5"/>
      <c r="E39" s="64"/>
      <c r="F39" s="5"/>
      <c r="G39" s="5"/>
      <c r="H39" s="5"/>
      <c r="I39" s="5"/>
      <c r="J39" s="5"/>
      <c r="K39" s="101"/>
      <c r="L39" s="5"/>
      <c r="M39" s="4"/>
      <c r="N39" s="6"/>
      <c r="O39" s="6"/>
      <c r="P39" s="4"/>
      <c r="Q39" s="124"/>
      <c r="R39" s="5"/>
      <c r="S39" s="5"/>
      <c r="T39" s="5"/>
      <c r="U39" s="5"/>
      <c r="V39" s="5"/>
      <c r="W39" s="5"/>
      <c r="X39" s="5"/>
      <c r="Y39" s="5"/>
      <c r="Z39" s="195"/>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6"/>
      <c r="BA39" s="6"/>
      <c r="BB39" s="6"/>
      <c r="BC39" s="6"/>
      <c r="BD39" s="6"/>
      <c r="BE39" s="6"/>
      <c r="BF39" s="6"/>
      <c r="BG39" s="6"/>
      <c r="BH39" s="6"/>
      <c r="BI39" s="6"/>
      <c r="BJ39" s="6"/>
      <c r="BK39" s="6"/>
      <c r="BL39" s="6"/>
      <c r="BM39" s="6"/>
      <c r="BN39" s="6"/>
      <c r="BO39" s="6"/>
      <c r="BP39" s="6"/>
      <c r="BQ39" s="6"/>
      <c r="BR39" s="6"/>
      <c r="BS39" s="6"/>
      <c r="BT39" s="6"/>
      <c r="BU39" s="6"/>
      <c r="BV39" s="6"/>
      <c r="BW39" s="6"/>
      <c r="BX39" s="6"/>
      <c r="BY39" s="6"/>
      <c r="BZ39" s="6"/>
      <c r="CA39" s="6"/>
      <c r="CB39" s="6"/>
      <c r="CC39" s="6"/>
    </row>
    <row r="40" spans="1:81" x14ac:dyDescent="0.2">
      <c r="A40" s="5"/>
      <c r="B40" s="5"/>
      <c r="C40" s="5"/>
      <c r="D40" s="5"/>
      <c r="E40" s="64"/>
      <c r="F40" s="5"/>
      <c r="G40" s="5"/>
      <c r="H40" s="13"/>
      <c r="I40" s="13"/>
      <c r="J40" s="13"/>
      <c r="K40" s="101"/>
      <c r="L40" s="5"/>
      <c r="M40" s="4"/>
      <c r="N40" s="6"/>
      <c r="O40" s="6"/>
      <c r="P40" s="4"/>
      <c r="Q40" s="124"/>
      <c r="R40" s="5"/>
      <c r="S40" s="5"/>
      <c r="T40" s="5"/>
      <c r="U40" s="5"/>
      <c r="V40" s="5"/>
      <c r="W40" s="5"/>
      <c r="X40" s="5"/>
      <c r="Y40" s="5"/>
      <c r="Z40" s="195"/>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c r="BH40" s="6"/>
      <c r="BI40" s="6"/>
      <c r="BJ40" s="6"/>
      <c r="BK40" s="6"/>
      <c r="BL40" s="6"/>
      <c r="BM40" s="6"/>
      <c r="BN40" s="6"/>
      <c r="BO40" s="6"/>
      <c r="BP40" s="6"/>
      <c r="BQ40" s="6"/>
      <c r="BR40" s="6"/>
      <c r="BS40" s="6"/>
      <c r="BT40" s="6"/>
      <c r="BU40" s="6"/>
      <c r="BV40" s="6"/>
      <c r="BW40" s="6"/>
      <c r="BX40" s="6"/>
      <c r="BY40" s="6"/>
      <c r="BZ40" s="6"/>
      <c r="CA40" s="6"/>
      <c r="CB40" s="6"/>
      <c r="CC40" s="6"/>
    </row>
    <row r="41" spans="1:81" x14ac:dyDescent="0.2">
      <c r="A41" s="3"/>
      <c r="B41" s="3"/>
      <c r="C41" s="5"/>
      <c r="D41" s="5"/>
      <c r="E41" s="64"/>
      <c r="F41" s="5"/>
      <c r="G41" s="5"/>
      <c r="H41" s="3"/>
      <c r="I41" s="5"/>
      <c r="J41" s="3"/>
      <c r="K41" s="101"/>
      <c r="L41" s="5"/>
      <c r="M41" s="6"/>
      <c r="N41" s="6"/>
      <c r="O41" s="6"/>
      <c r="P41" s="6"/>
      <c r="Q41" s="123"/>
      <c r="R41" s="5"/>
      <c r="S41" s="5"/>
      <c r="T41" s="5"/>
      <c r="U41" s="5"/>
      <c r="V41" s="5"/>
      <c r="W41" s="5"/>
      <c r="X41" s="5"/>
      <c r="Y41" s="5"/>
      <c r="Z41" s="195"/>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c r="BN41" s="6"/>
      <c r="BO41" s="6"/>
      <c r="BP41" s="6"/>
      <c r="BQ41" s="6"/>
      <c r="BR41" s="6"/>
      <c r="BS41" s="6"/>
      <c r="BT41" s="6"/>
      <c r="BU41" s="6"/>
      <c r="BV41" s="6"/>
      <c r="BW41" s="6"/>
      <c r="BX41" s="6"/>
      <c r="BY41" s="6"/>
      <c r="BZ41" s="6"/>
      <c r="CA41" s="6"/>
      <c r="CB41" s="6"/>
      <c r="CC41" s="6"/>
    </row>
    <row r="42" spans="1:81" x14ac:dyDescent="0.2">
      <c r="A42" s="3"/>
      <c r="B42" s="3"/>
      <c r="C42" s="5"/>
      <c r="D42" s="5"/>
      <c r="E42" s="5"/>
      <c r="F42" s="5"/>
      <c r="G42" s="5"/>
      <c r="H42" s="3"/>
      <c r="I42" s="5"/>
      <c r="J42" s="3"/>
      <c r="K42" s="5"/>
      <c r="L42" s="37"/>
      <c r="M42" s="4"/>
      <c r="N42" s="6"/>
      <c r="O42" s="6"/>
      <c r="P42" s="4"/>
      <c r="Q42" s="123"/>
      <c r="R42" s="5"/>
      <c r="S42" s="5"/>
      <c r="T42" s="5"/>
      <c r="U42" s="5"/>
      <c r="V42" s="5"/>
      <c r="W42" s="5"/>
      <c r="X42" s="5"/>
      <c r="Y42" s="5"/>
      <c r="Z42" s="195"/>
      <c r="AA42" s="6"/>
      <c r="AB42" s="6"/>
      <c r="AC42" s="6"/>
      <c r="AD42" s="6"/>
      <c r="AE42" s="6"/>
      <c r="AF42" s="6"/>
      <c r="AG42" s="6"/>
      <c r="AH42" s="6"/>
      <c r="AI42" s="6"/>
      <c r="AJ42" s="6"/>
      <c r="AK42" s="6"/>
      <c r="AL42" s="6"/>
      <c r="AM42" s="6"/>
      <c r="AN42" s="6"/>
      <c r="AO42" s="6"/>
      <c r="AP42" s="6"/>
      <c r="AQ42" s="6"/>
      <c r="AR42" s="6"/>
      <c r="AS42" s="6"/>
      <c r="AT42" s="6"/>
      <c r="AU42" s="6"/>
      <c r="AV42" s="6"/>
      <c r="AW42" s="6"/>
      <c r="AX42" s="6"/>
      <c r="AY42" s="6"/>
      <c r="AZ42" s="6"/>
      <c r="BA42" s="6"/>
      <c r="BB42" s="6"/>
      <c r="BC42" s="6"/>
      <c r="BD42" s="6"/>
      <c r="BE42" s="6"/>
      <c r="BF42" s="6"/>
      <c r="BG42" s="6"/>
      <c r="BH42" s="6"/>
      <c r="BI42" s="6"/>
      <c r="BJ42" s="6"/>
      <c r="BK42" s="6"/>
      <c r="BL42" s="6"/>
      <c r="BM42" s="6"/>
      <c r="BN42" s="6"/>
      <c r="BO42" s="6"/>
      <c r="BP42" s="6"/>
      <c r="BQ42" s="6"/>
      <c r="BR42" s="6"/>
      <c r="BS42" s="6"/>
      <c r="BT42" s="6"/>
      <c r="BU42" s="6"/>
      <c r="BV42" s="6"/>
      <c r="BW42" s="6"/>
      <c r="BX42" s="6"/>
      <c r="BY42" s="6"/>
      <c r="BZ42" s="6"/>
      <c r="CA42" s="6"/>
      <c r="CB42" s="6"/>
      <c r="CC42" s="6"/>
    </row>
    <row r="43" spans="1:81" x14ac:dyDescent="0.2">
      <c r="A43" s="3"/>
      <c r="B43" s="3"/>
      <c r="C43" s="5"/>
      <c r="D43" s="5"/>
      <c r="E43" s="5"/>
      <c r="F43" s="5"/>
      <c r="G43" s="5"/>
      <c r="H43" s="3"/>
      <c r="I43" s="5"/>
      <c r="J43" s="3"/>
      <c r="K43" s="5"/>
      <c r="L43" s="37"/>
      <c r="M43" s="4"/>
      <c r="N43" s="6"/>
      <c r="O43" s="6"/>
      <c r="P43" s="4"/>
      <c r="Q43" s="124"/>
      <c r="R43" s="5"/>
      <c r="S43" s="5"/>
      <c r="T43" s="5"/>
      <c r="U43" s="5"/>
      <c r="V43" s="5"/>
      <c r="W43" s="5"/>
      <c r="X43" s="5"/>
      <c r="Y43" s="5"/>
      <c r="Z43" s="195"/>
      <c r="AA43" s="6"/>
      <c r="AB43" s="6"/>
      <c r="AC43" s="6"/>
      <c r="AD43" s="6"/>
      <c r="AE43" s="6"/>
      <c r="AF43" s="6"/>
      <c r="AG43" s="6"/>
      <c r="AH43" s="6"/>
      <c r="AI43" s="6"/>
      <c r="AJ43" s="6"/>
      <c r="AK43" s="6"/>
      <c r="AL43" s="6"/>
      <c r="AM43" s="6"/>
      <c r="AN43" s="6"/>
      <c r="AO43" s="6"/>
      <c r="AP43" s="6"/>
      <c r="AQ43" s="6"/>
      <c r="AR43" s="6"/>
      <c r="AS43" s="6"/>
      <c r="AT43" s="6"/>
      <c r="AU43" s="6"/>
      <c r="AV43" s="6"/>
      <c r="AW43" s="6"/>
      <c r="AX43" s="6"/>
      <c r="AY43" s="6"/>
      <c r="AZ43" s="6"/>
      <c r="BA43" s="6"/>
      <c r="BB43" s="6"/>
      <c r="BC43" s="6"/>
      <c r="BD43" s="6"/>
      <c r="BE43" s="6"/>
      <c r="BF43" s="6"/>
      <c r="BG43" s="6"/>
      <c r="BH43" s="6"/>
      <c r="BI43" s="6"/>
      <c r="BJ43" s="6"/>
      <c r="BK43" s="6"/>
      <c r="BL43" s="6"/>
      <c r="BM43" s="6"/>
      <c r="BN43" s="6"/>
      <c r="BO43" s="6"/>
      <c r="BP43" s="6"/>
      <c r="BQ43" s="6"/>
      <c r="BR43" s="6"/>
      <c r="BS43" s="6"/>
      <c r="BT43" s="6"/>
      <c r="BU43" s="6"/>
      <c r="BV43" s="6"/>
      <c r="BW43" s="6"/>
      <c r="BX43" s="6"/>
      <c r="BY43" s="6"/>
      <c r="BZ43" s="6"/>
      <c r="CA43" s="6"/>
      <c r="CB43" s="6"/>
      <c r="CC43" s="6"/>
    </row>
    <row r="44" spans="1:81" x14ac:dyDescent="0.2">
      <c r="A44" s="13"/>
      <c r="B44" s="13"/>
      <c r="C44" s="13"/>
      <c r="D44" s="13"/>
      <c r="E44" s="63"/>
      <c r="F44" s="13"/>
      <c r="G44" s="13"/>
      <c r="H44" s="13"/>
      <c r="I44" s="13"/>
      <c r="J44" s="13"/>
      <c r="K44" s="101"/>
      <c r="L44" s="5"/>
      <c r="M44" s="4"/>
      <c r="N44" s="6"/>
      <c r="O44" s="6"/>
      <c r="P44" s="4"/>
      <c r="Q44" s="124"/>
      <c r="R44" s="5"/>
      <c r="S44" s="5"/>
      <c r="T44" s="5"/>
      <c r="U44" s="5"/>
      <c r="V44" s="5"/>
      <c r="W44" s="5"/>
      <c r="X44" s="5"/>
      <c r="Y44" s="5"/>
      <c r="Z44" s="195"/>
      <c r="AA44" s="6"/>
      <c r="AB44" s="6"/>
      <c r="AC44" s="6"/>
      <c r="AD44" s="6"/>
      <c r="AE44" s="6"/>
      <c r="AF44" s="6"/>
      <c r="AG44" s="6"/>
      <c r="AH44" s="6"/>
      <c r="AI44" s="6"/>
      <c r="AJ44" s="6"/>
      <c r="AK44" s="6"/>
      <c r="AL44" s="6"/>
      <c r="AM44" s="6"/>
      <c r="AN44" s="6"/>
      <c r="AO44" s="6"/>
      <c r="AP44" s="6"/>
      <c r="AQ44" s="6"/>
      <c r="AR44" s="6"/>
      <c r="AS44" s="6"/>
      <c r="AT44" s="6"/>
      <c r="AU44" s="6"/>
      <c r="AV44" s="6"/>
      <c r="AW44" s="6"/>
      <c r="AX44" s="6"/>
      <c r="AY44" s="6"/>
      <c r="AZ44" s="6"/>
      <c r="BA44" s="6"/>
      <c r="BB44" s="6"/>
      <c r="BC44" s="6"/>
      <c r="BD44" s="6"/>
      <c r="BE44" s="6"/>
      <c r="BF44" s="6"/>
      <c r="BG44" s="6"/>
      <c r="BH44" s="6"/>
      <c r="BI44" s="6"/>
      <c r="BJ44" s="6"/>
      <c r="BK44" s="6"/>
      <c r="BL44" s="6"/>
      <c r="BM44" s="6"/>
      <c r="BN44" s="6"/>
      <c r="BO44" s="6"/>
      <c r="BP44" s="6"/>
      <c r="BQ44" s="6"/>
      <c r="BR44" s="6"/>
      <c r="BS44" s="6"/>
      <c r="BT44" s="6"/>
      <c r="BU44" s="6"/>
      <c r="BV44" s="6"/>
      <c r="BW44" s="6"/>
      <c r="BX44" s="6"/>
      <c r="BY44" s="6"/>
      <c r="BZ44" s="6"/>
      <c r="CA44" s="6"/>
      <c r="CB44" s="6"/>
      <c r="CC44" s="6"/>
    </row>
    <row r="45" spans="1:81" x14ac:dyDescent="0.2">
      <c r="A45" s="13"/>
      <c r="B45" s="13"/>
      <c r="C45" s="13"/>
      <c r="D45" s="13"/>
      <c r="E45" s="63"/>
      <c r="F45" s="13"/>
      <c r="G45" s="13"/>
      <c r="H45" s="13"/>
      <c r="I45" s="13"/>
      <c r="J45" s="13"/>
      <c r="K45" s="101"/>
      <c r="L45" s="5"/>
      <c r="M45" s="4"/>
      <c r="N45" s="6"/>
      <c r="O45" s="6"/>
      <c r="P45" s="4"/>
      <c r="Q45" s="124"/>
      <c r="R45" s="5"/>
      <c r="S45" s="5"/>
      <c r="T45" s="5"/>
      <c r="U45" s="5"/>
      <c r="V45" s="5"/>
      <c r="W45" s="5"/>
      <c r="X45" s="5"/>
      <c r="Y45" s="5"/>
      <c r="Z45" s="195"/>
      <c r="AA45" s="6"/>
      <c r="AB45" s="6"/>
      <c r="AC45" s="6"/>
      <c r="AD45" s="6"/>
      <c r="AE45" s="6"/>
      <c r="AF45" s="6"/>
      <c r="AG45" s="6"/>
      <c r="AH45" s="6"/>
      <c r="AI45" s="6"/>
      <c r="AJ45" s="6"/>
      <c r="AK45" s="6"/>
      <c r="AL45" s="6"/>
      <c r="AM45" s="6"/>
      <c r="AN45" s="6"/>
      <c r="AO45" s="6"/>
      <c r="AP45" s="6"/>
      <c r="AQ45" s="6"/>
      <c r="AR45" s="6"/>
      <c r="AS45" s="6"/>
      <c r="AT45" s="6"/>
      <c r="AU45" s="6"/>
      <c r="AV45" s="6"/>
      <c r="AW45" s="6"/>
      <c r="AX45" s="6"/>
      <c r="AY45" s="6"/>
      <c r="AZ45" s="6"/>
      <c r="BA45" s="6"/>
      <c r="BB45" s="6"/>
      <c r="BC45" s="6"/>
      <c r="BD45" s="6"/>
      <c r="BE45" s="6"/>
      <c r="BF45" s="6"/>
      <c r="BG45" s="6"/>
      <c r="BH45" s="6"/>
      <c r="BI45" s="6"/>
      <c r="BJ45" s="6"/>
      <c r="BK45" s="6"/>
      <c r="BL45" s="6"/>
      <c r="BM45" s="6"/>
      <c r="BN45" s="6"/>
      <c r="BO45" s="6"/>
      <c r="BP45" s="6"/>
      <c r="BQ45" s="6"/>
      <c r="BR45" s="6"/>
      <c r="BS45" s="6"/>
      <c r="BT45" s="6"/>
      <c r="BU45" s="6"/>
      <c r="BV45" s="6"/>
      <c r="BW45" s="6"/>
      <c r="BX45" s="6"/>
      <c r="BY45" s="6"/>
      <c r="BZ45" s="6"/>
      <c r="CA45" s="6"/>
      <c r="CB45" s="6"/>
      <c r="CC45" s="6"/>
    </row>
    <row r="46" spans="1:81" x14ac:dyDescent="0.2">
      <c r="A46" s="13"/>
      <c r="B46" s="13"/>
      <c r="C46" s="13"/>
      <c r="D46" s="13"/>
      <c r="E46" s="63"/>
      <c r="F46" s="13"/>
      <c r="G46" s="13"/>
      <c r="H46" s="5"/>
      <c r="I46" s="5"/>
      <c r="J46" s="5"/>
      <c r="K46" s="101"/>
      <c r="L46" s="5"/>
      <c r="M46" s="4"/>
      <c r="N46" s="6"/>
      <c r="O46" s="6"/>
      <c r="P46" s="4"/>
      <c r="Q46" s="124"/>
      <c r="R46" s="5"/>
      <c r="S46" s="5"/>
      <c r="T46" s="5"/>
      <c r="U46" s="5"/>
      <c r="V46" s="5"/>
      <c r="W46" s="5"/>
      <c r="X46" s="5"/>
      <c r="Y46" s="5"/>
      <c r="Z46" s="195"/>
      <c r="AA46" s="6"/>
      <c r="AB46" s="6"/>
      <c r="AC46" s="6"/>
      <c r="AD46" s="6"/>
      <c r="AE46" s="6"/>
      <c r="AF46" s="6"/>
      <c r="AG46" s="6"/>
      <c r="AH46" s="6"/>
      <c r="AI46" s="6"/>
      <c r="AJ46" s="6"/>
      <c r="AK46" s="6"/>
      <c r="AL46" s="6"/>
      <c r="AM46" s="6"/>
      <c r="AN46" s="6"/>
      <c r="AO46" s="6"/>
      <c r="AP46" s="6"/>
      <c r="AQ46" s="6"/>
      <c r="AR46" s="6"/>
      <c r="AS46" s="6"/>
      <c r="AT46" s="6"/>
      <c r="AU46" s="6"/>
      <c r="AV46" s="6"/>
      <c r="AW46" s="6"/>
      <c r="AX46" s="6"/>
      <c r="AY46" s="6"/>
      <c r="AZ46" s="6"/>
      <c r="BA46" s="6"/>
      <c r="BB46" s="6"/>
      <c r="BC46" s="6"/>
      <c r="BD46" s="6"/>
      <c r="BE46" s="6"/>
      <c r="BF46" s="6"/>
      <c r="BG46" s="6"/>
      <c r="BH46" s="6"/>
      <c r="BI46" s="6"/>
      <c r="BJ46" s="6"/>
      <c r="BK46" s="6"/>
      <c r="BL46" s="6"/>
      <c r="BM46" s="6"/>
      <c r="BN46" s="6"/>
      <c r="BO46" s="6"/>
      <c r="BP46" s="6"/>
      <c r="BQ46" s="6"/>
      <c r="BR46" s="6"/>
      <c r="BS46" s="6"/>
      <c r="BT46" s="6"/>
      <c r="BU46" s="6"/>
      <c r="BV46" s="6"/>
      <c r="BW46" s="6"/>
      <c r="BX46" s="6"/>
      <c r="BY46" s="6"/>
      <c r="BZ46" s="6"/>
      <c r="CA46" s="6"/>
      <c r="CB46" s="6"/>
      <c r="CC46" s="6"/>
    </row>
    <row r="47" spans="1:81" x14ac:dyDescent="0.2">
      <c r="A47" s="13"/>
      <c r="B47" s="13"/>
      <c r="C47" s="13"/>
      <c r="D47" s="13"/>
      <c r="E47" s="63"/>
      <c r="F47" s="13"/>
      <c r="G47" s="13"/>
      <c r="H47" s="13"/>
      <c r="I47" s="13"/>
      <c r="J47" s="13"/>
      <c r="K47" s="101"/>
      <c r="L47" s="5"/>
      <c r="M47" s="4"/>
      <c r="N47" s="6"/>
      <c r="O47" s="6"/>
      <c r="P47" s="4"/>
      <c r="Q47" s="124"/>
      <c r="R47" s="5"/>
      <c r="S47" s="5"/>
      <c r="T47" s="5"/>
      <c r="U47" s="5"/>
      <c r="V47" s="5"/>
      <c r="W47" s="5"/>
      <c r="X47" s="5"/>
      <c r="Y47" s="5"/>
      <c r="Z47" s="195"/>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6"/>
      <c r="BA47" s="6"/>
      <c r="BB47" s="6"/>
      <c r="BC47" s="6"/>
      <c r="BD47" s="6"/>
      <c r="BE47" s="6"/>
      <c r="BF47" s="6"/>
      <c r="BG47" s="6"/>
      <c r="BH47" s="6"/>
      <c r="BI47" s="6"/>
      <c r="BJ47" s="6"/>
      <c r="BK47" s="6"/>
      <c r="BL47" s="6"/>
      <c r="BM47" s="6"/>
      <c r="BN47" s="6"/>
      <c r="BO47" s="6"/>
      <c r="BP47" s="6"/>
      <c r="BQ47" s="6"/>
      <c r="BR47" s="6"/>
      <c r="BS47" s="6"/>
      <c r="BT47" s="6"/>
      <c r="BU47" s="6"/>
      <c r="BV47" s="6"/>
      <c r="BW47" s="6"/>
      <c r="BX47" s="6"/>
      <c r="BY47" s="6"/>
      <c r="BZ47" s="6"/>
      <c r="CA47" s="6"/>
      <c r="CB47" s="6"/>
      <c r="CC47" s="6"/>
    </row>
    <row r="48" spans="1:81" x14ac:dyDescent="0.2">
      <c r="A48" s="5"/>
      <c r="B48" s="5"/>
      <c r="C48" s="5"/>
      <c r="D48" s="5"/>
      <c r="E48" s="64"/>
      <c r="F48" s="5"/>
      <c r="G48" s="5"/>
      <c r="H48" s="13"/>
      <c r="I48" s="13"/>
      <c r="J48" s="13"/>
      <c r="K48" s="101"/>
      <c r="L48" s="5"/>
      <c r="M48" s="4"/>
      <c r="N48" s="6"/>
      <c r="O48" s="6"/>
      <c r="P48" s="4"/>
      <c r="Q48" s="124"/>
      <c r="R48" s="5"/>
      <c r="S48" s="5"/>
      <c r="T48" s="5"/>
      <c r="U48" s="5"/>
      <c r="V48" s="5"/>
      <c r="W48" s="5"/>
      <c r="X48" s="5"/>
      <c r="Y48" s="5"/>
      <c r="Z48" s="195"/>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6"/>
      <c r="BA48" s="6"/>
      <c r="BB48" s="6"/>
      <c r="BC48" s="6"/>
      <c r="BD48" s="6"/>
      <c r="BE48" s="6"/>
      <c r="BF48" s="6"/>
      <c r="BG48" s="6"/>
      <c r="BH48" s="6"/>
      <c r="BI48" s="6"/>
      <c r="BJ48" s="6"/>
      <c r="BK48" s="6"/>
      <c r="BL48" s="6"/>
      <c r="BM48" s="6"/>
      <c r="BN48" s="6"/>
      <c r="BO48" s="6"/>
      <c r="BP48" s="6"/>
      <c r="BQ48" s="6"/>
      <c r="BR48" s="6"/>
      <c r="BS48" s="6"/>
      <c r="BT48" s="6"/>
      <c r="BU48" s="6"/>
      <c r="BV48" s="6"/>
      <c r="BW48" s="6"/>
      <c r="BX48" s="6"/>
      <c r="BY48" s="6"/>
      <c r="BZ48" s="6"/>
      <c r="CA48" s="6"/>
      <c r="CB48" s="6"/>
      <c r="CC48" s="6"/>
    </row>
    <row r="49" spans="1:81" x14ac:dyDescent="0.2">
      <c r="A49" s="12"/>
      <c r="B49" s="13"/>
      <c r="C49" s="13"/>
      <c r="D49" s="13"/>
      <c r="E49" s="63"/>
      <c r="F49" s="13"/>
      <c r="G49" s="13"/>
      <c r="H49" s="13"/>
      <c r="I49" s="13"/>
      <c r="J49" s="13"/>
      <c r="K49" s="101"/>
      <c r="L49" s="5"/>
      <c r="M49" s="4"/>
      <c r="N49" s="6"/>
      <c r="O49" s="6"/>
      <c r="P49" s="6"/>
      <c r="Q49" s="124"/>
      <c r="R49" s="5"/>
      <c r="S49" s="5"/>
      <c r="T49" s="5"/>
      <c r="U49" s="5"/>
      <c r="V49" s="5"/>
      <c r="W49" s="5"/>
      <c r="X49" s="5"/>
      <c r="Y49" s="5"/>
      <c r="Z49" s="195"/>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6"/>
      <c r="BA49" s="6"/>
      <c r="BB49" s="6"/>
      <c r="BC49" s="6"/>
      <c r="BD49" s="6"/>
      <c r="BE49" s="6"/>
      <c r="BF49" s="6"/>
      <c r="BG49" s="6"/>
      <c r="BH49" s="6"/>
      <c r="BI49" s="6"/>
      <c r="BJ49" s="6"/>
      <c r="BK49" s="6"/>
      <c r="BL49" s="6"/>
      <c r="BM49" s="6"/>
      <c r="BN49" s="6"/>
      <c r="BO49" s="6"/>
      <c r="BP49" s="6"/>
      <c r="BQ49" s="6"/>
      <c r="BR49" s="6"/>
      <c r="BS49" s="6"/>
      <c r="BT49" s="6"/>
      <c r="BU49" s="6"/>
      <c r="BV49" s="6"/>
      <c r="BW49" s="6"/>
      <c r="BX49" s="6"/>
      <c r="BY49" s="6"/>
      <c r="BZ49" s="6"/>
      <c r="CA49" s="6"/>
      <c r="CB49" s="6"/>
      <c r="CC49" s="6"/>
    </row>
    <row r="50" spans="1:81" x14ac:dyDescent="0.2">
      <c r="A50" s="13"/>
      <c r="B50" s="13"/>
      <c r="C50" s="13"/>
      <c r="D50" s="13"/>
      <c r="E50" s="63"/>
      <c r="F50" s="13"/>
      <c r="G50" s="13"/>
      <c r="H50" s="13"/>
      <c r="I50" s="13"/>
      <c r="J50" s="13"/>
      <c r="K50" s="13"/>
      <c r="L50" s="13"/>
      <c r="M50" s="4"/>
      <c r="N50" s="6"/>
      <c r="O50" s="6"/>
      <c r="P50" s="4"/>
      <c r="Q50" s="123"/>
      <c r="R50" s="5"/>
      <c r="S50" s="5"/>
      <c r="T50" s="5"/>
      <c r="U50" s="5"/>
      <c r="V50" s="5"/>
      <c r="W50" s="5"/>
      <c r="X50" s="5"/>
      <c r="Y50" s="5"/>
      <c r="Z50" s="195"/>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6"/>
      <c r="BA50" s="6"/>
      <c r="BB50" s="6"/>
      <c r="BC50" s="6"/>
      <c r="BD50" s="6"/>
      <c r="BE50" s="6"/>
      <c r="BF50" s="6"/>
      <c r="BG50" s="6"/>
      <c r="BH50" s="6"/>
      <c r="BI50" s="6"/>
      <c r="BJ50" s="6"/>
      <c r="BK50" s="6"/>
      <c r="BL50" s="6"/>
      <c r="BM50" s="6"/>
      <c r="BN50" s="6"/>
      <c r="BO50" s="6"/>
      <c r="BP50" s="6"/>
      <c r="BQ50" s="6"/>
      <c r="BR50" s="6"/>
      <c r="BS50" s="6"/>
      <c r="BT50" s="6"/>
      <c r="BU50" s="6"/>
      <c r="BV50" s="6"/>
      <c r="BW50" s="6"/>
      <c r="BX50" s="6"/>
      <c r="BY50" s="6"/>
      <c r="BZ50" s="6"/>
      <c r="CA50" s="6"/>
      <c r="CB50" s="6"/>
      <c r="CC50" s="6"/>
    </row>
    <row r="51" spans="1:81" x14ac:dyDescent="0.2">
      <c r="A51" s="13"/>
      <c r="B51" s="13"/>
      <c r="C51" s="13"/>
      <c r="D51" s="13"/>
      <c r="E51" s="63"/>
      <c r="F51" s="13"/>
      <c r="G51" s="13"/>
      <c r="H51" s="13"/>
      <c r="I51" s="13"/>
      <c r="J51" s="13"/>
      <c r="K51" s="13"/>
      <c r="L51" s="13"/>
      <c r="M51" s="4"/>
      <c r="N51" s="6"/>
      <c r="O51" s="6"/>
      <c r="P51" s="4"/>
      <c r="Q51" s="124"/>
      <c r="R51" s="5"/>
      <c r="S51" s="5"/>
      <c r="T51" s="5"/>
      <c r="U51" s="5"/>
      <c r="V51" s="5"/>
      <c r="W51" s="5"/>
      <c r="X51" s="5"/>
      <c r="Y51" s="5"/>
      <c r="Z51" s="195"/>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c r="BH51" s="6"/>
      <c r="BI51" s="6"/>
      <c r="BJ51" s="6"/>
      <c r="BK51" s="6"/>
      <c r="BL51" s="6"/>
      <c r="BM51" s="6"/>
      <c r="BN51" s="6"/>
      <c r="BO51" s="6"/>
      <c r="BP51" s="6"/>
      <c r="BQ51" s="6"/>
      <c r="BR51" s="6"/>
      <c r="BS51" s="6"/>
      <c r="BT51" s="6"/>
      <c r="BU51" s="6"/>
      <c r="BV51" s="6"/>
      <c r="BW51" s="6"/>
      <c r="BX51" s="6"/>
      <c r="BY51" s="6"/>
      <c r="BZ51" s="6"/>
      <c r="CA51" s="6"/>
      <c r="CB51" s="6"/>
      <c r="CC51" s="6"/>
    </row>
    <row r="52" spans="1:81" x14ac:dyDescent="0.2">
      <c r="A52" s="13"/>
      <c r="B52" s="13"/>
      <c r="C52" s="13"/>
      <c r="D52" s="13"/>
      <c r="E52" s="63"/>
      <c r="F52" s="13"/>
      <c r="G52" s="13"/>
      <c r="H52" s="13"/>
      <c r="I52" s="13"/>
      <c r="J52" s="13"/>
      <c r="K52" s="13"/>
      <c r="L52" s="13"/>
      <c r="M52" s="4"/>
      <c r="N52" s="6"/>
      <c r="O52" s="6"/>
      <c r="P52" s="4"/>
      <c r="Q52" s="124"/>
      <c r="R52" s="5"/>
      <c r="S52" s="5"/>
      <c r="T52" s="5"/>
      <c r="U52" s="5"/>
      <c r="V52" s="5"/>
      <c r="W52" s="5"/>
      <c r="X52" s="5"/>
      <c r="Y52" s="5"/>
      <c r="Z52" s="195"/>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6"/>
      <c r="BA52" s="6"/>
      <c r="BB52" s="6"/>
      <c r="BC52" s="6"/>
      <c r="BD52" s="6"/>
      <c r="BE52" s="6"/>
      <c r="BF52" s="6"/>
      <c r="BG52" s="6"/>
      <c r="BH52" s="6"/>
      <c r="BI52" s="6"/>
      <c r="BJ52" s="6"/>
      <c r="BK52" s="6"/>
      <c r="BL52" s="6"/>
      <c r="BM52" s="6"/>
      <c r="BN52" s="6"/>
      <c r="BO52" s="6"/>
      <c r="BP52" s="6"/>
      <c r="BQ52" s="6"/>
      <c r="BR52" s="6"/>
      <c r="BS52" s="6"/>
      <c r="BT52" s="6"/>
      <c r="BU52" s="6"/>
      <c r="BV52" s="6"/>
      <c r="BW52" s="6"/>
      <c r="BX52" s="6"/>
      <c r="BY52" s="6"/>
      <c r="BZ52" s="6"/>
      <c r="CA52" s="6"/>
      <c r="CB52" s="6"/>
      <c r="CC52" s="6"/>
    </row>
    <row r="53" spans="1:81" x14ac:dyDescent="0.2">
      <c r="A53" s="13"/>
      <c r="B53" s="13"/>
      <c r="C53" s="13"/>
      <c r="D53" s="13"/>
      <c r="E53" s="63"/>
      <c r="F53" s="13"/>
      <c r="G53" s="13"/>
      <c r="H53" s="13"/>
      <c r="I53" s="13"/>
      <c r="J53" s="13"/>
      <c r="K53" s="101"/>
      <c r="L53" s="5"/>
      <c r="M53" s="4"/>
      <c r="N53" s="6"/>
      <c r="O53" s="6"/>
      <c r="P53" s="116"/>
      <c r="Q53" s="238"/>
      <c r="R53" s="5"/>
      <c r="S53" s="5"/>
      <c r="T53" s="5"/>
      <c r="U53" s="5"/>
      <c r="V53" s="5"/>
      <c r="W53" s="5"/>
      <c r="X53" s="5"/>
      <c r="Y53" s="5"/>
      <c r="Z53" s="195"/>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6"/>
      <c r="BA53" s="6"/>
      <c r="BB53" s="6"/>
      <c r="BC53" s="6"/>
      <c r="BD53" s="6"/>
      <c r="BE53" s="6"/>
      <c r="BF53" s="6"/>
      <c r="BG53" s="6"/>
      <c r="BH53" s="6"/>
      <c r="BI53" s="6"/>
      <c r="BJ53" s="6"/>
      <c r="BK53" s="6"/>
      <c r="BL53" s="6"/>
      <c r="BM53" s="6"/>
      <c r="BN53" s="6"/>
      <c r="BO53" s="6"/>
      <c r="BP53" s="6"/>
      <c r="BQ53" s="6"/>
      <c r="BR53" s="6"/>
      <c r="BS53" s="6"/>
      <c r="BT53" s="6"/>
      <c r="BU53" s="6"/>
      <c r="BV53" s="6"/>
      <c r="BW53" s="6"/>
      <c r="BX53" s="6"/>
      <c r="BY53" s="6"/>
      <c r="BZ53" s="6"/>
      <c r="CA53" s="6"/>
      <c r="CB53" s="6"/>
      <c r="CC53" s="6"/>
    </row>
    <row r="54" spans="1:81" x14ac:dyDescent="0.2">
      <c r="A54" s="12"/>
      <c r="B54" s="13"/>
      <c r="C54" s="13"/>
      <c r="D54" s="13"/>
      <c r="E54" s="63"/>
      <c r="F54" s="13"/>
      <c r="G54" s="13"/>
      <c r="H54" s="13"/>
      <c r="I54" s="13"/>
      <c r="J54" s="13"/>
      <c r="K54" s="101"/>
      <c r="L54" s="5"/>
      <c r="M54" s="116"/>
      <c r="N54" s="116"/>
      <c r="O54" s="116"/>
      <c r="P54" s="116"/>
      <c r="Q54" s="238"/>
      <c r="R54" s="5"/>
      <c r="S54" s="5"/>
      <c r="T54" s="5"/>
      <c r="U54" s="5"/>
      <c r="V54" s="5"/>
      <c r="W54" s="5"/>
      <c r="X54" s="5"/>
      <c r="Y54" s="5"/>
      <c r="Z54" s="195"/>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6"/>
      <c r="BA54" s="6"/>
      <c r="BB54" s="6"/>
      <c r="BC54" s="6"/>
      <c r="BD54" s="6"/>
      <c r="BE54" s="6"/>
      <c r="BF54" s="6"/>
      <c r="BG54" s="6"/>
      <c r="BH54" s="6"/>
      <c r="BI54" s="6"/>
      <c r="BJ54" s="6"/>
      <c r="BK54" s="6"/>
      <c r="BL54" s="6"/>
      <c r="BM54" s="6"/>
      <c r="BN54" s="6"/>
      <c r="BO54" s="6"/>
      <c r="BP54" s="6"/>
      <c r="BQ54" s="6"/>
      <c r="BR54" s="6"/>
      <c r="BS54" s="6"/>
      <c r="BT54" s="6"/>
      <c r="BU54" s="6"/>
      <c r="BV54" s="6"/>
      <c r="BW54" s="6"/>
      <c r="BX54" s="6"/>
      <c r="BY54" s="6"/>
      <c r="BZ54" s="6"/>
      <c r="CA54" s="6"/>
      <c r="CB54" s="6"/>
      <c r="CC54" s="6"/>
    </row>
    <row r="55" spans="1:81" x14ac:dyDescent="0.2">
      <c r="A55" s="13"/>
      <c r="B55" s="13"/>
      <c r="C55" s="13"/>
      <c r="D55" s="13"/>
      <c r="E55" s="63"/>
      <c r="F55" s="13"/>
      <c r="G55" s="13"/>
      <c r="H55" s="13"/>
      <c r="I55" s="13"/>
      <c r="J55" s="13"/>
      <c r="K55" s="101"/>
      <c r="L55" s="5"/>
      <c r="M55" s="116"/>
      <c r="N55" s="116"/>
      <c r="O55" s="116"/>
      <c r="P55" s="116"/>
      <c r="Q55" s="238"/>
      <c r="R55" s="5"/>
      <c r="S55" s="5"/>
      <c r="T55" s="5"/>
      <c r="U55" s="5"/>
      <c r="V55" s="5"/>
      <c r="W55" s="5"/>
      <c r="X55" s="5"/>
      <c r="Y55" s="5"/>
      <c r="Z55" s="195"/>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6"/>
      <c r="BA55" s="6"/>
      <c r="BB55" s="6"/>
      <c r="BC55" s="6"/>
      <c r="BD55" s="6"/>
      <c r="BE55" s="6"/>
      <c r="BF55" s="6"/>
      <c r="BG55" s="6"/>
      <c r="BH55" s="6"/>
      <c r="BI55" s="6"/>
      <c r="BJ55" s="6"/>
      <c r="BK55" s="6"/>
      <c r="BL55" s="6"/>
      <c r="BM55" s="6"/>
      <c r="BN55" s="6"/>
      <c r="BO55" s="6"/>
      <c r="BP55" s="6"/>
      <c r="BQ55" s="6"/>
      <c r="BR55" s="6"/>
      <c r="BS55" s="6"/>
      <c r="BT55" s="6"/>
      <c r="BU55" s="6"/>
      <c r="BV55" s="6"/>
      <c r="BW55" s="6"/>
      <c r="BX55" s="6"/>
      <c r="BY55" s="6"/>
      <c r="BZ55" s="6"/>
      <c r="CA55" s="6"/>
      <c r="CB55" s="6"/>
      <c r="CC55" s="6"/>
    </row>
    <row r="56" spans="1:81" x14ac:dyDescent="0.2">
      <c r="A56" s="13"/>
      <c r="B56" s="13"/>
      <c r="C56" s="13"/>
      <c r="D56" s="13"/>
      <c r="E56" s="63"/>
      <c r="F56" s="13"/>
      <c r="G56" s="13"/>
      <c r="H56" s="13"/>
      <c r="I56" s="13"/>
      <c r="J56" s="13"/>
      <c r="K56" s="101"/>
      <c r="L56" s="101"/>
      <c r="M56" s="116"/>
      <c r="N56" s="116"/>
      <c r="O56" s="116"/>
      <c r="P56" s="116"/>
      <c r="Q56" s="238"/>
      <c r="R56" s="5"/>
      <c r="S56" s="5"/>
      <c r="T56" s="5"/>
      <c r="U56" s="5"/>
      <c r="V56" s="5"/>
      <c r="W56" s="5"/>
      <c r="X56" s="5"/>
      <c r="Y56" s="5"/>
      <c r="Z56" s="195"/>
      <c r="AA56" s="6"/>
      <c r="AB56" s="6"/>
      <c r="AC56" s="6"/>
      <c r="AD56" s="6"/>
      <c r="AE56" s="6"/>
      <c r="AF56" s="6"/>
      <c r="AG56" s="6"/>
      <c r="AH56" s="6"/>
      <c r="AI56" s="6"/>
      <c r="AJ56" s="6"/>
      <c r="AK56" s="6"/>
      <c r="AL56" s="6"/>
      <c r="AM56" s="6"/>
      <c r="AN56" s="6"/>
      <c r="AO56" s="6"/>
      <c r="AP56" s="6"/>
      <c r="AQ56" s="6"/>
      <c r="AR56" s="6"/>
      <c r="AS56" s="6"/>
      <c r="AT56" s="6"/>
      <c r="AU56" s="6"/>
      <c r="AV56" s="6"/>
      <c r="AW56" s="6"/>
      <c r="AX56" s="6"/>
      <c r="AY56" s="6"/>
      <c r="AZ56" s="6"/>
      <c r="BA56" s="6"/>
      <c r="BB56" s="6"/>
      <c r="BC56" s="6"/>
      <c r="BD56" s="6"/>
      <c r="BE56" s="6"/>
      <c r="BF56" s="6"/>
      <c r="BG56" s="6"/>
      <c r="BH56" s="6"/>
      <c r="BI56" s="6"/>
      <c r="BJ56" s="6"/>
      <c r="BK56" s="6"/>
      <c r="BL56" s="6"/>
      <c r="BM56" s="6"/>
      <c r="BN56" s="6"/>
      <c r="BO56" s="6"/>
      <c r="BP56" s="6"/>
      <c r="BQ56" s="6"/>
      <c r="BR56" s="6"/>
      <c r="BS56" s="6"/>
      <c r="BT56" s="6"/>
      <c r="BU56" s="6"/>
      <c r="BV56" s="6"/>
      <c r="BW56" s="6"/>
      <c r="BX56" s="6"/>
      <c r="BY56" s="6"/>
      <c r="BZ56" s="6"/>
      <c r="CA56" s="6"/>
      <c r="CB56" s="6"/>
      <c r="CC56" s="6"/>
    </row>
    <row r="57" spans="1:81" x14ac:dyDescent="0.2">
      <c r="A57" s="13"/>
      <c r="B57" s="13"/>
      <c r="C57" s="13"/>
      <c r="D57" s="13"/>
      <c r="E57" s="63"/>
      <c r="F57" s="13"/>
      <c r="G57" s="13"/>
      <c r="H57" s="13"/>
      <c r="I57" s="13"/>
      <c r="J57" s="13"/>
      <c r="K57" s="101"/>
      <c r="L57" s="101"/>
      <c r="M57" s="116"/>
      <c r="N57" s="116"/>
      <c r="O57" s="116"/>
      <c r="P57" s="116"/>
      <c r="Q57" s="238"/>
      <c r="R57" s="5"/>
      <c r="S57" s="5"/>
      <c r="T57" s="5"/>
      <c r="U57" s="5"/>
      <c r="V57" s="5"/>
      <c r="W57" s="5"/>
      <c r="X57" s="5"/>
      <c r="Y57" s="5"/>
      <c r="Z57" s="195"/>
      <c r="AA57" s="6"/>
      <c r="AB57" s="6"/>
      <c r="AC57" s="6"/>
      <c r="AD57" s="6"/>
      <c r="AE57" s="6"/>
      <c r="AF57" s="6"/>
      <c r="AG57" s="6"/>
      <c r="AH57" s="6"/>
      <c r="AI57" s="6"/>
      <c r="AJ57" s="6"/>
      <c r="AK57" s="6"/>
      <c r="AL57" s="6"/>
      <c r="AM57" s="6"/>
      <c r="AN57" s="6"/>
      <c r="AO57" s="6"/>
      <c r="AP57" s="6"/>
      <c r="AQ57" s="6"/>
      <c r="AR57" s="6"/>
      <c r="AS57" s="6"/>
      <c r="AT57" s="6"/>
      <c r="AU57" s="6"/>
      <c r="AV57" s="6"/>
      <c r="AW57" s="6"/>
      <c r="AX57" s="6"/>
      <c r="AY57" s="6"/>
      <c r="AZ57" s="6"/>
      <c r="BA57" s="6"/>
      <c r="BB57" s="6"/>
      <c r="BC57" s="6"/>
      <c r="BD57" s="6"/>
      <c r="BE57" s="6"/>
      <c r="BF57" s="6"/>
      <c r="BG57" s="6"/>
      <c r="BH57" s="6"/>
      <c r="BI57" s="6"/>
      <c r="BJ57" s="6"/>
      <c r="BK57" s="6"/>
      <c r="BL57" s="6"/>
      <c r="BM57" s="6"/>
      <c r="BN57" s="6"/>
      <c r="BO57" s="6"/>
      <c r="BP57" s="6"/>
      <c r="BQ57" s="6"/>
      <c r="BR57" s="6"/>
      <c r="BS57" s="6"/>
      <c r="BT57" s="6"/>
      <c r="BU57" s="6"/>
      <c r="BV57" s="6"/>
      <c r="BW57" s="6"/>
      <c r="BX57" s="6"/>
      <c r="BY57" s="6"/>
      <c r="BZ57" s="6"/>
      <c r="CA57" s="6"/>
      <c r="CB57" s="6"/>
      <c r="CC57" s="6"/>
    </row>
    <row r="58" spans="1:81" x14ac:dyDescent="0.2">
      <c r="A58" s="12"/>
      <c r="B58" s="13"/>
      <c r="C58" s="13"/>
      <c r="D58" s="13"/>
      <c r="E58" s="63"/>
      <c r="F58" s="13"/>
      <c r="G58" s="13"/>
      <c r="H58" s="13"/>
      <c r="I58" s="13"/>
      <c r="J58" s="13"/>
      <c r="K58" s="101"/>
      <c r="L58" s="5"/>
      <c r="M58" s="116"/>
      <c r="N58" s="116"/>
      <c r="O58" s="116"/>
      <c r="P58" s="116"/>
      <c r="Q58" s="238"/>
      <c r="R58" s="5"/>
      <c r="S58" s="5"/>
      <c r="T58" s="5"/>
      <c r="U58" s="5"/>
      <c r="V58" s="5"/>
      <c r="W58" s="5"/>
      <c r="X58" s="5"/>
      <c r="Y58" s="5"/>
      <c r="Z58" s="168"/>
      <c r="AA58" s="116"/>
      <c r="AB58" s="116"/>
      <c r="AC58" s="116"/>
      <c r="AD58" s="116"/>
      <c r="AE58" s="116"/>
      <c r="AF58" s="116"/>
      <c r="AG58" s="116"/>
      <c r="AH58" s="116"/>
      <c r="AI58" s="116"/>
      <c r="AJ58" s="116"/>
      <c r="AK58" s="116"/>
      <c r="AL58" s="116"/>
      <c r="AM58" s="116"/>
      <c r="AN58" s="116"/>
      <c r="AO58" s="116"/>
      <c r="AP58" s="116"/>
      <c r="AQ58" s="116"/>
      <c r="AR58" s="116"/>
      <c r="AS58" s="116"/>
      <c r="AT58" s="116"/>
      <c r="AU58" s="116"/>
      <c r="AV58" s="116"/>
      <c r="AW58" s="116"/>
      <c r="AX58" s="116"/>
      <c r="AY58" s="116"/>
      <c r="AZ58" s="116"/>
      <c r="BA58" s="116"/>
      <c r="BB58" s="116"/>
      <c r="BC58" s="116"/>
      <c r="BD58" s="116"/>
      <c r="BE58" s="116"/>
      <c r="BF58" s="116"/>
      <c r="BG58" s="116"/>
      <c r="BH58" s="116"/>
      <c r="BI58" s="116"/>
      <c r="BJ58" s="116"/>
      <c r="BK58" s="116"/>
      <c r="BL58" s="116"/>
      <c r="BM58" s="116"/>
      <c r="BN58" s="116"/>
      <c r="BO58" s="116"/>
      <c r="BP58" s="116"/>
      <c r="BQ58" s="116"/>
      <c r="BR58" s="116"/>
      <c r="BS58" s="116"/>
      <c r="BT58" s="116"/>
      <c r="BU58" s="116"/>
      <c r="BV58" s="116"/>
      <c r="BW58" s="116"/>
      <c r="BX58" s="6"/>
      <c r="BY58" s="6"/>
      <c r="BZ58" s="116"/>
      <c r="CA58" s="116"/>
      <c r="CB58" s="116"/>
      <c r="CC58" s="116"/>
    </row>
    <row r="59" spans="1:81" x14ac:dyDescent="0.2">
      <c r="A59" s="13"/>
      <c r="B59" s="13"/>
      <c r="C59" s="13"/>
      <c r="D59" s="13"/>
      <c r="E59" s="63"/>
      <c r="F59" s="13"/>
      <c r="G59" s="13"/>
      <c r="H59" s="13"/>
      <c r="I59" s="13"/>
      <c r="J59" s="13"/>
      <c r="K59" s="101"/>
      <c r="L59" s="5"/>
      <c r="M59" s="116"/>
      <c r="N59" s="116"/>
      <c r="O59" s="116"/>
      <c r="P59" s="116"/>
      <c r="Q59" s="238"/>
      <c r="R59" s="5"/>
      <c r="S59" s="5"/>
      <c r="T59" s="5"/>
      <c r="U59" s="5"/>
      <c r="V59" s="5"/>
      <c r="W59" s="5"/>
      <c r="X59" s="5"/>
      <c r="Y59" s="5"/>
      <c r="Z59" s="195"/>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c r="BH59" s="6"/>
      <c r="BI59" s="6"/>
      <c r="BJ59" s="6"/>
      <c r="BK59" s="6"/>
      <c r="BL59" s="6"/>
      <c r="BM59" s="6"/>
      <c r="BN59" s="6"/>
      <c r="BO59" s="6"/>
      <c r="BP59" s="6"/>
      <c r="BQ59" s="6"/>
      <c r="BR59" s="6"/>
      <c r="BS59" s="6"/>
      <c r="BT59" s="6"/>
      <c r="BU59" s="6"/>
      <c r="BV59" s="6"/>
      <c r="BW59" s="6"/>
      <c r="BX59" s="6"/>
      <c r="BY59" s="6"/>
      <c r="BZ59" s="6"/>
      <c r="CA59" s="6"/>
      <c r="CB59" s="6"/>
      <c r="CC59" s="6"/>
    </row>
    <row r="60" spans="1:81" x14ac:dyDescent="0.2">
      <c r="A60" s="13"/>
      <c r="B60" s="13"/>
      <c r="C60" s="13"/>
      <c r="D60" s="13"/>
      <c r="E60" s="63"/>
      <c r="F60" s="13"/>
      <c r="G60" s="13"/>
      <c r="H60" s="13"/>
      <c r="I60" s="13"/>
      <c r="J60" s="13"/>
      <c r="K60" s="101"/>
      <c r="L60" s="5"/>
      <c r="M60" s="116"/>
      <c r="N60" s="116"/>
      <c r="O60" s="116"/>
      <c r="P60" s="116"/>
      <c r="Q60" s="238"/>
      <c r="R60" s="5"/>
      <c r="S60" s="5"/>
      <c r="T60" s="5"/>
      <c r="U60" s="5"/>
      <c r="V60" s="5"/>
      <c r="W60" s="5"/>
      <c r="X60" s="5"/>
      <c r="Y60" s="5"/>
      <c r="Z60" s="195"/>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c r="BH60" s="6"/>
      <c r="BI60" s="6"/>
      <c r="BJ60" s="6"/>
      <c r="BK60" s="6"/>
      <c r="BL60" s="6"/>
      <c r="BM60" s="6"/>
      <c r="BN60" s="6"/>
      <c r="BO60" s="6"/>
      <c r="BP60" s="6"/>
      <c r="BQ60" s="6"/>
      <c r="BR60" s="6"/>
      <c r="BS60" s="6"/>
      <c r="BT60" s="6"/>
      <c r="BU60" s="6"/>
      <c r="BV60" s="6"/>
      <c r="BW60" s="6"/>
      <c r="BX60" s="6"/>
      <c r="BY60" s="6"/>
      <c r="BZ60" s="6"/>
      <c r="CA60" s="6"/>
      <c r="CB60" s="6"/>
      <c r="CC60" s="6"/>
    </row>
    <row r="61" spans="1:81" x14ac:dyDescent="0.2">
      <c r="A61" s="13"/>
      <c r="B61" s="13"/>
      <c r="C61" s="13"/>
      <c r="D61" s="13"/>
      <c r="E61" s="63"/>
      <c r="F61" s="13"/>
      <c r="G61" s="13"/>
      <c r="H61" s="13"/>
      <c r="I61" s="13"/>
      <c r="J61" s="13"/>
      <c r="K61" s="101"/>
      <c r="L61" s="5"/>
      <c r="M61" s="116"/>
      <c r="N61" s="116"/>
      <c r="O61" s="116"/>
      <c r="P61" s="116"/>
      <c r="Q61" s="238"/>
      <c r="R61" s="5"/>
      <c r="S61" s="5"/>
      <c r="T61" s="5"/>
      <c r="U61" s="5"/>
      <c r="V61" s="5"/>
      <c r="W61" s="5"/>
      <c r="X61" s="5"/>
      <c r="Y61" s="5"/>
      <c r="Z61" s="195"/>
      <c r="AA61" s="6"/>
      <c r="AB61" s="6"/>
      <c r="AC61" s="6"/>
      <c r="AD61" s="6"/>
      <c r="AE61" s="6"/>
      <c r="AF61" s="6"/>
      <c r="AG61" s="6"/>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G61" s="6"/>
      <c r="BH61" s="6"/>
      <c r="BI61" s="6"/>
      <c r="BJ61" s="6"/>
      <c r="BK61" s="6"/>
      <c r="BL61" s="6"/>
      <c r="BM61" s="6"/>
      <c r="BN61" s="6"/>
      <c r="BO61" s="6"/>
      <c r="BP61" s="6"/>
      <c r="BQ61" s="6"/>
      <c r="BR61" s="6"/>
      <c r="BS61" s="6"/>
      <c r="BT61" s="6"/>
      <c r="BU61" s="6"/>
      <c r="BV61" s="6"/>
      <c r="BW61" s="6"/>
      <c r="BX61" s="6"/>
      <c r="BY61" s="6"/>
      <c r="BZ61" s="6"/>
      <c r="CA61" s="6"/>
      <c r="CB61" s="6"/>
      <c r="CC61" s="6"/>
    </row>
    <row r="62" spans="1:81" x14ac:dyDescent="0.2">
      <c r="A62" s="12"/>
      <c r="B62" s="13"/>
      <c r="C62" s="13"/>
      <c r="D62" s="13"/>
      <c r="E62" s="63"/>
      <c r="F62" s="13"/>
      <c r="G62" s="13"/>
      <c r="H62" s="13"/>
      <c r="I62" s="13"/>
      <c r="J62" s="13"/>
      <c r="K62" s="37"/>
      <c r="L62" s="5"/>
      <c r="M62" s="116"/>
      <c r="N62" s="116"/>
      <c r="O62" s="116"/>
      <c r="P62" s="116"/>
      <c r="Q62" s="238"/>
      <c r="R62" s="5"/>
      <c r="S62" s="5"/>
      <c r="T62" s="5"/>
      <c r="U62" s="5"/>
      <c r="V62" s="5"/>
      <c r="W62" s="5"/>
      <c r="X62" s="5"/>
      <c r="Y62" s="5"/>
      <c r="Z62" s="195"/>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G62" s="6"/>
      <c r="BH62" s="6"/>
      <c r="BI62" s="6"/>
      <c r="BJ62" s="6"/>
      <c r="BK62" s="6"/>
      <c r="BL62" s="6"/>
      <c r="BM62" s="6"/>
      <c r="BN62" s="6"/>
      <c r="BO62" s="6"/>
      <c r="BP62" s="6"/>
      <c r="BQ62" s="6"/>
      <c r="BR62" s="6"/>
      <c r="BS62" s="6"/>
      <c r="BT62" s="6"/>
      <c r="BU62" s="6"/>
      <c r="BV62" s="6"/>
      <c r="BW62" s="6"/>
      <c r="BX62" s="6"/>
      <c r="BY62" s="6"/>
      <c r="BZ62" s="6"/>
      <c r="CA62" s="6"/>
      <c r="CB62" s="6"/>
      <c r="CC62" s="6"/>
    </row>
    <row r="63" spans="1:81" x14ac:dyDescent="0.2">
      <c r="A63" s="13"/>
      <c r="B63" s="13"/>
      <c r="C63" s="13"/>
      <c r="D63" s="13"/>
      <c r="E63" s="63"/>
      <c r="F63" s="13"/>
      <c r="G63" s="13"/>
      <c r="H63" s="13"/>
      <c r="I63" s="13"/>
      <c r="J63" s="13"/>
      <c r="K63" s="101"/>
      <c r="L63" s="5"/>
      <c r="M63" s="116"/>
      <c r="N63" s="116"/>
      <c r="O63" s="116"/>
      <c r="P63" s="116"/>
      <c r="Q63" s="238"/>
      <c r="R63" s="5"/>
      <c r="S63" s="5"/>
      <c r="T63" s="5"/>
      <c r="U63" s="5"/>
      <c r="V63" s="5"/>
      <c r="W63" s="5"/>
      <c r="X63" s="5"/>
      <c r="Y63" s="5"/>
      <c r="Z63" s="195"/>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6"/>
      <c r="BA63" s="6"/>
      <c r="BB63" s="6"/>
      <c r="BC63" s="6"/>
      <c r="BD63" s="6"/>
      <c r="BE63" s="6"/>
      <c r="BF63" s="6"/>
      <c r="BG63" s="6"/>
      <c r="BH63" s="6"/>
      <c r="BI63" s="6"/>
      <c r="BJ63" s="6"/>
      <c r="BK63" s="6"/>
      <c r="BL63" s="6"/>
      <c r="BM63" s="6"/>
      <c r="BN63" s="6"/>
      <c r="BO63" s="6"/>
      <c r="BP63" s="6"/>
      <c r="BQ63" s="6"/>
      <c r="BR63" s="6"/>
      <c r="BS63" s="6"/>
      <c r="BT63" s="6"/>
      <c r="BU63" s="6"/>
      <c r="BV63" s="6"/>
      <c r="BW63" s="6"/>
      <c r="BX63" s="6"/>
      <c r="BY63" s="6"/>
      <c r="BZ63" s="6"/>
      <c r="CA63" s="6"/>
      <c r="CB63" s="6"/>
      <c r="CC63" s="6"/>
    </row>
    <row r="64" spans="1:81" x14ac:dyDescent="0.2">
      <c r="A64" s="13"/>
      <c r="B64" s="13"/>
      <c r="C64" s="13"/>
      <c r="D64" s="13"/>
      <c r="E64" s="63"/>
      <c r="F64" s="13"/>
      <c r="G64" s="13"/>
      <c r="H64" s="13"/>
      <c r="I64" s="13"/>
      <c r="J64" s="13"/>
      <c r="K64" s="101"/>
      <c r="L64" s="5"/>
      <c r="M64" s="116"/>
      <c r="N64" s="116"/>
      <c r="O64" s="116"/>
      <c r="P64" s="116"/>
      <c r="Q64" s="238"/>
      <c r="R64" s="5"/>
      <c r="S64" s="5"/>
      <c r="T64" s="5"/>
      <c r="U64" s="5"/>
      <c r="V64" s="5"/>
      <c r="W64" s="5"/>
      <c r="X64" s="5"/>
      <c r="Y64" s="5"/>
      <c r="Z64" s="195"/>
      <c r="AA64" s="6"/>
      <c r="AB64" s="6"/>
      <c r="AC64" s="6"/>
      <c r="AD64" s="6"/>
      <c r="AE64" s="6"/>
      <c r="AF64" s="6"/>
      <c r="AG64" s="6"/>
      <c r="AH64" s="6"/>
      <c r="AI64" s="6"/>
      <c r="AJ64" s="6"/>
      <c r="AK64" s="6"/>
      <c r="AL64" s="6"/>
      <c r="AM64" s="6"/>
      <c r="AN64" s="6"/>
      <c r="AO64" s="6"/>
      <c r="AP64" s="6"/>
      <c r="AQ64" s="6"/>
      <c r="AR64" s="6"/>
      <c r="AS64" s="6"/>
      <c r="AT64" s="6"/>
      <c r="AU64" s="6"/>
      <c r="AV64" s="6"/>
      <c r="AW64" s="6"/>
      <c r="AX64" s="6"/>
      <c r="AY64" s="6"/>
      <c r="AZ64" s="6"/>
      <c r="BA64" s="6"/>
      <c r="BB64" s="6"/>
      <c r="BC64" s="6"/>
      <c r="BD64" s="6"/>
      <c r="BE64" s="6"/>
      <c r="BF64" s="6"/>
      <c r="BG64" s="6"/>
      <c r="BH64" s="6"/>
      <c r="BI64" s="6"/>
      <c r="BJ64" s="6"/>
      <c r="BK64" s="6"/>
      <c r="BL64" s="6"/>
      <c r="BM64" s="6"/>
      <c r="BN64" s="6"/>
      <c r="BO64" s="6"/>
      <c r="BP64" s="6"/>
      <c r="BQ64" s="6"/>
      <c r="BR64" s="6"/>
      <c r="BS64" s="6"/>
      <c r="BT64" s="6"/>
      <c r="BU64" s="6"/>
      <c r="BV64" s="6"/>
      <c r="BW64" s="6"/>
      <c r="BX64" s="6"/>
      <c r="BY64" s="6"/>
      <c r="BZ64" s="6"/>
      <c r="CA64" s="6"/>
      <c r="CB64" s="6"/>
      <c r="CC64" s="6"/>
    </row>
    <row r="65" spans="1:81" x14ac:dyDescent="0.2">
      <c r="A65" s="13"/>
      <c r="B65" s="13"/>
      <c r="C65" s="13"/>
      <c r="D65" s="13"/>
      <c r="E65" s="63"/>
      <c r="F65" s="13"/>
      <c r="G65" s="13"/>
      <c r="H65" s="13"/>
      <c r="I65" s="13"/>
      <c r="J65" s="13"/>
      <c r="K65" s="101"/>
      <c r="L65" s="5"/>
      <c r="M65" s="116"/>
      <c r="N65" s="116"/>
      <c r="O65" s="116"/>
      <c r="P65" s="116"/>
      <c r="Q65" s="238"/>
      <c r="R65" s="5"/>
      <c r="S65" s="5"/>
      <c r="T65" s="5"/>
      <c r="U65" s="5"/>
      <c r="V65" s="5"/>
      <c r="W65" s="5"/>
      <c r="X65" s="5"/>
      <c r="Y65" s="5"/>
      <c r="Z65" s="168"/>
      <c r="AA65" s="116"/>
      <c r="AB65" s="116"/>
      <c r="AC65" s="116"/>
      <c r="AD65" s="116"/>
      <c r="AE65" s="116"/>
      <c r="AF65" s="116"/>
      <c r="AG65" s="116"/>
      <c r="AH65" s="116"/>
      <c r="AI65" s="116"/>
      <c r="AJ65" s="116"/>
      <c r="AK65" s="116"/>
      <c r="AL65" s="116"/>
      <c r="AM65" s="116"/>
      <c r="AN65" s="116"/>
      <c r="AO65" s="116"/>
      <c r="AP65" s="116"/>
      <c r="AQ65" s="116"/>
      <c r="AR65" s="116"/>
      <c r="AS65" s="116"/>
      <c r="AT65" s="116"/>
      <c r="AU65" s="116"/>
      <c r="AV65" s="116"/>
      <c r="AW65" s="116"/>
      <c r="AX65" s="116"/>
      <c r="AY65" s="116"/>
      <c r="AZ65" s="116"/>
      <c r="BA65" s="116"/>
      <c r="BB65" s="116"/>
      <c r="BC65" s="116"/>
      <c r="BD65" s="116"/>
      <c r="BE65" s="116"/>
      <c r="BF65" s="116"/>
      <c r="BG65" s="116"/>
      <c r="BH65" s="116"/>
      <c r="BI65" s="116"/>
      <c r="BJ65" s="116"/>
      <c r="BK65" s="116"/>
      <c r="BL65" s="116"/>
      <c r="BM65" s="116"/>
      <c r="BN65" s="116"/>
      <c r="BO65" s="116"/>
      <c r="BP65" s="116"/>
      <c r="BQ65" s="116"/>
      <c r="BR65" s="116"/>
      <c r="BS65" s="116"/>
      <c r="BT65" s="116"/>
      <c r="BU65" s="116"/>
      <c r="BV65" s="116"/>
      <c r="BW65" s="116"/>
      <c r="BX65" s="6"/>
      <c r="BY65" s="6"/>
      <c r="BZ65" s="116"/>
      <c r="CA65" s="116"/>
      <c r="CB65" s="116"/>
      <c r="CC65" s="116"/>
    </row>
    <row r="66" spans="1:81" x14ac:dyDescent="0.2">
      <c r="A66" s="12"/>
      <c r="B66" s="13"/>
      <c r="C66" s="13"/>
      <c r="D66" s="13"/>
      <c r="E66" s="63"/>
      <c r="F66" s="13"/>
      <c r="G66" s="13"/>
      <c r="H66" s="13"/>
      <c r="I66" s="13"/>
      <c r="J66" s="13"/>
      <c r="K66" s="5"/>
      <c r="L66" s="5"/>
      <c r="M66" s="116"/>
      <c r="N66" s="116"/>
      <c r="O66" s="116"/>
      <c r="P66" s="116"/>
      <c r="Q66" s="238"/>
      <c r="R66" s="5"/>
      <c r="S66" s="5"/>
      <c r="T66" s="5"/>
      <c r="U66" s="5"/>
      <c r="V66" s="5"/>
      <c r="W66" s="5"/>
      <c r="X66" s="5"/>
      <c r="Y66" s="5"/>
      <c r="Z66" s="168"/>
      <c r="AA66" s="116"/>
      <c r="AB66" s="116"/>
      <c r="AC66" s="116"/>
      <c r="AD66" s="116"/>
      <c r="AE66" s="116"/>
      <c r="AF66" s="116"/>
      <c r="AG66" s="116"/>
      <c r="AH66" s="116"/>
      <c r="AI66" s="116"/>
      <c r="AJ66" s="116"/>
      <c r="AK66" s="116"/>
      <c r="AL66" s="116"/>
      <c r="AM66" s="116"/>
      <c r="AN66" s="116"/>
      <c r="AO66" s="116"/>
      <c r="AP66" s="116"/>
      <c r="AQ66" s="116"/>
      <c r="AR66" s="116"/>
      <c r="AS66" s="116"/>
      <c r="AT66" s="116"/>
      <c r="AU66" s="116"/>
      <c r="AV66" s="116"/>
      <c r="AW66" s="116"/>
      <c r="AX66" s="116"/>
      <c r="AY66" s="116"/>
      <c r="AZ66" s="116"/>
      <c r="BA66" s="116"/>
      <c r="BB66" s="116"/>
      <c r="BC66" s="116"/>
      <c r="BD66" s="116"/>
      <c r="BE66" s="116"/>
      <c r="BF66" s="116"/>
      <c r="BG66" s="116"/>
      <c r="BH66" s="116"/>
      <c r="BI66" s="116"/>
      <c r="BJ66" s="116"/>
      <c r="BK66" s="116"/>
      <c r="BL66" s="116"/>
      <c r="BM66" s="116"/>
      <c r="BN66" s="116"/>
      <c r="BO66" s="116"/>
      <c r="BP66" s="116"/>
      <c r="BQ66" s="116"/>
      <c r="BR66" s="116"/>
      <c r="BS66" s="116"/>
      <c r="BT66" s="116"/>
      <c r="BU66" s="116"/>
      <c r="BV66" s="116"/>
      <c r="BW66" s="116"/>
      <c r="BX66" s="6"/>
      <c r="BY66" s="6"/>
      <c r="BZ66" s="116"/>
      <c r="CA66" s="116"/>
      <c r="CB66" s="116"/>
      <c r="CC66" s="116"/>
    </row>
    <row r="67" spans="1:81" x14ac:dyDescent="0.2">
      <c r="A67" s="13"/>
      <c r="B67" s="13"/>
      <c r="C67" s="13"/>
      <c r="D67" s="13"/>
      <c r="E67" s="63"/>
      <c r="F67" s="13"/>
      <c r="G67" s="101"/>
      <c r="H67" s="101"/>
      <c r="I67" s="101"/>
      <c r="J67" s="101"/>
      <c r="K67" s="5"/>
      <c r="L67" s="5"/>
      <c r="M67" s="116"/>
      <c r="N67" s="116"/>
      <c r="O67" s="116"/>
      <c r="P67" s="116"/>
      <c r="Q67" s="238"/>
      <c r="R67" s="5"/>
      <c r="S67" s="5"/>
      <c r="T67" s="5"/>
      <c r="U67" s="5"/>
      <c r="V67" s="5"/>
      <c r="W67" s="5"/>
      <c r="X67" s="5"/>
      <c r="Y67" s="5"/>
      <c r="Z67" s="168"/>
      <c r="AA67" s="116"/>
      <c r="AB67" s="116"/>
      <c r="AC67" s="116"/>
      <c r="AD67" s="116"/>
      <c r="AE67" s="116"/>
      <c r="AF67" s="116"/>
      <c r="AG67" s="116"/>
      <c r="AH67" s="116"/>
      <c r="AI67" s="116"/>
      <c r="AJ67" s="116"/>
      <c r="AK67" s="116"/>
      <c r="AL67" s="116"/>
      <c r="AM67" s="116"/>
      <c r="AN67" s="116"/>
      <c r="AO67" s="116"/>
      <c r="AP67" s="116"/>
      <c r="AQ67" s="116"/>
      <c r="AR67" s="116"/>
      <c r="AS67" s="116"/>
      <c r="AT67" s="116"/>
      <c r="AU67" s="116"/>
      <c r="AV67" s="116"/>
      <c r="AW67" s="116"/>
      <c r="AX67" s="116"/>
      <c r="AY67" s="116"/>
      <c r="AZ67" s="116"/>
      <c r="BA67" s="116"/>
      <c r="BB67" s="116"/>
      <c r="BC67" s="116"/>
      <c r="BD67" s="116"/>
      <c r="BE67" s="116"/>
      <c r="BF67" s="116"/>
      <c r="BG67" s="116"/>
      <c r="BH67" s="116"/>
      <c r="BI67" s="116"/>
      <c r="BJ67" s="116"/>
      <c r="BK67" s="116"/>
      <c r="BL67" s="116"/>
      <c r="BM67" s="116"/>
      <c r="BN67" s="116"/>
      <c r="BO67" s="116"/>
      <c r="BP67" s="116"/>
      <c r="BQ67" s="116"/>
      <c r="BR67" s="116"/>
      <c r="BS67" s="116"/>
      <c r="BT67" s="116"/>
      <c r="BU67" s="116"/>
      <c r="BV67" s="116"/>
      <c r="BW67" s="116"/>
      <c r="BX67" s="6"/>
      <c r="BY67" s="6"/>
      <c r="BZ67" s="116"/>
      <c r="CA67" s="116"/>
      <c r="CB67" s="116"/>
      <c r="CC67" s="116"/>
    </row>
    <row r="68" spans="1:81" x14ac:dyDescent="0.2">
      <c r="A68" s="13"/>
      <c r="B68" s="13"/>
      <c r="C68" s="13"/>
      <c r="D68" s="13"/>
      <c r="E68" s="63"/>
      <c r="F68" s="13"/>
      <c r="G68" s="101"/>
      <c r="H68" s="101"/>
      <c r="I68" s="101"/>
      <c r="J68" s="101"/>
      <c r="K68" s="5"/>
      <c r="L68" s="5"/>
      <c r="M68" s="116"/>
      <c r="N68" s="116"/>
      <c r="O68" s="116"/>
      <c r="P68" s="116"/>
      <c r="Q68" s="238"/>
      <c r="R68" s="5"/>
      <c r="S68" s="5"/>
      <c r="T68" s="5"/>
      <c r="U68" s="5"/>
      <c r="V68" s="5"/>
      <c r="W68" s="5"/>
      <c r="X68" s="5"/>
      <c r="Y68" s="5"/>
      <c r="Z68" s="168"/>
      <c r="AA68" s="116"/>
      <c r="AB68" s="116"/>
      <c r="AC68" s="116"/>
      <c r="AD68" s="116"/>
      <c r="AE68" s="116"/>
      <c r="AF68" s="116"/>
      <c r="AG68" s="116"/>
      <c r="AH68" s="116"/>
      <c r="AI68" s="116"/>
      <c r="AJ68" s="116"/>
      <c r="AK68" s="116"/>
      <c r="AL68" s="116"/>
      <c r="AM68" s="116"/>
      <c r="AN68" s="116"/>
      <c r="AO68" s="116"/>
      <c r="AP68" s="116"/>
      <c r="AQ68" s="116"/>
      <c r="AR68" s="116"/>
      <c r="AS68" s="116"/>
      <c r="AT68" s="116"/>
      <c r="AU68" s="116"/>
      <c r="AV68" s="116"/>
      <c r="AW68" s="116"/>
      <c r="AX68" s="116"/>
      <c r="AY68" s="116"/>
      <c r="AZ68" s="116"/>
      <c r="BA68" s="116"/>
      <c r="BB68" s="116"/>
      <c r="BC68" s="116"/>
      <c r="BD68" s="116"/>
      <c r="BE68" s="116"/>
      <c r="BF68" s="116"/>
      <c r="BG68" s="116"/>
      <c r="BH68" s="116"/>
      <c r="BI68" s="116"/>
      <c r="BJ68" s="116"/>
      <c r="BK68" s="116"/>
      <c r="BL68" s="116"/>
      <c r="BM68" s="116"/>
      <c r="BN68" s="116"/>
      <c r="BO68" s="116"/>
      <c r="BP68" s="116"/>
      <c r="BQ68" s="116"/>
      <c r="BR68" s="116"/>
      <c r="BS68" s="116"/>
      <c r="BT68" s="116"/>
      <c r="BU68" s="116"/>
      <c r="BV68" s="116"/>
      <c r="BW68" s="116"/>
      <c r="BX68" s="6"/>
      <c r="BY68" s="6"/>
      <c r="BZ68" s="116"/>
      <c r="CA68" s="116"/>
      <c r="CB68" s="116"/>
      <c r="CC68" s="116"/>
    </row>
    <row r="69" spans="1:81" x14ac:dyDescent="0.2">
      <c r="A69" s="13"/>
      <c r="B69" s="101"/>
      <c r="C69" s="101"/>
      <c r="D69" s="101"/>
      <c r="E69" s="101"/>
      <c r="F69" s="101"/>
      <c r="G69" s="101"/>
      <c r="H69" s="13"/>
      <c r="I69" s="13"/>
      <c r="J69" s="13"/>
      <c r="K69" s="5"/>
      <c r="L69" s="5"/>
      <c r="M69" s="116"/>
      <c r="N69" s="116"/>
      <c r="O69" s="116"/>
      <c r="P69" s="116"/>
      <c r="Q69" s="238"/>
      <c r="R69" s="5"/>
      <c r="S69" s="5"/>
      <c r="T69" s="5"/>
      <c r="U69" s="5"/>
      <c r="V69" s="5"/>
      <c r="W69" s="5"/>
      <c r="X69" s="5"/>
      <c r="Y69" s="5"/>
      <c r="Z69" s="168"/>
      <c r="AA69" s="116"/>
      <c r="AB69" s="116"/>
      <c r="AC69" s="116"/>
      <c r="AD69" s="116"/>
      <c r="AE69" s="116"/>
      <c r="AF69" s="116"/>
      <c r="AG69" s="116"/>
      <c r="AH69" s="116"/>
      <c r="AI69" s="116"/>
      <c r="AJ69" s="116"/>
      <c r="AK69" s="116"/>
      <c r="AL69" s="116"/>
      <c r="AM69" s="116"/>
      <c r="AN69" s="116"/>
      <c r="AO69" s="116"/>
      <c r="AP69" s="116"/>
      <c r="AQ69" s="116"/>
      <c r="AR69" s="116"/>
      <c r="AS69" s="116"/>
      <c r="AT69" s="116"/>
      <c r="AU69" s="116"/>
      <c r="AV69" s="116"/>
      <c r="AW69" s="116"/>
      <c r="AX69" s="116"/>
      <c r="AY69" s="116"/>
      <c r="AZ69" s="116"/>
      <c r="BA69" s="116"/>
      <c r="BB69" s="116"/>
      <c r="BC69" s="116"/>
      <c r="BD69" s="116"/>
      <c r="BE69" s="116"/>
      <c r="BF69" s="116"/>
      <c r="BG69" s="116"/>
      <c r="BH69" s="116"/>
      <c r="BI69" s="116"/>
      <c r="BJ69" s="116"/>
      <c r="BK69" s="116"/>
      <c r="BL69" s="116"/>
      <c r="BM69" s="116"/>
      <c r="BN69" s="116"/>
      <c r="BO69" s="116"/>
      <c r="BP69" s="116"/>
      <c r="BQ69" s="116"/>
      <c r="BR69" s="116"/>
      <c r="BS69" s="116"/>
      <c r="BT69" s="116"/>
      <c r="BU69" s="116"/>
      <c r="BV69" s="116"/>
      <c r="BW69" s="116"/>
      <c r="BX69" s="6"/>
      <c r="BY69" s="6"/>
      <c r="BZ69" s="116"/>
      <c r="CA69" s="116"/>
      <c r="CB69" s="116"/>
      <c r="CC69" s="116"/>
    </row>
    <row r="70" spans="1:81" x14ac:dyDescent="0.2">
      <c r="A70" s="12"/>
      <c r="B70" s="101"/>
      <c r="C70" s="101"/>
      <c r="D70" s="101"/>
      <c r="E70" s="101"/>
      <c r="F70" s="101"/>
      <c r="G70" s="101"/>
      <c r="H70" s="13"/>
      <c r="I70" s="13"/>
      <c r="J70" s="13"/>
      <c r="K70" s="5"/>
      <c r="L70" s="5"/>
      <c r="M70" s="116"/>
      <c r="N70" s="116"/>
      <c r="O70" s="116"/>
      <c r="P70" s="116"/>
      <c r="Q70" s="238"/>
      <c r="R70" s="5"/>
      <c r="S70" s="5"/>
      <c r="T70" s="5"/>
      <c r="U70" s="5"/>
      <c r="V70" s="5"/>
      <c r="W70" s="5"/>
      <c r="X70" s="5"/>
      <c r="Y70" s="5"/>
      <c r="Z70" s="168"/>
      <c r="AA70" s="116"/>
      <c r="AB70" s="116"/>
      <c r="AC70" s="116"/>
      <c r="AD70" s="116"/>
      <c r="AE70" s="116"/>
      <c r="AF70" s="116"/>
      <c r="AG70" s="116"/>
      <c r="AH70" s="116"/>
      <c r="AI70" s="116"/>
      <c r="AJ70" s="116"/>
      <c r="AK70" s="116"/>
      <c r="AL70" s="116"/>
      <c r="AM70" s="116"/>
      <c r="AN70" s="116"/>
      <c r="AO70" s="116"/>
      <c r="AP70" s="116"/>
      <c r="AQ70" s="116"/>
      <c r="AR70" s="116"/>
      <c r="AS70" s="116"/>
      <c r="AT70" s="116"/>
      <c r="AU70" s="116"/>
      <c r="AV70" s="116"/>
      <c r="AW70" s="116"/>
      <c r="AX70" s="116"/>
      <c r="AY70" s="116"/>
      <c r="AZ70" s="116"/>
      <c r="BA70" s="116"/>
      <c r="BB70" s="116"/>
      <c r="BC70" s="116"/>
      <c r="BD70" s="116"/>
      <c r="BE70" s="116"/>
      <c r="BF70" s="116"/>
      <c r="BG70" s="116"/>
      <c r="BH70" s="116"/>
      <c r="BI70" s="116"/>
      <c r="BJ70" s="116"/>
      <c r="BK70" s="116"/>
      <c r="BL70" s="116"/>
      <c r="BM70" s="116"/>
      <c r="BN70" s="116"/>
      <c r="BO70" s="116"/>
      <c r="BP70" s="116"/>
      <c r="BQ70" s="116"/>
      <c r="BR70" s="116"/>
      <c r="BS70" s="116"/>
      <c r="BT70" s="116"/>
      <c r="BU70" s="116"/>
      <c r="BV70" s="116"/>
      <c r="BW70" s="116"/>
      <c r="BX70" s="6"/>
      <c r="BY70" s="6"/>
      <c r="BZ70" s="116"/>
      <c r="CA70" s="116"/>
      <c r="CB70" s="116"/>
      <c r="CC70" s="116"/>
    </row>
    <row r="71" spans="1:81" x14ac:dyDescent="0.2">
      <c r="A71" s="13"/>
      <c r="B71" s="13"/>
      <c r="C71" s="13"/>
      <c r="D71" s="13"/>
      <c r="E71" s="63"/>
      <c r="F71" s="13"/>
      <c r="G71" s="13"/>
      <c r="H71" s="13"/>
      <c r="I71" s="13"/>
      <c r="J71" s="13"/>
      <c r="K71" s="5"/>
      <c r="L71" s="5"/>
      <c r="M71" s="116"/>
      <c r="N71" s="116"/>
      <c r="O71" s="116"/>
      <c r="P71" s="116"/>
      <c r="Q71" s="238"/>
      <c r="R71" s="5"/>
      <c r="S71" s="5"/>
      <c r="T71" s="5"/>
      <c r="U71" s="5"/>
      <c r="V71" s="5"/>
      <c r="W71" s="5"/>
      <c r="X71" s="5"/>
      <c r="Y71" s="5"/>
      <c r="Z71" s="168"/>
      <c r="AA71" s="116"/>
      <c r="AB71" s="116"/>
      <c r="AC71" s="116"/>
      <c r="AD71" s="116"/>
      <c r="AE71" s="116"/>
      <c r="AF71" s="116"/>
      <c r="AG71" s="116"/>
      <c r="AH71" s="116"/>
      <c r="AI71" s="116"/>
      <c r="AJ71" s="116"/>
      <c r="AK71" s="116"/>
      <c r="AL71" s="116"/>
      <c r="AM71" s="116"/>
      <c r="AN71" s="116"/>
      <c r="AO71" s="116"/>
      <c r="AP71" s="116"/>
      <c r="AQ71" s="116"/>
      <c r="AR71" s="116"/>
      <c r="AS71" s="116"/>
      <c r="AT71" s="116"/>
      <c r="AU71" s="116"/>
      <c r="AV71" s="116"/>
      <c r="AW71" s="116"/>
      <c r="AX71" s="116"/>
      <c r="AY71" s="116"/>
      <c r="AZ71" s="116"/>
      <c r="BA71" s="116"/>
      <c r="BB71" s="116"/>
      <c r="BC71" s="116"/>
      <c r="BD71" s="116"/>
      <c r="BE71" s="116"/>
      <c r="BF71" s="116"/>
      <c r="BG71" s="116"/>
      <c r="BH71" s="116"/>
      <c r="BI71" s="116"/>
      <c r="BJ71" s="116"/>
      <c r="BK71" s="116"/>
      <c r="BL71" s="116"/>
      <c r="BM71" s="116"/>
      <c r="BN71" s="116"/>
      <c r="BO71" s="116"/>
      <c r="BP71" s="116"/>
      <c r="BQ71" s="116"/>
      <c r="BR71" s="116"/>
      <c r="BS71" s="116"/>
      <c r="BT71" s="116"/>
      <c r="BU71" s="116"/>
      <c r="BV71" s="116"/>
      <c r="BW71" s="116"/>
      <c r="BX71" s="6"/>
      <c r="BY71" s="6"/>
      <c r="BZ71" s="116"/>
      <c r="CA71" s="116"/>
      <c r="CB71" s="116"/>
      <c r="CC71" s="116"/>
    </row>
    <row r="72" spans="1:81" x14ac:dyDescent="0.2">
      <c r="A72" s="13"/>
      <c r="B72" s="13"/>
      <c r="C72" s="13"/>
      <c r="D72" s="13"/>
      <c r="E72" s="63"/>
      <c r="F72" s="13"/>
      <c r="G72" s="13"/>
      <c r="H72" s="13"/>
      <c r="I72" s="13"/>
      <c r="J72" s="13"/>
      <c r="K72" s="5"/>
      <c r="L72" s="5"/>
      <c r="M72" s="116"/>
      <c r="N72" s="116"/>
      <c r="O72" s="116"/>
      <c r="P72" s="116"/>
      <c r="Q72" s="238"/>
      <c r="R72" s="5"/>
      <c r="S72" s="5"/>
      <c r="T72" s="5"/>
      <c r="U72" s="5"/>
      <c r="V72" s="5"/>
      <c r="W72" s="5"/>
      <c r="X72" s="5"/>
      <c r="Y72" s="5"/>
      <c r="Z72" s="168"/>
      <c r="AA72" s="116"/>
      <c r="AB72" s="116"/>
      <c r="AC72" s="116"/>
      <c r="AD72" s="116"/>
      <c r="AE72" s="116"/>
      <c r="AF72" s="116"/>
      <c r="AG72" s="116"/>
      <c r="AH72" s="116"/>
      <c r="AI72" s="116"/>
      <c r="AJ72" s="116"/>
      <c r="AK72" s="116"/>
      <c r="AL72" s="116"/>
      <c r="AM72" s="116"/>
      <c r="AN72" s="116"/>
      <c r="AO72" s="116"/>
      <c r="AP72" s="116"/>
      <c r="AQ72" s="116"/>
      <c r="AR72" s="116"/>
      <c r="AS72" s="116"/>
      <c r="AT72" s="116"/>
      <c r="AU72" s="116"/>
      <c r="AV72" s="116"/>
      <c r="AW72" s="116"/>
      <c r="AX72" s="116"/>
      <c r="AY72" s="116"/>
      <c r="AZ72" s="116"/>
      <c r="BA72" s="116"/>
      <c r="BB72" s="116"/>
      <c r="BC72" s="116"/>
      <c r="BD72" s="116"/>
      <c r="BE72" s="116"/>
      <c r="BF72" s="116"/>
      <c r="BG72" s="116"/>
      <c r="BH72" s="116"/>
      <c r="BI72" s="116"/>
      <c r="BJ72" s="116"/>
      <c r="BK72" s="116"/>
      <c r="BL72" s="116"/>
      <c r="BM72" s="116"/>
      <c r="BN72" s="116"/>
      <c r="BO72" s="116"/>
      <c r="BP72" s="116"/>
      <c r="BQ72" s="116"/>
      <c r="BR72" s="116"/>
      <c r="BS72" s="116"/>
      <c r="BT72" s="116"/>
      <c r="BU72" s="116"/>
      <c r="BV72" s="116"/>
      <c r="BW72" s="116"/>
      <c r="BX72" s="6"/>
      <c r="BY72" s="6"/>
      <c r="BZ72" s="116"/>
      <c r="CA72" s="116"/>
      <c r="CB72" s="116"/>
      <c r="CC72" s="116"/>
    </row>
    <row r="73" spans="1:81" x14ac:dyDescent="0.2">
      <c r="A73" s="13"/>
      <c r="B73" s="13"/>
      <c r="C73" s="13"/>
      <c r="D73" s="13"/>
      <c r="E73" s="63"/>
      <c r="F73" s="13"/>
      <c r="G73" s="13"/>
      <c r="H73" s="5"/>
      <c r="I73" s="5"/>
      <c r="J73" s="5"/>
      <c r="K73" s="5"/>
      <c r="L73" s="5"/>
      <c r="M73" s="116"/>
      <c r="N73" s="116"/>
      <c r="O73" s="116"/>
      <c r="P73" s="116"/>
      <c r="Q73" s="238"/>
      <c r="R73" s="5"/>
      <c r="S73" s="5"/>
      <c r="T73" s="5"/>
      <c r="U73" s="5"/>
      <c r="V73" s="5"/>
      <c r="W73" s="5"/>
      <c r="X73" s="5"/>
      <c r="Y73" s="5"/>
      <c r="Z73" s="168"/>
      <c r="AA73" s="116"/>
      <c r="AB73" s="116"/>
      <c r="AC73" s="116"/>
      <c r="AD73" s="116"/>
      <c r="AE73" s="116"/>
      <c r="AF73" s="116"/>
      <c r="AG73" s="116"/>
      <c r="AH73" s="116"/>
      <c r="AI73" s="116"/>
      <c r="AJ73" s="116"/>
      <c r="AK73" s="116"/>
      <c r="AL73" s="116"/>
      <c r="AM73" s="116"/>
      <c r="AN73" s="116"/>
      <c r="AO73" s="116"/>
      <c r="AP73" s="116"/>
      <c r="AQ73" s="116"/>
      <c r="AR73" s="116"/>
      <c r="AS73" s="116"/>
      <c r="AT73" s="116"/>
      <c r="AU73" s="116"/>
      <c r="AV73" s="116"/>
      <c r="AW73" s="116"/>
      <c r="AX73" s="116"/>
      <c r="AY73" s="116"/>
      <c r="AZ73" s="116"/>
      <c r="BA73" s="116"/>
      <c r="BB73" s="116"/>
      <c r="BC73" s="116"/>
      <c r="BD73" s="116"/>
      <c r="BE73" s="116"/>
      <c r="BF73" s="116"/>
      <c r="BG73" s="116"/>
      <c r="BH73" s="116"/>
      <c r="BI73" s="116"/>
      <c r="BJ73" s="116"/>
      <c r="BK73" s="116"/>
      <c r="BL73" s="116"/>
      <c r="BM73" s="116"/>
      <c r="BN73" s="116"/>
      <c r="BO73" s="116"/>
      <c r="BP73" s="116"/>
      <c r="BQ73" s="116"/>
      <c r="BR73" s="116"/>
      <c r="BS73" s="116"/>
      <c r="BT73" s="116"/>
      <c r="BU73" s="116"/>
      <c r="BV73" s="116"/>
      <c r="BW73" s="116"/>
      <c r="BX73" s="6"/>
      <c r="BY73" s="6"/>
      <c r="BZ73" s="116"/>
      <c r="CA73" s="116"/>
      <c r="CB73" s="116"/>
      <c r="CC73" s="116"/>
    </row>
    <row r="74" spans="1:81" x14ac:dyDescent="0.2">
      <c r="A74" s="13"/>
      <c r="B74" s="13"/>
      <c r="C74" s="13"/>
      <c r="D74" s="13"/>
      <c r="E74" s="63"/>
      <c r="F74" s="13"/>
      <c r="G74" s="13"/>
      <c r="H74" s="13"/>
      <c r="I74" s="13"/>
      <c r="J74" s="13"/>
      <c r="K74" s="5"/>
      <c r="L74" s="5"/>
      <c r="M74" s="116"/>
      <c r="N74" s="116"/>
      <c r="O74" s="116"/>
      <c r="P74" s="116"/>
      <c r="Q74" s="238"/>
      <c r="R74" s="5"/>
      <c r="S74" s="5"/>
      <c r="T74" s="5"/>
      <c r="U74" s="5"/>
      <c r="V74" s="5"/>
      <c r="W74" s="5"/>
      <c r="X74" s="5"/>
      <c r="Y74" s="5"/>
      <c r="Z74" s="168"/>
      <c r="AA74" s="116"/>
      <c r="AB74" s="116"/>
      <c r="AC74" s="116"/>
      <c r="AD74" s="116"/>
      <c r="AE74" s="116"/>
      <c r="AF74" s="116"/>
      <c r="AG74" s="116"/>
      <c r="AH74" s="116"/>
      <c r="AI74" s="116"/>
      <c r="AJ74" s="116"/>
      <c r="AK74" s="116"/>
      <c r="AL74" s="116"/>
      <c r="AM74" s="116"/>
      <c r="AN74" s="116"/>
      <c r="AO74" s="116"/>
      <c r="AP74" s="116"/>
      <c r="AQ74" s="116"/>
      <c r="AR74" s="116"/>
      <c r="AS74" s="116"/>
      <c r="AT74" s="116"/>
      <c r="AU74" s="116"/>
      <c r="AV74" s="116"/>
      <c r="AW74" s="116"/>
      <c r="AX74" s="116"/>
      <c r="AY74" s="116"/>
      <c r="AZ74" s="116"/>
      <c r="BA74" s="116"/>
      <c r="BB74" s="116"/>
      <c r="BC74" s="116"/>
      <c r="BD74" s="116"/>
      <c r="BE74" s="116"/>
      <c r="BF74" s="116"/>
      <c r="BG74" s="116"/>
      <c r="BH74" s="116"/>
      <c r="BI74" s="116"/>
      <c r="BJ74" s="116"/>
      <c r="BK74" s="116"/>
      <c r="BL74" s="116"/>
      <c r="BM74" s="116"/>
      <c r="BN74" s="116"/>
      <c r="BO74" s="116"/>
      <c r="BP74" s="116"/>
      <c r="BQ74" s="116"/>
      <c r="BR74" s="116"/>
      <c r="BS74" s="116"/>
      <c r="BT74" s="116"/>
      <c r="BU74" s="116"/>
      <c r="BV74" s="116"/>
      <c r="BW74" s="116"/>
      <c r="BX74" s="6"/>
      <c r="BY74" s="6"/>
      <c r="BZ74" s="116"/>
      <c r="CA74" s="116"/>
      <c r="CB74" s="116"/>
      <c r="CC74" s="116"/>
    </row>
    <row r="75" spans="1:81" x14ac:dyDescent="0.2">
      <c r="A75" s="5"/>
      <c r="B75" s="5"/>
      <c r="C75" s="5"/>
      <c r="D75" s="5"/>
      <c r="E75" s="5"/>
      <c r="F75" s="5"/>
      <c r="G75" s="5"/>
      <c r="H75" s="13"/>
      <c r="I75" s="13"/>
      <c r="J75" s="13"/>
      <c r="K75" s="5"/>
      <c r="L75" s="5"/>
      <c r="M75" s="116"/>
      <c r="N75" s="116"/>
      <c r="O75" s="116"/>
      <c r="P75" s="116"/>
      <c r="Q75" s="238"/>
      <c r="R75" s="5"/>
      <c r="S75" s="5"/>
      <c r="T75" s="5"/>
      <c r="U75" s="5"/>
      <c r="V75" s="5"/>
      <c r="W75" s="5"/>
      <c r="X75" s="5"/>
      <c r="Y75" s="5"/>
      <c r="Z75" s="168"/>
      <c r="AA75" s="116"/>
      <c r="AB75" s="116"/>
      <c r="AC75" s="116"/>
      <c r="AD75" s="116"/>
      <c r="AE75" s="116"/>
      <c r="AF75" s="116"/>
      <c r="AG75" s="116"/>
      <c r="AH75" s="116"/>
      <c r="AI75" s="116"/>
      <c r="AJ75" s="116"/>
      <c r="AK75" s="116"/>
      <c r="AL75" s="116"/>
      <c r="AM75" s="116"/>
      <c r="AN75" s="116"/>
      <c r="AO75" s="116"/>
      <c r="AP75" s="116"/>
      <c r="AQ75" s="116"/>
      <c r="AR75" s="116"/>
      <c r="AS75" s="116"/>
      <c r="AT75" s="116"/>
      <c r="AU75" s="116"/>
      <c r="AV75" s="116"/>
      <c r="AW75" s="116"/>
      <c r="AX75" s="116"/>
      <c r="AY75" s="116"/>
      <c r="AZ75" s="116"/>
      <c r="BA75" s="116"/>
      <c r="BB75" s="116"/>
      <c r="BC75" s="116"/>
      <c r="BD75" s="116"/>
      <c r="BE75" s="116"/>
      <c r="BF75" s="116"/>
      <c r="BG75" s="116"/>
      <c r="BH75" s="116"/>
      <c r="BI75" s="116"/>
      <c r="BJ75" s="116"/>
      <c r="BK75" s="116"/>
      <c r="BL75" s="116"/>
      <c r="BM75" s="116"/>
      <c r="BN75" s="116"/>
      <c r="BO75" s="116"/>
      <c r="BP75" s="116"/>
      <c r="BQ75" s="116"/>
      <c r="BR75" s="116"/>
      <c r="BS75" s="116"/>
      <c r="BT75" s="116"/>
      <c r="BU75" s="116"/>
      <c r="BV75" s="116"/>
      <c r="BW75" s="116"/>
      <c r="BX75" s="6"/>
      <c r="BY75" s="6"/>
      <c r="BZ75" s="116"/>
      <c r="CA75" s="116"/>
      <c r="CB75" s="116"/>
      <c r="CC75" s="116"/>
    </row>
    <row r="76" spans="1:81" x14ac:dyDescent="0.2">
      <c r="A76" s="13"/>
      <c r="B76" s="13"/>
      <c r="C76" s="13"/>
      <c r="D76" s="13"/>
      <c r="E76" s="63"/>
      <c r="F76" s="13"/>
      <c r="G76" s="13"/>
      <c r="H76" s="13"/>
      <c r="I76" s="13"/>
      <c r="J76" s="13"/>
      <c r="K76" s="5"/>
      <c r="L76" s="5"/>
      <c r="M76" s="116"/>
      <c r="N76" s="116"/>
      <c r="O76" s="116"/>
      <c r="P76" s="116"/>
      <c r="Q76" s="238"/>
      <c r="R76" s="5"/>
      <c r="S76" s="5"/>
      <c r="T76" s="5"/>
      <c r="U76" s="5"/>
      <c r="V76" s="5"/>
      <c r="W76" s="5"/>
      <c r="X76" s="5"/>
      <c r="Y76" s="5"/>
      <c r="Z76" s="168"/>
      <c r="AA76" s="116"/>
      <c r="AB76" s="116"/>
      <c r="AC76" s="116"/>
      <c r="AD76" s="116"/>
      <c r="AE76" s="116"/>
      <c r="AF76" s="116"/>
      <c r="AG76" s="116"/>
      <c r="AH76" s="116"/>
      <c r="AI76" s="116"/>
      <c r="AJ76" s="116"/>
      <c r="AK76" s="116"/>
      <c r="AL76" s="116"/>
      <c r="AM76" s="116"/>
      <c r="AN76" s="116"/>
      <c r="AO76" s="116"/>
      <c r="AP76" s="116"/>
      <c r="AQ76" s="116"/>
      <c r="AR76" s="116"/>
      <c r="AS76" s="116"/>
      <c r="AT76" s="116"/>
      <c r="AU76" s="116"/>
      <c r="AV76" s="116"/>
      <c r="AW76" s="116"/>
      <c r="AX76" s="116"/>
      <c r="AY76" s="116"/>
      <c r="AZ76" s="116"/>
      <c r="BA76" s="116"/>
      <c r="BB76" s="116"/>
      <c r="BC76" s="116"/>
      <c r="BD76" s="116"/>
      <c r="BE76" s="116"/>
      <c r="BF76" s="116"/>
      <c r="BG76" s="116"/>
      <c r="BH76" s="116"/>
      <c r="BI76" s="116"/>
      <c r="BJ76" s="116"/>
      <c r="BK76" s="116"/>
      <c r="BL76" s="116"/>
      <c r="BM76" s="116"/>
      <c r="BN76" s="116"/>
      <c r="BO76" s="116"/>
      <c r="BP76" s="116"/>
      <c r="BQ76" s="116"/>
      <c r="BR76" s="116"/>
      <c r="BS76" s="116"/>
      <c r="BT76" s="116"/>
      <c r="BU76" s="116"/>
      <c r="BV76" s="116"/>
      <c r="BW76" s="116"/>
      <c r="BX76" s="6"/>
      <c r="BY76" s="6"/>
      <c r="BZ76" s="116"/>
      <c r="CA76" s="116"/>
      <c r="CB76" s="116"/>
      <c r="CC76" s="116"/>
    </row>
    <row r="77" spans="1:81" x14ac:dyDescent="0.2">
      <c r="A77" s="14"/>
      <c r="B77" s="13"/>
      <c r="C77" s="13"/>
      <c r="D77" s="13"/>
      <c r="E77" s="63"/>
      <c r="F77" s="13"/>
      <c r="G77" s="13"/>
      <c r="H77" s="5"/>
      <c r="I77" s="5"/>
      <c r="J77" s="5"/>
      <c r="K77" s="5"/>
      <c r="L77" s="5"/>
      <c r="M77" s="116"/>
      <c r="N77" s="116"/>
      <c r="O77" s="116"/>
      <c r="P77" s="116"/>
      <c r="Q77" s="238"/>
      <c r="R77" s="5"/>
      <c r="S77" s="5"/>
      <c r="T77" s="5"/>
      <c r="U77" s="5"/>
      <c r="V77" s="5"/>
      <c r="W77" s="5"/>
      <c r="X77" s="5"/>
      <c r="Y77" s="5"/>
      <c r="Z77" s="168"/>
      <c r="AA77" s="116"/>
      <c r="AB77" s="116"/>
      <c r="AC77" s="116"/>
      <c r="AD77" s="116"/>
      <c r="AE77" s="116"/>
      <c r="AF77" s="116"/>
      <c r="AG77" s="116"/>
      <c r="AH77" s="116"/>
      <c r="AI77" s="116"/>
      <c r="AJ77" s="116"/>
      <c r="AK77" s="116"/>
      <c r="AL77" s="116"/>
      <c r="AM77" s="116"/>
      <c r="AN77" s="116"/>
      <c r="AO77" s="116"/>
      <c r="AP77" s="116"/>
      <c r="AQ77" s="116"/>
      <c r="AR77" s="116"/>
      <c r="AS77" s="116"/>
      <c r="AT77" s="116"/>
      <c r="AU77" s="116"/>
      <c r="AV77" s="116"/>
      <c r="AW77" s="116"/>
      <c r="AX77" s="116"/>
      <c r="AY77" s="116"/>
      <c r="AZ77" s="116"/>
      <c r="BA77" s="116"/>
      <c r="BB77" s="116"/>
      <c r="BC77" s="116"/>
      <c r="BD77" s="116"/>
      <c r="BE77" s="116"/>
      <c r="BF77" s="116"/>
      <c r="BG77" s="116"/>
      <c r="BH77" s="116"/>
      <c r="BI77" s="116"/>
      <c r="BJ77" s="116"/>
      <c r="BK77" s="116"/>
      <c r="BL77" s="116"/>
      <c r="BM77" s="116"/>
      <c r="BN77" s="116"/>
      <c r="BO77" s="116"/>
      <c r="BP77" s="116"/>
      <c r="BQ77" s="116"/>
      <c r="BR77" s="116"/>
      <c r="BS77" s="116"/>
      <c r="BT77" s="116"/>
      <c r="BU77" s="116"/>
      <c r="BV77" s="116"/>
      <c r="BW77" s="116"/>
      <c r="BX77" s="6"/>
      <c r="BY77" s="6"/>
      <c r="BZ77" s="116"/>
      <c r="CA77" s="116"/>
      <c r="CB77" s="116"/>
      <c r="CC77" s="116"/>
    </row>
    <row r="78" spans="1:81" x14ac:dyDescent="0.2">
      <c r="A78" s="14"/>
      <c r="B78" s="13"/>
      <c r="C78" s="13"/>
      <c r="D78" s="13"/>
      <c r="E78" s="63"/>
      <c r="F78" s="13"/>
      <c r="G78" s="13"/>
      <c r="H78" s="5"/>
      <c r="I78" s="5"/>
      <c r="J78" s="5"/>
      <c r="K78" s="5"/>
      <c r="L78" s="5"/>
      <c r="M78" s="116"/>
      <c r="N78" s="116"/>
      <c r="O78" s="116"/>
      <c r="P78" s="116"/>
      <c r="Q78" s="238"/>
      <c r="R78" s="5"/>
      <c r="S78" s="5"/>
      <c r="T78" s="5"/>
      <c r="U78" s="5"/>
      <c r="V78" s="5"/>
      <c r="W78" s="5"/>
      <c r="X78" s="5"/>
      <c r="Y78" s="5"/>
      <c r="Z78" s="168"/>
      <c r="AA78" s="116"/>
      <c r="AB78" s="116"/>
      <c r="AC78" s="116"/>
      <c r="AD78" s="116"/>
      <c r="AE78" s="116"/>
      <c r="AF78" s="116"/>
      <c r="AG78" s="116"/>
      <c r="AH78" s="116"/>
      <c r="AI78" s="116"/>
      <c r="AJ78" s="116"/>
      <c r="AK78" s="116"/>
      <c r="AL78" s="116"/>
      <c r="AM78" s="116"/>
      <c r="AN78" s="116"/>
      <c r="AO78" s="116"/>
      <c r="AP78" s="116"/>
      <c r="AQ78" s="116"/>
      <c r="AR78" s="116"/>
      <c r="AS78" s="116"/>
      <c r="AT78" s="116"/>
      <c r="AU78" s="116"/>
      <c r="AV78" s="116"/>
      <c r="AW78" s="116"/>
      <c r="AX78" s="116"/>
      <c r="AY78" s="116"/>
      <c r="AZ78" s="116"/>
      <c r="BA78" s="116"/>
      <c r="BB78" s="116"/>
      <c r="BC78" s="116"/>
      <c r="BD78" s="116"/>
      <c r="BE78" s="116"/>
      <c r="BF78" s="116"/>
      <c r="BG78" s="116"/>
      <c r="BH78" s="116"/>
      <c r="BI78" s="116"/>
      <c r="BJ78" s="116"/>
      <c r="BK78" s="116"/>
      <c r="BL78" s="116"/>
      <c r="BM78" s="116"/>
      <c r="BN78" s="116"/>
      <c r="BO78" s="116"/>
      <c r="BP78" s="116"/>
      <c r="BQ78" s="116"/>
      <c r="BR78" s="116"/>
      <c r="BS78" s="116"/>
      <c r="BT78" s="116"/>
      <c r="BU78" s="116"/>
      <c r="BV78" s="116"/>
      <c r="BW78" s="116"/>
      <c r="BX78" s="6"/>
      <c r="BY78" s="6"/>
      <c r="BZ78" s="116"/>
      <c r="CA78" s="116"/>
      <c r="CB78" s="116"/>
      <c r="CC78" s="116"/>
    </row>
    <row r="79" spans="1:81" x14ac:dyDescent="0.2">
      <c r="A79" s="5"/>
      <c r="B79" s="5"/>
      <c r="C79" s="5"/>
      <c r="D79" s="5"/>
      <c r="E79" s="5"/>
      <c r="F79" s="5"/>
      <c r="G79" s="5"/>
      <c r="H79" s="5"/>
      <c r="I79" s="5"/>
      <c r="J79" s="5"/>
      <c r="K79" s="5"/>
      <c r="L79" s="5"/>
      <c r="M79" s="116"/>
      <c r="N79" s="116"/>
      <c r="O79" s="116"/>
      <c r="P79" s="116"/>
      <c r="Q79" s="238"/>
      <c r="R79" s="5"/>
      <c r="S79" s="5"/>
      <c r="T79" s="5"/>
      <c r="U79" s="5"/>
      <c r="V79" s="5"/>
      <c r="W79" s="5"/>
      <c r="X79" s="5"/>
      <c r="Y79" s="5"/>
      <c r="Z79" s="168"/>
      <c r="AA79" s="116"/>
      <c r="AB79" s="116"/>
      <c r="AC79" s="116"/>
      <c r="AD79" s="116"/>
      <c r="AE79" s="116"/>
      <c r="AF79" s="116"/>
      <c r="AG79" s="116"/>
      <c r="AH79" s="116"/>
      <c r="AI79" s="116"/>
      <c r="AJ79" s="116"/>
      <c r="AK79" s="116"/>
      <c r="AL79" s="116"/>
      <c r="AM79" s="116"/>
      <c r="AN79" s="116"/>
      <c r="AO79" s="116"/>
      <c r="AP79" s="116"/>
      <c r="AQ79" s="116"/>
      <c r="AR79" s="116"/>
      <c r="AS79" s="116"/>
      <c r="AT79" s="116"/>
      <c r="AU79" s="116"/>
      <c r="AV79" s="116"/>
      <c r="AW79" s="116"/>
      <c r="AX79" s="116"/>
      <c r="AY79" s="116"/>
      <c r="AZ79" s="116"/>
      <c r="BA79" s="116"/>
      <c r="BB79" s="116"/>
      <c r="BC79" s="116"/>
      <c r="BD79" s="116"/>
      <c r="BE79" s="116"/>
      <c r="BF79" s="116"/>
      <c r="BG79" s="116"/>
      <c r="BH79" s="116"/>
      <c r="BI79" s="116"/>
      <c r="BJ79" s="116"/>
      <c r="BK79" s="116"/>
      <c r="BL79" s="116"/>
      <c r="BM79" s="116"/>
      <c r="BN79" s="116"/>
      <c r="BO79" s="116"/>
      <c r="BP79" s="116"/>
      <c r="BQ79" s="116"/>
      <c r="BR79" s="116"/>
      <c r="BS79" s="116"/>
      <c r="BT79" s="116"/>
      <c r="BU79" s="116"/>
      <c r="BV79" s="116"/>
      <c r="BW79" s="116"/>
      <c r="BX79" s="6"/>
      <c r="BY79" s="6"/>
      <c r="BZ79" s="116"/>
      <c r="CA79" s="116"/>
      <c r="CB79" s="116"/>
      <c r="CC79" s="116"/>
    </row>
    <row r="80" spans="1:81" x14ac:dyDescent="0.2">
      <c r="A80" s="8"/>
      <c r="B80" s="5"/>
      <c r="C80" s="5"/>
      <c r="D80" s="5"/>
      <c r="E80" s="5"/>
      <c r="F80" s="5"/>
      <c r="G80" s="5"/>
      <c r="H80" s="5"/>
      <c r="I80" s="5"/>
      <c r="J80" s="5"/>
      <c r="K80" s="5"/>
      <c r="L80" s="5"/>
      <c r="M80" s="116"/>
      <c r="N80" s="116"/>
      <c r="O80" s="116"/>
      <c r="P80" s="116"/>
      <c r="Q80" s="238"/>
      <c r="R80" s="5"/>
      <c r="S80" s="5"/>
      <c r="T80" s="5"/>
      <c r="U80" s="5"/>
      <c r="V80" s="5"/>
      <c r="W80" s="5"/>
      <c r="X80" s="5"/>
      <c r="Y80" s="5"/>
      <c r="Z80" s="168"/>
      <c r="AA80" s="116"/>
      <c r="AB80" s="116"/>
      <c r="AC80" s="116"/>
      <c r="AD80" s="116"/>
      <c r="AE80" s="116"/>
      <c r="AF80" s="116"/>
      <c r="AG80" s="116"/>
      <c r="AH80" s="116"/>
      <c r="AI80" s="116"/>
      <c r="AJ80" s="116"/>
      <c r="AK80" s="116"/>
      <c r="AL80" s="116"/>
      <c r="AM80" s="116"/>
      <c r="AN80" s="116"/>
      <c r="AO80" s="116"/>
      <c r="AP80" s="116"/>
      <c r="AQ80" s="116"/>
      <c r="AR80" s="116"/>
      <c r="AS80" s="116"/>
      <c r="AT80" s="116"/>
      <c r="AU80" s="116"/>
      <c r="AV80" s="116"/>
      <c r="AW80" s="116"/>
      <c r="AX80" s="116"/>
      <c r="AY80" s="116"/>
      <c r="AZ80" s="116"/>
      <c r="BA80" s="116"/>
      <c r="BB80" s="116"/>
      <c r="BC80" s="116"/>
      <c r="BD80" s="116"/>
      <c r="BE80" s="116"/>
      <c r="BF80" s="116"/>
      <c r="BG80" s="116"/>
      <c r="BH80" s="116"/>
      <c r="BI80" s="116"/>
      <c r="BJ80" s="116"/>
      <c r="BK80" s="116"/>
      <c r="BL80" s="116"/>
      <c r="BM80" s="116"/>
      <c r="BN80" s="116"/>
      <c r="BO80" s="116"/>
      <c r="BP80" s="116"/>
      <c r="BQ80" s="116"/>
      <c r="BR80" s="116"/>
      <c r="BS80" s="116"/>
      <c r="BT80" s="116"/>
      <c r="BU80" s="116"/>
      <c r="BV80" s="116"/>
      <c r="BW80" s="116"/>
      <c r="BX80" s="6"/>
      <c r="BY80" s="6"/>
      <c r="BZ80" s="116"/>
      <c r="CA80" s="116"/>
      <c r="CB80" s="116"/>
      <c r="CC80" s="116"/>
    </row>
    <row r="81" spans="1:81" x14ac:dyDescent="0.2">
      <c r="A81" s="5"/>
      <c r="B81" s="5"/>
      <c r="C81" s="5"/>
      <c r="D81" s="5"/>
      <c r="E81" s="5"/>
      <c r="F81" s="5"/>
      <c r="G81" s="5"/>
      <c r="H81" s="5"/>
      <c r="I81" s="5"/>
      <c r="J81" s="5"/>
      <c r="K81" s="5"/>
      <c r="L81" s="5"/>
      <c r="M81" s="116"/>
      <c r="N81" s="116"/>
      <c r="O81" s="116"/>
      <c r="P81" s="116"/>
      <c r="Q81" s="238"/>
      <c r="R81" s="5"/>
      <c r="S81" s="5"/>
      <c r="T81" s="5"/>
      <c r="U81" s="5"/>
      <c r="V81" s="5"/>
      <c r="W81" s="5"/>
      <c r="X81" s="5"/>
      <c r="Y81" s="5"/>
      <c r="Z81" s="168"/>
      <c r="AA81" s="116"/>
      <c r="AB81" s="116"/>
      <c r="AC81" s="116"/>
      <c r="AD81" s="116"/>
      <c r="AE81" s="116"/>
      <c r="AF81" s="116"/>
      <c r="AG81" s="116"/>
      <c r="AH81" s="116"/>
      <c r="AI81" s="116"/>
      <c r="AJ81" s="116"/>
      <c r="AK81" s="116"/>
      <c r="AL81" s="116"/>
      <c r="AM81" s="116"/>
      <c r="AN81" s="116"/>
      <c r="AO81" s="116"/>
      <c r="AP81" s="116"/>
      <c r="AQ81" s="116"/>
      <c r="AR81" s="116"/>
      <c r="AS81" s="116"/>
      <c r="AT81" s="116"/>
      <c r="AU81" s="116"/>
      <c r="AV81" s="116"/>
      <c r="AW81" s="116"/>
      <c r="AX81" s="116"/>
      <c r="AY81" s="116"/>
      <c r="AZ81" s="116"/>
      <c r="BA81" s="116"/>
      <c r="BB81" s="116"/>
      <c r="BC81" s="116"/>
      <c r="BD81" s="116"/>
      <c r="BE81" s="116"/>
      <c r="BF81" s="116"/>
      <c r="BG81" s="116"/>
      <c r="BH81" s="116"/>
      <c r="BI81" s="116"/>
      <c r="BJ81" s="116"/>
      <c r="BK81" s="116"/>
      <c r="BL81" s="116"/>
      <c r="BM81" s="116"/>
      <c r="BN81" s="116"/>
      <c r="BO81" s="116"/>
      <c r="BP81" s="116"/>
      <c r="BQ81" s="116"/>
      <c r="BR81" s="116"/>
      <c r="BS81" s="116"/>
      <c r="BT81" s="116"/>
      <c r="BU81" s="116"/>
      <c r="BV81" s="116"/>
      <c r="BW81" s="116"/>
      <c r="BX81" s="6"/>
      <c r="BY81" s="6"/>
      <c r="BZ81" s="116"/>
      <c r="CA81" s="116"/>
      <c r="CB81" s="116"/>
      <c r="CC81" s="116"/>
    </row>
    <row r="82" spans="1:81" x14ac:dyDescent="0.2">
      <c r="A82" s="5"/>
      <c r="B82" s="5"/>
      <c r="C82" s="5"/>
      <c r="D82" s="5"/>
      <c r="E82" s="5"/>
      <c r="F82" s="5"/>
      <c r="G82" s="5"/>
      <c r="H82" s="5"/>
      <c r="I82" s="5"/>
      <c r="J82" s="5"/>
      <c r="K82" s="5"/>
      <c r="L82" s="5"/>
      <c r="M82" s="116"/>
      <c r="N82" s="116"/>
      <c r="O82" s="116"/>
      <c r="P82" s="116"/>
      <c r="Q82" s="238"/>
      <c r="R82" s="5"/>
      <c r="S82" s="5"/>
      <c r="T82" s="5"/>
      <c r="U82" s="5"/>
      <c r="V82" s="5"/>
      <c r="W82" s="5"/>
      <c r="X82" s="5"/>
      <c r="Y82" s="5"/>
      <c r="Z82" s="168"/>
      <c r="AA82" s="116"/>
      <c r="AB82" s="116"/>
      <c r="AC82" s="116"/>
      <c r="AD82" s="116"/>
      <c r="AE82" s="116"/>
      <c r="AF82" s="116"/>
      <c r="AG82" s="116"/>
      <c r="AH82" s="116"/>
      <c r="AI82" s="116"/>
      <c r="AJ82" s="116"/>
      <c r="AK82" s="116"/>
      <c r="AL82" s="116"/>
      <c r="AM82" s="116"/>
      <c r="AN82" s="116"/>
      <c r="AO82" s="116"/>
      <c r="AP82" s="116"/>
      <c r="AQ82" s="116"/>
      <c r="AR82" s="116"/>
      <c r="AS82" s="116"/>
      <c r="AT82" s="116"/>
      <c r="AU82" s="116"/>
      <c r="AV82" s="116"/>
      <c r="AW82" s="116"/>
      <c r="AX82" s="116"/>
      <c r="AY82" s="116"/>
      <c r="AZ82" s="116"/>
      <c r="BA82" s="116"/>
      <c r="BB82" s="116"/>
      <c r="BC82" s="116"/>
      <c r="BD82" s="116"/>
      <c r="BE82" s="116"/>
      <c r="BF82" s="116"/>
      <c r="BG82" s="116"/>
      <c r="BH82" s="116"/>
      <c r="BI82" s="116"/>
      <c r="BJ82" s="116"/>
      <c r="BK82" s="116"/>
      <c r="BL82" s="116"/>
      <c r="BM82" s="116"/>
      <c r="BN82" s="116"/>
      <c r="BO82" s="116"/>
      <c r="BP82" s="116"/>
      <c r="BQ82" s="116"/>
      <c r="BR82" s="116"/>
      <c r="BS82" s="116"/>
      <c r="BT82" s="116"/>
      <c r="BU82" s="116"/>
      <c r="BV82" s="116"/>
      <c r="BW82" s="116"/>
      <c r="BX82" s="6"/>
      <c r="BY82" s="6"/>
      <c r="BZ82" s="116"/>
      <c r="CA82" s="116"/>
      <c r="CB82" s="116"/>
      <c r="CC82" s="116"/>
    </row>
    <row r="83" spans="1:81" x14ac:dyDescent="0.2">
      <c r="A83" s="5"/>
      <c r="B83" s="5"/>
      <c r="C83" s="5"/>
      <c r="D83" s="5"/>
      <c r="E83" s="5"/>
      <c r="F83" s="5"/>
      <c r="G83" s="5"/>
      <c r="H83" s="5"/>
      <c r="I83" s="5"/>
      <c r="J83" s="5"/>
      <c r="K83" s="5"/>
      <c r="L83" s="5"/>
      <c r="M83" s="116"/>
      <c r="N83" s="116"/>
      <c r="O83" s="116"/>
      <c r="P83" s="116"/>
      <c r="Q83" s="238"/>
      <c r="R83" s="5"/>
      <c r="S83" s="5"/>
      <c r="T83" s="5"/>
      <c r="U83" s="5"/>
      <c r="V83" s="5"/>
      <c r="W83" s="5"/>
      <c r="X83" s="5"/>
      <c r="Y83" s="5"/>
      <c r="Z83" s="168"/>
      <c r="AA83" s="116"/>
      <c r="AB83" s="116"/>
      <c r="AC83" s="116"/>
      <c r="AD83" s="116"/>
      <c r="AE83" s="116"/>
      <c r="AF83" s="116"/>
      <c r="AG83" s="116"/>
      <c r="AH83" s="116"/>
      <c r="AI83" s="116"/>
      <c r="AJ83" s="116"/>
      <c r="AK83" s="116"/>
      <c r="AL83" s="116"/>
      <c r="AM83" s="116"/>
      <c r="AN83" s="116"/>
      <c r="AO83" s="116"/>
      <c r="AP83" s="116"/>
      <c r="AQ83" s="116"/>
      <c r="AR83" s="116"/>
      <c r="AS83" s="116"/>
      <c r="AT83" s="116"/>
      <c r="AU83" s="116"/>
      <c r="AV83" s="116"/>
      <c r="AW83" s="116"/>
      <c r="AX83" s="116"/>
      <c r="AY83" s="116"/>
      <c r="AZ83" s="116"/>
      <c r="BA83" s="116"/>
      <c r="BB83" s="116"/>
      <c r="BC83" s="116"/>
      <c r="BD83" s="116"/>
      <c r="BE83" s="116"/>
      <c r="BF83" s="116"/>
      <c r="BG83" s="116"/>
      <c r="BH83" s="116"/>
      <c r="BI83" s="116"/>
      <c r="BJ83" s="116"/>
      <c r="BK83" s="116"/>
      <c r="BL83" s="116"/>
      <c r="BM83" s="116"/>
      <c r="BN83" s="116"/>
      <c r="BO83" s="116"/>
      <c r="BP83" s="116"/>
      <c r="BQ83" s="116"/>
      <c r="BR83" s="116"/>
      <c r="BS83" s="116"/>
      <c r="BT83" s="116"/>
      <c r="BU83" s="116"/>
      <c r="BV83" s="116"/>
      <c r="BW83" s="116"/>
      <c r="BX83" s="6"/>
      <c r="BY83" s="6"/>
      <c r="BZ83" s="116"/>
      <c r="CA83" s="116"/>
      <c r="CB83" s="116"/>
      <c r="CC83" s="116"/>
    </row>
    <row r="84" spans="1:81" x14ac:dyDescent="0.2">
      <c r="A84" s="5"/>
      <c r="B84" s="5"/>
      <c r="C84" s="5"/>
      <c r="D84" s="5"/>
      <c r="E84" s="5"/>
      <c r="F84" s="5"/>
      <c r="G84" s="5"/>
      <c r="H84" s="5"/>
      <c r="I84" s="5"/>
      <c r="J84" s="5"/>
      <c r="K84" s="5"/>
      <c r="L84" s="5"/>
      <c r="M84" s="116"/>
      <c r="N84" s="116"/>
      <c r="O84" s="116"/>
      <c r="P84" s="116"/>
      <c r="Q84" s="238"/>
      <c r="R84" s="5"/>
      <c r="S84" s="5"/>
      <c r="T84" s="5"/>
      <c r="U84" s="5"/>
      <c r="V84" s="5"/>
      <c r="W84" s="5"/>
      <c r="X84" s="5"/>
      <c r="Y84" s="5"/>
      <c r="Z84" s="168"/>
      <c r="AA84" s="116"/>
      <c r="AB84" s="116"/>
      <c r="AC84" s="116"/>
      <c r="AD84" s="116"/>
      <c r="AE84" s="116"/>
      <c r="AF84" s="116"/>
      <c r="AG84" s="116"/>
      <c r="AH84" s="116"/>
      <c r="AI84" s="116"/>
      <c r="AJ84" s="116"/>
      <c r="AK84" s="116"/>
      <c r="AL84" s="116"/>
      <c r="AM84" s="116"/>
      <c r="AN84" s="116"/>
      <c r="AO84" s="116"/>
      <c r="AP84" s="116"/>
      <c r="AQ84" s="116"/>
      <c r="AR84" s="116"/>
      <c r="AS84" s="116"/>
      <c r="AT84" s="116"/>
      <c r="AU84" s="116"/>
      <c r="AV84" s="116"/>
      <c r="AW84" s="116"/>
      <c r="AX84" s="116"/>
      <c r="AY84" s="116"/>
      <c r="AZ84" s="116"/>
      <c r="BA84" s="116"/>
      <c r="BB84" s="116"/>
      <c r="BC84" s="116"/>
      <c r="BD84" s="116"/>
      <c r="BE84" s="116"/>
      <c r="BF84" s="116"/>
      <c r="BG84" s="116"/>
      <c r="BH84" s="116"/>
      <c r="BI84" s="116"/>
      <c r="BJ84" s="116"/>
      <c r="BK84" s="116"/>
      <c r="BL84" s="116"/>
      <c r="BM84" s="116"/>
      <c r="BN84" s="116"/>
      <c r="BO84" s="116"/>
      <c r="BP84" s="116"/>
      <c r="BQ84" s="116"/>
      <c r="BR84" s="116"/>
      <c r="BS84" s="116"/>
      <c r="BT84" s="116"/>
      <c r="BU84" s="116"/>
      <c r="BV84" s="116"/>
      <c r="BW84" s="116"/>
      <c r="BX84" s="6"/>
      <c r="BY84" s="6"/>
      <c r="BZ84" s="116"/>
      <c r="CA84" s="116"/>
      <c r="CB84" s="116"/>
      <c r="CC84" s="116"/>
    </row>
    <row r="85" spans="1:81" x14ac:dyDescent="0.2">
      <c r="A85" s="5"/>
      <c r="B85" s="5"/>
      <c r="C85" s="5"/>
      <c r="D85" s="5"/>
      <c r="E85" s="5"/>
      <c r="F85" s="5"/>
      <c r="G85" s="5"/>
      <c r="H85" s="5"/>
      <c r="I85" s="5"/>
      <c r="J85" s="5"/>
      <c r="K85" s="5"/>
      <c r="L85" s="5"/>
      <c r="M85" s="116"/>
      <c r="N85" s="116"/>
      <c r="O85" s="116"/>
      <c r="P85" s="116"/>
      <c r="Q85" s="238"/>
      <c r="R85" s="5"/>
      <c r="S85" s="5"/>
      <c r="T85" s="5"/>
      <c r="U85" s="5"/>
      <c r="V85" s="5"/>
      <c r="W85" s="5"/>
      <c r="X85" s="5"/>
      <c r="Y85" s="5"/>
      <c r="Z85" s="168"/>
      <c r="AA85" s="116"/>
      <c r="AB85" s="116"/>
      <c r="AC85" s="116"/>
      <c r="AD85" s="116"/>
      <c r="AE85" s="116"/>
      <c r="AF85" s="116"/>
      <c r="AG85" s="116"/>
      <c r="AH85" s="116"/>
      <c r="AI85" s="116"/>
      <c r="AJ85" s="116"/>
      <c r="AK85" s="116"/>
      <c r="AL85" s="116"/>
      <c r="AM85" s="116"/>
      <c r="AN85" s="116"/>
      <c r="AO85" s="116"/>
      <c r="AP85" s="116"/>
      <c r="AQ85" s="116"/>
      <c r="AR85" s="116"/>
      <c r="AS85" s="116"/>
      <c r="AT85" s="116"/>
      <c r="AU85" s="116"/>
      <c r="AV85" s="116"/>
      <c r="AW85" s="116"/>
      <c r="AX85" s="116"/>
      <c r="AY85" s="116"/>
      <c r="AZ85" s="116"/>
      <c r="BA85" s="116"/>
      <c r="BB85" s="116"/>
      <c r="BC85" s="116"/>
      <c r="BD85" s="116"/>
      <c r="BE85" s="116"/>
      <c r="BF85" s="116"/>
      <c r="BG85" s="116"/>
      <c r="BH85" s="116"/>
      <c r="BI85" s="116"/>
      <c r="BJ85" s="116"/>
      <c r="BK85" s="116"/>
      <c r="BL85" s="116"/>
      <c r="BM85" s="116"/>
      <c r="BN85" s="116"/>
      <c r="BO85" s="116"/>
      <c r="BP85" s="116"/>
      <c r="BQ85" s="116"/>
      <c r="BR85" s="116"/>
      <c r="BS85" s="116"/>
      <c r="BT85" s="116"/>
      <c r="BU85" s="116"/>
      <c r="BV85" s="116"/>
      <c r="BW85" s="116"/>
      <c r="BX85" s="6"/>
      <c r="BY85" s="6"/>
      <c r="BZ85" s="116"/>
      <c r="CA85" s="116"/>
      <c r="CB85" s="116"/>
      <c r="CC85" s="116"/>
    </row>
    <row r="86" spans="1:81" x14ac:dyDescent="0.2">
      <c r="A86" s="5"/>
      <c r="B86" s="5"/>
      <c r="C86" s="5"/>
      <c r="D86" s="5"/>
      <c r="E86" s="5"/>
      <c r="F86" s="5"/>
      <c r="G86" s="5"/>
      <c r="H86" s="5"/>
      <c r="I86" s="5"/>
      <c r="J86" s="5"/>
      <c r="K86" s="5"/>
      <c r="L86" s="5"/>
      <c r="M86" s="116"/>
      <c r="N86" s="116"/>
      <c r="O86" s="116"/>
      <c r="P86" s="116"/>
      <c r="Q86" s="238"/>
      <c r="R86" s="5"/>
      <c r="S86" s="5"/>
      <c r="T86" s="5"/>
      <c r="U86" s="5"/>
      <c r="V86" s="5"/>
      <c r="W86" s="5"/>
      <c r="X86" s="5"/>
      <c r="Y86" s="5"/>
      <c r="Z86" s="168"/>
      <c r="AA86" s="116"/>
      <c r="AB86" s="116"/>
      <c r="AC86" s="116"/>
      <c r="AD86" s="116"/>
      <c r="AE86" s="116"/>
      <c r="AF86" s="116"/>
      <c r="AG86" s="116"/>
      <c r="AH86" s="116"/>
      <c r="AI86" s="116"/>
      <c r="AJ86" s="116"/>
      <c r="AK86" s="116"/>
      <c r="AL86" s="116"/>
      <c r="AM86" s="116"/>
      <c r="AN86" s="116"/>
      <c r="AO86" s="116"/>
      <c r="AP86" s="116"/>
      <c r="AQ86" s="116"/>
      <c r="AR86" s="116"/>
      <c r="AS86" s="116"/>
      <c r="AT86" s="116"/>
      <c r="AU86" s="116"/>
      <c r="AV86" s="116"/>
      <c r="AW86" s="116"/>
      <c r="AX86" s="116"/>
      <c r="AY86" s="116"/>
      <c r="AZ86" s="116"/>
      <c r="BA86" s="116"/>
      <c r="BB86" s="116"/>
      <c r="BC86" s="116"/>
      <c r="BD86" s="116"/>
      <c r="BE86" s="116"/>
      <c r="BF86" s="116"/>
      <c r="BG86" s="116"/>
      <c r="BH86" s="116"/>
      <c r="BI86" s="116"/>
      <c r="BJ86" s="116"/>
      <c r="BK86" s="116"/>
      <c r="BL86" s="116"/>
      <c r="BM86" s="116"/>
      <c r="BN86" s="116"/>
      <c r="BO86" s="116"/>
      <c r="BP86" s="116"/>
      <c r="BQ86" s="116"/>
      <c r="BR86" s="116"/>
      <c r="BS86" s="116"/>
      <c r="BT86" s="116"/>
      <c r="BU86" s="116"/>
      <c r="BV86" s="116"/>
      <c r="BW86" s="116"/>
      <c r="BX86" s="6"/>
      <c r="BY86" s="6"/>
      <c r="BZ86" s="116"/>
      <c r="CA86" s="116"/>
      <c r="CB86" s="116"/>
      <c r="CC86" s="116"/>
    </row>
    <row r="87" spans="1:81" x14ac:dyDescent="0.2">
      <c r="A87" s="5"/>
      <c r="B87" s="5"/>
      <c r="C87" s="5"/>
      <c r="D87" s="5"/>
      <c r="E87" s="5"/>
      <c r="F87" s="5"/>
      <c r="G87" s="5"/>
      <c r="H87" s="5"/>
      <c r="I87" s="5"/>
      <c r="J87" s="5"/>
      <c r="K87" s="5"/>
      <c r="L87" s="5"/>
      <c r="M87" s="116"/>
      <c r="N87" s="116"/>
      <c r="O87" s="116"/>
      <c r="P87" s="116"/>
      <c r="Q87" s="238"/>
      <c r="R87" s="5"/>
      <c r="S87" s="5"/>
      <c r="T87" s="5"/>
      <c r="U87" s="5"/>
      <c r="V87" s="5"/>
      <c r="W87" s="5"/>
      <c r="X87" s="5"/>
      <c r="Y87" s="5"/>
      <c r="Z87" s="168"/>
      <c r="AA87" s="116"/>
      <c r="AB87" s="116"/>
      <c r="AC87" s="116"/>
      <c r="AD87" s="116"/>
      <c r="AE87" s="116"/>
      <c r="AF87" s="116"/>
      <c r="AG87" s="116"/>
      <c r="AH87" s="116"/>
      <c r="AI87" s="116"/>
      <c r="AJ87" s="116"/>
      <c r="AK87" s="116"/>
      <c r="AL87" s="116"/>
      <c r="AM87" s="116"/>
      <c r="AN87" s="116"/>
      <c r="AO87" s="116"/>
      <c r="AP87" s="116"/>
      <c r="AQ87" s="116"/>
      <c r="AR87" s="116"/>
      <c r="AS87" s="116"/>
      <c r="AT87" s="116"/>
      <c r="AU87" s="116"/>
      <c r="AV87" s="116"/>
      <c r="AW87" s="116"/>
      <c r="AX87" s="116"/>
      <c r="AY87" s="116"/>
      <c r="AZ87" s="116"/>
      <c r="BA87" s="116"/>
      <c r="BB87" s="116"/>
      <c r="BC87" s="116"/>
      <c r="BD87" s="116"/>
      <c r="BE87" s="116"/>
      <c r="BF87" s="116"/>
      <c r="BG87" s="116"/>
      <c r="BH87" s="116"/>
      <c r="BI87" s="116"/>
      <c r="BJ87" s="116"/>
      <c r="BK87" s="116"/>
      <c r="BL87" s="116"/>
      <c r="BM87" s="116"/>
      <c r="BN87" s="116"/>
      <c r="BO87" s="116"/>
      <c r="BP87" s="116"/>
      <c r="BQ87" s="116"/>
      <c r="BR87" s="116"/>
      <c r="BS87" s="116"/>
      <c r="BT87" s="116"/>
      <c r="BU87" s="116"/>
      <c r="BV87" s="116"/>
      <c r="BW87" s="116"/>
      <c r="BX87" s="6"/>
      <c r="BY87" s="6"/>
      <c r="BZ87" s="116"/>
      <c r="CA87" s="116"/>
      <c r="CB87" s="116"/>
      <c r="CC87" s="116"/>
    </row>
    <row r="88" spans="1:81" x14ac:dyDescent="0.2">
      <c r="A88" s="5"/>
      <c r="B88" s="5"/>
      <c r="C88" s="5"/>
      <c r="D88" s="5"/>
      <c r="E88" s="5"/>
      <c r="F88" s="5"/>
      <c r="G88" s="5"/>
      <c r="H88" s="5"/>
      <c r="I88" s="5"/>
      <c r="J88" s="5"/>
      <c r="K88" s="5"/>
      <c r="L88" s="5"/>
      <c r="M88" s="116"/>
      <c r="N88" s="116"/>
      <c r="O88" s="116"/>
      <c r="P88" s="116"/>
      <c r="Q88" s="238"/>
      <c r="R88" s="5"/>
      <c r="S88" s="5"/>
      <c r="T88" s="5"/>
      <c r="U88" s="5"/>
      <c r="V88" s="5"/>
      <c r="W88" s="5"/>
      <c r="X88" s="5"/>
      <c r="Y88" s="5"/>
      <c r="Z88" s="168"/>
      <c r="AA88" s="116"/>
      <c r="AB88" s="116"/>
      <c r="AC88" s="116"/>
      <c r="AD88" s="116"/>
      <c r="AE88" s="116"/>
      <c r="AF88" s="116"/>
      <c r="AG88" s="116"/>
      <c r="AH88" s="116"/>
      <c r="AI88" s="116"/>
      <c r="AJ88" s="116"/>
      <c r="AK88" s="116"/>
      <c r="AL88" s="116"/>
      <c r="AM88" s="116"/>
      <c r="AN88" s="116"/>
      <c r="AO88" s="116"/>
      <c r="AP88" s="116"/>
      <c r="AQ88" s="116"/>
      <c r="AR88" s="116"/>
      <c r="AS88" s="116"/>
      <c r="AT88" s="116"/>
      <c r="AU88" s="116"/>
      <c r="AV88" s="116"/>
      <c r="AW88" s="116"/>
      <c r="AX88" s="116"/>
      <c r="AY88" s="116"/>
      <c r="AZ88" s="116"/>
      <c r="BA88" s="116"/>
      <c r="BB88" s="116"/>
      <c r="BC88" s="116"/>
      <c r="BD88" s="116"/>
      <c r="BE88" s="116"/>
      <c r="BF88" s="116"/>
      <c r="BG88" s="116"/>
      <c r="BH88" s="116"/>
      <c r="BI88" s="116"/>
      <c r="BJ88" s="116"/>
      <c r="BK88" s="116"/>
      <c r="BL88" s="116"/>
      <c r="BM88" s="116"/>
      <c r="BN88" s="116"/>
      <c r="BO88" s="116"/>
      <c r="BP88" s="116"/>
      <c r="BQ88" s="116"/>
      <c r="BR88" s="116"/>
      <c r="BS88" s="116"/>
      <c r="BT88" s="116"/>
      <c r="BU88" s="116"/>
      <c r="BV88" s="116"/>
      <c r="BW88" s="116"/>
      <c r="BX88" s="6"/>
      <c r="BY88" s="6"/>
      <c r="BZ88" s="116"/>
      <c r="CA88" s="116"/>
      <c r="CB88" s="116"/>
      <c r="CC88" s="116"/>
    </row>
    <row r="89" spans="1:81" x14ac:dyDescent="0.2">
      <c r="A89" s="5"/>
      <c r="B89" s="5"/>
      <c r="C89" s="5"/>
      <c r="D89" s="5"/>
      <c r="E89" s="5"/>
      <c r="F89" s="5"/>
      <c r="G89" s="5"/>
      <c r="H89" s="5"/>
      <c r="I89" s="5"/>
      <c r="J89" s="5"/>
      <c r="K89" s="5"/>
      <c r="L89" s="5"/>
      <c r="M89" s="116"/>
      <c r="N89" s="116"/>
      <c r="O89" s="116"/>
      <c r="P89" s="116"/>
      <c r="Q89" s="238"/>
      <c r="R89" s="5"/>
      <c r="S89" s="5"/>
      <c r="T89" s="5"/>
      <c r="U89" s="5"/>
      <c r="V89" s="5"/>
      <c r="W89" s="5"/>
      <c r="X89" s="5"/>
      <c r="Y89" s="5"/>
      <c r="Z89" s="168"/>
      <c r="AA89" s="116"/>
      <c r="AB89" s="116"/>
      <c r="AC89" s="116"/>
      <c r="AD89" s="116"/>
      <c r="AE89" s="116"/>
      <c r="AF89" s="116"/>
      <c r="AG89" s="116"/>
      <c r="AH89" s="116"/>
      <c r="AI89" s="116"/>
      <c r="AJ89" s="116"/>
      <c r="AK89" s="116"/>
      <c r="AL89" s="116"/>
      <c r="AM89" s="116"/>
      <c r="AN89" s="116"/>
      <c r="AO89" s="116"/>
      <c r="AP89" s="116"/>
      <c r="AQ89" s="116"/>
      <c r="AR89" s="116"/>
      <c r="AS89" s="116"/>
      <c r="AT89" s="116"/>
      <c r="AU89" s="116"/>
      <c r="AV89" s="116"/>
      <c r="AW89" s="116"/>
      <c r="AX89" s="116"/>
      <c r="AY89" s="116"/>
      <c r="AZ89" s="116"/>
      <c r="BA89" s="116"/>
      <c r="BB89" s="116"/>
      <c r="BC89" s="116"/>
      <c r="BD89" s="116"/>
      <c r="BE89" s="116"/>
      <c r="BF89" s="116"/>
      <c r="BG89" s="116"/>
      <c r="BH89" s="116"/>
      <c r="BI89" s="116"/>
      <c r="BJ89" s="116"/>
      <c r="BK89" s="116"/>
      <c r="BL89" s="116"/>
      <c r="BM89" s="116"/>
      <c r="BN89" s="116"/>
      <c r="BO89" s="116"/>
      <c r="BP89" s="116"/>
      <c r="BQ89" s="116"/>
      <c r="BR89" s="116"/>
      <c r="BS89" s="116"/>
      <c r="BT89" s="116"/>
      <c r="BU89" s="116"/>
      <c r="BV89" s="116"/>
      <c r="BW89" s="116"/>
      <c r="BX89" s="6"/>
      <c r="BY89" s="6"/>
      <c r="BZ89" s="116"/>
      <c r="CA89" s="116"/>
      <c r="CB89" s="116"/>
      <c r="CC89" s="116"/>
    </row>
    <row r="90" spans="1:81" x14ac:dyDescent="0.2">
      <c r="A90" s="5"/>
      <c r="B90" s="5"/>
      <c r="C90" s="5"/>
      <c r="D90" s="5"/>
      <c r="E90" s="5"/>
      <c r="F90" s="5"/>
      <c r="G90" s="5"/>
      <c r="H90" s="5"/>
      <c r="I90" s="5"/>
      <c r="J90" s="5"/>
      <c r="K90" s="5"/>
      <c r="L90" s="5"/>
      <c r="M90" s="116"/>
      <c r="N90" s="116"/>
      <c r="O90" s="116"/>
      <c r="P90" s="116"/>
      <c r="Q90" s="238"/>
      <c r="R90" s="5"/>
      <c r="S90" s="5"/>
      <c r="T90" s="5"/>
      <c r="U90" s="5"/>
      <c r="V90" s="5"/>
      <c r="W90" s="5"/>
      <c r="X90" s="5"/>
      <c r="Y90" s="5"/>
      <c r="Z90" s="168"/>
      <c r="AA90" s="116"/>
      <c r="AB90" s="116"/>
      <c r="AC90" s="116"/>
      <c r="AD90" s="116"/>
      <c r="AE90" s="116"/>
      <c r="AF90" s="116"/>
      <c r="AG90" s="116"/>
      <c r="AH90" s="116"/>
      <c r="AI90" s="116"/>
      <c r="AJ90" s="116"/>
      <c r="AK90" s="116"/>
      <c r="AL90" s="116"/>
      <c r="AM90" s="116"/>
      <c r="AN90" s="116"/>
      <c r="AO90" s="116"/>
      <c r="AP90" s="116"/>
      <c r="AQ90" s="116"/>
      <c r="AR90" s="116"/>
      <c r="AS90" s="116"/>
      <c r="AT90" s="116"/>
      <c r="AU90" s="116"/>
      <c r="AV90" s="116"/>
      <c r="AW90" s="116"/>
      <c r="AX90" s="116"/>
      <c r="AY90" s="116"/>
      <c r="AZ90" s="116"/>
      <c r="BA90" s="116"/>
      <c r="BB90" s="116"/>
      <c r="BC90" s="116"/>
      <c r="BD90" s="116"/>
      <c r="BE90" s="116"/>
      <c r="BF90" s="116"/>
      <c r="BG90" s="116"/>
      <c r="BH90" s="116"/>
      <c r="BI90" s="116"/>
      <c r="BJ90" s="116"/>
      <c r="BK90" s="116"/>
      <c r="BL90" s="116"/>
      <c r="BM90" s="116"/>
      <c r="BN90" s="116"/>
      <c r="BO90" s="116"/>
      <c r="BP90" s="116"/>
      <c r="BQ90" s="116"/>
      <c r="BR90" s="116"/>
      <c r="BS90" s="116"/>
      <c r="BT90" s="116"/>
      <c r="BU90" s="116"/>
      <c r="BV90" s="116"/>
      <c r="BW90" s="116"/>
      <c r="BX90" s="6"/>
      <c r="BY90" s="6"/>
      <c r="BZ90" s="116"/>
      <c r="CA90" s="116"/>
      <c r="CB90" s="116"/>
      <c r="CC90" s="116"/>
    </row>
    <row r="91" spans="1:81" x14ac:dyDescent="0.2">
      <c r="A91" s="5"/>
      <c r="B91" s="5"/>
      <c r="C91" s="5"/>
      <c r="D91" s="5"/>
      <c r="E91" s="5"/>
      <c r="F91" s="5"/>
      <c r="G91" s="5"/>
      <c r="H91" s="5"/>
      <c r="I91" s="5"/>
      <c r="J91" s="5"/>
      <c r="K91" s="5"/>
      <c r="L91" s="5"/>
      <c r="M91" s="116"/>
      <c r="N91" s="116"/>
      <c r="O91" s="116"/>
      <c r="P91" s="116"/>
      <c r="Q91" s="238"/>
      <c r="R91" s="5"/>
      <c r="S91" s="5"/>
      <c r="T91" s="5"/>
      <c r="U91" s="5"/>
      <c r="V91" s="5"/>
      <c r="W91" s="5"/>
      <c r="X91" s="5"/>
      <c r="Y91" s="5"/>
      <c r="Z91" s="168"/>
      <c r="AA91" s="116"/>
      <c r="AB91" s="116"/>
      <c r="AC91" s="116"/>
      <c r="AD91" s="116"/>
      <c r="AE91" s="116"/>
      <c r="AF91" s="116"/>
      <c r="AG91" s="116"/>
      <c r="AH91" s="116"/>
      <c r="AI91" s="116"/>
      <c r="AJ91" s="116"/>
      <c r="AK91" s="116"/>
      <c r="AL91" s="116"/>
      <c r="AM91" s="116"/>
      <c r="AN91" s="116"/>
      <c r="AO91" s="116"/>
      <c r="AP91" s="116"/>
      <c r="AQ91" s="116"/>
      <c r="AR91" s="116"/>
      <c r="AS91" s="116"/>
      <c r="AT91" s="116"/>
      <c r="AU91" s="116"/>
      <c r="AV91" s="116"/>
      <c r="AW91" s="116"/>
      <c r="AX91" s="116"/>
      <c r="AY91" s="116"/>
      <c r="AZ91" s="116"/>
      <c r="BA91" s="116"/>
      <c r="BB91" s="116"/>
      <c r="BC91" s="116"/>
      <c r="BD91" s="116"/>
      <c r="BE91" s="116"/>
      <c r="BF91" s="116"/>
      <c r="BG91" s="116"/>
      <c r="BH91" s="116"/>
      <c r="BI91" s="116"/>
      <c r="BJ91" s="116"/>
      <c r="BK91" s="116"/>
      <c r="BL91" s="116"/>
      <c r="BM91" s="116"/>
      <c r="BN91" s="116"/>
      <c r="BO91" s="116"/>
      <c r="BP91" s="116"/>
      <c r="BQ91" s="116"/>
      <c r="BR91" s="116"/>
      <c r="BS91" s="116"/>
      <c r="BT91" s="116"/>
      <c r="BU91" s="116"/>
      <c r="BV91" s="116"/>
      <c r="BW91" s="116"/>
      <c r="BX91" s="6"/>
      <c r="BY91" s="6"/>
      <c r="BZ91" s="116"/>
      <c r="CA91" s="116"/>
      <c r="CB91" s="116"/>
      <c r="CC91" s="116"/>
    </row>
    <row r="92" spans="1:81" x14ac:dyDescent="0.2">
      <c r="A92" s="5"/>
      <c r="B92" s="5"/>
      <c r="C92" s="5"/>
      <c r="D92" s="5"/>
      <c r="E92" s="5"/>
      <c r="F92" s="5"/>
      <c r="G92" s="5"/>
      <c r="H92" s="5"/>
      <c r="I92" s="5"/>
      <c r="J92" s="5"/>
      <c r="K92" s="5"/>
      <c r="L92" s="5"/>
      <c r="M92" s="116"/>
      <c r="N92" s="116"/>
      <c r="O92" s="116"/>
      <c r="P92" s="116"/>
      <c r="Q92" s="238"/>
      <c r="R92" s="5"/>
      <c r="S92" s="5"/>
      <c r="T92" s="5"/>
      <c r="U92" s="5"/>
      <c r="V92" s="5"/>
      <c r="W92" s="5"/>
      <c r="X92" s="5"/>
      <c r="Y92" s="5"/>
      <c r="Z92" s="168"/>
      <c r="AA92" s="116"/>
      <c r="AB92" s="116"/>
      <c r="AC92" s="116"/>
      <c r="AD92" s="116"/>
      <c r="AE92" s="116"/>
      <c r="AF92" s="116"/>
      <c r="AG92" s="116"/>
      <c r="AH92" s="116"/>
      <c r="AI92" s="116"/>
      <c r="AJ92" s="116"/>
      <c r="AK92" s="116"/>
      <c r="AL92" s="116"/>
      <c r="AM92" s="116"/>
      <c r="AN92" s="116"/>
      <c r="AO92" s="116"/>
      <c r="AP92" s="116"/>
      <c r="AQ92" s="116"/>
      <c r="AR92" s="116"/>
      <c r="AS92" s="116"/>
      <c r="AT92" s="116"/>
      <c r="AU92" s="116"/>
      <c r="AV92" s="116"/>
      <c r="AW92" s="116"/>
      <c r="AX92" s="116"/>
      <c r="AY92" s="116"/>
      <c r="AZ92" s="116"/>
      <c r="BA92" s="116"/>
      <c r="BB92" s="116"/>
      <c r="BC92" s="116"/>
      <c r="BD92" s="116"/>
      <c r="BE92" s="116"/>
      <c r="BF92" s="116"/>
      <c r="BG92" s="116"/>
      <c r="BH92" s="116"/>
      <c r="BI92" s="116"/>
      <c r="BJ92" s="116"/>
      <c r="BK92" s="116"/>
      <c r="BL92" s="116"/>
      <c r="BM92" s="116"/>
      <c r="BN92" s="116"/>
      <c r="BO92" s="116"/>
      <c r="BP92" s="116"/>
      <c r="BQ92" s="116"/>
      <c r="BR92" s="116"/>
      <c r="BS92" s="116"/>
      <c r="BT92" s="116"/>
      <c r="BU92" s="116"/>
      <c r="BV92" s="116"/>
      <c r="BW92" s="116"/>
      <c r="BX92" s="6"/>
      <c r="BY92" s="6"/>
      <c r="BZ92" s="116"/>
      <c r="CA92" s="116"/>
      <c r="CB92" s="116"/>
      <c r="CC92" s="116"/>
    </row>
    <row r="93" spans="1:81" x14ac:dyDescent="0.2">
      <c r="A93" s="5"/>
      <c r="B93" s="5"/>
      <c r="C93" s="5"/>
      <c r="D93" s="5"/>
      <c r="E93" s="5"/>
      <c r="F93" s="5"/>
      <c r="G93" s="5"/>
      <c r="H93" s="5"/>
      <c r="I93" s="5"/>
      <c r="J93" s="5"/>
      <c r="K93" s="5"/>
      <c r="L93" s="5"/>
      <c r="M93" s="116"/>
      <c r="N93" s="116"/>
      <c r="O93" s="116"/>
      <c r="P93" s="116"/>
      <c r="Q93" s="238"/>
      <c r="R93" s="5"/>
      <c r="S93" s="5"/>
      <c r="T93" s="5"/>
      <c r="U93" s="5"/>
      <c r="V93" s="5"/>
      <c r="W93" s="5"/>
      <c r="X93" s="5"/>
      <c r="Y93" s="5"/>
      <c r="Z93" s="168"/>
      <c r="AA93" s="116"/>
      <c r="AB93" s="116"/>
      <c r="AC93" s="116"/>
      <c r="AD93" s="116"/>
      <c r="AE93" s="116"/>
      <c r="AF93" s="116"/>
      <c r="AG93" s="116"/>
      <c r="AH93" s="116"/>
      <c r="AI93" s="116"/>
      <c r="AJ93" s="116"/>
      <c r="AK93" s="116"/>
      <c r="AL93" s="116"/>
      <c r="AM93" s="116"/>
      <c r="AN93" s="116"/>
      <c r="AO93" s="116"/>
      <c r="AP93" s="116"/>
      <c r="AQ93" s="116"/>
      <c r="AR93" s="116"/>
      <c r="AS93" s="116"/>
      <c r="AT93" s="116"/>
      <c r="AU93" s="116"/>
      <c r="AV93" s="116"/>
      <c r="AW93" s="116"/>
      <c r="AX93" s="116"/>
      <c r="AY93" s="116"/>
      <c r="AZ93" s="116"/>
      <c r="BA93" s="116"/>
      <c r="BB93" s="116"/>
      <c r="BC93" s="116"/>
      <c r="BD93" s="116"/>
      <c r="BE93" s="116"/>
      <c r="BF93" s="116"/>
      <c r="BG93" s="116"/>
      <c r="BH93" s="116"/>
      <c r="BI93" s="116"/>
      <c r="BJ93" s="116"/>
      <c r="BK93" s="116"/>
      <c r="BL93" s="116"/>
      <c r="BM93" s="116"/>
      <c r="BN93" s="116"/>
      <c r="BO93" s="116"/>
      <c r="BP93" s="116"/>
      <c r="BQ93" s="116"/>
      <c r="BR93" s="116"/>
      <c r="BS93" s="116"/>
      <c r="BT93" s="116"/>
      <c r="BU93" s="116"/>
      <c r="BV93" s="116"/>
      <c r="BW93" s="116"/>
      <c r="BX93" s="6"/>
      <c r="BY93" s="6"/>
      <c r="BZ93" s="116"/>
      <c r="CA93" s="116"/>
      <c r="CB93" s="116"/>
      <c r="CC93" s="116"/>
    </row>
    <row r="94" spans="1:81" x14ac:dyDescent="0.2">
      <c r="A94" s="5"/>
      <c r="B94" s="5"/>
      <c r="C94" s="5"/>
      <c r="D94" s="5"/>
      <c r="E94" s="5"/>
      <c r="F94" s="5"/>
      <c r="G94" s="5"/>
      <c r="H94" s="5"/>
      <c r="I94" s="5"/>
      <c r="J94" s="5"/>
      <c r="K94" s="5"/>
      <c r="L94" s="5"/>
      <c r="M94" s="116"/>
      <c r="N94" s="116"/>
      <c r="O94" s="116"/>
      <c r="P94" s="116"/>
      <c r="Q94" s="238"/>
      <c r="R94" s="5"/>
      <c r="S94" s="5"/>
      <c r="T94" s="5"/>
      <c r="U94" s="5"/>
      <c r="V94" s="5"/>
      <c r="W94" s="5"/>
      <c r="X94" s="5"/>
      <c r="Y94" s="5"/>
      <c r="Z94" s="168"/>
      <c r="AA94" s="116"/>
      <c r="AB94" s="116"/>
      <c r="AC94" s="116"/>
      <c r="AD94" s="116"/>
      <c r="AE94" s="116"/>
      <c r="AF94" s="116"/>
      <c r="AG94" s="116"/>
      <c r="AH94" s="116"/>
      <c r="AI94" s="116"/>
      <c r="AJ94" s="116"/>
      <c r="AK94" s="116"/>
      <c r="AL94" s="116"/>
      <c r="AM94" s="116"/>
      <c r="AN94" s="116"/>
      <c r="AO94" s="116"/>
      <c r="AP94" s="116"/>
      <c r="AQ94" s="116"/>
      <c r="AR94" s="116"/>
      <c r="AS94" s="116"/>
      <c r="AT94" s="116"/>
      <c r="AU94" s="116"/>
      <c r="AV94" s="116"/>
      <c r="AW94" s="116"/>
      <c r="AX94" s="116"/>
      <c r="AY94" s="116"/>
      <c r="AZ94" s="116"/>
      <c r="BA94" s="116"/>
      <c r="BB94" s="116"/>
      <c r="BC94" s="116"/>
      <c r="BD94" s="116"/>
      <c r="BE94" s="116"/>
      <c r="BF94" s="116"/>
      <c r="BG94" s="116"/>
      <c r="BH94" s="116"/>
      <c r="BI94" s="116"/>
      <c r="BJ94" s="116"/>
      <c r="BK94" s="116"/>
      <c r="BL94" s="116"/>
      <c r="BM94" s="116"/>
      <c r="BN94" s="116"/>
      <c r="BO94" s="116"/>
      <c r="BP94" s="116"/>
      <c r="BQ94" s="116"/>
      <c r="BR94" s="116"/>
      <c r="BS94" s="116"/>
      <c r="BT94" s="116"/>
      <c r="BU94" s="116"/>
      <c r="BV94" s="116"/>
      <c r="BW94" s="116"/>
      <c r="BX94" s="6"/>
      <c r="BY94" s="6"/>
      <c r="BZ94" s="116"/>
      <c r="CA94" s="116"/>
      <c r="CB94" s="116"/>
      <c r="CC94" s="116"/>
    </row>
    <row r="95" spans="1:81" x14ac:dyDescent="0.2">
      <c r="A95" s="5"/>
      <c r="B95" s="5"/>
      <c r="C95" s="5"/>
      <c r="D95" s="5"/>
      <c r="E95" s="5"/>
      <c r="F95" s="5"/>
      <c r="G95" s="5"/>
      <c r="H95" s="5"/>
      <c r="I95" s="5"/>
      <c r="J95" s="5"/>
      <c r="K95" s="5"/>
      <c r="L95" s="5"/>
      <c r="M95" s="116"/>
      <c r="N95" s="116"/>
      <c r="O95" s="116"/>
      <c r="P95" s="116"/>
      <c r="Q95" s="238"/>
      <c r="R95" s="5"/>
      <c r="S95" s="5"/>
      <c r="T95" s="5"/>
      <c r="U95" s="5"/>
      <c r="V95" s="5"/>
      <c r="W95" s="5"/>
      <c r="X95" s="5"/>
      <c r="Y95" s="5"/>
      <c r="Z95" s="168"/>
      <c r="AA95" s="116"/>
      <c r="AB95" s="116"/>
      <c r="AC95" s="116"/>
      <c r="AD95" s="116"/>
      <c r="AE95" s="116"/>
      <c r="AF95" s="116"/>
      <c r="AG95" s="116"/>
      <c r="AH95" s="116"/>
      <c r="AI95" s="116"/>
      <c r="AJ95" s="116"/>
      <c r="AK95" s="116"/>
      <c r="AL95" s="116"/>
      <c r="AM95" s="116"/>
      <c r="AN95" s="116"/>
      <c r="AO95" s="116"/>
      <c r="AP95" s="116"/>
      <c r="AQ95" s="116"/>
      <c r="AR95" s="116"/>
      <c r="AS95" s="116"/>
      <c r="AT95" s="116"/>
      <c r="AU95" s="116"/>
      <c r="AV95" s="116"/>
      <c r="AW95" s="116"/>
      <c r="AX95" s="116"/>
      <c r="AY95" s="116"/>
      <c r="AZ95" s="116"/>
      <c r="BA95" s="116"/>
      <c r="BB95" s="116"/>
      <c r="BC95" s="116"/>
      <c r="BD95" s="116"/>
      <c r="BE95" s="116"/>
      <c r="BF95" s="116"/>
      <c r="BG95" s="116"/>
      <c r="BH95" s="116"/>
      <c r="BI95" s="116"/>
      <c r="BJ95" s="116"/>
      <c r="BK95" s="116"/>
      <c r="BL95" s="116"/>
      <c r="BM95" s="116"/>
      <c r="BN95" s="116"/>
      <c r="BO95" s="116"/>
      <c r="BP95" s="116"/>
      <c r="BQ95" s="116"/>
      <c r="BR95" s="116"/>
      <c r="BS95" s="116"/>
      <c r="BT95" s="116"/>
      <c r="BU95" s="116"/>
      <c r="BV95" s="116"/>
      <c r="BW95" s="116"/>
      <c r="BX95" s="6"/>
      <c r="BY95" s="6"/>
      <c r="BZ95" s="116"/>
      <c r="CA95" s="116"/>
      <c r="CB95" s="116"/>
      <c r="CC95" s="116"/>
    </row>
    <row r="96" spans="1:81" x14ac:dyDescent="0.2">
      <c r="A96" s="5"/>
      <c r="B96" s="5"/>
      <c r="C96" s="5"/>
      <c r="D96" s="5"/>
      <c r="E96" s="5"/>
      <c r="F96" s="5"/>
      <c r="G96" s="5"/>
      <c r="H96" s="5"/>
      <c r="I96" s="5"/>
      <c r="J96" s="5"/>
      <c r="K96" s="5"/>
      <c r="L96" s="5"/>
      <c r="M96" s="116"/>
      <c r="N96" s="116"/>
      <c r="O96" s="116"/>
      <c r="P96" s="116"/>
      <c r="Q96" s="238"/>
      <c r="R96" s="5"/>
      <c r="S96" s="5"/>
      <c r="T96" s="5"/>
      <c r="U96" s="5"/>
      <c r="V96" s="5"/>
      <c r="W96" s="5"/>
      <c r="X96" s="5"/>
      <c r="Y96" s="5"/>
      <c r="Z96" s="168"/>
      <c r="AA96" s="116"/>
      <c r="AB96" s="116"/>
      <c r="AC96" s="116"/>
      <c r="AD96" s="116"/>
      <c r="AE96" s="116"/>
      <c r="AF96" s="116"/>
      <c r="AG96" s="116"/>
      <c r="AH96" s="116"/>
      <c r="AI96" s="116"/>
      <c r="AJ96" s="116"/>
      <c r="AK96" s="116"/>
      <c r="AL96" s="116"/>
      <c r="AM96" s="116"/>
      <c r="AN96" s="116"/>
      <c r="AO96" s="116"/>
      <c r="AP96" s="116"/>
      <c r="AQ96" s="116"/>
      <c r="AR96" s="116"/>
      <c r="AS96" s="116"/>
      <c r="AT96" s="116"/>
      <c r="AU96" s="116"/>
      <c r="AV96" s="116"/>
      <c r="AW96" s="116"/>
      <c r="AX96" s="116"/>
      <c r="AY96" s="116"/>
      <c r="AZ96" s="116"/>
      <c r="BA96" s="116"/>
      <c r="BB96" s="116"/>
      <c r="BC96" s="116"/>
      <c r="BD96" s="116"/>
      <c r="BE96" s="116"/>
      <c r="BF96" s="116"/>
      <c r="BG96" s="116"/>
      <c r="BH96" s="116"/>
      <c r="BI96" s="116"/>
      <c r="BJ96" s="116"/>
      <c r="BK96" s="116"/>
      <c r="BL96" s="116"/>
      <c r="BM96" s="116"/>
      <c r="BN96" s="116"/>
      <c r="BO96" s="116"/>
      <c r="BP96" s="116"/>
      <c r="BQ96" s="116"/>
      <c r="BR96" s="116"/>
      <c r="BS96" s="116"/>
      <c r="BT96" s="116"/>
      <c r="BU96" s="116"/>
      <c r="BV96" s="116"/>
      <c r="BW96" s="116"/>
      <c r="BX96" s="116"/>
      <c r="BY96" s="6"/>
      <c r="BZ96" s="6"/>
      <c r="CA96" s="6"/>
      <c r="CB96" s="6"/>
      <c r="CC96" s="6"/>
    </row>
    <row r="97" spans="1:81" x14ac:dyDescent="0.2">
      <c r="A97" s="5"/>
      <c r="B97" s="5"/>
      <c r="C97" s="5"/>
      <c r="D97" s="5"/>
      <c r="E97" s="5"/>
      <c r="F97" s="5"/>
      <c r="G97" s="5"/>
      <c r="H97" s="5"/>
      <c r="I97" s="5"/>
      <c r="J97" s="5"/>
      <c r="K97" s="5"/>
      <c r="L97" s="5"/>
      <c r="M97" s="116"/>
      <c r="N97" s="116"/>
      <c r="O97" s="116"/>
      <c r="P97" s="116"/>
      <c r="Q97" s="238"/>
      <c r="R97" s="5"/>
      <c r="S97" s="5"/>
      <c r="T97" s="5"/>
      <c r="U97" s="5"/>
      <c r="V97" s="5"/>
      <c r="W97" s="5"/>
      <c r="X97" s="5"/>
      <c r="Y97" s="5"/>
      <c r="Z97" s="168"/>
      <c r="AA97" s="116"/>
      <c r="AB97" s="116"/>
      <c r="AC97" s="116"/>
      <c r="AD97" s="116"/>
      <c r="AE97" s="116"/>
      <c r="AF97" s="116"/>
      <c r="AG97" s="116"/>
      <c r="AH97" s="116"/>
      <c r="AI97" s="116"/>
      <c r="AJ97" s="116"/>
      <c r="AK97" s="116"/>
      <c r="AL97" s="116"/>
      <c r="AM97" s="116"/>
      <c r="AN97" s="116"/>
      <c r="AO97" s="116"/>
      <c r="AP97" s="116"/>
      <c r="AQ97" s="116"/>
      <c r="AR97" s="116"/>
      <c r="AS97" s="116"/>
      <c r="AT97" s="116"/>
      <c r="AU97" s="116"/>
      <c r="AV97" s="116"/>
      <c r="AW97" s="116"/>
      <c r="AX97" s="116"/>
      <c r="AY97" s="116"/>
      <c r="AZ97" s="116"/>
      <c r="BA97" s="116"/>
      <c r="BB97" s="116"/>
      <c r="BC97" s="116"/>
      <c r="BD97" s="116"/>
      <c r="BE97" s="116"/>
      <c r="BF97" s="116"/>
      <c r="BG97" s="116"/>
      <c r="BH97" s="116"/>
      <c r="BI97" s="116"/>
      <c r="BJ97" s="116"/>
      <c r="BK97" s="116"/>
      <c r="BL97" s="116"/>
      <c r="BM97" s="116"/>
      <c r="BN97" s="116"/>
      <c r="BO97" s="116"/>
      <c r="BP97" s="116"/>
      <c r="BQ97" s="116"/>
      <c r="BR97" s="116"/>
      <c r="BS97" s="116"/>
      <c r="BT97" s="116"/>
      <c r="BU97" s="116"/>
      <c r="BV97" s="116"/>
      <c r="BW97" s="116"/>
      <c r="BX97" s="116"/>
      <c r="BY97" s="6"/>
      <c r="BZ97" s="6"/>
      <c r="CA97" s="6"/>
      <c r="CB97" s="6"/>
      <c r="CC97" s="6"/>
    </row>
    <row r="98" spans="1:81" x14ac:dyDescent="0.2">
      <c r="A98" s="5"/>
      <c r="B98" s="5"/>
      <c r="C98" s="5"/>
      <c r="D98" s="5"/>
      <c r="E98" s="5"/>
      <c r="F98" s="5"/>
      <c r="G98" s="5"/>
      <c r="H98" s="5"/>
      <c r="I98" s="5"/>
      <c r="J98" s="5"/>
      <c r="K98" s="5"/>
      <c r="L98" s="5"/>
      <c r="M98" s="116"/>
      <c r="N98" s="116"/>
      <c r="O98" s="116"/>
      <c r="P98" s="116"/>
      <c r="Q98" s="238"/>
      <c r="R98" s="5"/>
      <c r="S98" s="5"/>
      <c r="T98" s="5"/>
      <c r="U98" s="5"/>
      <c r="V98" s="5"/>
      <c r="W98" s="5"/>
      <c r="X98" s="5"/>
      <c r="Y98" s="5"/>
      <c r="Z98" s="168"/>
      <c r="AA98" s="116"/>
      <c r="AB98" s="116"/>
      <c r="AC98" s="116"/>
      <c r="AD98" s="116"/>
      <c r="AE98" s="116"/>
      <c r="AF98" s="116"/>
      <c r="AG98" s="116"/>
      <c r="AH98" s="116"/>
      <c r="AI98" s="116"/>
      <c r="AJ98" s="116"/>
      <c r="AK98" s="116"/>
      <c r="AL98" s="116"/>
      <c r="AM98" s="116"/>
      <c r="AN98" s="116"/>
      <c r="AO98" s="116"/>
      <c r="AP98" s="116"/>
      <c r="AQ98" s="116"/>
      <c r="AR98" s="116"/>
      <c r="AS98" s="116"/>
      <c r="AT98" s="116"/>
      <c r="AU98" s="116"/>
      <c r="AV98" s="116"/>
      <c r="AW98" s="116"/>
      <c r="AX98" s="116"/>
      <c r="AY98" s="116"/>
      <c r="AZ98" s="116"/>
      <c r="BA98" s="116"/>
      <c r="BB98" s="116"/>
      <c r="BC98" s="116"/>
      <c r="BD98" s="116"/>
      <c r="BE98" s="116"/>
      <c r="BF98" s="116"/>
      <c r="BG98" s="116"/>
      <c r="BH98" s="116"/>
      <c r="BI98" s="116"/>
      <c r="BJ98" s="116"/>
      <c r="BK98" s="116"/>
      <c r="BL98" s="116"/>
      <c r="BM98" s="116"/>
      <c r="BN98" s="116"/>
      <c r="BO98" s="116"/>
      <c r="BP98" s="116"/>
      <c r="BQ98" s="116"/>
      <c r="BR98" s="116"/>
      <c r="BS98" s="116"/>
      <c r="BT98" s="116"/>
      <c r="BU98" s="116"/>
      <c r="BV98" s="116"/>
      <c r="BW98" s="116"/>
      <c r="BX98" s="116"/>
      <c r="BY98" s="6"/>
      <c r="BZ98" s="6"/>
      <c r="CA98" s="6"/>
      <c r="CB98" s="6"/>
      <c r="CC98" s="6"/>
    </row>
    <row r="99" spans="1:81" x14ac:dyDescent="0.2">
      <c r="A99" s="5"/>
      <c r="B99" s="5"/>
      <c r="C99" s="5"/>
      <c r="D99" s="5"/>
      <c r="E99" s="5"/>
      <c r="F99" s="5"/>
      <c r="G99" s="5"/>
      <c r="H99" s="5"/>
      <c r="I99" s="5"/>
      <c r="J99" s="5"/>
      <c r="K99" s="5"/>
      <c r="L99" s="5"/>
      <c r="M99" s="116"/>
      <c r="N99" s="116"/>
      <c r="O99" s="116"/>
      <c r="P99" s="116"/>
      <c r="Q99" s="238"/>
      <c r="R99" s="5"/>
      <c r="S99" s="5"/>
      <c r="T99" s="5"/>
      <c r="U99" s="5"/>
      <c r="V99" s="5"/>
      <c r="W99" s="5"/>
      <c r="X99" s="5"/>
      <c r="Y99" s="5"/>
      <c r="Z99" s="168"/>
      <c r="AA99" s="116"/>
      <c r="AB99" s="116"/>
      <c r="AC99" s="116"/>
      <c r="AD99" s="116"/>
      <c r="AE99" s="116"/>
      <c r="AF99" s="116"/>
      <c r="AG99" s="116"/>
      <c r="AH99" s="116"/>
      <c r="AI99" s="116"/>
      <c r="AJ99" s="116"/>
      <c r="AK99" s="116"/>
      <c r="AL99" s="116"/>
      <c r="AM99" s="116"/>
      <c r="AN99" s="116"/>
      <c r="AO99" s="116"/>
      <c r="AP99" s="116"/>
      <c r="AQ99" s="116"/>
      <c r="AR99" s="116"/>
      <c r="AS99" s="116"/>
      <c r="AT99" s="116"/>
      <c r="AU99" s="116"/>
      <c r="AV99" s="116"/>
      <c r="AW99" s="116"/>
      <c r="AX99" s="116"/>
      <c r="AY99" s="116"/>
      <c r="AZ99" s="116"/>
      <c r="BA99" s="116"/>
      <c r="BB99" s="116"/>
      <c r="BC99" s="116"/>
      <c r="BD99" s="116"/>
      <c r="BE99" s="116"/>
      <c r="BF99" s="116"/>
      <c r="BG99" s="116"/>
      <c r="BH99" s="116"/>
      <c r="BI99" s="116"/>
      <c r="BJ99" s="116"/>
      <c r="BK99" s="116"/>
      <c r="BL99" s="116"/>
      <c r="BM99" s="116"/>
      <c r="BN99" s="116"/>
      <c r="BO99" s="116"/>
      <c r="BP99" s="116"/>
      <c r="BQ99" s="116"/>
      <c r="BR99" s="116"/>
      <c r="BS99" s="116"/>
      <c r="BT99" s="116"/>
      <c r="BU99" s="116"/>
      <c r="BV99" s="116"/>
      <c r="BW99" s="116"/>
      <c r="BX99" s="116"/>
      <c r="BY99" s="6"/>
      <c r="BZ99" s="6"/>
      <c r="CA99" s="6"/>
      <c r="CB99" s="6"/>
      <c r="CC99" s="6"/>
    </row>
    <row r="100" spans="1:81" x14ac:dyDescent="0.2">
      <c r="A100" s="5"/>
      <c r="B100" s="5"/>
      <c r="C100" s="5"/>
      <c r="D100" s="5"/>
      <c r="E100" s="5"/>
      <c r="F100" s="5"/>
      <c r="G100" s="5"/>
      <c r="H100" s="5"/>
      <c r="I100" s="5"/>
      <c r="J100" s="5"/>
      <c r="K100" s="5"/>
      <c r="L100" s="5"/>
      <c r="M100" s="116"/>
      <c r="N100" s="116"/>
      <c r="O100" s="116"/>
      <c r="P100" s="116"/>
      <c r="Q100" s="238"/>
      <c r="R100" s="5"/>
      <c r="S100" s="5"/>
      <c r="T100" s="5"/>
      <c r="U100" s="5"/>
      <c r="V100" s="5"/>
      <c r="W100" s="5"/>
      <c r="X100" s="5"/>
      <c r="Y100" s="5"/>
      <c r="Z100" s="168"/>
      <c r="AA100" s="116"/>
      <c r="AB100" s="116"/>
      <c r="AC100" s="116"/>
      <c r="AD100" s="116"/>
      <c r="AE100" s="116"/>
      <c r="AF100" s="116"/>
      <c r="AG100" s="116"/>
      <c r="AH100" s="116"/>
      <c r="AI100" s="116"/>
      <c r="AJ100" s="116"/>
      <c r="AK100" s="116"/>
      <c r="AL100" s="116"/>
      <c r="AM100" s="116"/>
      <c r="AN100" s="116"/>
      <c r="AO100" s="116"/>
      <c r="AP100" s="116"/>
      <c r="AQ100" s="116"/>
      <c r="AR100" s="116"/>
      <c r="AS100" s="116"/>
      <c r="AT100" s="116"/>
      <c r="AU100" s="116"/>
      <c r="AV100" s="116"/>
      <c r="AW100" s="116"/>
      <c r="AX100" s="116"/>
      <c r="AY100" s="116"/>
      <c r="AZ100" s="116"/>
      <c r="BA100" s="116"/>
      <c r="BB100" s="116"/>
      <c r="BC100" s="116"/>
      <c r="BD100" s="116"/>
      <c r="BE100" s="116"/>
      <c r="BF100" s="116"/>
      <c r="BG100" s="116"/>
      <c r="BH100" s="116"/>
      <c r="BI100" s="116"/>
      <c r="BJ100" s="116"/>
      <c r="BK100" s="116"/>
      <c r="BL100" s="116"/>
      <c r="BM100" s="116"/>
      <c r="BN100" s="116"/>
      <c r="BO100" s="116"/>
      <c r="BP100" s="116"/>
      <c r="BQ100" s="116"/>
      <c r="BR100" s="116"/>
      <c r="BS100" s="116"/>
      <c r="BT100" s="116"/>
      <c r="BU100" s="116"/>
      <c r="BV100" s="116"/>
      <c r="BW100" s="116"/>
      <c r="BX100" s="116"/>
      <c r="BY100" s="6"/>
      <c r="BZ100" s="6"/>
      <c r="CA100" s="6"/>
      <c r="CB100" s="6"/>
      <c r="CC100" s="6"/>
    </row>
    <row r="101" spans="1:81" x14ac:dyDescent="0.2">
      <c r="A101" s="5"/>
      <c r="B101" s="5"/>
      <c r="C101" s="5"/>
      <c r="D101" s="5"/>
      <c r="E101" s="5"/>
      <c r="F101" s="5"/>
      <c r="G101" s="5"/>
      <c r="H101" s="5"/>
      <c r="I101" s="5"/>
      <c r="J101" s="5"/>
      <c r="K101" s="5"/>
      <c r="L101" s="5"/>
      <c r="M101" s="116"/>
      <c r="N101" s="116"/>
      <c r="O101" s="116"/>
      <c r="P101" s="116"/>
      <c r="Q101" s="238"/>
      <c r="R101" s="5"/>
      <c r="S101" s="5"/>
      <c r="T101" s="5"/>
      <c r="U101" s="5"/>
      <c r="V101" s="5"/>
      <c r="W101" s="5"/>
      <c r="X101" s="5"/>
      <c r="Y101" s="5"/>
      <c r="Z101" s="168"/>
      <c r="AA101" s="116"/>
      <c r="AB101" s="116"/>
      <c r="AC101" s="116"/>
      <c r="AD101" s="116"/>
      <c r="AE101" s="116"/>
      <c r="AF101" s="116"/>
      <c r="AG101" s="116"/>
      <c r="AH101" s="116"/>
      <c r="AI101" s="116"/>
      <c r="AJ101" s="116"/>
      <c r="AK101" s="116"/>
      <c r="AL101" s="116"/>
      <c r="AM101" s="116"/>
      <c r="AN101" s="116"/>
      <c r="AO101" s="116"/>
      <c r="AP101" s="116"/>
      <c r="AQ101" s="116"/>
      <c r="AR101" s="116"/>
      <c r="AS101" s="116"/>
      <c r="AT101" s="116"/>
      <c r="AU101" s="116"/>
      <c r="AV101" s="116"/>
      <c r="AW101" s="116"/>
      <c r="AX101" s="116"/>
      <c r="AY101" s="116"/>
      <c r="AZ101" s="116"/>
      <c r="BA101" s="116"/>
      <c r="BB101" s="116"/>
      <c r="BC101" s="116"/>
      <c r="BD101" s="116"/>
      <c r="BE101" s="116"/>
      <c r="BF101" s="116"/>
      <c r="BG101" s="116"/>
      <c r="BH101" s="116"/>
      <c r="BI101" s="116"/>
      <c r="BJ101" s="116"/>
      <c r="BK101" s="116"/>
      <c r="BL101" s="116"/>
      <c r="BM101" s="116"/>
      <c r="BN101" s="116"/>
      <c r="BO101" s="116"/>
      <c r="BP101" s="116"/>
      <c r="BQ101" s="116"/>
      <c r="BR101" s="116"/>
      <c r="BS101" s="116"/>
      <c r="BT101" s="116"/>
      <c r="BU101" s="116"/>
      <c r="BV101" s="116"/>
      <c r="BW101" s="116"/>
      <c r="BX101" s="116"/>
      <c r="BY101" s="6"/>
      <c r="BZ101" s="6"/>
      <c r="CA101" s="6"/>
      <c r="CB101" s="6"/>
      <c r="CC101" s="6"/>
    </row>
    <row r="102" spans="1:81" x14ac:dyDescent="0.2">
      <c r="A102" s="5"/>
      <c r="B102" s="5"/>
      <c r="C102" s="5"/>
      <c r="D102" s="5"/>
      <c r="E102" s="5"/>
      <c r="F102" s="5"/>
      <c r="G102" s="5"/>
      <c r="H102" s="5"/>
      <c r="I102" s="5"/>
      <c r="J102" s="5"/>
      <c r="K102" s="5"/>
      <c r="L102" s="5"/>
      <c r="M102" s="116"/>
      <c r="N102" s="116"/>
      <c r="O102" s="116"/>
      <c r="P102" s="116"/>
      <c r="Q102" s="238"/>
      <c r="R102" s="5"/>
      <c r="S102" s="5"/>
      <c r="T102" s="5"/>
      <c r="U102" s="5"/>
      <c r="V102" s="5"/>
      <c r="W102" s="5"/>
      <c r="X102" s="5"/>
      <c r="Y102" s="5"/>
      <c r="Z102" s="168"/>
      <c r="AA102" s="116"/>
      <c r="AB102" s="116"/>
      <c r="AC102" s="116"/>
      <c r="AD102" s="116"/>
      <c r="AE102" s="116"/>
      <c r="AF102" s="116"/>
      <c r="AG102" s="116"/>
      <c r="AH102" s="116"/>
      <c r="AI102" s="116"/>
      <c r="AJ102" s="116"/>
      <c r="AK102" s="116"/>
      <c r="AL102" s="116"/>
      <c r="AM102" s="116"/>
      <c r="AN102" s="116"/>
      <c r="AO102" s="116"/>
      <c r="AP102" s="116"/>
      <c r="AQ102" s="116"/>
      <c r="AR102" s="116"/>
      <c r="AS102" s="116"/>
      <c r="AT102" s="116"/>
      <c r="AU102" s="116"/>
      <c r="AV102" s="116"/>
      <c r="AW102" s="116"/>
      <c r="AX102" s="116"/>
      <c r="AY102" s="116"/>
      <c r="AZ102" s="116"/>
      <c r="BA102" s="116"/>
      <c r="BB102" s="116"/>
      <c r="BC102" s="116"/>
      <c r="BD102" s="116"/>
      <c r="BE102" s="116"/>
      <c r="BF102" s="116"/>
      <c r="BG102" s="116"/>
      <c r="BH102" s="116"/>
      <c r="BI102" s="116"/>
      <c r="BJ102" s="116"/>
      <c r="BK102" s="116"/>
      <c r="BL102" s="116"/>
      <c r="BM102" s="116"/>
      <c r="BN102" s="116"/>
      <c r="BO102" s="116"/>
      <c r="BP102" s="116"/>
      <c r="BQ102" s="116"/>
      <c r="BR102" s="116"/>
      <c r="BS102" s="116"/>
      <c r="BT102" s="116"/>
      <c r="BU102" s="116"/>
      <c r="BV102" s="116"/>
      <c r="BW102" s="116"/>
      <c r="BX102" s="116"/>
      <c r="BY102" s="6"/>
      <c r="BZ102" s="6"/>
      <c r="CA102" s="6"/>
      <c r="CB102" s="6"/>
      <c r="CC102" s="6"/>
    </row>
    <row r="103" spans="1:81" x14ac:dyDescent="0.2">
      <c r="A103" s="5"/>
      <c r="B103" s="5"/>
      <c r="C103" s="5"/>
      <c r="D103" s="5"/>
      <c r="E103" s="5"/>
      <c r="F103" s="5"/>
      <c r="G103" s="5"/>
      <c r="H103" s="5"/>
      <c r="I103" s="5"/>
      <c r="J103" s="5"/>
      <c r="K103" s="5"/>
      <c r="L103" s="5"/>
      <c r="M103" s="116"/>
      <c r="N103" s="116"/>
      <c r="O103" s="116"/>
      <c r="P103" s="116"/>
      <c r="Q103" s="238"/>
      <c r="R103" s="5"/>
      <c r="S103" s="5"/>
      <c r="T103" s="5"/>
      <c r="U103" s="5"/>
      <c r="V103" s="5"/>
      <c r="W103" s="5"/>
      <c r="X103" s="5"/>
      <c r="Y103" s="5"/>
      <c r="Z103" s="168"/>
      <c r="AA103" s="116"/>
      <c r="AB103" s="116"/>
      <c r="AC103" s="116"/>
      <c r="AD103" s="116"/>
      <c r="AE103" s="116"/>
      <c r="AF103" s="116"/>
      <c r="AG103" s="116"/>
      <c r="AH103" s="116"/>
      <c r="AI103" s="116"/>
      <c r="AJ103" s="116"/>
      <c r="AK103" s="116"/>
      <c r="AL103" s="116"/>
      <c r="AM103" s="116"/>
      <c r="AN103" s="116"/>
      <c r="AO103" s="116"/>
      <c r="AP103" s="116"/>
      <c r="AQ103" s="116"/>
      <c r="AR103" s="116"/>
      <c r="AS103" s="116"/>
      <c r="AT103" s="116"/>
      <c r="AU103" s="116"/>
      <c r="AV103" s="116"/>
      <c r="AW103" s="116"/>
      <c r="AX103" s="116"/>
      <c r="AY103" s="116"/>
      <c r="AZ103" s="116"/>
      <c r="BA103" s="116"/>
      <c r="BB103" s="116"/>
      <c r="BC103" s="116"/>
      <c r="BD103" s="116"/>
      <c r="BE103" s="116"/>
      <c r="BF103" s="116"/>
      <c r="BG103" s="116"/>
      <c r="BH103" s="116"/>
      <c r="BI103" s="116"/>
      <c r="BJ103" s="116"/>
      <c r="BK103" s="116"/>
      <c r="BL103" s="116"/>
      <c r="BM103" s="116"/>
      <c r="BN103" s="116"/>
      <c r="BO103" s="116"/>
      <c r="BP103" s="116"/>
      <c r="BQ103" s="116"/>
      <c r="BR103" s="116"/>
      <c r="BS103" s="116"/>
      <c r="BT103" s="116"/>
      <c r="BU103" s="116"/>
      <c r="BV103" s="116"/>
      <c r="BW103" s="116"/>
      <c r="BX103" s="116"/>
      <c r="BY103" s="6"/>
      <c r="BZ103" s="6"/>
      <c r="CA103" s="6"/>
      <c r="CB103" s="6"/>
      <c r="CC103" s="6"/>
    </row>
    <row r="104" spans="1:81" x14ac:dyDescent="0.2">
      <c r="A104" s="5"/>
      <c r="B104" s="5"/>
      <c r="C104" s="5"/>
      <c r="D104" s="5"/>
      <c r="E104" s="5"/>
      <c r="F104" s="5"/>
      <c r="G104" s="5"/>
      <c r="H104" s="5"/>
      <c r="I104" s="5"/>
      <c r="J104" s="5"/>
      <c r="K104" s="5"/>
      <c r="L104" s="5"/>
      <c r="M104" s="116"/>
      <c r="N104" s="116"/>
      <c r="O104" s="116"/>
      <c r="P104" s="116"/>
      <c r="Q104" s="238"/>
      <c r="R104" s="5"/>
      <c r="S104" s="5"/>
      <c r="T104" s="5"/>
      <c r="U104" s="5"/>
      <c r="V104" s="5"/>
      <c r="W104" s="5"/>
      <c r="X104" s="5"/>
      <c r="Y104" s="5"/>
      <c r="Z104" s="168"/>
      <c r="AA104" s="116"/>
      <c r="AB104" s="116"/>
      <c r="AC104" s="116"/>
      <c r="AD104" s="116"/>
      <c r="AE104" s="116"/>
      <c r="AF104" s="116"/>
      <c r="AG104" s="116"/>
      <c r="AH104" s="116"/>
      <c r="AI104" s="116"/>
      <c r="AJ104" s="116"/>
      <c r="AK104" s="116"/>
      <c r="AL104" s="116"/>
      <c r="AM104" s="116"/>
      <c r="AN104" s="116"/>
      <c r="AO104" s="116"/>
      <c r="AP104" s="116"/>
      <c r="AQ104" s="116"/>
      <c r="AR104" s="116"/>
      <c r="AS104" s="116"/>
      <c r="AT104" s="116"/>
      <c r="AU104" s="116"/>
      <c r="AV104" s="116"/>
      <c r="AW104" s="116"/>
      <c r="AX104" s="116"/>
      <c r="AY104" s="116"/>
      <c r="AZ104" s="116"/>
      <c r="BA104" s="116"/>
      <c r="BB104" s="116"/>
      <c r="BC104" s="116"/>
      <c r="BD104" s="116"/>
      <c r="BE104" s="116"/>
      <c r="BF104" s="116"/>
      <c r="BG104" s="116"/>
      <c r="BH104" s="116"/>
      <c r="BI104" s="116"/>
      <c r="BJ104" s="116"/>
      <c r="BK104" s="116"/>
      <c r="BL104" s="116"/>
      <c r="BM104" s="116"/>
      <c r="BN104" s="116"/>
      <c r="BO104" s="116"/>
      <c r="BP104" s="116"/>
      <c r="BQ104" s="116"/>
      <c r="BR104" s="116"/>
      <c r="BS104" s="116"/>
      <c r="BT104" s="116"/>
      <c r="BU104" s="116"/>
      <c r="BV104" s="116"/>
      <c r="BW104" s="116"/>
      <c r="BX104" s="116"/>
      <c r="BY104" s="6"/>
      <c r="BZ104" s="6"/>
      <c r="CA104" s="6"/>
      <c r="CB104" s="6"/>
      <c r="CC104" s="6"/>
    </row>
    <row r="105" spans="1:81" x14ac:dyDescent="0.2">
      <c r="A105" s="5"/>
      <c r="B105" s="5"/>
      <c r="C105" s="5"/>
      <c r="D105" s="5"/>
      <c r="E105" s="5"/>
      <c r="F105" s="5"/>
      <c r="G105" s="5"/>
      <c r="H105" s="5"/>
      <c r="I105" s="5"/>
      <c r="J105" s="5"/>
      <c r="K105" s="5"/>
      <c r="L105" s="5"/>
      <c r="M105" s="116"/>
      <c r="N105" s="116"/>
      <c r="O105" s="116"/>
      <c r="P105" s="116"/>
      <c r="Q105" s="238"/>
      <c r="R105" s="5"/>
      <c r="S105" s="5"/>
      <c r="T105" s="5"/>
      <c r="U105" s="5"/>
      <c r="V105" s="5"/>
      <c r="W105" s="5"/>
      <c r="X105" s="5"/>
      <c r="Y105" s="5"/>
      <c r="Z105" s="168"/>
      <c r="AA105" s="116"/>
      <c r="AB105" s="116"/>
      <c r="AC105" s="116"/>
      <c r="AD105" s="116"/>
      <c r="AE105" s="116"/>
      <c r="AF105" s="116"/>
      <c r="AG105" s="116"/>
      <c r="AH105" s="116"/>
      <c r="AI105" s="116"/>
      <c r="AJ105" s="116"/>
      <c r="AK105" s="116"/>
      <c r="AL105" s="116"/>
      <c r="AM105" s="116"/>
      <c r="AN105" s="116"/>
      <c r="AO105" s="116"/>
      <c r="AP105" s="116"/>
      <c r="AQ105" s="116"/>
      <c r="AR105" s="116"/>
      <c r="AS105" s="116"/>
      <c r="AT105" s="116"/>
      <c r="AU105" s="116"/>
      <c r="AV105" s="116"/>
      <c r="AW105" s="116"/>
      <c r="AX105" s="116"/>
      <c r="AY105" s="116"/>
      <c r="AZ105" s="116"/>
      <c r="BA105" s="116"/>
      <c r="BB105" s="116"/>
      <c r="BC105" s="116"/>
      <c r="BD105" s="116"/>
      <c r="BE105" s="116"/>
      <c r="BF105" s="116"/>
      <c r="BG105" s="116"/>
      <c r="BH105" s="116"/>
      <c r="BI105" s="116"/>
      <c r="BJ105" s="116"/>
      <c r="BK105" s="116"/>
      <c r="BL105" s="116"/>
      <c r="BM105" s="116"/>
      <c r="BN105" s="116"/>
      <c r="BO105" s="116"/>
      <c r="BP105" s="116"/>
      <c r="BQ105" s="116"/>
      <c r="BR105" s="116"/>
      <c r="BS105" s="116"/>
      <c r="BT105" s="116"/>
      <c r="BU105" s="116"/>
      <c r="BV105" s="116"/>
      <c r="BW105" s="116"/>
      <c r="BX105" s="116"/>
      <c r="BY105" s="6"/>
      <c r="BZ105" s="6"/>
      <c r="CA105" s="6"/>
      <c r="CB105" s="6"/>
      <c r="CC105" s="6"/>
    </row>
    <row r="106" spans="1:81" x14ac:dyDescent="0.2">
      <c r="A106" s="5"/>
      <c r="B106" s="5"/>
      <c r="C106" s="5"/>
      <c r="D106" s="5"/>
      <c r="E106" s="5"/>
      <c r="F106" s="5"/>
      <c r="G106" s="5"/>
      <c r="H106" s="5"/>
      <c r="I106" s="5"/>
      <c r="J106" s="5"/>
      <c r="K106" s="5"/>
      <c r="L106" s="5"/>
      <c r="M106" s="116"/>
      <c r="N106" s="116"/>
      <c r="O106" s="116"/>
      <c r="P106" s="116"/>
      <c r="Q106" s="238"/>
      <c r="R106" s="5"/>
      <c r="S106" s="5"/>
      <c r="T106" s="5"/>
      <c r="U106" s="5"/>
      <c r="V106" s="5"/>
      <c r="W106" s="5"/>
      <c r="X106" s="5"/>
      <c r="Y106" s="5"/>
      <c r="Z106" s="168"/>
      <c r="AA106" s="116"/>
      <c r="AB106" s="116"/>
      <c r="AC106" s="116"/>
      <c r="AD106" s="116"/>
      <c r="AE106" s="116"/>
      <c r="AF106" s="116"/>
      <c r="AG106" s="116"/>
      <c r="AH106" s="116"/>
      <c r="AI106" s="116"/>
      <c r="AJ106" s="116"/>
      <c r="AK106" s="116"/>
      <c r="AL106" s="116"/>
      <c r="AM106" s="116"/>
      <c r="AN106" s="116"/>
      <c r="AO106" s="116"/>
      <c r="AP106" s="116"/>
      <c r="AQ106" s="116"/>
      <c r="AR106" s="116"/>
      <c r="AS106" s="116"/>
      <c r="AT106" s="116"/>
      <c r="AU106" s="116"/>
      <c r="AV106" s="116"/>
      <c r="AW106" s="116"/>
      <c r="AX106" s="116"/>
      <c r="AY106" s="116"/>
      <c r="AZ106" s="116"/>
      <c r="BA106" s="116"/>
      <c r="BB106" s="116"/>
      <c r="BC106" s="116"/>
      <c r="BD106" s="116"/>
      <c r="BE106" s="116"/>
      <c r="BF106" s="116"/>
      <c r="BG106" s="116"/>
      <c r="BH106" s="116"/>
      <c r="BI106" s="116"/>
      <c r="BJ106" s="116"/>
      <c r="BK106" s="116"/>
      <c r="BL106" s="116"/>
      <c r="BM106" s="116"/>
      <c r="BN106" s="116"/>
      <c r="BO106" s="116"/>
      <c r="BP106" s="116"/>
      <c r="BQ106" s="116"/>
      <c r="BR106" s="116"/>
      <c r="BS106" s="116"/>
      <c r="BT106" s="116"/>
      <c r="BU106" s="116"/>
      <c r="BV106" s="116"/>
      <c r="BW106" s="116"/>
      <c r="BX106" s="116"/>
      <c r="BY106" s="6"/>
      <c r="BZ106" s="6"/>
      <c r="CA106" s="6"/>
      <c r="CB106" s="6"/>
      <c r="CC106" s="6"/>
    </row>
    <row r="107" spans="1:81" x14ac:dyDescent="0.2">
      <c r="A107" s="5"/>
      <c r="B107" s="5"/>
      <c r="C107" s="5"/>
      <c r="D107" s="5"/>
      <c r="E107" s="5"/>
      <c r="F107" s="5"/>
      <c r="G107" s="5"/>
      <c r="H107" s="5"/>
      <c r="I107" s="5"/>
      <c r="J107" s="5"/>
      <c r="K107" s="5"/>
      <c r="L107" s="5"/>
      <c r="M107" s="116"/>
      <c r="N107" s="116"/>
      <c r="O107" s="116"/>
      <c r="P107" s="116"/>
      <c r="Q107" s="238"/>
      <c r="R107" s="5"/>
      <c r="S107" s="5"/>
      <c r="T107" s="5"/>
      <c r="U107" s="5"/>
      <c r="V107" s="5"/>
      <c r="W107" s="5"/>
      <c r="X107" s="5"/>
      <c r="Y107" s="5"/>
      <c r="Z107" s="168"/>
      <c r="AA107" s="116"/>
      <c r="AB107" s="116"/>
      <c r="AC107" s="116"/>
      <c r="AD107" s="116"/>
      <c r="AE107" s="116"/>
      <c r="AF107" s="116"/>
      <c r="AG107" s="116"/>
      <c r="AH107" s="116"/>
      <c r="AI107" s="116"/>
      <c r="AJ107" s="116"/>
      <c r="AK107" s="116"/>
      <c r="AL107" s="116"/>
      <c r="AM107" s="116"/>
      <c r="AN107" s="116"/>
      <c r="AO107" s="116"/>
      <c r="AP107" s="116"/>
      <c r="AQ107" s="116"/>
      <c r="AR107" s="116"/>
      <c r="AS107" s="116"/>
      <c r="AT107" s="116"/>
      <c r="AU107" s="116"/>
      <c r="AV107" s="116"/>
      <c r="AW107" s="116"/>
      <c r="AX107" s="116"/>
      <c r="AY107" s="116"/>
      <c r="AZ107" s="116"/>
      <c r="BA107" s="116"/>
      <c r="BB107" s="116"/>
      <c r="BC107" s="116"/>
      <c r="BD107" s="116"/>
      <c r="BE107" s="116"/>
      <c r="BF107" s="116"/>
      <c r="BG107" s="116"/>
      <c r="BH107" s="116"/>
      <c r="BI107" s="116"/>
      <c r="BJ107" s="116"/>
      <c r="BK107" s="116"/>
      <c r="BL107" s="116"/>
      <c r="BM107" s="116"/>
      <c r="BN107" s="116"/>
      <c r="BO107" s="116"/>
      <c r="BP107" s="116"/>
      <c r="BQ107" s="116"/>
      <c r="BR107" s="116"/>
      <c r="BS107" s="116"/>
      <c r="BT107" s="116"/>
      <c r="BU107" s="116"/>
      <c r="BV107" s="116"/>
      <c r="BW107" s="116"/>
      <c r="BX107" s="116"/>
      <c r="BY107" s="6"/>
      <c r="BZ107" s="6"/>
      <c r="CA107" s="6"/>
      <c r="CB107" s="6"/>
      <c r="CC107" s="6"/>
    </row>
    <row r="108" spans="1:81" x14ac:dyDescent="0.2">
      <c r="A108" s="5"/>
      <c r="B108" s="5"/>
      <c r="C108" s="5"/>
      <c r="D108" s="5"/>
      <c r="E108" s="5"/>
      <c r="F108" s="5"/>
      <c r="G108" s="5"/>
      <c r="H108" s="5"/>
      <c r="I108" s="5"/>
      <c r="J108" s="5"/>
      <c r="K108" s="5"/>
      <c r="L108" s="5"/>
      <c r="M108" s="116"/>
      <c r="N108" s="116"/>
      <c r="O108" s="116"/>
      <c r="P108" s="116"/>
      <c r="Q108" s="238"/>
      <c r="R108" s="5"/>
      <c r="S108" s="5"/>
      <c r="T108" s="5"/>
      <c r="U108" s="5"/>
      <c r="V108" s="5"/>
      <c r="W108" s="5"/>
      <c r="X108" s="5"/>
      <c r="Y108" s="5"/>
      <c r="Z108" s="168"/>
      <c r="AA108" s="116"/>
      <c r="AB108" s="116"/>
      <c r="AC108" s="116"/>
      <c r="AD108" s="116"/>
      <c r="AE108" s="116"/>
      <c r="AF108" s="116"/>
      <c r="AG108" s="116"/>
      <c r="AH108" s="116"/>
      <c r="AI108" s="116"/>
      <c r="AJ108" s="116"/>
      <c r="AK108" s="116"/>
      <c r="AL108" s="116"/>
      <c r="AM108" s="116"/>
      <c r="AN108" s="116"/>
      <c r="AO108" s="116"/>
      <c r="AP108" s="116"/>
      <c r="AQ108" s="116"/>
      <c r="AR108" s="116"/>
      <c r="AS108" s="116"/>
      <c r="AT108" s="116"/>
      <c r="AU108" s="116"/>
      <c r="AV108" s="116"/>
      <c r="AW108" s="116"/>
      <c r="AX108" s="116"/>
      <c r="AY108" s="116"/>
      <c r="AZ108" s="116"/>
      <c r="BA108" s="116"/>
      <c r="BB108" s="116"/>
      <c r="BC108" s="116"/>
      <c r="BD108" s="116"/>
      <c r="BE108" s="116"/>
      <c r="BF108" s="116"/>
      <c r="BG108" s="116"/>
      <c r="BH108" s="116"/>
      <c r="BI108" s="116"/>
      <c r="BJ108" s="116"/>
      <c r="BK108" s="116"/>
      <c r="BL108" s="116"/>
      <c r="BM108" s="116"/>
      <c r="BN108" s="116"/>
      <c r="BO108" s="116"/>
      <c r="BP108" s="116"/>
      <c r="BQ108" s="116"/>
      <c r="BR108" s="116"/>
      <c r="BS108" s="116"/>
      <c r="BT108" s="116"/>
      <c r="BU108" s="116"/>
      <c r="BV108" s="116"/>
      <c r="BW108" s="116"/>
      <c r="BX108" s="116"/>
      <c r="BY108" s="6"/>
      <c r="BZ108" s="6"/>
      <c r="CA108" s="6"/>
      <c r="CB108" s="6"/>
      <c r="CC108" s="6"/>
    </row>
    <row r="109" spans="1:81" x14ac:dyDescent="0.2">
      <c r="A109" s="5"/>
      <c r="B109" s="5"/>
      <c r="C109" s="5"/>
      <c r="D109" s="5"/>
      <c r="E109" s="5"/>
      <c r="F109" s="5"/>
      <c r="G109" s="5"/>
      <c r="H109" s="5"/>
      <c r="I109" s="5"/>
      <c r="J109" s="5"/>
      <c r="K109" s="5"/>
      <c r="L109" s="5"/>
      <c r="M109" s="116"/>
      <c r="N109" s="116"/>
      <c r="O109" s="116"/>
      <c r="P109" s="116"/>
      <c r="Q109" s="238"/>
      <c r="R109" s="5"/>
      <c r="S109" s="5"/>
      <c r="T109" s="5"/>
      <c r="U109" s="5"/>
      <c r="V109" s="5"/>
      <c r="W109" s="5"/>
      <c r="X109" s="5"/>
      <c r="Y109" s="5"/>
      <c r="Z109" s="168"/>
      <c r="AA109" s="116"/>
      <c r="AB109" s="116"/>
      <c r="AC109" s="116"/>
      <c r="AD109" s="116"/>
      <c r="AE109" s="116"/>
      <c r="AF109" s="116"/>
      <c r="AG109" s="116"/>
      <c r="AH109" s="116"/>
      <c r="AI109" s="116"/>
      <c r="AJ109" s="116"/>
      <c r="AK109" s="116"/>
      <c r="AL109" s="116"/>
      <c r="AM109" s="116"/>
      <c r="AN109" s="116"/>
      <c r="AO109" s="116"/>
      <c r="AP109" s="116"/>
      <c r="AQ109" s="116"/>
      <c r="AR109" s="116"/>
      <c r="AS109" s="116"/>
      <c r="AT109" s="116"/>
      <c r="AU109" s="116"/>
      <c r="AV109" s="116"/>
      <c r="AW109" s="116"/>
      <c r="AX109" s="116"/>
      <c r="AY109" s="116"/>
      <c r="AZ109" s="116"/>
      <c r="BA109" s="116"/>
      <c r="BB109" s="116"/>
      <c r="BC109" s="116"/>
      <c r="BD109" s="116"/>
      <c r="BE109" s="116"/>
      <c r="BF109" s="116"/>
      <c r="BG109" s="116"/>
      <c r="BH109" s="116"/>
      <c r="BI109" s="116"/>
      <c r="BJ109" s="116"/>
      <c r="BK109" s="116"/>
      <c r="BL109" s="116"/>
      <c r="BM109" s="116"/>
      <c r="BN109" s="116"/>
      <c r="BO109" s="116"/>
      <c r="BP109" s="116"/>
      <c r="BQ109" s="116"/>
      <c r="BR109" s="116"/>
      <c r="BS109" s="116"/>
      <c r="BT109" s="116"/>
      <c r="BU109" s="116"/>
      <c r="BV109" s="116"/>
      <c r="BW109" s="116"/>
      <c r="BX109" s="116"/>
      <c r="BY109" s="6"/>
      <c r="BZ109" s="6"/>
      <c r="CA109" s="6"/>
      <c r="CB109" s="6"/>
      <c r="CC109" s="6"/>
    </row>
    <row r="110" spans="1:81" x14ac:dyDescent="0.2">
      <c r="A110" s="5"/>
      <c r="B110" s="5"/>
      <c r="C110" s="5"/>
      <c r="D110" s="5"/>
      <c r="E110" s="5"/>
      <c r="F110" s="5"/>
      <c r="G110" s="5"/>
      <c r="H110" s="5"/>
      <c r="I110" s="5"/>
      <c r="J110" s="5"/>
      <c r="K110" s="5"/>
      <c r="L110" s="5"/>
      <c r="M110" s="116"/>
      <c r="N110" s="116"/>
      <c r="O110" s="116"/>
      <c r="P110" s="116"/>
      <c r="Q110" s="238"/>
      <c r="R110" s="5"/>
      <c r="S110" s="5"/>
      <c r="T110" s="5"/>
      <c r="U110" s="5"/>
      <c r="V110" s="5"/>
      <c r="W110" s="5"/>
      <c r="X110" s="5"/>
      <c r="Y110" s="5"/>
      <c r="Z110" s="168"/>
      <c r="AA110" s="116"/>
      <c r="AB110" s="116"/>
      <c r="AC110" s="116"/>
      <c r="AD110" s="116"/>
      <c r="AE110" s="116"/>
      <c r="AF110" s="116"/>
      <c r="AG110" s="116"/>
      <c r="AH110" s="116"/>
      <c r="AI110" s="116"/>
      <c r="AJ110" s="116"/>
      <c r="AK110" s="116"/>
      <c r="AL110" s="116"/>
      <c r="AM110" s="116"/>
      <c r="AN110" s="116"/>
      <c r="AO110" s="116"/>
      <c r="AP110" s="116"/>
      <c r="AQ110" s="116"/>
      <c r="AR110" s="116"/>
      <c r="AS110" s="116"/>
      <c r="AT110" s="116"/>
      <c r="AU110" s="116"/>
      <c r="AV110" s="116"/>
      <c r="AW110" s="116"/>
      <c r="AX110" s="116"/>
      <c r="AY110" s="116"/>
      <c r="AZ110" s="116"/>
      <c r="BA110" s="116"/>
      <c r="BB110" s="116"/>
      <c r="BC110" s="116"/>
      <c r="BD110" s="116"/>
      <c r="BE110" s="116"/>
      <c r="BF110" s="116"/>
      <c r="BG110" s="116"/>
      <c r="BH110" s="116"/>
      <c r="BI110" s="116"/>
      <c r="BJ110" s="116"/>
      <c r="BK110" s="116"/>
      <c r="BL110" s="116"/>
      <c r="BM110" s="116"/>
      <c r="BN110" s="116"/>
      <c r="BO110" s="116"/>
      <c r="BP110" s="116"/>
      <c r="BQ110" s="116"/>
      <c r="BR110" s="116"/>
      <c r="BS110" s="116"/>
      <c r="BT110" s="116"/>
      <c r="BU110" s="116"/>
      <c r="BV110" s="116"/>
      <c r="BW110" s="116"/>
      <c r="BX110" s="116"/>
      <c r="BY110" s="6"/>
      <c r="BZ110" s="6"/>
      <c r="CA110" s="6"/>
      <c r="CB110" s="6"/>
      <c r="CC110" s="6"/>
    </row>
    <row r="111" spans="1:81" x14ac:dyDescent="0.2">
      <c r="A111" s="5"/>
      <c r="B111" s="5"/>
      <c r="C111" s="5"/>
      <c r="D111" s="5"/>
      <c r="E111" s="5"/>
      <c r="F111" s="5"/>
      <c r="G111" s="5"/>
      <c r="H111" s="5"/>
      <c r="I111" s="5"/>
      <c r="J111" s="5"/>
      <c r="K111" s="5"/>
      <c r="L111" s="5"/>
      <c r="M111" s="116"/>
      <c r="N111" s="116"/>
      <c r="O111" s="116"/>
      <c r="P111" s="116"/>
      <c r="Q111" s="238"/>
      <c r="R111" s="5"/>
      <c r="S111" s="5"/>
      <c r="T111" s="5"/>
      <c r="U111" s="5"/>
      <c r="V111" s="5"/>
      <c r="W111" s="5"/>
      <c r="X111" s="5"/>
      <c r="Y111" s="5"/>
      <c r="Z111" s="168"/>
      <c r="AA111" s="116"/>
      <c r="AB111" s="116"/>
      <c r="AC111" s="116"/>
      <c r="AD111" s="116"/>
      <c r="AE111" s="116"/>
      <c r="AF111" s="116"/>
      <c r="AG111" s="116"/>
      <c r="AH111" s="116"/>
      <c r="AI111" s="116"/>
      <c r="AJ111" s="116"/>
      <c r="AK111" s="116"/>
      <c r="AL111" s="116"/>
      <c r="AM111" s="116"/>
      <c r="AN111" s="116"/>
      <c r="AO111" s="116"/>
      <c r="AP111" s="116"/>
      <c r="AQ111" s="116"/>
      <c r="AR111" s="116"/>
      <c r="AS111" s="116"/>
      <c r="AT111" s="116"/>
      <c r="AU111" s="116"/>
      <c r="AV111" s="116"/>
      <c r="AW111" s="116"/>
      <c r="AX111" s="116"/>
      <c r="AY111" s="116"/>
      <c r="AZ111" s="116"/>
      <c r="BA111" s="116"/>
      <c r="BB111" s="116"/>
      <c r="BC111" s="116"/>
      <c r="BD111" s="116"/>
      <c r="BE111" s="116"/>
      <c r="BF111" s="116"/>
      <c r="BG111" s="116"/>
      <c r="BH111" s="116"/>
      <c r="BI111" s="116"/>
      <c r="BJ111" s="116"/>
      <c r="BK111" s="116"/>
      <c r="BL111" s="116"/>
      <c r="BM111" s="116"/>
      <c r="BN111" s="116"/>
      <c r="BO111" s="116"/>
      <c r="BP111" s="116"/>
      <c r="BQ111" s="116"/>
      <c r="BR111" s="116"/>
      <c r="BS111" s="116"/>
      <c r="BT111" s="116"/>
      <c r="BU111" s="116"/>
      <c r="BV111" s="116"/>
      <c r="BW111" s="116"/>
      <c r="BX111" s="116"/>
      <c r="BY111" s="6"/>
      <c r="BZ111" s="6"/>
      <c r="CA111" s="6"/>
      <c r="CB111" s="6"/>
      <c r="CC111" s="6"/>
    </row>
    <row r="112" spans="1:81" x14ac:dyDescent="0.2">
      <c r="A112" s="5"/>
      <c r="B112" s="5"/>
      <c r="C112" s="5"/>
      <c r="D112" s="5"/>
      <c r="E112" s="5"/>
      <c r="F112" s="5"/>
      <c r="G112" s="5"/>
      <c r="H112" s="5"/>
      <c r="I112" s="5"/>
      <c r="J112" s="5"/>
      <c r="K112" s="5"/>
      <c r="L112" s="5"/>
      <c r="M112" s="116"/>
      <c r="N112" s="116"/>
      <c r="O112" s="116"/>
      <c r="P112" s="116"/>
      <c r="Q112" s="238"/>
      <c r="R112" s="5"/>
      <c r="S112" s="5"/>
      <c r="T112" s="5"/>
      <c r="U112" s="5"/>
      <c r="V112" s="5"/>
      <c r="W112" s="5"/>
      <c r="X112" s="5"/>
      <c r="Y112" s="5"/>
      <c r="Z112" s="168"/>
      <c r="AA112" s="116"/>
      <c r="AB112" s="116"/>
      <c r="AC112" s="116"/>
      <c r="AD112" s="116"/>
      <c r="AE112" s="116"/>
      <c r="AF112" s="116"/>
      <c r="AG112" s="116"/>
      <c r="AH112" s="116"/>
      <c r="AI112" s="116"/>
      <c r="AJ112" s="116"/>
      <c r="AK112" s="116"/>
      <c r="AL112" s="116"/>
      <c r="AM112" s="116"/>
      <c r="AN112" s="116"/>
      <c r="AO112" s="116"/>
      <c r="AP112" s="116"/>
      <c r="AQ112" s="116"/>
      <c r="AR112" s="116"/>
      <c r="AS112" s="116"/>
      <c r="AT112" s="116"/>
      <c r="AU112" s="116"/>
      <c r="AV112" s="116"/>
      <c r="AW112" s="116"/>
      <c r="AX112" s="116"/>
      <c r="AY112" s="116"/>
      <c r="AZ112" s="116"/>
      <c r="BA112" s="116"/>
      <c r="BB112" s="116"/>
      <c r="BC112" s="116"/>
      <c r="BD112" s="116"/>
      <c r="BE112" s="116"/>
      <c r="BF112" s="116"/>
      <c r="BG112" s="116"/>
      <c r="BH112" s="116"/>
      <c r="BI112" s="116"/>
      <c r="BJ112" s="116"/>
      <c r="BK112" s="116"/>
      <c r="BL112" s="116"/>
      <c r="BM112" s="116"/>
      <c r="BN112" s="116"/>
      <c r="BO112" s="116"/>
      <c r="BP112" s="116"/>
      <c r="BQ112" s="116"/>
      <c r="BR112" s="116"/>
      <c r="BS112" s="116"/>
      <c r="BT112" s="116"/>
      <c r="BU112" s="116"/>
      <c r="BV112" s="116"/>
      <c r="BW112" s="116"/>
      <c r="BX112" s="116"/>
      <c r="BY112" s="6"/>
      <c r="BZ112" s="6"/>
      <c r="CA112" s="6"/>
      <c r="CB112" s="6"/>
      <c r="CC112" s="6"/>
    </row>
    <row r="113" spans="1:81" x14ac:dyDescent="0.2">
      <c r="A113" s="5"/>
      <c r="B113" s="5"/>
      <c r="C113" s="5"/>
      <c r="D113" s="5"/>
      <c r="E113" s="5"/>
      <c r="F113" s="5"/>
      <c r="G113" s="5"/>
      <c r="H113" s="5"/>
      <c r="I113" s="5"/>
      <c r="J113" s="5"/>
      <c r="K113" s="5"/>
      <c r="L113" s="5"/>
      <c r="M113" s="116"/>
      <c r="N113" s="116"/>
      <c r="O113" s="116"/>
      <c r="P113" s="116"/>
      <c r="Q113" s="238"/>
      <c r="R113" s="5"/>
      <c r="S113" s="5"/>
      <c r="T113" s="5"/>
      <c r="U113" s="5"/>
      <c r="V113" s="5"/>
      <c r="W113" s="5"/>
      <c r="X113" s="5"/>
      <c r="Y113" s="5"/>
      <c r="Z113" s="168"/>
      <c r="AA113" s="116"/>
      <c r="AB113" s="116"/>
      <c r="AC113" s="116"/>
      <c r="AD113" s="116"/>
      <c r="AE113" s="116"/>
      <c r="AF113" s="116"/>
      <c r="AG113" s="116"/>
      <c r="AH113" s="116"/>
      <c r="AI113" s="116"/>
      <c r="AJ113" s="116"/>
      <c r="AK113" s="116"/>
      <c r="AL113" s="116"/>
      <c r="AM113" s="116"/>
      <c r="AN113" s="116"/>
      <c r="AO113" s="116"/>
      <c r="AP113" s="116"/>
      <c r="AQ113" s="116"/>
      <c r="AR113" s="116"/>
      <c r="AS113" s="116"/>
      <c r="AT113" s="116"/>
      <c r="AU113" s="116"/>
      <c r="AV113" s="116"/>
      <c r="AW113" s="116"/>
      <c r="AX113" s="116"/>
      <c r="AY113" s="116"/>
      <c r="AZ113" s="116"/>
      <c r="BA113" s="116"/>
      <c r="BB113" s="116"/>
      <c r="BC113" s="116"/>
      <c r="BD113" s="116"/>
      <c r="BE113" s="116"/>
      <c r="BF113" s="116"/>
      <c r="BG113" s="116"/>
      <c r="BH113" s="116"/>
      <c r="BI113" s="116"/>
      <c r="BJ113" s="116"/>
      <c r="BK113" s="116"/>
      <c r="BL113" s="116"/>
      <c r="BM113" s="116"/>
      <c r="BN113" s="116"/>
      <c r="BO113" s="116"/>
      <c r="BP113" s="116"/>
      <c r="BQ113" s="116"/>
      <c r="BR113" s="116"/>
      <c r="BS113" s="116"/>
      <c r="BT113" s="116"/>
      <c r="BU113" s="116"/>
      <c r="BV113" s="116"/>
      <c r="BW113" s="116"/>
      <c r="BX113" s="116"/>
      <c r="BY113" s="6"/>
      <c r="BZ113" s="6"/>
      <c r="CA113" s="6"/>
      <c r="CB113" s="6"/>
      <c r="CC113" s="6"/>
    </row>
    <row r="114" spans="1:81" x14ac:dyDescent="0.2">
      <c r="A114" s="5"/>
      <c r="B114" s="5"/>
      <c r="C114" s="5"/>
      <c r="D114" s="5"/>
      <c r="E114" s="5"/>
      <c r="F114" s="5"/>
      <c r="G114" s="5"/>
      <c r="H114" s="5"/>
      <c r="I114" s="5"/>
      <c r="J114" s="5"/>
      <c r="K114" s="5"/>
      <c r="L114" s="5"/>
      <c r="M114" s="116"/>
      <c r="N114" s="116"/>
      <c r="O114" s="116"/>
      <c r="P114" s="116"/>
      <c r="Q114" s="238"/>
      <c r="R114" s="5"/>
      <c r="S114" s="5"/>
      <c r="T114" s="5"/>
      <c r="U114" s="5"/>
      <c r="V114" s="5"/>
      <c r="W114" s="5"/>
      <c r="X114" s="5"/>
      <c r="Y114" s="5"/>
      <c r="Z114" s="168"/>
      <c r="AA114" s="116"/>
      <c r="AB114" s="116"/>
      <c r="AC114" s="116"/>
      <c r="AD114" s="116"/>
      <c r="AE114" s="116"/>
      <c r="AF114" s="116"/>
      <c r="AG114" s="116"/>
      <c r="AH114" s="116"/>
      <c r="AI114" s="116"/>
      <c r="AJ114" s="116"/>
      <c r="AK114" s="116"/>
      <c r="AL114" s="116"/>
      <c r="AM114" s="116"/>
      <c r="AN114" s="116"/>
      <c r="AO114" s="116"/>
      <c r="AP114" s="116"/>
      <c r="AQ114" s="116"/>
      <c r="AR114" s="116"/>
      <c r="AS114" s="116"/>
      <c r="AT114" s="116"/>
      <c r="AU114" s="116"/>
      <c r="AV114" s="116"/>
      <c r="AW114" s="116"/>
      <c r="AX114" s="116"/>
      <c r="AY114" s="116"/>
      <c r="AZ114" s="116"/>
      <c r="BA114" s="116"/>
      <c r="BB114" s="116"/>
      <c r="BC114" s="116"/>
      <c r="BD114" s="116"/>
      <c r="BE114" s="116"/>
      <c r="BF114" s="116"/>
      <c r="BG114" s="116"/>
      <c r="BH114" s="116"/>
      <c r="BI114" s="116"/>
      <c r="BJ114" s="116"/>
      <c r="BK114" s="116"/>
      <c r="BL114" s="116"/>
      <c r="BM114" s="116"/>
      <c r="BN114" s="116"/>
      <c r="BO114" s="116"/>
      <c r="BP114" s="116"/>
      <c r="BQ114" s="116"/>
      <c r="BR114" s="116"/>
      <c r="BS114" s="116"/>
      <c r="BT114" s="116"/>
      <c r="BU114" s="116"/>
      <c r="BV114" s="116"/>
      <c r="BW114" s="116"/>
      <c r="BX114" s="116"/>
      <c r="BY114" s="6"/>
      <c r="BZ114" s="6"/>
      <c r="CA114" s="6"/>
      <c r="CB114" s="6"/>
      <c r="CC114" s="6"/>
    </row>
    <row r="115" spans="1:81" x14ac:dyDescent="0.2">
      <c r="A115" s="5"/>
      <c r="B115" s="5"/>
      <c r="C115" s="5"/>
      <c r="D115" s="5"/>
      <c r="E115" s="5"/>
      <c r="F115" s="5"/>
      <c r="G115" s="5"/>
      <c r="H115" s="5"/>
      <c r="I115" s="5"/>
      <c r="J115" s="5"/>
      <c r="K115" s="5"/>
      <c r="L115" s="5"/>
      <c r="M115" s="116"/>
      <c r="N115" s="116"/>
      <c r="O115" s="116"/>
      <c r="P115" s="116"/>
      <c r="Q115" s="238"/>
      <c r="R115" s="5"/>
      <c r="S115" s="5"/>
      <c r="T115" s="5"/>
      <c r="U115" s="5"/>
      <c r="V115" s="5"/>
      <c r="W115" s="5"/>
      <c r="X115" s="5"/>
      <c r="Y115" s="5"/>
      <c r="Z115" s="168"/>
      <c r="AA115" s="116"/>
      <c r="AB115" s="116"/>
      <c r="AC115" s="116"/>
      <c r="AD115" s="116"/>
      <c r="AE115" s="116"/>
      <c r="AF115" s="116"/>
      <c r="AG115" s="116"/>
      <c r="AH115" s="116"/>
      <c r="AI115" s="116"/>
      <c r="AJ115" s="116"/>
      <c r="AK115" s="116"/>
      <c r="AL115" s="116"/>
      <c r="AM115" s="116"/>
      <c r="AN115" s="116"/>
      <c r="AO115" s="116"/>
      <c r="AP115" s="116"/>
      <c r="AQ115" s="116"/>
      <c r="AR115" s="116"/>
      <c r="AS115" s="116"/>
      <c r="AT115" s="116"/>
      <c r="AU115" s="116"/>
      <c r="AV115" s="116"/>
      <c r="AW115" s="116"/>
      <c r="AX115" s="116"/>
      <c r="AY115" s="116"/>
      <c r="AZ115" s="116"/>
      <c r="BA115" s="116"/>
      <c r="BB115" s="116"/>
      <c r="BC115" s="116"/>
      <c r="BD115" s="116"/>
      <c r="BE115" s="116"/>
      <c r="BF115" s="116"/>
      <c r="BG115" s="116"/>
      <c r="BH115" s="116"/>
      <c r="BI115" s="116"/>
      <c r="BJ115" s="116"/>
      <c r="BK115" s="116"/>
      <c r="BL115" s="116"/>
      <c r="BM115" s="116"/>
      <c r="BN115" s="116"/>
      <c r="BO115" s="116"/>
      <c r="BP115" s="116"/>
      <c r="BQ115" s="116"/>
      <c r="BR115" s="116"/>
      <c r="BS115" s="116"/>
      <c r="BT115" s="116"/>
      <c r="BU115" s="116"/>
      <c r="BV115" s="116"/>
      <c r="BW115" s="116"/>
      <c r="BX115" s="116"/>
      <c r="BY115" s="6"/>
      <c r="BZ115" s="6"/>
      <c r="CA115" s="6"/>
      <c r="CB115" s="6"/>
      <c r="CC115" s="6"/>
    </row>
    <row r="116" spans="1:81" x14ac:dyDescent="0.2">
      <c r="A116" s="5"/>
      <c r="B116" s="5"/>
      <c r="C116" s="5"/>
      <c r="D116" s="5"/>
      <c r="E116" s="5"/>
      <c r="F116" s="5"/>
      <c r="G116" s="5"/>
      <c r="H116" s="5"/>
      <c r="I116" s="5"/>
      <c r="J116" s="5"/>
      <c r="K116" s="5"/>
      <c r="L116" s="5"/>
      <c r="M116" s="116"/>
      <c r="N116" s="116"/>
      <c r="O116" s="116"/>
      <c r="P116" s="116"/>
      <c r="Q116" s="238"/>
      <c r="R116" s="5"/>
      <c r="S116" s="5"/>
      <c r="T116" s="5"/>
      <c r="U116" s="5"/>
      <c r="V116" s="5"/>
      <c r="W116" s="5"/>
      <c r="X116" s="5"/>
      <c r="Y116" s="5"/>
      <c r="Z116" s="168"/>
      <c r="AA116" s="116"/>
      <c r="AB116" s="116"/>
      <c r="AC116" s="116"/>
      <c r="AD116" s="116"/>
      <c r="AE116" s="116"/>
      <c r="AF116" s="116"/>
      <c r="AG116" s="116"/>
      <c r="AH116" s="116"/>
      <c r="AI116" s="116"/>
      <c r="AJ116" s="116"/>
      <c r="AK116" s="116"/>
      <c r="AL116" s="116"/>
      <c r="AM116" s="116"/>
      <c r="AN116" s="116"/>
      <c r="AO116" s="116"/>
      <c r="AP116" s="116"/>
      <c r="AQ116" s="116"/>
      <c r="AR116" s="116"/>
      <c r="AS116" s="116"/>
      <c r="AT116" s="116"/>
      <c r="AU116" s="116"/>
      <c r="AV116" s="116"/>
      <c r="AW116" s="116"/>
      <c r="AX116" s="116"/>
      <c r="AY116" s="116"/>
      <c r="AZ116" s="116"/>
      <c r="BA116" s="116"/>
      <c r="BB116" s="116"/>
      <c r="BC116" s="116"/>
      <c r="BD116" s="116"/>
      <c r="BE116" s="116"/>
      <c r="BF116" s="116"/>
      <c r="BG116" s="116"/>
      <c r="BH116" s="116"/>
      <c r="BI116" s="116"/>
      <c r="BJ116" s="116"/>
      <c r="BK116" s="116"/>
      <c r="BL116" s="116"/>
      <c r="BM116" s="116"/>
      <c r="BN116" s="116"/>
      <c r="BO116" s="116"/>
      <c r="BP116" s="116"/>
      <c r="BQ116" s="116"/>
      <c r="BR116" s="116"/>
      <c r="BS116" s="116"/>
      <c r="BT116" s="116"/>
      <c r="BU116" s="116"/>
      <c r="BV116" s="116"/>
      <c r="BW116" s="116"/>
      <c r="BX116" s="116"/>
      <c r="BY116" s="6"/>
      <c r="BZ116" s="6"/>
      <c r="CA116" s="6"/>
      <c r="CB116" s="6"/>
      <c r="CC116" s="6"/>
    </row>
    <row r="117" spans="1:81" x14ac:dyDescent="0.2">
      <c r="A117" s="5"/>
      <c r="B117" s="5"/>
      <c r="C117" s="5"/>
      <c r="D117" s="5"/>
      <c r="E117" s="5"/>
      <c r="F117" s="5"/>
      <c r="G117" s="5"/>
      <c r="H117" s="5"/>
      <c r="I117" s="5"/>
      <c r="J117" s="5"/>
      <c r="K117" s="5"/>
      <c r="L117" s="5"/>
      <c r="M117" s="116"/>
      <c r="N117" s="116"/>
      <c r="O117" s="116"/>
      <c r="P117" s="116"/>
      <c r="Q117" s="238"/>
      <c r="R117" s="5"/>
      <c r="S117" s="5"/>
      <c r="T117" s="5"/>
      <c r="U117" s="5"/>
      <c r="V117" s="5"/>
      <c r="W117" s="5"/>
      <c r="X117" s="5"/>
      <c r="Y117" s="5"/>
      <c r="Z117" s="168"/>
      <c r="AA117" s="116"/>
      <c r="AB117" s="116"/>
      <c r="AC117" s="116"/>
      <c r="AD117" s="116"/>
      <c r="AE117" s="116"/>
      <c r="AF117" s="116"/>
      <c r="AG117" s="116"/>
      <c r="AH117" s="116"/>
      <c r="AI117" s="116"/>
      <c r="AJ117" s="116"/>
      <c r="AK117" s="116"/>
      <c r="AL117" s="116"/>
      <c r="AM117" s="116"/>
      <c r="AN117" s="116"/>
      <c r="AO117" s="116"/>
      <c r="AP117" s="116"/>
      <c r="AQ117" s="116"/>
      <c r="AR117" s="116"/>
      <c r="AS117" s="116"/>
      <c r="AT117" s="116"/>
      <c r="AU117" s="116"/>
      <c r="AV117" s="116"/>
      <c r="AW117" s="116"/>
      <c r="AX117" s="116"/>
      <c r="AY117" s="116"/>
      <c r="AZ117" s="116"/>
      <c r="BA117" s="116"/>
      <c r="BB117" s="116"/>
      <c r="BC117" s="116"/>
      <c r="BD117" s="116"/>
      <c r="BE117" s="116"/>
      <c r="BF117" s="116"/>
      <c r="BG117" s="116"/>
      <c r="BH117" s="116"/>
      <c r="BI117" s="116"/>
      <c r="BJ117" s="116"/>
      <c r="BK117" s="116"/>
      <c r="BL117" s="116"/>
      <c r="BM117" s="116"/>
      <c r="BN117" s="116"/>
      <c r="BO117" s="116"/>
      <c r="BP117" s="116"/>
      <c r="BQ117" s="116"/>
      <c r="BR117" s="116"/>
      <c r="BS117" s="116"/>
      <c r="BT117" s="116"/>
      <c r="BU117" s="116"/>
      <c r="BV117" s="116"/>
      <c r="BW117" s="116"/>
      <c r="BX117" s="116"/>
      <c r="BY117" s="6"/>
      <c r="BZ117" s="6"/>
      <c r="CA117" s="6"/>
      <c r="CB117" s="6"/>
      <c r="CC117" s="6"/>
    </row>
    <row r="118" spans="1:81" x14ac:dyDescent="0.2">
      <c r="A118" s="5"/>
      <c r="B118" s="5"/>
      <c r="C118" s="5"/>
      <c r="D118" s="5"/>
      <c r="E118" s="5"/>
      <c r="F118" s="5"/>
      <c r="G118" s="5"/>
      <c r="H118" s="5"/>
      <c r="I118" s="5"/>
      <c r="J118" s="5"/>
      <c r="K118" s="5"/>
      <c r="L118" s="5"/>
      <c r="M118" s="116"/>
      <c r="N118" s="116"/>
      <c r="O118" s="116"/>
      <c r="P118" s="116"/>
      <c r="Q118" s="238"/>
      <c r="R118" s="5"/>
      <c r="S118" s="5"/>
      <c r="T118" s="5"/>
      <c r="U118" s="5"/>
      <c r="V118" s="5"/>
      <c r="W118" s="5"/>
      <c r="X118" s="5"/>
      <c r="Y118" s="5"/>
      <c r="Z118" s="168"/>
      <c r="AA118" s="116"/>
      <c r="AB118" s="116"/>
      <c r="AC118" s="116"/>
      <c r="AD118" s="116"/>
      <c r="AE118" s="116"/>
      <c r="AF118" s="116"/>
      <c r="AG118" s="116"/>
      <c r="AH118" s="116"/>
      <c r="AI118" s="116"/>
      <c r="AJ118" s="116"/>
      <c r="AK118" s="116"/>
      <c r="AL118" s="116"/>
      <c r="AM118" s="116"/>
      <c r="AN118" s="116"/>
      <c r="AO118" s="116"/>
      <c r="AP118" s="116"/>
      <c r="AQ118" s="116"/>
      <c r="AR118" s="116"/>
      <c r="AS118" s="116"/>
      <c r="AT118" s="116"/>
      <c r="AU118" s="116"/>
      <c r="AV118" s="116"/>
      <c r="AW118" s="116"/>
      <c r="AX118" s="116"/>
      <c r="AY118" s="116"/>
      <c r="AZ118" s="116"/>
      <c r="BA118" s="116"/>
      <c r="BB118" s="116"/>
      <c r="BC118" s="116"/>
      <c r="BD118" s="116"/>
      <c r="BE118" s="116"/>
      <c r="BF118" s="116"/>
      <c r="BG118" s="116"/>
      <c r="BH118" s="116"/>
      <c r="BI118" s="116"/>
      <c r="BJ118" s="116"/>
      <c r="BK118" s="116"/>
      <c r="BL118" s="116"/>
      <c r="BM118" s="116"/>
      <c r="BN118" s="116"/>
      <c r="BO118" s="116"/>
      <c r="BP118" s="116"/>
      <c r="BQ118" s="116"/>
      <c r="BR118" s="116"/>
      <c r="BS118" s="116"/>
      <c r="BT118" s="116"/>
      <c r="BU118" s="116"/>
      <c r="BV118" s="116"/>
      <c r="BW118" s="116"/>
      <c r="BX118" s="116"/>
      <c r="BY118" s="6"/>
      <c r="BZ118" s="6"/>
      <c r="CA118" s="6"/>
      <c r="CB118" s="6"/>
      <c r="CC118" s="6"/>
    </row>
    <row r="119" spans="1:81" x14ac:dyDescent="0.2">
      <c r="R119" s="5"/>
      <c r="S119" s="5"/>
      <c r="T119" s="5"/>
      <c r="U119" s="5"/>
      <c r="V119" s="5"/>
      <c r="W119" s="5"/>
      <c r="X119" s="5"/>
      <c r="Y119" s="5"/>
    </row>
    <row r="120" spans="1:81" x14ac:dyDescent="0.2">
      <c r="R120" s="5"/>
      <c r="S120" s="5"/>
      <c r="T120" s="5"/>
      <c r="U120" s="5"/>
      <c r="V120" s="5"/>
      <c r="W120" s="5"/>
      <c r="X120" s="5"/>
      <c r="Y120" s="5"/>
    </row>
    <row r="121" spans="1:81" x14ac:dyDescent="0.2">
      <c r="R121" s="5"/>
      <c r="S121" s="5"/>
      <c r="T121" s="5"/>
      <c r="U121" s="5"/>
      <c r="V121" s="5"/>
      <c r="W121" s="5"/>
      <c r="X121" s="5"/>
      <c r="Y121" s="5"/>
    </row>
    <row r="122" spans="1:81" x14ac:dyDescent="0.2">
      <c r="R122" s="5"/>
      <c r="S122" s="5"/>
      <c r="T122" s="5"/>
      <c r="U122" s="5"/>
      <c r="V122" s="5"/>
      <c r="W122" s="5"/>
      <c r="X122" s="5"/>
      <c r="Y122" s="5"/>
    </row>
    <row r="123" spans="1:81" x14ac:dyDescent="0.2">
      <c r="R123" s="5"/>
      <c r="S123" s="5"/>
      <c r="T123" s="5"/>
      <c r="U123" s="5"/>
      <c r="V123" s="5"/>
      <c r="W123" s="5"/>
      <c r="X123" s="5"/>
      <c r="Y123" s="5"/>
    </row>
    <row r="124" spans="1:81" x14ac:dyDescent="0.2">
      <c r="R124" s="5"/>
      <c r="S124" s="5"/>
      <c r="T124" s="5"/>
      <c r="U124" s="5"/>
      <c r="V124" s="5"/>
      <c r="W124" s="5"/>
      <c r="X124" s="5"/>
      <c r="Y124" s="5"/>
    </row>
    <row r="125" spans="1:81" x14ac:dyDescent="0.2">
      <c r="R125" s="5"/>
      <c r="S125" s="5"/>
      <c r="T125" s="5"/>
      <c r="U125" s="5"/>
      <c r="V125" s="5"/>
      <c r="W125" s="5"/>
      <c r="X125" s="5"/>
      <c r="Y125" s="5"/>
    </row>
    <row r="126" spans="1:81" x14ac:dyDescent="0.2">
      <c r="R126" s="5"/>
      <c r="S126" s="5"/>
      <c r="T126" s="5"/>
      <c r="U126" s="5"/>
      <c r="V126" s="5"/>
      <c r="W126" s="5"/>
      <c r="X126" s="5"/>
      <c r="Y126" s="5"/>
    </row>
    <row r="127" spans="1:81" x14ac:dyDescent="0.2">
      <c r="R127" s="5"/>
      <c r="S127" s="5"/>
      <c r="T127" s="5"/>
      <c r="U127" s="5"/>
      <c r="V127" s="5"/>
      <c r="W127" s="5"/>
      <c r="X127" s="5"/>
      <c r="Y127" s="5"/>
    </row>
    <row r="128" spans="1:81" x14ac:dyDescent="0.2">
      <c r="R128" s="5"/>
      <c r="S128" s="5"/>
      <c r="T128" s="5"/>
      <c r="U128" s="5"/>
      <c r="V128" s="5"/>
      <c r="W128" s="5"/>
      <c r="X128" s="5"/>
      <c r="Y128" s="5"/>
    </row>
    <row r="129" spans="18:25" x14ac:dyDescent="0.2">
      <c r="R129" s="5"/>
      <c r="S129" s="5"/>
      <c r="T129" s="5"/>
      <c r="U129" s="5"/>
      <c r="V129" s="5"/>
      <c r="W129" s="5"/>
      <c r="X129" s="5"/>
      <c r="Y129" s="5"/>
    </row>
    <row r="130" spans="18:25" x14ac:dyDescent="0.2">
      <c r="R130" s="5"/>
      <c r="S130" s="5"/>
      <c r="T130" s="5"/>
      <c r="U130" s="5"/>
      <c r="V130" s="5"/>
      <c r="W130" s="5"/>
      <c r="X130" s="5"/>
      <c r="Y130" s="5"/>
    </row>
    <row r="131" spans="18:25" x14ac:dyDescent="0.2">
      <c r="R131" s="5"/>
      <c r="S131" s="5"/>
      <c r="T131" s="5"/>
      <c r="U131" s="5"/>
      <c r="V131" s="5"/>
      <c r="W131" s="5"/>
      <c r="X131" s="5"/>
      <c r="Y131" s="5"/>
    </row>
    <row r="132" spans="18:25" x14ac:dyDescent="0.2">
      <c r="R132" s="5"/>
      <c r="S132" s="5"/>
      <c r="T132" s="5"/>
      <c r="U132" s="5"/>
      <c r="V132" s="5"/>
      <c r="W132" s="5"/>
      <c r="X132" s="5"/>
      <c r="Y132" s="5"/>
    </row>
    <row r="133" spans="18:25" x14ac:dyDescent="0.2">
      <c r="R133" s="5"/>
      <c r="S133" s="5"/>
      <c r="T133" s="5"/>
      <c r="U133" s="5"/>
      <c r="V133" s="5"/>
      <c r="W133" s="5"/>
      <c r="X133" s="5"/>
      <c r="Y133" s="5"/>
    </row>
    <row r="134" spans="18:25" x14ac:dyDescent="0.2">
      <c r="R134" s="5"/>
      <c r="S134" s="5"/>
      <c r="T134" s="5"/>
      <c r="U134" s="5"/>
      <c r="V134" s="5"/>
      <c r="W134" s="5"/>
      <c r="X134" s="5"/>
      <c r="Y134" s="5"/>
    </row>
    <row r="135" spans="18:25" x14ac:dyDescent="0.2">
      <c r="R135" s="5"/>
      <c r="S135" s="5"/>
      <c r="T135" s="5"/>
      <c r="U135" s="5"/>
      <c r="V135" s="5"/>
      <c r="W135" s="5"/>
      <c r="X135" s="5"/>
      <c r="Y135" s="5"/>
    </row>
    <row r="136" spans="18:25" x14ac:dyDescent="0.2">
      <c r="R136" s="5"/>
      <c r="S136" s="5"/>
      <c r="T136" s="5"/>
      <c r="U136" s="5"/>
      <c r="V136" s="5"/>
      <c r="W136" s="5"/>
      <c r="X136" s="5"/>
      <c r="Y136" s="5"/>
    </row>
    <row r="137" spans="18:25" x14ac:dyDescent="0.2">
      <c r="R137" s="5"/>
      <c r="S137" s="5"/>
      <c r="T137" s="5"/>
      <c r="U137" s="5"/>
      <c r="V137" s="5"/>
      <c r="W137" s="5"/>
      <c r="X137" s="5"/>
      <c r="Y137" s="5"/>
    </row>
    <row r="138" spans="18:25" x14ac:dyDescent="0.2">
      <c r="R138" s="5"/>
      <c r="S138" s="5"/>
      <c r="T138" s="5"/>
      <c r="U138" s="5"/>
      <c r="V138" s="5"/>
      <c r="W138" s="5"/>
      <c r="X138" s="5"/>
      <c r="Y138" s="5"/>
    </row>
    <row r="139" spans="18:25" x14ac:dyDescent="0.2">
      <c r="R139" s="5"/>
      <c r="S139" s="5"/>
      <c r="T139" s="5"/>
      <c r="U139" s="5"/>
      <c r="V139" s="5"/>
      <c r="W139" s="5"/>
      <c r="X139" s="5"/>
      <c r="Y139" s="5"/>
    </row>
    <row r="140" spans="18:25" x14ac:dyDescent="0.2">
      <c r="R140" s="5"/>
      <c r="S140" s="5"/>
      <c r="T140" s="5"/>
      <c r="U140" s="5"/>
      <c r="V140" s="5"/>
      <c r="W140" s="5"/>
      <c r="X140" s="5"/>
      <c r="Y140" s="5"/>
    </row>
    <row r="141" spans="18:25" x14ac:dyDescent="0.2">
      <c r="R141" s="5"/>
      <c r="S141" s="5"/>
      <c r="T141" s="5"/>
      <c r="U141" s="5"/>
      <c r="V141" s="5"/>
      <c r="W141" s="5"/>
      <c r="X141" s="5"/>
      <c r="Y141" s="5"/>
    </row>
    <row r="142" spans="18:25" x14ac:dyDescent="0.2">
      <c r="R142" s="5"/>
      <c r="S142" s="5"/>
      <c r="T142" s="5"/>
      <c r="U142" s="5"/>
      <c r="V142" s="5"/>
      <c r="W142" s="5"/>
      <c r="X142" s="5"/>
      <c r="Y142" s="5"/>
    </row>
    <row r="143" spans="18:25" x14ac:dyDescent="0.2">
      <c r="R143" s="5"/>
      <c r="S143" s="5"/>
      <c r="T143" s="5"/>
      <c r="U143" s="5"/>
      <c r="V143" s="5"/>
      <c r="W143" s="5"/>
      <c r="X143" s="5"/>
      <c r="Y143" s="5"/>
    </row>
    <row r="144" spans="18:25" x14ac:dyDescent="0.2">
      <c r="R144" s="5"/>
      <c r="S144" s="5"/>
      <c r="T144" s="5"/>
      <c r="U144" s="5"/>
      <c r="V144" s="5"/>
      <c r="W144" s="5"/>
      <c r="X144" s="5"/>
      <c r="Y144" s="5"/>
    </row>
    <row r="145" spans="18:25" x14ac:dyDescent="0.2">
      <c r="R145" s="5"/>
      <c r="S145" s="5"/>
      <c r="T145" s="5"/>
      <c r="U145" s="5"/>
      <c r="V145" s="5"/>
      <c r="W145" s="5"/>
      <c r="X145" s="5"/>
      <c r="Y145" s="5"/>
    </row>
    <row r="146" spans="18:25" x14ac:dyDescent="0.2">
      <c r="R146" s="5"/>
      <c r="S146" s="5"/>
      <c r="T146" s="5"/>
      <c r="U146" s="5"/>
      <c r="V146" s="5"/>
      <c r="W146" s="5"/>
      <c r="X146" s="5"/>
      <c r="Y146" s="5"/>
    </row>
    <row r="147" spans="18:25" x14ac:dyDescent="0.2">
      <c r="R147" s="5"/>
      <c r="S147" s="5"/>
      <c r="T147" s="5"/>
      <c r="U147" s="5"/>
      <c r="V147" s="5"/>
      <c r="W147" s="5"/>
      <c r="X147" s="5"/>
      <c r="Y147" s="5"/>
    </row>
    <row r="148" spans="18:25" x14ac:dyDescent="0.2">
      <c r="R148" s="5"/>
      <c r="S148" s="5"/>
      <c r="T148" s="5"/>
      <c r="U148" s="5"/>
      <c r="V148" s="5"/>
      <c r="W148" s="5"/>
      <c r="X148" s="5"/>
      <c r="Y148" s="5"/>
    </row>
    <row r="149" spans="18:25" x14ac:dyDescent="0.2">
      <c r="R149" s="5"/>
      <c r="S149" s="5"/>
      <c r="T149" s="5"/>
      <c r="U149" s="5"/>
      <c r="V149" s="5"/>
      <c r="W149" s="5"/>
      <c r="X149" s="5"/>
      <c r="Y149" s="5"/>
    </row>
    <row r="150" spans="18:25" x14ac:dyDescent="0.2">
      <c r="R150" s="5"/>
      <c r="S150" s="5"/>
      <c r="T150" s="5"/>
      <c r="U150" s="5"/>
      <c r="V150" s="5"/>
      <c r="W150" s="5"/>
      <c r="X150" s="5"/>
      <c r="Y150" s="5"/>
    </row>
    <row r="151" spans="18:25" x14ac:dyDescent="0.2">
      <c r="R151" s="5"/>
      <c r="S151" s="5"/>
      <c r="T151" s="5"/>
      <c r="U151" s="5"/>
      <c r="V151" s="5"/>
      <c r="W151" s="5"/>
      <c r="X151" s="5"/>
      <c r="Y151" s="5"/>
    </row>
    <row r="152" spans="18:25" x14ac:dyDescent="0.2">
      <c r="R152" s="5"/>
      <c r="S152" s="5"/>
      <c r="T152" s="5"/>
      <c r="U152" s="5"/>
      <c r="V152" s="5"/>
      <c r="W152" s="5"/>
      <c r="X152" s="5"/>
      <c r="Y152" s="5"/>
    </row>
    <row r="153" spans="18:25" x14ac:dyDescent="0.2">
      <c r="R153" s="5"/>
      <c r="S153" s="5"/>
      <c r="T153" s="5"/>
      <c r="U153" s="5"/>
      <c r="V153" s="5"/>
      <c r="W153" s="5"/>
      <c r="X153" s="5"/>
      <c r="Y153" s="5"/>
    </row>
    <row r="154" spans="18:25" x14ac:dyDescent="0.2">
      <c r="R154" s="5"/>
      <c r="S154" s="5"/>
      <c r="T154" s="5"/>
      <c r="U154" s="5"/>
      <c r="V154" s="5"/>
      <c r="W154" s="5"/>
      <c r="X154" s="5"/>
      <c r="Y154" s="5"/>
    </row>
    <row r="155" spans="18:25" x14ac:dyDescent="0.2">
      <c r="R155" s="5"/>
      <c r="S155" s="5"/>
      <c r="T155" s="5"/>
      <c r="U155" s="5"/>
      <c r="V155" s="5"/>
      <c r="W155" s="5"/>
      <c r="X155" s="5"/>
      <c r="Y155" s="5"/>
    </row>
    <row r="156" spans="18:25" x14ac:dyDescent="0.2">
      <c r="R156" s="5"/>
      <c r="S156" s="5"/>
      <c r="T156" s="5"/>
      <c r="U156" s="5"/>
      <c r="V156" s="5"/>
      <c r="W156" s="5"/>
      <c r="X156" s="5"/>
      <c r="Y156" s="5"/>
    </row>
    <row r="157" spans="18:25" x14ac:dyDescent="0.2">
      <c r="R157" s="5"/>
      <c r="S157" s="5"/>
      <c r="T157" s="5"/>
      <c r="U157" s="5"/>
      <c r="V157" s="5"/>
      <c r="W157" s="5"/>
      <c r="X157" s="5"/>
      <c r="Y157" s="5"/>
    </row>
    <row r="158" spans="18:25" x14ac:dyDescent="0.2">
      <c r="R158" s="5"/>
      <c r="S158" s="5"/>
      <c r="T158" s="5"/>
      <c r="U158" s="5"/>
      <c r="V158" s="5"/>
      <c r="W158" s="5"/>
      <c r="X158" s="5"/>
      <c r="Y158" s="5"/>
    </row>
    <row r="159" spans="18:25" x14ac:dyDescent="0.2">
      <c r="R159" s="5"/>
      <c r="S159" s="5"/>
      <c r="T159" s="5"/>
      <c r="U159" s="5"/>
      <c r="V159" s="5"/>
      <c r="W159" s="5"/>
      <c r="X159" s="5"/>
      <c r="Y159" s="5"/>
    </row>
    <row r="160" spans="18:25" x14ac:dyDescent="0.2">
      <c r="R160" s="5"/>
      <c r="S160" s="5"/>
      <c r="T160" s="5"/>
      <c r="U160" s="5"/>
      <c r="V160" s="5"/>
      <c r="W160" s="5"/>
      <c r="X160" s="5"/>
      <c r="Y160" s="5"/>
    </row>
    <row r="161" spans="18:25" x14ac:dyDescent="0.2">
      <c r="R161" s="5"/>
      <c r="S161" s="5"/>
      <c r="T161" s="5"/>
      <c r="U161" s="5"/>
      <c r="V161" s="5"/>
      <c r="W161" s="5"/>
      <c r="X161" s="5"/>
      <c r="Y161" s="5"/>
    </row>
    <row r="162" spans="18:25" x14ac:dyDescent="0.2">
      <c r="R162" s="5"/>
      <c r="S162" s="5"/>
      <c r="T162" s="5"/>
      <c r="U162" s="5"/>
      <c r="V162" s="5"/>
      <c r="W162" s="5"/>
      <c r="X162" s="5"/>
      <c r="Y162" s="5"/>
    </row>
    <row r="163" spans="18:25" x14ac:dyDescent="0.2">
      <c r="R163" s="5"/>
      <c r="S163" s="5"/>
      <c r="T163" s="5"/>
      <c r="U163" s="5"/>
      <c r="V163" s="5"/>
      <c r="W163" s="5"/>
      <c r="X163" s="5"/>
      <c r="Y163" s="5"/>
    </row>
    <row r="164" spans="18:25" x14ac:dyDescent="0.2">
      <c r="R164" s="5"/>
      <c r="S164" s="5"/>
      <c r="T164" s="5"/>
      <c r="U164" s="5"/>
      <c r="V164" s="5"/>
      <c r="W164" s="5"/>
      <c r="X164" s="5"/>
      <c r="Y164" s="5"/>
    </row>
    <row r="165" spans="18:25" x14ac:dyDescent="0.2">
      <c r="R165" s="5"/>
      <c r="S165" s="5"/>
      <c r="T165" s="5"/>
      <c r="U165" s="5"/>
      <c r="V165" s="5"/>
      <c r="W165" s="5"/>
      <c r="X165" s="5"/>
      <c r="Y165" s="5"/>
    </row>
    <row r="166" spans="18:25" x14ac:dyDescent="0.2">
      <c r="R166" s="5"/>
      <c r="S166" s="5"/>
      <c r="T166" s="5"/>
      <c r="U166" s="5"/>
      <c r="V166" s="5"/>
      <c r="W166" s="5"/>
      <c r="X166" s="5"/>
      <c r="Y166" s="5"/>
    </row>
    <row r="167" spans="18:25" x14ac:dyDescent="0.2">
      <c r="R167" s="5"/>
      <c r="S167" s="5"/>
      <c r="T167" s="5"/>
      <c r="U167" s="5"/>
      <c r="V167" s="5"/>
      <c r="W167" s="5"/>
      <c r="X167" s="5"/>
      <c r="Y167" s="5"/>
    </row>
    <row r="168" spans="18:25" x14ac:dyDescent="0.2">
      <c r="R168" s="5"/>
      <c r="S168" s="5"/>
      <c r="T168" s="5"/>
      <c r="U168" s="5"/>
      <c r="V168" s="5"/>
      <c r="W168" s="5"/>
      <c r="X168" s="5"/>
      <c r="Y168" s="5"/>
    </row>
    <row r="169" spans="18:25" x14ac:dyDescent="0.2">
      <c r="R169" s="5"/>
      <c r="S169" s="5"/>
      <c r="T169" s="5"/>
      <c r="U169" s="5"/>
      <c r="V169" s="5"/>
      <c r="W169" s="5"/>
      <c r="X169" s="5"/>
      <c r="Y169" s="5"/>
    </row>
    <row r="170" spans="18:25" x14ac:dyDescent="0.2">
      <c r="R170" s="5"/>
      <c r="S170" s="5"/>
      <c r="T170" s="5"/>
      <c r="U170" s="5"/>
      <c r="V170" s="5"/>
      <c r="W170" s="5"/>
      <c r="X170" s="5"/>
      <c r="Y170" s="5"/>
    </row>
    <row r="171" spans="18:25" x14ac:dyDescent="0.2">
      <c r="R171" s="5"/>
      <c r="S171" s="5"/>
      <c r="T171" s="5"/>
      <c r="U171" s="5"/>
      <c r="V171" s="5"/>
      <c r="W171" s="5"/>
      <c r="X171" s="5"/>
      <c r="Y171" s="5"/>
    </row>
    <row r="172" spans="18:25" x14ac:dyDescent="0.2">
      <c r="R172" s="5"/>
      <c r="S172" s="5"/>
      <c r="T172" s="5"/>
      <c r="U172" s="5"/>
      <c r="V172" s="5"/>
      <c r="W172" s="5"/>
      <c r="X172" s="5"/>
      <c r="Y172" s="5"/>
    </row>
    <row r="173" spans="18:25" x14ac:dyDescent="0.2">
      <c r="R173" s="5"/>
      <c r="S173" s="5"/>
      <c r="T173" s="5"/>
      <c r="U173" s="5"/>
      <c r="V173" s="5"/>
      <c r="W173" s="5"/>
      <c r="X173" s="5"/>
      <c r="Y173" s="5"/>
    </row>
    <row r="174" spans="18:25" x14ac:dyDescent="0.2">
      <c r="R174" s="5"/>
      <c r="S174" s="5"/>
      <c r="T174" s="5"/>
      <c r="U174" s="5"/>
      <c r="V174" s="5"/>
      <c r="W174" s="5"/>
      <c r="X174" s="5"/>
      <c r="Y174" s="5"/>
    </row>
    <row r="175" spans="18:25" x14ac:dyDescent="0.2">
      <c r="R175" s="5"/>
      <c r="S175" s="5"/>
      <c r="T175" s="5"/>
      <c r="U175" s="5"/>
      <c r="V175" s="5"/>
      <c r="W175" s="5"/>
      <c r="X175" s="5"/>
      <c r="Y175" s="5"/>
    </row>
    <row r="176" spans="18:25" x14ac:dyDescent="0.2">
      <c r="R176" s="5"/>
      <c r="S176" s="5"/>
      <c r="T176" s="5"/>
      <c r="U176" s="5"/>
      <c r="V176" s="5"/>
      <c r="W176" s="5"/>
      <c r="X176" s="5"/>
      <c r="Y176" s="5"/>
    </row>
    <row r="177" spans="18:25" x14ac:dyDescent="0.2">
      <c r="R177" s="5"/>
      <c r="S177" s="5"/>
      <c r="T177" s="5"/>
      <c r="U177" s="5"/>
      <c r="V177" s="5"/>
      <c r="W177" s="5"/>
      <c r="X177" s="5"/>
      <c r="Y177" s="5"/>
    </row>
    <row r="178" spans="18:25" x14ac:dyDescent="0.2">
      <c r="R178" s="5"/>
      <c r="S178" s="5"/>
      <c r="T178" s="5"/>
      <c r="U178" s="5"/>
      <c r="V178" s="5"/>
      <c r="W178" s="5"/>
      <c r="X178" s="5"/>
      <c r="Y178" s="5"/>
    </row>
    <row r="179" spans="18:25" x14ac:dyDescent="0.2">
      <c r="R179" s="5"/>
      <c r="S179" s="5"/>
      <c r="T179" s="5"/>
      <c r="U179" s="5"/>
      <c r="V179" s="5"/>
      <c r="W179" s="5"/>
      <c r="X179" s="5"/>
      <c r="Y179" s="5"/>
    </row>
    <row r="180" spans="18:25" x14ac:dyDescent="0.2">
      <c r="R180" s="5"/>
      <c r="S180" s="5"/>
      <c r="T180" s="5"/>
      <c r="U180" s="5"/>
      <c r="V180" s="5"/>
      <c r="W180" s="5"/>
      <c r="X180" s="5"/>
      <c r="Y180" s="5"/>
    </row>
    <row r="181" spans="18:25" x14ac:dyDescent="0.2">
      <c r="R181" s="5"/>
      <c r="S181" s="5"/>
      <c r="T181" s="5"/>
      <c r="U181" s="5"/>
      <c r="V181" s="5"/>
      <c r="W181" s="5"/>
      <c r="X181" s="5"/>
      <c r="Y181" s="5"/>
    </row>
    <row r="182" spans="18:25" x14ac:dyDescent="0.2">
      <c r="R182" s="5"/>
      <c r="S182" s="5"/>
      <c r="T182" s="5"/>
      <c r="U182" s="5"/>
      <c r="V182" s="5"/>
      <c r="W182" s="5"/>
      <c r="X182" s="5"/>
      <c r="Y182" s="5"/>
    </row>
    <row r="183" spans="18:25" x14ac:dyDescent="0.2">
      <c r="R183" s="5"/>
      <c r="S183" s="5"/>
      <c r="T183" s="5"/>
      <c r="U183" s="5"/>
      <c r="V183" s="5"/>
      <c r="W183" s="5"/>
      <c r="X183" s="5"/>
      <c r="Y183" s="5"/>
    </row>
    <row r="184" spans="18:25" x14ac:dyDescent="0.2">
      <c r="R184" s="5"/>
      <c r="S184" s="5"/>
      <c r="T184" s="5"/>
      <c r="U184" s="5"/>
      <c r="V184" s="5"/>
      <c r="W184" s="5"/>
      <c r="X184" s="5"/>
      <c r="Y184" s="5"/>
    </row>
    <row r="185" spans="18:25" x14ac:dyDescent="0.2">
      <c r="R185" s="5"/>
      <c r="S185" s="5"/>
      <c r="T185" s="5"/>
      <c r="U185" s="5"/>
      <c r="V185" s="5"/>
      <c r="W185" s="5"/>
      <c r="X185" s="5"/>
      <c r="Y185" s="5"/>
    </row>
    <row r="186" spans="18:25" x14ac:dyDescent="0.2">
      <c r="R186" s="5"/>
      <c r="S186" s="5"/>
      <c r="T186" s="5"/>
      <c r="U186" s="5"/>
      <c r="V186" s="5"/>
      <c r="W186" s="5"/>
      <c r="X186" s="5"/>
      <c r="Y186" s="5"/>
    </row>
    <row r="187" spans="18:25" x14ac:dyDescent="0.2">
      <c r="R187" s="5"/>
      <c r="S187" s="5"/>
      <c r="T187" s="5"/>
      <c r="U187" s="5"/>
      <c r="V187" s="5"/>
      <c r="W187" s="5"/>
      <c r="X187" s="5"/>
      <c r="Y187" s="5"/>
    </row>
    <row r="188" spans="18:25" x14ac:dyDescent="0.2">
      <c r="R188" s="5"/>
      <c r="S188" s="5"/>
      <c r="T188" s="5"/>
      <c r="U188" s="5"/>
      <c r="V188" s="5"/>
      <c r="W188" s="5"/>
      <c r="X188" s="5"/>
      <c r="Y188" s="5"/>
    </row>
    <row r="189" spans="18:25" x14ac:dyDescent="0.2">
      <c r="R189" s="5"/>
      <c r="S189" s="5"/>
      <c r="T189" s="5"/>
      <c r="U189" s="5"/>
      <c r="V189" s="5"/>
      <c r="W189" s="5"/>
      <c r="X189" s="5"/>
      <c r="Y189" s="5"/>
    </row>
    <row r="190" spans="18:25" x14ac:dyDescent="0.2">
      <c r="R190" s="5"/>
      <c r="S190" s="5"/>
      <c r="T190" s="5"/>
      <c r="U190" s="5"/>
      <c r="V190" s="5"/>
      <c r="W190" s="5"/>
      <c r="X190" s="5"/>
      <c r="Y190" s="5"/>
    </row>
    <row r="191" spans="18:25" x14ac:dyDescent="0.2">
      <c r="R191" s="5"/>
      <c r="S191" s="5"/>
      <c r="T191" s="5"/>
      <c r="U191" s="5"/>
      <c r="V191" s="5"/>
      <c r="W191" s="5"/>
      <c r="X191" s="5"/>
      <c r="Y191" s="5"/>
    </row>
    <row r="192" spans="18:25" x14ac:dyDescent="0.2">
      <c r="R192" s="5"/>
      <c r="S192" s="5"/>
      <c r="T192" s="5"/>
      <c r="U192" s="5"/>
      <c r="V192" s="5"/>
      <c r="W192" s="5"/>
      <c r="X192" s="5"/>
      <c r="Y192" s="5"/>
    </row>
    <row r="193" spans="18:25" x14ac:dyDescent="0.2">
      <c r="R193" s="5"/>
      <c r="S193" s="5"/>
      <c r="T193" s="5"/>
      <c r="U193" s="5"/>
      <c r="V193" s="5"/>
      <c r="W193" s="5"/>
      <c r="X193" s="5"/>
      <c r="Y193" s="5"/>
    </row>
    <row r="194" spans="18:25" x14ac:dyDescent="0.2">
      <c r="R194" s="5"/>
      <c r="S194" s="5"/>
      <c r="T194" s="5"/>
      <c r="U194" s="5"/>
      <c r="V194" s="5"/>
      <c r="W194" s="5"/>
      <c r="X194" s="5"/>
      <c r="Y194" s="5"/>
    </row>
    <row r="195" spans="18:25" x14ac:dyDescent="0.2">
      <c r="R195" s="5"/>
      <c r="S195" s="5"/>
      <c r="T195" s="5"/>
      <c r="U195" s="5"/>
      <c r="V195" s="5"/>
      <c r="W195" s="5"/>
      <c r="X195" s="5"/>
      <c r="Y195" s="5"/>
    </row>
    <row r="196" spans="18:25" x14ac:dyDescent="0.2">
      <c r="R196" s="5"/>
      <c r="S196" s="5"/>
      <c r="T196" s="5"/>
      <c r="U196" s="5"/>
      <c r="V196" s="5"/>
      <c r="W196" s="5"/>
      <c r="X196" s="5"/>
      <c r="Y196" s="5"/>
    </row>
    <row r="197" spans="18:25" x14ac:dyDescent="0.2">
      <c r="R197" s="5"/>
      <c r="S197" s="5"/>
      <c r="T197" s="5"/>
      <c r="U197" s="5"/>
      <c r="V197" s="5"/>
      <c r="W197" s="5"/>
      <c r="X197" s="5"/>
      <c r="Y197" s="5"/>
    </row>
    <row r="198" spans="18:25" x14ac:dyDescent="0.2">
      <c r="R198" s="5"/>
      <c r="S198" s="5"/>
      <c r="T198" s="5"/>
      <c r="U198" s="5"/>
      <c r="V198" s="5"/>
      <c r="W198" s="5"/>
      <c r="X198" s="5"/>
      <c r="Y198" s="5"/>
    </row>
    <row r="199" spans="18:25" x14ac:dyDescent="0.2">
      <c r="R199" s="5"/>
      <c r="S199" s="5"/>
      <c r="T199" s="5"/>
      <c r="U199" s="5"/>
      <c r="V199" s="5"/>
      <c r="W199" s="5"/>
      <c r="X199" s="5"/>
      <c r="Y199" s="5"/>
    </row>
    <row r="200" spans="18:25" x14ac:dyDescent="0.2">
      <c r="R200" s="5"/>
      <c r="S200" s="5"/>
      <c r="T200" s="5"/>
      <c r="U200" s="5"/>
      <c r="V200" s="5"/>
      <c r="W200" s="5"/>
      <c r="X200" s="5"/>
      <c r="Y200" s="5"/>
    </row>
    <row r="201" spans="18:25" x14ac:dyDescent="0.2">
      <c r="R201" s="5"/>
      <c r="S201" s="5"/>
      <c r="T201" s="5"/>
      <c r="U201" s="5"/>
      <c r="V201" s="5"/>
      <c r="W201" s="5"/>
      <c r="X201" s="5"/>
      <c r="Y201" s="5"/>
    </row>
    <row r="202" spans="18:25" x14ac:dyDescent="0.2">
      <c r="R202" s="5"/>
      <c r="S202" s="5"/>
      <c r="T202" s="5"/>
      <c r="U202" s="5"/>
      <c r="V202" s="5"/>
      <c r="W202" s="5"/>
      <c r="X202" s="5"/>
      <c r="Y202" s="5"/>
    </row>
    <row r="203" spans="18:25" x14ac:dyDescent="0.2">
      <c r="R203" s="5"/>
      <c r="S203" s="5"/>
      <c r="T203" s="5"/>
      <c r="U203" s="5"/>
      <c r="V203" s="5"/>
      <c r="W203" s="5"/>
      <c r="X203" s="5"/>
      <c r="Y203" s="5"/>
    </row>
    <row r="204" spans="18:25" x14ac:dyDescent="0.2">
      <c r="R204" s="5"/>
      <c r="S204" s="5"/>
      <c r="T204" s="5"/>
      <c r="U204" s="5"/>
      <c r="V204" s="5"/>
      <c r="W204" s="5"/>
      <c r="X204" s="5"/>
      <c r="Y204" s="5"/>
    </row>
    <row r="205" spans="18:25" x14ac:dyDescent="0.2">
      <c r="R205" s="5"/>
      <c r="S205" s="5"/>
      <c r="T205" s="5"/>
      <c r="U205" s="5"/>
      <c r="V205" s="5"/>
      <c r="W205" s="5"/>
      <c r="X205" s="5"/>
      <c r="Y205" s="5"/>
    </row>
    <row r="206" spans="18:25" x14ac:dyDescent="0.2">
      <c r="R206" s="5"/>
      <c r="S206" s="5"/>
      <c r="T206" s="5"/>
      <c r="U206" s="5"/>
      <c r="V206" s="5"/>
      <c r="W206" s="5"/>
      <c r="X206" s="5"/>
      <c r="Y206" s="5"/>
    </row>
    <row r="207" spans="18:25" x14ac:dyDescent="0.2">
      <c r="R207" s="5"/>
      <c r="S207" s="5"/>
      <c r="T207" s="5"/>
      <c r="U207" s="5"/>
      <c r="V207" s="5"/>
      <c r="W207" s="5"/>
      <c r="X207" s="5"/>
      <c r="Y207" s="5"/>
    </row>
    <row r="208" spans="18:25" x14ac:dyDescent="0.2">
      <c r="R208" s="5"/>
      <c r="S208" s="5"/>
      <c r="T208" s="5"/>
      <c r="U208" s="5"/>
      <c r="V208" s="5"/>
      <c r="W208" s="5"/>
      <c r="X208" s="5"/>
      <c r="Y208" s="5"/>
    </row>
    <row r="209" spans="18:25" x14ac:dyDescent="0.2">
      <c r="R209" s="5"/>
      <c r="S209" s="5"/>
      <c r="T209" s="5"/>
      <c r="U209" s="5"/>
      <c r="V209" s="5"/>
      <c r="W209" s="5"/>
      <c r="X209" s="5"/>
      <c r="Y209" s="5"/>
    </row>
  </sheetData>
  <dataConsolidate/>
  <mergeCells count="79">
    <mergeCell ref="CB8:CB9"/>
    <mergeCell ref="CC8:CC9"/>
    <mergeCell ref="Z6:CC6"/>
    <mergeCell ref="CA8:CA9"/>
    <mergeCell ref="BW8:BW9"/>
    <mergeCell ref="BK7:BL7"/>
    <mergeCell ref="BT8:BT9"/>
    <mergeCell ref="BT7:BV7"/>
    <mergeCell ref="BX7:BY7"/>
    <mergeCell ref="BP8:BP9"/>
    <mergeCell ref="BD8:BD9"/>
    <mergeCell ref="BE8:BE9"/>
    <mergeCell ref="BF8:BF9"/>
    <mergeCell ref="BH8:BH9"/>
    <mergeCell ref="BD7:BF7"/>
    <mergeCell ref="BS8:BS9"/>
    <mergeCell ref="BH7:BJ7"/>
    <mergeCell ref="A33:F33"/>
    <mergeCell ref="A28:F28"/>
    <mergeCell ref="A22:F22"/>
    <mergeCell ref="A11:D11"/>
    <mergeCell ref="A12:F12"/>
    <mergeCell ref="A23:F23"/>
    <mergeCell ref="A18:F18"/>
    <mergeCell ref="AQ7:AT7"/>
    <mergeCell ref="AE8:AE9"/>
    <mergeCell ref="BG8:BG9"/>
    <mergeCell ref="AU8:AU9"/>
    <mergeCell ref="AS8:AS9"/>
    <mergeCell ref="AU7:AV7"/>
    <mergeCell ref="BC8:BC9"/>
    <mergeCell ref="AY8:AY9"/>
    <mergeCell ref="A1:J1"/>
    <mergeCell ref="BQ8:BQ9"/>
    <mergeCell ref="BO8:BO9"/>
    <mergeCell ref="BM8:BM9"/>
    <mergeCell ref="BN8:BN9"/>
    <mergeCell ref="BA8:BA9"/>
    <mergeCell ref="AW8:AW9"/>
    <mergeCell ref="BB8:BB9"/>
    <mergeCell ref="AN8:AN9"/>
    <mergeCell ref="AV8:AV9"/>
    <mergeCell ref="A7:Y7"/>
    <mergeCell ref="BM7:BR7"/>
    <mergeCell ref="AO8:AO9"/>
    <mergeCell ref="AH8:AH9"/>
    <mergeCell ref="AQ8:AQ9"/>
    <mergeCell ref="AR8:AR9"/>
    <mergeCell ref="A2:J2"/>
    <mergeCell ref="D5:E5"/>
    <mergeCell ref="AB7:AD7"/>
    <mergeCell ref="Z8:Z9"/>
    <mergeCell ref="AA8:AA9"/>
    <mergeCell ref="AB8:AB9"/>
    <mergeCell ref="L4:S5"/>
    <mergeCell ref="L2:S2"/>
    <mergeCell ref="AC8:AC9"/>
    <mergeCell ref="AD8:AD9"/>
    <mergeCell ref="A8:L8"/>
    <mergeCell ref="R8:Y8"/>
    <mergeCell ref="AF8:AF9"/>
    <mergeCell ref="BL8:BL9"/>
    <mergeCell ref="BI8:BI9"/>
    <mergeCell ref="BJ8:BJ9"/>
    <mergeCell ref="BK8:BK9"/>
    <mergeCell ref="AJ8:AJ9"/>
    <mergeCell ref="AZ8:AZ9"/>
    <mergeCell ref="AT8:AT9"/>
    <mergeCell ref="AK8:AK9"/>
    <mergeCell ref="AM8:AM9"/>
    <mergeCell ref="AG8:AG9"/>
    <mergeCell ref="AI8:AI9"/>
    <mergeCell ref="AP8:AP9"/>
    <mergeCell ref="BZ8:BZ9"/>
    <mergeCell ref="BX8:BX9"/>
    <mergeCell ref="BR8:BR9"/>
    <mergeCell ref="BV8:BV9"/>
    <mergeCell ref="BU8:BU9"/>
    <mergeCell ref="BY8:BY9"/>
  </mergeCells>
  <phoneticPr fontId="21"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Sheet2.placeOrder">
                <anchor moveWithCells="1">
                  <from>
                    <xdr:col>0</xdr:col>
                    <xdr:colOff>1181100</xdr:colOff>
                    <xdr:row>1</xdr:row>
                    <xdr:rowOff>104775</xdr:rowOff>
                  </from>
                  <to>
                    <xdr:col>2</xdr:col>
                    <xdr:colOff>742950</xdr:colOff>
                    <xdr:row>1</xdr:row>
                    <xdr:rowOff>333375</xdr:rowOff>
                  </to>
                </anchor>
              </controlPr>
            </control>
          </mc:Choice>
        </mc:AlternateContent>
        <mc:AlternateContent xmlns:mc="http://schemas.openxmlformats.org/markup-compatibility/2006">
          <mc:Choice Requires="x14">
            <control shapeId="29698" r:id="rId5" name="Button 2">
              <controlPr defaultSize="0" print="0" autoFill="0" autoPict="0" macro="[0]!Sheet2.cancelOrder">
                <anchor moveWithCells="1">
                  <from>
                    <xdr:col>3</xdr:col>
                    <xdr:colOff>295275</xdr:colOff>
                    <xdr:row>1</xdr:row>
                    <xdr:rowOff>104775</xdr:rowOff>
                  </from>
                  <to>
                    <xdr:col>5</xdr:col>
                    <xdr:colOff>438150</xdr:colOff>
                    <xdr:row>1</xdr:row>
                    <xdr:rowOff>333375</xdr:rowOff>
                  </to>
                </anchor>
              </controlPr>
            </control>
          </mc:Choice>
        </mc:AlternateContent>
        <mc:AlternateContent xmlns:mc="http://schemas.openxmlformats.org/markup-compatibility/2006">
          <mc:Choice Requires="x14">
            <control shapeId="29699" r:id="rId6" name="Button 3">
              <controlPr defaultSize="0" print="0" autoFill="0" autoPict="0" macro="[0]!Sheet2.onShowError">
                <anchor moveWithCells="1">
                  <from>
                    <xdr:col>8</xdr:col>
                    <xdr:colOff>104775</xdr:colOff>
                    <xdr:row>1</xdr:row>
                    <xdr:rowOff>85725</xdr:rowOff>
                  </from>
                  <to>
                    <xdr:col>8</xdr:col>
                    <xdr:colOff>933450</xdr:colOff>
                    <xdr:row>1</xdr:row>
                    <xdr:rowOff>314325</xdr:rowOff>
                  </to>
                </anchor>
              </controlPr>
            </control>
          </mc:Choice>
        </mc:AlternateContent>
        <mc:AlternateContent xmlns:mc="http://schemas.openxmlformats.org/markup-compatibility/2006">
          <mc:Choice Requires="x14">
            <control shapeId="29700" r:id="rId7" name="Button 4">
              <controlPr defaultSize="0" print="0" autoFill="0" autoPict="0" macro="[0]!createComboLegs">
                <anchor moveWithCells="1">
                  <from>
                    <xdr:col>0</xdr:col>
                    <xdr:colOff>123825</xdr:colOff>
                    <xdr:row>1</xdr:row>
                    <xdr:rowOff>104775</xdr:rowOff>
                  </from>
                  <to>
                    <xdr:col>0</xdr:col>
                    <xdr:colOff>1000125</xdr:colOff>
                    <xdr:row>1</xdr:row>
                    <xdr:rowOff>333375</xdr:rowOff>
                  </to>
                </anchor>
              </controlPr>
            </control>
          </mc:Choice>
        </mc:AlternateContent>
        <mc:AlternateContent xmlns:mc="http://schemas.openxmlformats.org/markup-compatibility/2006">
          <mc:Choice Requires="x14">
            <control shapeId="29701" r:id="rId8" name="Button 5">
              <controlPr defaultSize="0" print="0" autoFill="0" autoPict="0" macro="[0]!Sheet2.applyTemplate">
                <anchor moveWithCells="1">
                  <from>
                    <xdr:col>6</xdr:col>
                    <xdr:colOff>85725</xdr:colOff>
                    <xdr:row>1</xdr:row>
                    <xdr:rowOff>104775</xdr:rowOff>
                  </from>
                  <to>
                    <xdr:col>8</xdr:col>
                    <xdr:colOff>38100</xdr:colOff>
                    <xdr:row>1</xdr:row>
                    <xdr:rowOff>333375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BX283"/>
  <sheetViews>
    <sheetView zoomScale="90" zoomScaleNormal="90" workbookViewId="0">
      <selection activeCell="Q35" sqref="Q35"/>
    </sheetView>
  </sheetViews>
  <sheetFormatPr defaultRowHeight="11.25" x14ac:dyDescent="0.2"/>
  <cols>
    <col min="1" max="1" width="8.5703125" style="135" customWidth="1"/>
    <col min="2" max="2" width="5.85546875" style="135" customWidth="1"/>
    <col min="3" max="3" width="14.85546875" style="135" customWidth="1"/>
    <col min="4" max="4" width="6.42578125" style="135" customWidth="1"/>
    <col min="5" max="5" width="4.85546875" style="135" bestFit="1" customWidth="1"/>
    <col min="6" max="6" width="8.85546875" style="135" bestFit="1" customWidth="1"/>
    <col min="7" max="7" width="13.5703125" style="135" customWidth="1"/>
    <col min="8" max="8" width="11" style="135" customWidth="1"/>
    <col min="9" max="9" width="17" style="135" customWidth="1"/>
    <col min="10" max="10" width="10.42578125" style="135" bestFit="1" customWidth="1"/>
    <col min="11" max="11" width="11" style="135" customWidth="1"/>
    <col min="12" max="12" width="8.140625" style="135" bestFit="1" customWidth="1"/>
    <col min="13" max="13" width="8.5703125" style="135" customWidth="1"/>
    <col min="14" max="14" width="12" style="135" customWidth="1"/>
    <col min="15" max="15" width="9.140625" style="135"/>
    <col min="16" max="16" width="11" style="135" bestFit="1" customWidth="1"/>
    <col min="17" max="17" width="13.42578125" style="135" customWidth="1"/>
    <col min="18" max="18" width="13" style="135" customWidth="1"/>
    <col min="19" max="19" width="9.140625" style="135"/>
    <col min="20" max="20" width="9.42578125" style="135" customWidth="1"/>
    <col min="21" max="21" width="12" style="135" bestFit="1" customWidth="1"/>
    <col min="22" max="22" width="12.85546875" style="135" bestFit="1" customWidth="1"/>
    <col min="23" max="23" width="14.140625" style="135" customWidth="1"/>
    <col min="24" max="31" width="9.140625" style="135"/>
    <col min="32" max="32" width="10.140625" style="135" customWidth="1"/>
    <col min="33" max="33" width="9.140625" style="135"/>
    <col min="34" max="34" width="10" style="135" customWidth="1"/>
    <col min="35" max="42" width="9.140625" style="135"/>
    <col min="43" max="43" width="10" style="135" customWidth="1"/>
    <col min="44" max="46" width="9.140625" style="135"/>
    <col min="47" max="47" width="9.85546875" style="135" customWidth="1"/>
    <col min="48" max="48" width="10.140625" style="135" customWidth="1"/>
    <col min="49" max="59" width="9.140625" style="135"/>
    <col min="60" max="60" width="11.28515625" style="135" bestFit="1" customWidth="1"/>
    <col min="61" max="66" width="9.140625" style="135"/>
    <col min="67" max="67" width="12.140625" style="135" customWidth="1"/>
    <col min="68" max="68" width="13.28515625" style="135" customWidth="1"/>
    <col min="69" max="71" width="9.140625" style="135"/>
    <col min="72" max="72" width="12.5703125" style="135" customWidth="1"/>
    <col min="73" max="74" width="9.140625" style="135"/>
    <col min="75" max="76" width="10.7109375" style="135" customWidth="1"/>
    <col min="77" max="16384" width="9.140625" style="135"/>
  </cols>
  <sheetData>
    <row r="1" spans="1:76" ht="12.75" x14ac:dyDescent="0.2">
      <c r="A1" s="408" t="s">
        <v>48</v>
      </c>
      <c r="B1" s="409"/>
      <c r="C1" s="409"/>
      <c r="D1" s="409"/>
      <c r="E1" s="409"/>
      <c r="F1" s="409"/>
      <c r="G1" s="409"/>
      <c r="H1" s="409"/>
      <c r="I1" s="409"/>
      <c r="J1" s="409"/>
      <c r="K1" s="410"/>
    </row>
    <row r="2" spans="1:76" ht="25.5" customHeight="1" x14ac:dyDescent="0.2">
      <c r="A2" s="411"/>
      <c r="B2" s="412"/>
      <c r="C2" s="412"/>
      <c r="D2" s="412"/>
      <c r="E2" s="412"/>
      <c r="F2" s="412"/>
      <c r="G2" s="412"/>
      <c r="H2" s="412"/>
      <c r="I2" s="412"/>
      <c r="J2" s="412"/>
      <c r="K2" s="413"/>
    </row>
    <row r="3" spans="1:76" ht="11.25" customHeight="1" x14ac:dyDescent="0.2">
      <c r="J3" s="136"/>
      <c r="K3" s="136"/>
      <c r="L3" s="136"/>
      <c r="M3" s="136"/>
      <c r="N3" s="136"/>
      <c r="O3" s="136"/>
    </row>
    <row r="4" spans="1:76" ht="11.25" customHeight="1" x14ac:dyDescent="0.2">
      <c r="A4" s="418" t="s">
        <v>244</v>
      </c>
      <c r="B4" s="419"/>
      <c r="C4" s="419"/>
      <c r="D4" s="419"/>
      <c r="E4" s="419"/>
      <c r="F4" s="419"/>
      <c r="G4" s="420"/>
      <c r="I4" s="418" t="s">
        <v>314</v>
      </c>
      <c r="J4" s="413"/>
      <c r="K4" s="137"/>
      <c r="L4"/>
      <c r="M4"/>
      <c r="N4"/>
    </row>
    <row r="5" spans="1:76" ht="12.75" x14ac:dyDescent="0.2">
      <c r="A5" s="414" t="s">
        <v>59</v>
      </c>
      <c r="B5" s="415"/>
      <c r="C5" s="412"/>
      <c r="D5" s="416" t="s">
        <v>571</v>
      </c>
      <c r="E5" s="417"/>
      <c r="F5" s="138"/>
      <c r="G5" s="139"/>
      <c r="I5" s="140"/>
      <c r="J5" s="143"/>
      <c r="L5"/>
      <c r="M5"/>
      <c r="N5"/>
    </row>
    <row r="6" spans="1:76" ht="11.25" customHeight="1" x14ac:dyDescent="0.2">
      <c r="J6" s="136"/>
      <c r="K6" s="136"/>
      <c r="L6"/>
      <c r="M6"/>
      <c r="N6"/>
    </row>
    <row r="7" spans="1:76" s="161" customFormat="1" ht="11.25" customHeight="1" x14ac:dyDescent="0.2">
      <c r="A7" s="401" t="s">
        <v>317</v>
      </c>
      <c r="B7" s="402"/>
      <c r="C7" s="402"/>
      <c r="D7" s="402"/>
      <c r="E7" s="402"/>
      <c r="F7" s="402"/>
      <c r="G7" s="402"/>
      <c r="H7" s="402"/>
      <c r="I7" s="402"/>
      <c r="J7" s="402"/>
      <c r="K7" s="402"/>
      <c r="L7" s="402"/>
      <c r="M7" s="402"/>
      <c r="N7" s="402"/>
      <c r="O7" s="402"/>
      <c r="P7" s="402"/>
      <c r="Q7" s="402"/>
      <c r="R7" s="402"/>
      <c r="S7" s="402"/>
      <c r="T7" s="402"/>
      <c r="U7" s="402"/>
      <c r="V7" s="402"/>
      <c r="W7" s="402"/>
      <c r="X7" s="402"/>
      <c r="Y7" s="157"/>
      <c r="Z7" s="157"/>
      <c r="AA7" s="157"/>
      <c r="AB7" s="157"/>
      <c r="AC7" s="157"/>
      <c r="AD7" s="157"/>
      <c r="AE7" s="157"/>
      <c r="AF7" s="157"/>
      <c r="AG7" s="157"/>
      <c r="AH7" s="157"/>
      <c r="AI7" s="157"/>
      <c r="AJ7" s="157"/>
      <c r="AK7" s="158"/>
      <c r="AL7" s="157"/>
      <c r="AM7" s="159" t="s">
        <v>294</v>
      </c>
      <c r="AN7" s="159" t="s">
        <v>275</v>
      </c>
      <c r="AO7" s="390" t="s">
        <v>293</v>
      </c>
      <c r="AP7" s="398"/>
      <c r="AQ7" s="398"/>
      <c r="AR7" s="423"/>
      <c r="AS7" s="390" t="s">
        <v>291</v>
      </c>
      <c r="AT7" s="398"/>
      <c r="AU7" s="399"/>
      <c r="AV7" s="390" t="s">
        <v>305</v>
      </c>
      <c r="AW7" s="399"/>
      <c r="AX7" s="390" t="s">
        <v>292</v>
      </c>
      <c r="AY7" s="398"/>
      <c r="AZ7" s="398"/>
      <c r="BA7" s="398"/>
      <c r="BB7" s="398"/>
      <c r="BC7" s="399"/>
      <c r="BD7" s="404" t="s">
        <v>320</v>
      </c>
      <c r="BE7" s="405"/>
      <c r="BF7" s="160"/>
      <c r="BG7" s="390" t="s">
        <v>289</v>
      </c>
      <c r="BH7" s="398"/>
      <c r="BI7" s="398"/>
      <c r="BJ7" s="399"/>
      <c r="BK7" s="390" t="s">
        <v>290</v>
      </c>
      <c r="BL7" s="398"/>
      <c r="BM7" s="398"/>
      <c r="BN7" s="398"/>
      <c r="BO7" s="400"/>
      <c r="BP7" s="393" t="s">
        <v>375</v>
      </c>
      <c r="BQ7" s="266"/>
      <c r="BR7" s="157"/>
      <c r="BS7" s="390" t="s">
        <v>290</v>
      </c>
      <c r="BT7" s="391"/>
      <c r="BU7" s="157"/>
      <c r="BV7" s="157"/>
      <c r="BW7" s="157"/>
      <c r="BX7" s="157"/>
    </row>
    <row r="8" spans="1:76" s="141" customFormat="1" ht="11.25" customHeight="1" x14ac:dyDescent="0.2">
      <c r="A8" s="403" t="s">
        <v>28</v>
      </c>
      <c r="B8" s="314"/>
      <c r="C8" s="314"/>
      <c r="D8" s="314"/>
      <c r="E8" s="314"/>
      <c r="F8" s="314"/>
      <c r="G8" s="314"/>
      <c r="H8" s="314"/>
      <c r="I8" s="314"/>
      <c r="J8" s="314"/>
      <c r="K8" s="313"/>
      <c r="L8" s="406" t="s">
        <v>29</v>
      </c>
      <c r="M8" s="407"/>
      <c r="N8" s="407"/>
      <c r="O8" s="407"/>
      <c r="P8" s="407"/>
      <c r="Q8" s="403" t="s">
        <v>30</v>
      </c>
      <c r="R8" s="421"/>
      <c r="S8" s="421"/>
      <c r="T8" s="421"/>
      <c r="U8" s="421"/>
      <c r="V8" s="421"/>
      <c r="W8" s="421"/>
      <c r="X8" s="422"/>
      <c r="Y8" s="396" t="s">
        <v>276</v>
      </c>
      <c r="Z8" s="396" t="s">
        <v>156</v>
      </c>
      <c r="AA8" s="396" t="s">
        <v>133</v>
      </c>
      <c r="AB8" s="396" t="s">
        <v>134</v>
      </c>
      <c r="AC8" s="396" t="s">
        <v>325</v>
      </c>
      <c r="AD8" s="396" t="s">
        <v>324</v>
      </c>
      <c r="AE8" s="396" t="s">
        <v>98</v>
      </c>
      <c r="AF8" s="396" t="s">
        <v>99</v>
      </c>
      <c r="AG8" s="396" t="s">
        <v>387</v>
      </c>
      <c r="AH8" s="396" t="s">
        <v>326</v>
      </c>
      <c r="AI8" s="396" t="s">
        <v>388</v>
      </c>
      <c r="AJ8" s="396" t="s">
        <v>323</v>
      </c>
      <c r="AK8" s="396" t="s">
        <v>166</v>
      </c>
      <c r="AL8" s="396" t="s">
        <v>75</v>
      </c>
      <c r="AM8" s="396" t="s">
        <v>158</v>
      </c>
      <c r="AN8" s="396" t="s">
        <v>274</v>
      </c>
      <c r="AO8" s="396" t="s">
        <v>287</v>
      </c>
      <c r="AP8" s="396" t="s">
        <v>322</v>
      </c>
      <c r="AQ8" s="396" t="s">
        <v>159</v>
      </c>
      <c r="AR8" s="396" t="s">
        <v>283</v>
      </c>
      <c r="AS8" s="396" t="s">
        <v>161</v>
      </c>
      <c r="AT8" s="396" t="s">
        <v>162</v>
      </c>
      <c r="AU8" s="396" t="s">
        <v>163</v>
      </c>
      <c r="AV8" s="396" t="s">
        <v>164</v>
      </c>
      <c r="AW8" s="396" t="s">
        <v>165</v>
      </c>
      <c r="AX8" s="396" t="s">
        <v>205</v>
      </c>
      <c r="AY8" s="396" t="s">
        <v>208</v>
      </c>
      <c r="AZ8" s="396" t="s">
        <v>209</v>
      </c>
      <c r="BA8" s="396" t="s">
        <v>321</v>
      </c>
      <c r="BB8" s="396" t="s">
        <v>212</v>
      </c>
      <c r="BC8" s="396" t="s">
        <v>213</v>
      </c>
      <c r="BD8" s="396" t="s">
        <v>73</v>
      </c>
      <c r="BE8" s="396" t="s">
        <v>155</v>
      </c>
      <c r="BF8" s="396" t="s">
        <v>74</v>
      </c>
      <c r="BG8" s="396" t="s">
        <v>135</v>
      </c>
      <c r="BH8" s="396" t="s">
        <v>136</v>
      </c>
      <c r="BI8" s="396" t="s">
        <v>137</v>
      </c>
      <c r="BJ8" s="396" t="s">
        <v>138</v>
      </c>
      <c r="BK8" s="396" t="s">
        <v>277</v>
      </c>
      <c r="BL8" s="396" t="s">
        <v>278</v>
      </c>
      <c r="BM8" s="396" t="s">
        <v>157</v>
      </c>
      <c r="BN8" s="396" t="s">
        <v>284</v>
      </c>
      <c r="BO8" s="396" t="s">
        <v>285</v>
      </c>
      <c r="BP8" s="394" t="s">
        <v>363</v>
      </c>
      <c r="BQ8" s="394" t="s">
        <v>376</v>
      </c>
      <c r="BR8" s="396" t="s">
        <v>386</v>
      </c>
      <c r="BS8" s="388" t="s">
        <v>455</v>
      </c>
      <c r="BT8" s="388" t="s">
        <v>483</v>
      </c>
      <c r="BU8" s="388" t="s">
        <v>490</v>
      </c>
      <c r="BV8" s="388" t="s">
        <v>558</v>
      </c>
      <c r="BW8" s="297" t="s">
        <v>560</v>
      </c>
      <c r="BX8" s="297" t="s">
        <v>561</v>
      </c>
    </row>
    <row r="9" spans="1:76" s="141" customFormat="1" ht="11.25" customHeight="1" x14ac:dyDescent="0.2">
      <c r="A9" s="172" t="s">
        <v>10</v>
      </c>
      <c r="B9" s="172" t="s">
        <v>22</v>
      </c>
      <c r="C9" s="172" t="s">
        <v>565</v>
      </c>
      <c r="D9" s="172" t="s">
        <v>11</v>
      </c>
      <c r="E9" s="183" t="s">
        <v>24</v>
      </c>
      <c r="F9" s="172" t="s">
        <v>88</v>
      </c>
      <c r="G9" s="172" t="s">
        <v>87</v>
      </c>
      <c r="H9" s="184" t="s">
        <v>13</v>
      </c>
      <c r="I9" s="185" t="s">
        <v>141</v>
      </c>
      <c r="J9" s="184" t="s">
        <v>41</v>
      </c>
      <c r="K9" s="184"/>
      <c r="L9" s="184" t="s">
        <v>14</v>
      </c>
      <c r="M9" s="172" t="s">
        <v>15</v>
      </c>
      <c r="N9" s="172" t="s">
        <v>16</v>
      </c>
      <c r="O9" s="172" t="s">
        <v>17</v>
      </c>
      <c r="P9" s="172" t="s">
        <v>18</v>
      </c>
      <c r="Q9" s="172" t="s">
        <v>23</v>
      </c>
      <c r="R9" s="172" t="s">
        <v>25</v>
      </c>
      <c r="S9" s="172" t="s">
        <v>19</v>
      </c>
      <c r="T9" s="172" t="s">
        <v>20</v>
      </c>
      <c r="U9" s="172" t="s">
        <v>21</v>
      </c>
      <c r="V9" s="172" t="s">
        <v>112</v>
      </c>
      <c r="W9" s="172" t="s">
        <v>113</v>
      </c>
      <c r="X9" s="172" t="s">
        <v>85</v>
      </c>
      <c r="Y9" s="397"/>
      <c r="Z9" s="397"/>
      <c r="AA9" s="397"/>
      <c r="AB9" s="397"/>
      <c r="AC9" s="397"/>
      <c r="AD9" s="397"/>
      <c r="AE9" s="397"/>
      <c r="AF9" s="397"/>
      <c r="AG9" s="397"/>
      <c r="AH9" s="397"/>
      <c r="AI9" s="397"/>
      <c r="AJ9" s="397"/>
      <c r="AK9" s="397"/>
      <c r="AL9" s="397"/>
      <c r="AM9" s="397"/>
      <c r="AN9" s="397"/>
      <c r="AO9" s="397"/>
      <c r="AP9" s="397"/>
      <c r="AQ9" s="397"/>
      <c r="AR9" s="397"/>
      <c r="AS9" s="397"/>
      <c r="AT9" s="397"/>
      <c r="AU9" s="397"/>
      <c r="AV9" s="397"/>
      <c r="AW9" s="397"/>
      <c r="AX9" s="397"/>
      <c r="AY9" s="397"/>
      <c r="AZ9" s="397"/>
      <c r="BA9" s="397"/>
      <c r="BB9" s="397"/>
      <c r="BC9" s="397"/>
      <c r="BD9" s="397"/>
      <c r="BE9" s="397"/>
      <c r="BF9" s="397"/>
      <c r="BG9" s="397"/>
      <c r="BH9" s="397"/>
      <c r="BI9" s="397"/>
      <c r="BJ9" s="397"/>
      <c r="BK9" s="397"/>
      <c r="BL9" s="397"/>
      <c r="BM9" s="397"/>
      <c r="BN9" s="397"/>
      <c r="BO9" s="397"/>
      <c r="BP9" s="395"/>
      <c r="BQ9" s="395"/>
      <c r="BR9" s="397"/>
      <c r="BS9" s="392"/>
      <c r="BT9" s="392"/>
      <c r="BU9" s="389"/>
      <c r="BV9" s="389"/>
      <c r="BW9" s="298"/>
      <c r="BX9" s="298"/>
    </row>
    <row r="10" spans="1:76" s="141" customFormat="1" ht="11.25" customHeight="1" x14ac:dyDescent="0.2">
      <c r="A10" s="5"/>
      <c r="B10" s="5"/>
      <c r="C10" s="5"/>
      <c r="D10" s="5"/>
      <c r="E10" s="5"/>
      <c r="F10" s="5"/>
      <c r="G10" s="5"/>
      <c r="H10" s="5"/>
      <c r="I10" s="5"/>
      <c r="J10" s="37"/>
      <c r="K10" s="227"/>
      <c r="L10" s="227"/>
      <c r="M10" s="227"/>
      <c r="N10" s="227"/>
      <c r="O10" s="239"/>
      <c r="P10" s="5"/>
      <c r="Q10" s="5"/>
      <c r="R10" s="5"/>
      <c r="S10" s="5"/>
      <c r="T10" s="5"/>
      <c r="U10" s="5"/>
      <c r="V10" s="5"/>
      <c r="W10" s="37"/>
      <c r="X10" s="227"/>
      <c r="Y10" s="227"/>
      <c r="Z10" s="227"/>
      <c r="AA10" s="227"/>
      <c r="AB10" s="227"/>
      <c r="AC10" s="227"/>
      <c r="AD10" s="227"/>
      <c r="AE10" s="227"/>
      <c r="AF10" s="227"/>
      <c r="AG10" s="227"/>
      <c r="AH10" s="227"/>
      <c r="AI10" s="227"/>
      <c r="AJ10" s="227"/>
      <c r="AK10" s="227"/>
      <c r="AL10" s="227"/>
      <c r="AM10" s="227"/>
      <c r="AN10" s="227"/>
      <c r="AO10" s="227"/>
      <c r="AP10" s="227"/>
      <c r="AQ10" s="227"/>
      <c r="AR10" s="227"/>
      <c r="AS10" s="227"/>
      <c r="AT10" s="227"/>
      <c r="AU10" s="227"/>
      <c r="AV10" s="227"/>
      <c r="AW10" s="227"/>
      <c r="AX10" s="227"/>
      <c r="AY10" s="227"/>
      <c r="AZ10" s="227"/>
      <c r="BA10" s="227"/>
      <c r="BB10" s="227"/>
      <c r="BC10" s="227"/>
      <c r="BD10" s="227"/>
      <c r="BE10" s="227"/>
      <c r="BF10" s="227"/>
      <c r="BG10" s="227"/>
      <c r="BH10" s="227"/>
      <c r="BI10" s="227"/>
      <c r="BJ10" s="227"/>
      <c r="BK10" s="227"/>
      <c r="BL10" s="227"/>
      <c r="BM10" s="227"/>
      <c r="BN10" s="227"/>
      <c r="BO10" s="227"/>
      <c r="BP10" s="227"/>
      <c r="BQ10" s="227"/>
      <c r="BR10" s="227"/>
      <c r="BS10" s="227"/>
      <c r="BT10" s="227"/>
      <c r="BU10" s="240"/>
      <c r="BV10" s="240"/>
      <c r="BW10" s="240"/>
      <c r="BX10" s="240"/>
    </row>
    <row r="11" spans="1:76" s="141" customFormat="1" ht="11.25" customHeight="1" x14ac:dyDescent="0.2">
      <c r="A11" s="5"/>
      <c r="B11" s="5"/>
      <c r="C11" s="5"/>
      <c r="D11" s="5"/>
      <c r="E11" s="5"/>
      <c r="F11" s="5"/>
      <c r="G11" s="5"/>
      <c r="H11" s="5"/>
      <c r="I11" s="5"/>
      <c r="J11" s="37"/>
      <c r="K11" s="227"/>
      <c r="L11" s="227"/>
      <c r="M11" s="227"/>
      <c r="N11" s="227"/>
      <c r="O11" s="239"/>
      <c r="P11" s="5"/>
      <c r="Q11" s="5"/>
      <c r="R11" s="5"/>
      <c r="S11" s="5"/>
      <c r="T11" s="5"/>
      <c r="U11" s="5"/>
      <c r="V11" s="5"/>
      <c r="W11" s="37"/>
      <c r="X11" s="227"/>
      <c r="Y11" s="227"/>
      <c r="Z11" s="227"/>
      <c r="AA11" s="227"/>
      <c r="AB11" s="227"/>
      <c r="AC11" s="227"/>
      <c r="AD11" s="227"/>
      <c r="AE11" s="227"/>
      <c r="AF11" s="227"/>
      <c r="AG11" s="227"/>
      <c r="AH11" s="227"/>
      <c r="AI11" s="227"/>
      <c r="AJ11" s="227"/>
      <c r="AK11" s="227"/>
      <c r="AL11" s="227"/>
      <c r="AM11" s="227"/>
      <c r="AN11" s="227"/>
      <c r="AO11" s="227"/>
      <c r="AP11" s="227"/>
      <c r="AQ11" s="227"/>
      <c r="AR11" s="227"/>
      <c r="AS11" s="227"/>
      <c r="AT11" s="227"/>
      <c r="AU11" s="227"/>
      <c r="AV11" s="227"/>
      <c r="AW11" s="227"/>
      <c r="AX11" s="227"/>
      <c r="AY11" s="227"/>
      <c r="AZ11" s="227"/>
      <c r="BA11" s="227"/>
      <c r="BB11" s="227"/>
      <c r="BC11" s="227"/>
      <c r="BD11" s="227"/>
      <c r="BE11" s="227"/>
      <c r="BF11" s="227"/>
      <c r="BG11" s="227"/>
      <c r="BH11" s="227"/>
      <c r="BI11" s="227"/>
      <c r="BJ11" s="227"/>
      <c r="BK11" s="227"/>
      <c r="BL11" s="227"/>
      <c r="BM11" s="227"/>
      <c r="BN11" s="227"/>
      <c r="BO11" s="227"/>
      <c r="BP11" s="227"/>
      <c r="BQ11" s="227"/>
      <c r="BR11" s="227"/>
      <c r="BS11" s="227"/>
      <c r="BT11" s="227"/>
      <c r="BU11" s="240"/>
      <c r="BV11" s="240"/>
      <c r="BW11" s="240"/>
      <c r="BX11" s="240"/>
    </row>
    <row r="12" spans="1:76" s="141" customFormat="1" ht="11.25" customHeight="1" x14ac:dyDescent="0.2">
      <c r="A12" s="5"/>
      <c r="B12" s="5"/>
      <c r="C12" s="5"/>
      <c r="D12" s="5"/>
      <c r="E12" s="5"/>
      <c r="F12" s="5"/>
      <c r="G12" s="5"/>
      <c r="H12" s="5"/>
      <c r="I12" s="5"/>
      <c r="J12" s="37"/>
      <c r="K12" s="227"/>
      <c r="L12" s="227"/>
      <c r="M12" s="227"/>
      <c r="N12" s="227"/>
      <c r="O12" s="239"/>
      <c r="P12" s="5"/>
      <c r="Q12" s="5"/>
      <c r="R12" s="5"/>
      <c r="S12" s="5"/>
      <c r="T12" s="5"/>
      <c r="U12" s="5"/>
      <c r="V12" s="5"/>
      <c r="W12" s="37"/>
      <c r="X12" s="227"/>
      <c r="Y12" s="227"/>
      <c r="Z12" s="227"/>
      <c r="AA12" s="227"/>
      <c r="AB12" s="227"/>
      <c r="AC12" s="227"/>
      <c r="AD12" s="227"/>
      <c r="AE12" s="227"/>
      <c r="AF12" s="227"/>
      <c r="AG12" s="227"/>
      <c r="AH12" s="227"/>
      <c r="AI12" s="227"/>
      <c r="AJ12" s="227"/>
      <c r="AK12" s="227"/>
      <c r="AL12" s="227"/>
      <c r="AM12" s="227"/>
      <c r="AN12" s="227"/>
      <c r="AO12" s="227"/>
      <c r="AP12" s="227"/>
      <c r="AQ12" s="227"/>
      <c r="AR12" s="227"/>
      <c r="AS12" s="227"/>
      <c r="AT12" s="227"/>
      <c r="AU12" s="227"/>
      <c r="AV12" s="227"/>
      <c r="AW12" s="227"/>
      <c r="AX12" s="227"/>
      <c r="AY12" s="227"/>
      <c r="AZ12" s="227"/>
      <c r="BA12" s="227"/>
      <c r="BB12" s="227"/>
      <c r="BC12" s="227"/>
      <c r="BD12" s="227"/>
      <c r="BE12" s="227"/>
      <c r="BF12" s="227"/>
      <c r="BG12" s="227"/>
      <c r="BH12" s="227"/>
      <c r="BI12" s="227"/>
      <c r="BJ12" s="227"/>
      <c r="BK12" s="227"/>
      <c r="BL12" s="227"/>
      <c r="BM12" s="227"/>
      <c r="BN12" s="227"/>
      <c r="BO12" s="227"/>
      <c r="BP12" s="227"/>
      <c r="BQ12" s="227"/>
      <c r="BR12" s="227"/>
      <c r="BS12" s="227"/>
      <c r="BT12" s="227"/>
      <c r="BU12" s="240"/>
      <c r="BV12" s="240"/>
      <c r="BW12" s="240"/>
      <c r="BX12" s="240"/>
    </row>
    <row r="13" spans="1:76" s="141" customFormat="1" ht="11.25" customHeight="1" x14ac:dyDescent="0.2">
      <c r="A13" s="5"/>
      <c r="B13" s="5"/>
      <c r="C13" s="5"/>
      <c r="D13" s="5"/>
      <c r="E13" s="5"/>
      <c r="F13" s="5"/>
      <c r="G13" s="5"/>
      <c r="H13" s="5"/>
      <c r="I13" s="5"/>
      <c r="J13" s="37"/>
      <c r="K13" s="227"/>
      <c r="L13" s="227"/>
      <c r="M13" s="227"/>
      <c r="N13" s="227"/>
      <c r="O13" s="239"/>
      <c r="P13" s="5"/>
      <c r="Q13" s="5"/>
      <c r="R13" s="5"/>
      <c r="S13" s="5"/>
      <c r="T13" s="5"/>
      <c r="U13" s="5"/>
      <c r="V13" s="5"/>
      <c r="W13" s="37"/>
      <c r="X13" s="227"/>
      <c r="Y13" s="227"/>
      <c r="Z13" s="227"/>
      <c r="AA13" s="227"/>
      <c r="AB13" s="227"/>
      <c r="AC13" s="227"/>
      <c r="AD13" s="227"/>
      <c r="AE13" s="227"/>
      <c r="AF13" s="227"/>
      <c r="AG13" s="227"/>
      <c r="AH13" s="227"/>
      <c r="AI13" s="227"/>
      <c r="AJ13" s="227"/>
      <c r="AK13" s="227"/>
      <c r="AL13" s="227"/>
      <c r="AM13" s="227"/>
      <c r="AN13" s="227"/>
      <c r="AO13" s="227"/>
      <c r="AP13" s="227"/>
      <c r="AQ13" s="227"/>
      <c r="AR13" s="227"/>
      <c r="AS13" s="227"/>
      <c r="AT13" s="227"/>
      <c r="AU13" s="227"/>
      <c r="AV13" s="227"/>
      <c r="AW13" s="227"/>
      <c r="AX13" s="227"/>
      <c r="AY13" s="227"/>
      <c r="AZ13" s="227"/>
      <c r="BA13" s="227"/>
      <c r="BB13" s="227"/>
      <c r="BC13" s="227"/>
      <c r="BD13" s="227"/>
      <c r="BE13" s="227"/>
      <c r="BF13" s="227"/>
      <c r="BG13" s="227"/>
      <c r="BH13" s="227"/>
      <c r="BI13" s="227"/>
      <c r="BJ13" s="227"/>
      <c r="BK13" s="227"/>
      <c r="BL13" s="227"/>
      <c r="BM13" s="227"/>
      <c r="BN13" s="227"/>
      <c r="BO13" s="227"/>
      <c r="BP13" s="227"/>
      <c r="BQ13" s="227"/>
      <c r="BR13" s="227"/>
      <c r="BS13" s="227"/>
      <c r="BT13" s="227"/>
      <c r="BU13" s="240"/>
      <c r="BV13" s="240"/>
      <c r="BW13" s="240"/>
      <c r="BX13" s="240"/>
    </row>
    <row r="14" spans="1:76" s="141" customFormat="1" ht="11.25" customHeight="1" x14ac:dyDescent="0.2">
      <c r="A14" s="5"/>
      <c r="B14" s="5"/>
      <c r="C14" s="5"/>
      <c r="D14" s="5"/>
      <c r="E14" s="5"/>
      <c r="F14" s="5"/>
      <c r="G14" s="5"/>
      <c r="H14" s="5"/>
      <c r="I14" s="5"/>
      <c r="J14" s="37"/>
      <c r="K14" s="227"/>
      <c r="L14" s="227"/>
      <c r="M14" s="227"/>
      <c r="N14" s="227"/>
      <c r="O14" s="239"/>
      <c r="P14" s="5"/>
      <c r="Q14" s="5"/>
      <c r="R14" s="5"/>
      <c r="S14" s="5"/>
      <c r="T14" s="5"/>
      <c r="U14" s="5"/>
      <c r="V14" s="5"/>
      <c r="W14" s="37"/>
      <c r="X14" s="227"/>
      <c r="Y14" s="227"/>
      <c r="Z14" s="227"/>
      <c r="AA14" s="227"/>
      <c r="AB14" s="227"/>
      <c r="AC14" s="227"/>
      <c r="AD14" s="227"/>
      <c r="AE14" s="227"/>
      <c r="AF14" s="227"/>
      <c r="AG14" s="227"/>
      <c r="AH14" s="227"/>
      <c r="AI14" s="227"/>
      <c r="AJ14" s="227"/>
      <c r="AK14" s="227"/>
      <c r="AL14" s="227"/>
      <c r="AM14" s="227"/>
      <c r="AN14" s="227"/>
      <c r="AO14" s="227"/>
      <c r="AP14" s="227"/>
      <c r="AQ14" s="227"/>
      <c r="AR14" s="227"/>
      <c r="AS14" s="227"/>
      <c r="AT14" s="227"/>
      <c r="AU14" s="227"/>
      <c r="AV14" s="227"/>
      <c r="AW14" s="227"/>
      <c r="AX14" s="227"/>
      <c r="AY14" s="227"/>
      <c r="AZ14" s="227"/>
      <c r="BA14" s="227"/>
      <c r="BB14" s="227"/>
      <c r="BC14" s="227"/>
      <c r="BD14" s="227"/>
      <c r="BE14" s="227"/>
      <c r="BF14" s="227"/>
      <c r="BG14" s="227"/>
      <c r="BH14" s="227"/>
      <c r="BI14" s="227"/>
      <c r="BJ14" s="227"/>
      <c r="BK14" s="227"/>
      <c r="BL14" s="227"/>
      <c r="BM14" s="227"/>
      <c r="BN14" s="227"/>
      <c r="BO14" s="227"/>
      <c r="BP14" s="227"/>
      <c r="BQ14" s="227"/>
      <c r="BR14" s="227"/>
      <c r="BS14" s="227"/>
      <c r="BT14" s="227"/>
      <c r="BU14" s="240"/>
      <c r="BV14" s="240"/>
      <c r="BW14" s="240"/>
      <c r="BX14" s="240"/>
    </row>
    <row r="15" spans="1:76" s="141" customFormat="1" ht="11.25" customHeight="1" x14ac:dyDescent="0.2">
      <c r="A15" s="5"/>
      <c r="B15" s="5"/>
      <c r="C15" s="5"/>
      <c r="D15" s="5"/>
      <c r="E15" s="5"/>
      <c r="F15" s="5"/>
      <c r="G15" s="5"/>
      <c r="H15" s="5"/>
      <c r="I15" s="5"/>
      <c r="J15" s="37"/>
      <c r="K15" s="227"/>
      <c r="L15" s="227"/>
      <c r="M15" s="227"/>
      <c r="N15" s="227"/>
      <c r="O15" s="239"/>
      <c r="P15" s="5"/>
      <c r="Q15" s="5"/>
      <c r="R15" s="5"/>
      <c r="S15" s="5"/>
      <c r="T15" s="5"/>
      <c r="U15" s="5"/>
      <c r="V15" s="5"/>
      <c r="W15" s="37"/>
      <c r="X15" s="227"/>
      <c r="Y15" s="227"/>
      <c r="Z15" s="227"/>
      <c r="AA15" s="227"/>
      <c r="AB15" s="227"/>
      <c r="AC15" s="227"/>
      <c r="AD15" s="227"/>
      <c r="AE15" s="227"/>
      <c r="AF15" s="227"/>
      <c r="AG15" s="227"/>
      <c r="AH15" s="227"/>
      <c r="AI15" s="227"/>
      <c r="AJ15" s="227"/>
      <c r="AK15" s="227"/>
      <c r="AL15" s="227"/>
      <c r="AM15" s="227"/>
      <c r="AN15" s="227"/>
      <c r="AO15" s="227"/>
      <c r="AP15" s="227"/>
      <c r="AQ15" s="227"/>
      <c r="AR15" s="227"/>
      <c r="AS15" s="227"/>
      <c r="AT15" s="227"/>
      <c r="AU15" s="227"/>
      <c r="AV15" s="227"/>
      <c r="AW15" s="227"/>
      <c r="AX15" s="227"/>
      <c r="AY15" s="227"/>
      <c r="AZ15" s="227"/>
      <c r="BA15" s="227"/>
      <c r="BB15" s="227"/>
      <c r="BC15" s="227"/>
      <c r="BD15" s="227"/>
      <c r="BE15" s="227"/>
      <c r="BF15" s="227"/>
      <c r="BG15" s="227"/>
      <c r="BH15" s="227"/>
      <c r="BI15" s="227"/>
      <c r="BJ15" s="227"/>
      <c r="BK15" s="227"/>
      <c r="BL15" s="227"/>
      <c r="BM15" s="227"/>
      <c r="BN15" s="227"/>
      <c r="BO15" s="227"/>
      <c r="BP15" s="227"/>
      <c r="BQ15" s="227"/>
      <c r="BR15" s="227"/>
      <c r="BS15" s="227"/>
      <c r="BT15" s="227"/>
      <c r="BU15" s="240"/>
      <c r="BV15" s="240"/>
      <c r="BW15" s="240"/>
      <c r="BX15" s="240"/>
    </row>
    <row r="16" spans="1:76" s="141" customFormat="1" ht="11.25" customHeight="1" x14ac:dyDescent="0.2">
      <c r="A16" s="5"/>
      <c r="B16" s="5"/>
      <c r="C16" s="5"/>
      <c r="D16" s="5"/>
      <c r="E16" s="5"/>
      <c r="F16" s="5"/>
      <c r="G16" s="5"/>
      <c r="H16" s="5"/>
      <c r="I16" s="5"/>
      <c r="J16" s="37"/>
      <c r="K16" s="227"/>
      <c r="L16" s="227"/>
      <c r="M16" s="227"/>
      <c r="N16" s="227"/>
      <c r="O16" s="239"/>
      <c r="P16" s="5"/>
      <c r="Q16" s="5"/>
      <c r="R16" s="5"/>
      <c r="S16" s="5"/>
      <c r="T16" s="5"/>
      <c r="U16" s="5"/>
      <c r="V16" s="5"/>
      <c r="W16" s="37"/>
      <c r="X16" s="227"/>
      <c r="Y16" s="227"/>
      <c r="Z16" s="227"/>
      <c r="AA16" s="227"/>
      <c r="AB16" s="227"/>
      <c r="AC16" s="227"/>
      <c r="AD16" s="227"/>
      <c r="AE16" s="227"/>
      <c r="AF16" s="227"/>
      <c r="AG16" s="227"/>
      <c r="AH16" s="227"/>
      <c r="AI16" s="227"/>
      <c r="AJ16" s="227"/>
      <c r="AK16" s="227"/>
      <c r="AL16" s="227"/>
      <c r="AM16" s="227"/>
      <c r="AN16" s="227"/>
      <c r="AO16" s="227"/>
      <c r="AP16" s="227"/>
      <c r="AQ16" s="227"/>
      <c r="AR16" s="227"/>
      <c r="AS16" s="227"/>
      <c r="AT16" s="227"/>
      <c r="AU16" s="227"/>
      <c r="AV16" s="227"/>
      <c r="AW16" s="227"/>
      <c r="AX16" s="227"/>
      <c r="AY16" s="227"/>
      <c r="AZ16" s="227"/>
      <c r="BA16" s="227"/>
      <c r="BB16" s="227"/>
      <c r="BC16" s="227"/>
      <c r="BD16" s="227"/>
      <c r="BE16" s="227"/>
      <c r="BF16" s="227"/>
      <c r="BG16" s="227"/>
      <c r="BH16" s="227"/>
      <c r="BI16" s="227"/>
      <c r="BJ16" s="227"/>
      <c r="BK16" s="227"/>
      <c r="BL16" s="227"/>
      <c r="BM16" s="227"/>
      <c r="BN16" s="227"/>
      <c r="BO16" s="227"/>
      <c r="BP16" s="227"/>
      <c r="BQ16" s="227"/>
      <c r="BR16" s="227"/>
      <c r="BS16" s="227"/>
      <c r="BT16" s="227"/>
      <c r="BU16" s="240"/>
      <c r="BV16" s="240"/>
      <c r="BW16" s="240"/>
      <c r="BX16" s="240"/>
    </row>
    <row r="17" spans="1:76" s="141" customFormat="1" ht="11.25" customHeight="1" x14ac:dyDescent="0.2">
      <c r="A17" s="5"/>
      <c r="B17" s="5"/>
      <c r="C17" s="5"/>
      <c r="D17" s="5"/>
      <c r="E17" s="5"/>
      <c r="F17" s="5"/>
      <c r="G17" s="5"/>
      <c r="H17" s="5"/>
      <c r="I17" s="5"/>
      <c r="J17" s="37"/>
      <c r="K17" s="227"/>
      <c r="L17" s="227"/>
      <c r="M17" s="227"/>
      <c r="N17" s="227"/>
      <c r="O17" s="239"/>
      <c r="P17" s="5"/>
      <c r="Q17" s="5"/>
      <c r="R17" s="5"/>
      <c r="S17" s="5"/>
      <c r="T17" s="5"/>
      <c r="U17" s="5"/>
      <c r="V17" s="5"/>
      <c r="W17" s="37"/>
      <c r="X17" s="227"/>
      <c r="Y17" s="227"/>
      <c r="Z17" s="227"/>
      <c r="AA17" s="227"/>
      <c r="AB17" s="227"/>
      <c r="AC17" s="227"/>
      <c r="AD17" s="227"/>
      <c r="AE17" s="227"/>
      <c r="AF17" s="227"/>
      <c r="AG17" s="227"/>
      <c r="AH17" s="227"/>
      <c r="AI17" s="227"/>
      <c r="AJ17" s="227"/>
      <c r="AK17" s="227"/>
      <c r="AL17" s="227"/>
      <c r="AM17" s="227"/>
      <c r="AN17" s="227"/>
      <c r="AO17" s="227"/>
      <c r="AP17" s="227"/>
      <c r="AQ17" s="227"/>
      <c r="AR17" s="227"/>
      <c r="AS17" s="227"/>
      <c r="AT17" s="227"/>
      <c r="AU17" s="227"/>
      <c r="AV17" s="227"/>
      <c r="AW17" s="227"/>
      <c r="AX17" s="227"/>
      <c r="AY17" s="227"/>
      <c r="AZ17" s="227"/>
      <c r="BA17" s="227"/>
      <c r="BB17" s="227"/>
      <c r="BC17" s="227"/>
      <c r="BD17" s="227"/>
      <c r="BE17" s="227"/>
      <c r="BF17" s="227"/>
      <c r="BG17" s="227"/>
      <c r="BH17" s="227"/>
      <c r="BI17" s="227"/>
      <c r="BJ17" s="227"/>
      <c r="BK17" s="227"/>
      <c r="BL17" s="227"/>
      <c r="BM17" s="227"/>
      <c r="BN17" s="227"/>
      <c r="BO17" s="227"/>
      <c r="BP17" s="227"/>
      <c r="BQ17" s="227"/>
      <c r="BR17" s="227"/>
      <c r="BS17" s="227"/>
      <c r="BT17" s="227"/>
      <c r="BU17" s="240"/>
      <c r="BV17" s="240"/>
      <c r="BW17" s="240"/>
      <c r="BX17" s="240"/>
    </row>
    <row r="18" spans="1:76" s="141" customFormat="1" ht="11.25" customHeight="1" x14ac:dyDescent="0.2">
      <c r="A18" s="5"/>
      <c r="B18" s="5"/>
      <c r="C18" s="5"/>
      <c r="D18" s="5"/>
      <c r="E18" s="5"/>
      <c r="F18" s="5"/>
      <c r="G18" s="5"/>
      <c r="H18" s="5"/>
      <c r="I18" s="5"/>
      <c r="J18" s="37"/>
      <c r="K18" s="227"/>
      <c r="L18" s="227"/>
      <c r="M18" s="227"/>
      <c r="N18" s="227"/>
      <c r="O18" s="239"/>
      <c r="P18" s="5"/>
      <c r="Q18" s="5"/>
      <c r="R18" s="5"/>
      <c r="S18" s="5"/>
      <c r="T18" s="5"/>
      <c r="U18" s="5"/>
      <c r="V18" s="5"/>
      <c r="W18" s="37"/>
      <c r="X18" s="227"/>
      <c r="Y18" s="227"/>
      <c r="Z18" s="227"/>
      <c r="AA18" s="227"/>
      <c r="AB18" s="227"/>
      <c r="AC18" s="227"/>
      <c r="AD18" s="227"/>
      <c r="AE18" s="227"/>
      <c r="AF18" s="227"/>
      <c r="AG18" s="227"/>
      <c r="AH18" s="227"/>
      <c r="AI18" s="227"/>
      <c r="AJ18" s="227"/>
      <c r="AK18" s="227"/>
      <c r="AL18" s="227"/>
      <c r="AM18" s="227"/>
      <c r="AN18" s="227"/>
      <c r="AO18" s="227"/>
      <c r="AP18" s="227"/>
      <c r="AQ18" s="227"/>
      <c r="AR18" s="227"/>
      <c r="AS18" s="227"/>
      <c r="AT18" s="227"/>
      <c r="AU18" s="227"/>
      <c r="AV18" s="227"/>
      <c r="AW18" s="227"/>
      <c r="AX18" s="227"/>
      <c r="AY18" s="227"/>
      <c r="AZ18" s="227"/>
      <c r="BA18" s="227"/>
      <c r="BB18" s="227"/>
      <c r="BC18" s="227"/>
      <c r="BD18" s="227"/>
      <c r="BE18" s="227"/>
      <c r="BF18" s="227"/>
      <c r="BG18" s="227"/>
      <c r="BH18" s="227"/>
      <c r="BI18" s="227"/>
      <c r="BJ18" s="227"/>
      <c r="BK18" s="227"/>
      <c r="BL18" s="227"/>
      <c r="BM18" s="227"/>
      <c r="BN18" s="227"/>
      <c r="BO18" s="227"/>
      <c r="BP18" s="227"/>
      <c r="BQ18" s="227"/>
      <c r="BR18" s="227"/>
      <c r="BS18" s="227"/>
      <c r="BT18" s="227"/>
      <c r="BU18" s="240"/>
      <c r="BV18" s="240"/>
      <c r="BW18" s="240"/>
      <c r="BX18" s="240"/>
    </row>
    <row r="19" spans="1:76" s="141" customFormat="1" ht="11.25" customHeight="1" x14ac:dyDescent="0.2">
      <c r="A19" s="5"/>
      <c r="B19" s="5"/>
      <c r="C19" s="5"/>
      <c r="D19" s="5"/>
      <c r="E19" s="5"/>
      <c r="F19" s="5"/>
      <c r="G19" s="5"/>
      <c r="H19" s="5"/>
      <c r="I19" s="5"/>
      <c r="J19" s="37"/>
      <c r="K19" s="227"/>
      <c r="L19" s="227"/>
      <c r="M19" s="227"/>
      <c r="N19" s="227"/>
      <c r="O19" s="239"/>
      <c r="P19" s="5"/>
      <c r="Q19" s="5"/>
      <c r="R19" s="5"/>
      <c r="S19" s="5"/>
      <c r="T19" s="5"/>
      <c r="U19" s="5"/>
      <c r="V19" s="5"/>
      <c r="W19" s="37"/>
      <c r="X19" s="227"/>
      <c r="Y19" s="227"/>
      <c r="Z19" s="227"/>
      <c r="AA19" s="227"/>
      <c r="AB19" s="227"/>
      <c r="AC19" s="227"/>
      <c r="AD19" s="227"/>
      <c r="AE19" s="227"/>
      <c r="AF19" s="227"/>
      <c r="AG19" s="227"/>
      <c r="AH19" s="227"/>
      <c r="AI19" s="227"/>
      <c r="AJ19" s="227"/>
      <c r="AK19" s="227"/>
      <c r="AL19" s="227"/>
      <c r="AM19" s="227"/>
      <c r="AN19" s="227"/>
      <c r="AO19" s="227"/>
      <c r="AP19" s="227"/>
      <c r="AQ19" s="227"/>
      <c r="AR19" s="227"/>
      <c r="AS19" s="227"/>
      <c r="AT19" s="227"/>
      <c r="AU19" s="227"/>
      <c r="AV19" s="227"/>
      <c r="AW19" s="227"/>
      <c r="AX19" s="227"/>
      <c r="AY19" s="227"/>
      <c r="AZ19" s="227"/>
      <c r="BA19" s="227"/>
      <c r="BB19" s="227"/>
      <c r="BC19" s="227"/>
      <c r="BD19" s="227"/>
      <c r="BE19" s="227"/>
      <c r="BF19" s="227"/>
      <c r="BG19" s="227"/>
      <c r="BH19" s="227"/>
      <c r="BI19" s="227"/>
      <c r="BJ19" s="227"/>
      <c r="BK19" s="227"/>
      <c r="BL19" s="227"/>
      <c r="BM19" s="227"/>
      <c r="BN19" s="227"/>
      <c r="BO19" s="227"/>
      <c r="BP19" s="227"/>
      <c r="BQ19" s="227"/>
      <c r="BR19" s="227"/>
      <c r="BS19" s="227"/>
      <c r="BT19" s="227"/>
      <c r="BU19" s="240"/>
      <c r="BV19" s="240"/>
      <c r="BW19" s="240"/>
      <c r="BX19" s="240"/>
    </row>
    <row r="20" spans="1:76" s="141" customFormat="1" ht="11.25" customHeight="1" x14ac:dyDescent="0.2">
      <c r="A20" s="5"/>
      <c r="B20" s="5"/>
      <c r="C20" s="5"/>
      <c r="D20" s="5"/>
      <c r="E20" s="5"/>
      <c r="F20" s="5"/>
      <c r="G20" s="5"/>
      <c r="H20" s="5"/>
      <c r="I20" s="5"/>
      <c r="J20" s="37"/>
      <c r="K20" s="227"/>
      <c r="L20" s="227"/>
      <c r="M20" s="227"/>
      <c r="N20" s="227"/>
      <c r="O20" s="239"/>
      <c r="P20" s="5"/>
      <c r="Q20" s="5"/>
      <c r="R20" s="5"/>
      <c r="S20" s="5"/>
      <c r="T20" s="5"/>
      <c r="U20" s="5"/>
      <c r="V20" s="5"/>
      <c r="W20" s="37"/>
      <c r="X20" s="227"/>
      <c r="Y20" s="227"/>
      <c r="Z20" s="227"/>
      <c r="AA20" s="227"/>
      <c r="AB20" s="227"/>
      <c r="AC20" s="227"/>
      <c r="AD20" s="227"/>
      <c r="AE20" s="227"/>
      <c r="AF20" s="227"/>
      <c r="AG20" s="227"/>
      <c r="AH20" s="227"/>
      <c r="AI20" s="227"/>
      <c r="AJ20" s="227"/>
      <c r="AK20" s="227"/>
      <c r="AL20" s="227"/>
      <c r="AM20" s="227"/>
      <c r="AN20" s="227"/>
      <c r="AO20" s="227"/>
      <c r="AP20" s="227"/>
      <c r="AQ20" s="227"/>
      <c r="AR20" s="227"/>
      <c r="AS20" s="227"/>
      <c r="AT20" s="227"/>
      <c r="AU20" s="227"/>
      <c r="AV20" s="227"/>
      <c r="AW20" s="227"/>
      <c r="AX20" s="227"/>
      <c r="AY20" s="227"/>
      <c r="AZ20" s="227"/>
      <c r="BA20" s="227"/>
      <c r="BB20" s="227"/>
      <c r="BC20" s="227"/>
      <c r="BD20" s="227"/>
      <c r="BE20" s="227"/>
      <c r="BF20" s="227"/>
      <c r="BG20" s="227"/>
      <c r="BH20" s="227"/>
      <c r="BI20" s="227"/>
      <c r="BJ20" s="227"/>
      <c r="BK20" s="227"/>
      <c r="BL20" s="227"/>
      <c r="BM20" s="227"/>
      <c r="BN20" s="227"/>
      <c r="BO20" s="227"/>
      <c r="BP20" s="227"/>
      <c r="BQ20" s="227"/>
      <c r="BR20" s="227"/>
      <c r="BS20" s="227"/>
      <c r="BT20" s="227"/>
      <c r="BU20" s="240"/>
      <c r="BV20" s="240"/>
      <c r="BW20" s="240"/>
      <c r="BX20" s="240"/>
    </row>
    <row r="21" spans="1:76" s="141" customFormat="1" ht="11.25" customHeight="1" x14ac:dyDescent="0.2">
      <c r="A21" s="5"/>
      <c r="B21" s="5"/>
      <c r="C21" s="5"/>
      <c r="D21" s="5"/>
      <c r="E21" s="5"/>
      <c r="F21" s="5"/>
      <c r="G21" s="5"/>
      <c r="H21" s="5"/>
      <c r="I21" s="5"/>
      <c r="J21" s="37"/>
      <c r="K21" s="227"/>
      <c r="L21" s="227"/>
      <c r="M21" s="227"/>
      <c r="N21" s="227"/>
      <c r="O21" s="239"/>
      <c r="P21" s="5"/>
      <c r="Q21" s="5"/>
      <c r="R21" s="5"/>
      <c r="S21" s="5"/>
      <c r="T21" s="5"/>
      <c r="U21" s="5"/>
      <c r="V21" s="5"/>
      <c r="W21" s="37"/>
      <c r="X21" s="227"/>
      <c r="Y21" s="227"/>
      <c r="Z21" s="227"/>
      <c r="AA21" s="227"/>
      <c r="AB21" s="227"/>
      <c r="AC21" s="227"/>
      <c r="AD21" s="227"/>
      <c r="AE21" s="227"/>
      <c r="AF21" s="227"/>
      <c r="AG21" s="227"/>
      <c r="AH21" s="227"/>
      <c r="AI21" s="227"/>
      <c r="AJ21" s="227"/>
      <c r="AK21" s="227"/>
      <c r="AL21" s="227"/>
      <c r="AM21" s="227"/>
      <c r="AN21" s="227"/>
      <c r="AO21" s="227"/>
      <c r="AP21" s="227"/>
      <c r="AQ21" s="227"/>
      <c r="AR21" s="227"/>
      <c r="AS21" s="227"/>
      <c r="AT21" s="227"/>
      <c r="AU21" s="227"/>
      <c r="AV21" s="227"/>
      <c r="AW21" s="227"/>
      <c r="AX21" s="227"/>
      <c r="AY21" s="227"/>
      <c r="AZ21" s="227"/>
      <c r="BA21" s="227"/>
      <c r="BB21" s="227"/>
      <c r="BC21" s="227"/>
      <c r="BD21" s="227"/>
      <c r="BE21" s="227"/>
      <c r="BF21" s="227"/>
      <c r="BG21" s="227"/>
      <c r="BH21" s="227"/>
      <c r="BI21" s="227"/>
      <c r="BJ21" s="227"/>
      <c r="BK21" s="227"/>
      <c r="BL21" s="227"/>
      <c r="BM21" s="227"/>
      <c r="BN21" s="227"/>
      <c r="BO21" s="227"/>
      <c r="BP21" s="227"/>
      <c r="BQ21" s="227"/>
      <c r="BR21" s="227"/>
      <c r="BS21" s="227"/>
      <c r="BT21" s="227"/>
      <c r="BU21" s="240"/>
      <c r="BV21" s="240"/>
      <c r="BW21" s="240"/>
      <c r="BX21" s="240"/>
    </row>
    <row r="22" spans="1:76" s="141" customFormat="1" ht="11.25" customHeight="1" x14ac:dyDescent="0.2">
      <c r="A22" s="5"/>
      <c r="B22" s="5"/>
      <c r="C22" s="5"/>
      <c r="D22" s="5"/>
      <c r="E22" s="5"/>
      <c r="F22" s="5"/>
      <c r="G22" s="5"/>
      <c r="H22" s="5"/>
      <c r="I22" s="5"/>
      <c r="J22" s="37"/>
      <c r="K22" s="227"/>
      <c r="L22" s="227"/>
      <c r="M22" s="227"/>
      <c r="N22" s="227"/>
      <c r="O22" s="239"/>
      <c r="P22" s="5"/>
      <c r="Q22" s="5"/>
      <c r="R22" s="5"/>
      <c r="S22" s="5"/>
      <c r="T22" s="5"/>
      <c r="U22" s="5"/>
      <c r="V22" s="5"/>
      <c r="W22" s="37"/>
      <c r="X22" s="227"/>
      <c r="Y22" s="227"/>
      <c r="Z22" s="227"/>
      <c r="AA22" s="227"/>
      <c r="AB22" s="227"/>
      <c r="AC22" s="227"/>
      <c r="AD22" s="227"/>
      <c r="AE22" s="227"/>
      <c r="AF22" s="227"/>
      <c r="AG22" s="227"/>
      <c r="AH22" s="227"/>
      <c r="AI22" s="227"/>
      <c r="AJ22" s="227"/>
      <c r="AK22" s="227"/>
      <c r="AL22" s="227"/>
      <c r="AM22" s="227"/>
      <c r="AN22" s="227"/>
      <c r="AO22" s="227"/>
      <c r="AP22" s="227"/>
      <c r="AQ22" s="227"/>
      <c r="AR22" s="227"/>
      <c r="AS22" s="227"/>
      <c r="AT22" s="227"/>
      <c r="AU22" s="227"/>
      <c r="AV22" s="227"/>
      <c r="AW22" s="227"/>
      <c r="AX22" s="227"/>
      <c r="AY22" s="227"/>
      <c r="AZ22" s="227"/>
      <c r="BA22" s="227"/>
      <c r="BB22" s="227"/>
      <c r="BC22" s="227"/>
      <c r="BD22" s="227"/>
      <c r="BE22" s="227"/>
      <c r="BF22" s="227"/>
      <c r="BG22" s="227"/>
      <c r="BH22" s="227"/>
      <c r="BI22" s="227"/>
      <c r="BJ22" s="227"/>
      <c r="BK22" s="227"/>
      <c r="BL22" s="227"/>
      <c r="BM22" s="227"/>
      <c r="BN22" s="227"/>
      <c r="BO22" s="227"/>
      <c r="BP22" s="227"/>
      <c r="BQ22" s="227"/>
      <c r="BR22" s="227"/>
      <c r="BS22" s="227"/>
      <c r="BT22" s="227"/>
      <c r="BU22" s="240"/>
      <c r="BV22" s="240"/>
      <c r="BW22" s="240"/>
      <c r="BX22" s="240"/>
    </row>
    <row r="23" spans="1:76" s="141" customFormat="1" ht="11.25" customHeight="1" x14ac:dyDescent="0.2">
      <c r="A23" s="5"/>
      <c r="B23" s="5"/>
      <c r="C23" s="5"/>
      <c r="D23" s="5"/>
      <c r="E23" s="5"/>
      <c r="F23" s="5"/>
      <c r="G23" s="5"/>
      <c r="H23" s="5"/>
      <c r="I23" s="5"/>
      <c r="J23" s="37"/>
      <c r="K23" s="227"/>
      <c r="L23" s="227"/>
      <c r="M23" s="227"/>
      <c r="N23" s="227"/>
      <c r="O23" s="239"/>
      <c r="P23" s="5"/>
      <c r="Q23" s="5"/>
      <c r="R23" s="5"/>
      <c r="S23" s="5"/>
      <c r="T23" s="5"/>
      <c r="U23" s="5"/>
      <c r="V23" s="5"/>
      <c r="W23" s="37"/>
      <c r="X23" s="227"/>
      <c r="Y23" s="227"/>
      <c r="Z23" s="227"/>
      <c r="AA23" s="227"/>
      <c r="AB23" s="227"/>
      <c r="AC23" s="227"/>
      <c r="AD23" s="227"/>
      <c r="AE23" s="227"/>
      <c r="AF23" s="227"/>
      <c r="AG23" s="227"/>
      <c r="AH23" s="227"/>
      <c r="AI23" s="227"/>
      <c r="AJ23" s="227"/>
      <c r="AK23" s="227"/>
      <c r="AL23" s="227"/>
      <c r="AM23" s="227"/>
      <c r="AN23" s="227"/>
      <c r="AO23" s="227"/>
      <c r="AP23" s="227"/>
      <c r="AQ23" s="227"/>
      <c r="AR23" s="227"/>
      <c r="AS23" s="227"/>
      <c r="AT23" s="227"/>
      <c r="AU23" s="227"/>
      <c r="AV23" s="227"/>
      <c r="AW23" s="227"/>
      <c r="AX23" s="227"/>
      <c r="AY23" s="227"/>
      <c r="AZ23" s="227"/>
      <c r="BA23" s="227"/>
      <c r="BB23" s="227"/>
      <c r="BC23" s="227"/>
      <c r="BD23" s="227"/>
      <c r="BE23" s="227"/>
      <c r="BF23" s="227"/>
      <c r="BG23" s="227"/>
      <c r="BH23" s="227"/>
      <c r="BI23" s="227"/>
      <c r="BJ23" s="227"/>
      <c r="BK23" s="227"/>
      <c r="BL23" s="227"/>
      <c r="BM23" s="227"/>
      <c r="BN23" s="227"/>
      <c r="BO23" s="227"/>
      <c r="BP23" s="227"/>
      <c r="BQ23" s="227"/>
      <c r="BR23" s="227"/>
      <c r="BS23" s="227"/>
      <c r="BT23" s="227"/>
      <c r="BU23" s="240"/>
      <c r="BV23" s="240"/>
      <c r="BW23" s="240"/>
      <c r="BX23" s="240"/>
    </row>
    <row r="24" spans="1:76" s="141" customFormat="1" ht="11.25" customHeight="1" x14ac:dyDescent="0.2">
      <c r="A24" s="5"/>
      <c r="B24" s="5"/>
      <c r="C24" s="5"/>
      <c r="D24" s="5"/>
      <c r="E24" s="5"/>
      <c r="F24" s="5"/>
      <c r="G24" s="5"/>
      <c r="H24" s="5"/>
      <c r="I24" s="5"/>
      <c r="J24" s="37"/>
      <c r="K24" s="227"/>
      <c r="L24" s="227"/>
      <c r="M24" s="227"/>
      <c r="N24" s="227"/>
      <c r="O24" s="239"/>
      <c r="P24" s="5"/>
      <c r="Q24" s="5"/>
      <c r="R24" s="5"/>
      <c r="S24" s="5"/>
      <c r="T24" s="5"/>
      <c r="U24" s="5"/>
      <c r="V24" s="5"/>
      <c r="W24" s="37"/>
      <c r="X24" s="227"/>
      <c r="Y24" s="227"/>
      <c r="Z24" s="227"/>
      <c r="AA24" s="227"/>
      <c r="AB24" s="227"/>
      <c r="AC24" s="227"/>
      <c r="AD24" s="227"/>
      <c r="AE24" s="227"/>
      <c r="AF24" s="227"/>
      <c r="AG24" s="227"/>
      <c r="AH24" s="227"/>
      <c r="AI24" s="227"/>
      <c r="AJ24" s="227"/>
      <c r="AK24" s="227"/>
      <c r="AL24" s="227"/>
      <c r="AM24" s="227"/>
      <c r="AN24" s="227"/>
      <c r="AO24" s="227"/>
      <c r="AP24" s="227"/>
      <c r="AQ24" s="227"/>
      <c r="AR24" s="227"/>
      <c r="AS24" s="227"/>
      <c r="AT24" s="227"/>
      <c r="AU24" s="227"/>
      <c r="AV24" s="227"/>
      <c r="AW24" s="227"/>
      <c r="AX24" s="227"/>
      <c r="AY24" s="227"/>
      <c r="AZ24" s="227"/>
      <c r="BA24" s="227"/>
      <c r="BB24" s="227"/>
      <c r="BC24" s="227"/>
      <c r="BD24" s="227"/>
      <c r="BE24" s="227"/>
      <c r="BF24" s="227"/>
      <c r="BG24" s="227"/>
      <c r="BH24" s="227"/>
      <c r="BI24" s="227"/>
      <c r="BJ24" s="227"/>
      <c r="BK24" s="227"/>
      <c r="BL24" s="227"/>
      <c r="BM24" s="227"/>
      <c r="BN24" s="227"/>
      <c r="BO24" s="227"/>
      <c r="BP24" s="227"/>
      <c r="BQ24" s="227"/>
      <c r="BR24" s="227"/>
      <c r="BS24" s="227"/>
      <c r="BT24" s="227"/>
      <c r="BU24" s="240"/>
      <c r="BV24" s="240"/>
      <c r="BW24" s="240"/>
      <c r="BX24" s="240"/>
    </row>
    <row r="25" spans="1:76" s="141" customFormat="1" ht="11.25" customHeight="1" x14ac:dyDescent="0.2">
      <c r="A25" s="5"/>
      <c r="B25" s="5"/>
      <c r="C25" s="5"/>
      <c r="D25" s="5"/>
      <c r="E25" s="5"/>
      <c r="F25" s="5"/>
      <c r="G25" s="5"/>
      <c r="H25" s="5"/>
      <c r="I25" s="5"/>
      <c r="J25" s="37"/>
      <c r="K25" s="227"/>
      <c r="L25" s="227"/>
      <c r="M25" s="227"/>
      <c r="N25" s="227"/>
      <c r="O25" s="239"/>
      <c r="P25" s="5"/>
      <c r="Q25" s="5"/>
      <c r="R25" s="5"/>
      <c r="S25" s="5"/>
      <c r="T25" s="5"/>
      <c r="U25" s="5"/>
      <c r="V25" s="5"/>
      <c r="W25" s="37"/>
      <c r="X25" s="227"/>
      <c r="Y25" s="227"/>
      <c r="Z25" s="227"/>
      <c r="AA25" s="227"/>
      <c r="AB25" s="227"/>
      <c r="AC25" s="227"/>
      <c r="AD25" s="227"/>
      <c r="AE25" s="227"/>
      <c r="AF25" s="227"/>
      <c r="AG25" s="227"/>
      <c r="AH25" s="227"/>
      <c r="AI25" s="227"/>
      <c r="AJ25" s="227"/>
      <c r="AK25" s="227"/>
      <c r="AL25" s="227"/>
      <c r="AM25" s="227"/>
      <c r="AN25" s="227"/>
      <c r="AO25" s="227"/>
      <c r="AP25" s="227"/>
      <c r="AQ25" s="227"/>
      <c r="AR25" s="227"/>
      <c r="AS25" s="227"/>
      <c r="AT25" s="227"/>
      <c r="AU25" s="227"/>
      <c r="AV25" s="227"/>
      <c r="AW25" s="227"/>
      <c r="AX25" s="227"/>
      <c r="AY25" s="227"/>
      <c r="AZ25" s="227"/>
      <c r="BA25" s="227"/>
      <c r="BB25" s="227"/>
      <c r="BC25" s="227"/>
      <c r="BD25" s="227"/>
      <c r="BE25" s="227"/>
      <c r="BF25" s="227"/>
      <c r="BG25" s="227"/>
      <c r="BH25" s="227"/>
      <c r="BI25" s="227"/>
      <c r="BJ25" s="227"/>
      <c r="BK25" s="227"/>
      <c r="BL25" s="227"/>
      <c r="BM25" s="227"/>
      <c r="BN25" s="227"/>
      <c r="BO25" s="227"/>
      <c r="BP25" s="227"/>
      <c r="BQ25" s="227"/>
      <c r="BR25" s="227"/>
      <c r="BS25" s="227"/>
      <c r="BT25" s="227"/>
      <c r="BU25" s="240"/>
      <c r="BV25" s="240"/>
      <c r="BW25" s="240"/>
      <c r="BX25" s="240"/>
    </row>
    <row r="26" spans="1:76" s="141" customFormat="1" ht="11.25" customHeight="1" x14ac:dyDescent="0.2">
      <c r="A26" s="5"/>
      <c r="B26" s="5"/>
      <c r="C26" s="5"/>
      <c r="D26" s="5"/>
      <c r="E26" s="5"/>
      <c r="F26" s="5"/>
      <c r="G26" s="5"/>
      <c r="H26" s="5"/>
      <c r="I26" s="5"/>
      <c r="J26" s="37"/>
      <c r="K26" s="227"/>
      <c r="L26" s="227"/>
      <c r="M26" s="227"/>
      <c r="N26" s="227"/>
      <c r="O26" s="239"/>
      <c r="P26" s="5"/>
      <c r="Q26" s="5"/>
      <c r="R26" s="5"/>
      <c r="S26" s="5"/>
      <c r="T26" s="5"/>
      <c r="U26" s="5"/>
      <c r="V26" s="5"/>
      <c r="W26" s="37"/>
      <c r="X26" s="227"/>
      <c r="Y26" s="227"/>
      <c r="Z26" s="227"/>
      <c r="AA26" s="227"/>
      <c r="AB26" s="227"/>
      <c r="AC26" s="227"/>
      <c r="AD26" s="227"/>
      <c r="AE26" s="227"/>
      <c r="AF26" s="227"/>
      <c r="AG26" s="227"/>
      <c r="AH26" s="227"/>
      <c r="AI26" s="227"/>
      <c r="AJ26" s="227"/>
      <c r="AK26" s="227"/>
      <c r="AL26" s="227"/>
      <c r="AM26" s="227"/>
      <c r="AN26" s="227"/>
      <c r="AO26" s="227"/>
      <c r="AP26" s="227"/>
      <c r="AQ26" s="227"/>
      <c r="AR26" s="227"/>
      <c r="AS26" s="227"/>
      <c r="AT26" s="227"/>
      <c r="AU26" s="227"/>
      <c r="AV26" s="227"/>
      <c r="AW26" s="227"/>
      <c r="AX26" s="227"/>
      <c r="AY26" s="227"/>
      <c r="AZ26" s="227"/>
      <c r="BA26" s="227"/>
      <c r="BB26" s="227"/>
      <c r="BC26" s="227"/>
      <c r="BD26" s="227"/>
      <c r="BE26" s="227"/>
      <c r="BF26" s="227"/>
      <c r="BG26" s="227"/>
      <c r="BH26" s="227"/>
      <c r="BI26" s="227"/>
      <c r="BJ26" s="227"/>
      <c r="BK26" s="227"/>
      <c r="BL26" s="227"/>
      <c r="BM26" s="227"/>
      <c r="BN26" s="227"/>
      <c r="BO26" s="227"/>
      <c r="BP26" s="227"/>
      <c r="BQ26" s="227"/>
      <c r="BR26" s="227"/>
      <c r="BS26" s="227"/>
      <c r="BT26" s="227"/>
      <c r="BU26" s="240"/>
      <c r="BV26" s="240"/>
      <c r="BW26" s="240"/>
      <c r="BX26" s="240"/>
    </row>
    <row r="27" spans="1:76" s="141" customFormat="1" ht="11.25" customHeight="1" x14ac:dyDescent="0.2">
      <c r="A27" s="5"/>
      <c r="B27" s="5"/>
      <c r="C27" s="5"/>
      <c r="D27" s="5"/>
      <c r="E27" s="5"/>
      <c r="F27" s="5"/>
      <c r="G27" s="5"/>
      <c r="H27" s="5"/>
      <c r="I27" s="5"/>
      <c r="J27" s="37"/>
      <c r="K27" s="227"/>
      <c r="L27" s="227"/>
      <c r="M27" s="227"/>
      <c r="N27" s="227"/>
      <c r="O27" s="239"/>
      <c r="P27" s="5"/>
      <c r="Q27" s="5"/>
      <c r="R27" s="5"/>
      <c r="S27" s="5"/>
      <c r="T27" s="5"/>
      <c r="U27" s="5"/>
      <c r="V27" s="5"/>
      <c r="W27" s="37"/>
      <c r="X27" s="227"/>
      <c r="Y27" s="227"/>
      <c r="Z27" s="227"/>
      <c r="AA27" s="227"/>
      <c r="AB27" s="227"/>
      <c r="AC27" s="227"/>
      <c r="AD27" s="227"/>
      <c r="AE27" s="227"/>
      <c r="AF27" s="227"/>
      <c r="AG27" s="227"/>
      <c r="AH27" s="227"/>
      <c r="AI27" s="227"/>
      <c r="AJ27" s="227"/>
      <c r="AK27" s="227"/>
      <c r="AL27" s="227"/>
      <c r="AM27" s="227"/>
      <c r="AN27" s="227"/>
      <c r="AO27" s="227"/>
      <c r="AP27" s="227"/>
      <c r="AQ27" s="227"/>
      <c r="AR27" s="227"/>
      <c r="AS27" s="227"/>
      <c r="AT27" s="227"/>
      <c r="AU27" s="227"/>
      <c r="AV27" s="227"/>
      <c r="AW27" s="227"/>
      <c r="AX27" s="227"/>
      <c r="AY27" s="227"/>
      <c r="AZ27" s="227"/>
      <c r="BA27" s="227"/>
      <c r="BB27" s="227"/>
      <c r="BC27" s="227"/>
      <c r="BD27" s="227"/>
      <c r="BE27" s="227"/>
      <c r="BF27" s="227"/>
      <c r="BG27" s="227"/>
      <c r="BH27" s="227"/>
      <c r="BI27" s="227"/>
      <c r="BJ27" s="227"/>
      <c r="BK27" s="227"/>
      <c r="BL27" s="227"/>
      <c r="BM27" s="227"/>
      <c r="BN27" s="227"/>
      <c r="BO27" s="227"/>
      <c r="BP27" s="227"/>
      <c r="BQ27" s="227"/>
      <c r="BR27" s="227"/>
      <c r="BS27" s="227"/>
      <c r="BT27" s="227"/>
      <c r="BU27" s="240"/>
      <c r="BV27" s="240"/>
      <c r="BW27" s="240"/>
      <c r="BX27" s="240"/>
    </row>
    <row r="28" spans="1:76" s="141" customFormat="1" ht="11.25" customHeight="1" x14ac:dyDescent="0.2">
      <c r="A28" s="5"/>
      <c r="B28" s="5"/>
      <c r="C28" s="5"/>
      <c r="D28" s="5"/>
      <c r="E28" s="5"/>
      <c r="F28" s="5"/>
      <c r="G28" s="5"/>
      <c r="H28" s="5"/>
      <c r="I28" s="5"/>
      <c r="J28" s="37"/>
      <c r="K28" s="227"/>
      <c r="L28" s="227"/>
      <c r="M28" s="227"/>
      <c r="N28" s="227"/>
      <c r="O28" s="239"/>
      <c r="P28" s="5"/>
      <c r="Q28" s="5"/>
      <c r="R28" s="5"/>
      <c r="S28" s="5"/>
      <c r="T28" s="5"/>
      <c r="U28" s="5"/>
      <c r="V28" s="5"/>
      <c r="W28" s="37"/>
      <c r="X28" s="227"/>
      <c r="Y28" s="227"/>
      <c r="Z28" s="227"/>
      <c r="AA28" s="227"/>
      <c r="AB28" s="227"/>
      <c r="AC28" s="227"/>
      <c r="AD28" s="227"/>
      <c r="AE28" s="227"/>
      <c r="AF28" s="227"/>
      <c r="AG28" s="227"/>
      <c r="AH28" s="227"/>
      <c r="AI28" s="227"/>
      <c r="AJ28" s="227"/>
      <c r="AK28" s="227"/>
      <c r="AL28" s="227"/>
      <c r="AM28" s="227"/>
      <c r="AN28" s="227"/>
      <c r="AO28" s="227"/>
      <c r="AP28" s="227"/>
      <c r="AQ28" s="227"/>
      <c r="AR28" s="227"/>
      <c r="AS28" s="227"/>
      <c r="AT28" s="227"/>
      <c r="AU28" s="227"/>
      <c r="AV28" s="227"/>
      <c r="AW28" s="227"/>
      <c r="AX28" s="227"/>
      <c r="AY28" s="227"/>
      <c r="AZ28" s="227"/>
      <c r="BA28" s="227"/>
      <c r="BB28" s="227"/>
      <c r="BC28" s="227"/>
      <c r="BD28" s="227"/>
      <c r="BE28" s="227"/>
      <c r="BF28" s="227"/>
      <c r="BG28" s="227"/>
      <c r="BH28" s="227"/>
      <c r="BI28" s="227"/>
      <c r="BJ28" s="227"/>
      <c r="BK28" s="227"/>
      <c r="BL28" s="227"/>
      <c r="BM28" s="227"/>
      <c r="BN28" s="227"/>
      <c r="BO28" s="227"/>
      <c r="BP28" s="227"/>
      <c r="BQ28" s="227"/>
      <c r="BR28" s="227"/>
      <c r="BS28" s="227"/>
      <c r="BT28" s="227"/>
      <c r="BU28" s="240"/>
      <c r="BV28" s="240"/>
      <c r="BW28" s="240"/>
      <c r="BX28" s="240"/>
    </row>
    <row r="29" spans="1:76" s="141" customFormat="1" ht="11.25" customHeight="1" x14ac:dyDescent="0.2">
      <c r="A29" s="5"/>
      <c r="B29" s="5"/>
      <c r="C29" s="5"/>
      <c r="D29" s="5"/>
      <c r="E29" s="5"/>
      <c r="F29" s="5"/>
      <c r="G29" s="5"/>
      <c r="H29" s="5"/>
      <c r="I29" s="5"/>
      <c r="J29" s="37"/>
      <c r="K29" s="227"/>
      <c r="L29" s="227"/>
      <c r="M29" s="227"/>
      <c r="N29" s="227"/>
      <c r="O29" s="239"/>
      <c r="P29" s="5"/>
      <c r="Q29" s="5"/>
      <c r="R29" s="5"/>
      <c r="S29" s="5"/>
      <c r="T29" s="5"/>
      <c r="U29" s="5"/>
      <c r="V29" s="5"/>
      <c r="W29" s="37"/>
      <c r="X29" s="227"/>
      <c r="Y29" s="227"/>
      <c r="Z29" s="227"/>
      <c r="AA29" s="227"/>
      <c r="AB29" s="227"/>
      <c r="AC29" s="227"/>
      <c r="AD29" s="227"/>
      <c r="AE29" s="227"/>
      <c r="AF29" s="227"/>
      <c r="AG29" s="227"/>
      <c r="AH29" s="227"/>
      <c r="AI29" s="227"/>
      <c r="AJ29" s="227"/>
      <c r="AK29" s="227"/>
      <c r="AL29" s="227"/>
      <c r="AM29" s="227"/>
      <c r="AN29" s="227"/>
      <c r="AO29" s="227"/>
      <c r="AP29" s="227"/>
      <c r="AQ29" s="227"/>
      <c r="AR29" s="227"/>
      <c r="AS29" s="227"/>
      <c r="AT29" s="227"/>
      <c r="AU29" s="227"/>
      <c r="AV29" s="227"/>
      <c r="AW29" s="227"/>
      <c r="AX29" s="227"/>
      <c r="AY29" s="227"/>
      <c r="AZ29" s="227"/>
      <c r="BA29" s="227"/>
      <c r="BB29" s="227"/>
      <c r="BC29" s="227"/>
      <c r="BD29" s="227"/>
      <c r="BE29" s="227"/>
      <c r="BF29" s="227"/>
      <c r="BG29" s="227"/>
      <c r="BH29" s="227"/>
      <c r="BI29" s="227"/>
      <c r="BJ29" s="227"/>
      <c r="BK29" s="227"/>
      <c r="BL29" s="227"/>
      <c r="BM29" s="227"/>
      <c r="BN29" s="227"/>
      <c r="BO29" s="227"/>
      <c r="BP29" s="227"/>
      <c r="BQ29" s="227"/>
      <c r="BR29" s="227"/>
      <c r="BS29" s="227"/>
      <c r="BT29" s="227"/>
      <c r="BU29" s="240"/>
      <c r="BV29" s="240"/>
      <c r="BW29" s="240"/>
      <c r="BX29" s="240"/>
    </row>
    <row r="30" spans="1:76" s="141" customFormat="1" ht="11.25" customHeight="1" x14ac:dyDescent="0.2">
      <c r="A30" s="5"/>
      <c r="B30" s="5"/>
      <c r="C30" s="5"/>
      <c r="D30" s="5"/>
      <c r="E30" s="5"/>
      <c r="F30" s="5"/>
      <c r="G30" s="5"/>
      <c r="H30" s="5"/>
      <c r="I30" s="5"/>
      <c r="J30" s="37"/>
      <c r="K30" s="227"/>
      <c r="L30" s="227"/>
      <c r="M30" s="227"/>
      <c r="N30" s="227"/>
      <c r="O30" s="239"/>
      <c r="P30" s="5"/>
      <c r="Q30" s="5"/>
      <c r="R30" s="5"/>
      <c r="S30" s="5"/>
      <c r="T30" s="5"/>
      <c r="U30" s="5"/>
      <c r="V30" s="5"/>
      <c r="W30" s="37"/>
      <c r="X30" s="227"/>
      <c r="Y30" s="227"/>
      <c r="Z30" s="227"/>
      <c r="AA30" s="227"/>
      <c r="AB30" s="227"/>
      <c r="AC30" s="227"/>
      <c r="AD30" s="227"/>
      <c r="AE30" s="227"/>
      <c r="AF30" s="227"/>
      <c r="AG30" s="227"/>
      <c r="AH30" s="227"/>
      <c r="AI30" s="227"/>
      <c r="AJ30" s="227"/>
      <c r="AK30" s="227"/>
      <c r="AL30" s="227"/>
      <c r="AM30" s="227"/>
      <c r="AN30" s="227"/>
      <c r="AO30" s="227"/>
      <c r="AP30" s="227"/>
      <c r="AQ30" s="227"/>
      <c r="AR30" s="227"/>
      <c r="AS30" s="227"/>
      <c r="AT30" s="227"/>
      <c r="AU30" s="227"/>
      <c r="AV30" s="227"/>
      <c r="AW30" s="227"/>
      <c r="AX30" s="227"/>
      <c r="AY30" s="227"/>
      <c r="AZ30" s="227"/>
      <c r="BA30" s="227"/>
      <c r="BB30" s="227"/>
      <c r="BC30" s="227"/>
      <c r="BD30" s="227"/>
      <c r="BE30" s="227"/>
      <c r="BF30" s="227"/>
      <c r="BG30" s="227"/>
      <c r="BH30" s="227"/>
      <c r="BI30" s="227"/>
      <c r="BJ30" s="227"/>
      <c r="BK30" s="227"/>
      <c r="BL30" s="227"/>
      <c r="BM30" s="227"/>
      <c r="BN30" s="227"/>
      <c r="BO30" s="227"/>
      <c r="BP30" s="227"/>
      <c r="BQ30" s="227"/>
      <c r="BR30" s="227"/>
      <c r="BS30" s="227"/>
      <c r="BT30" s="227"/>
      <c r="BU30" s="240"/>
      <c r="BV30" s="240"/>
      <c r="BW30" s="240"/>
      <c r="BX30" s="240"/>
    </row>
    <row r="31" spans="1:76" s="141" customFormat="1" ht="11.25" customHeight="1" x14ac:dyDescent="0.2">
      <c r="A31" s="5"/>
      <c r="B31" s="5"/>
      <c r="C31" s="5"/>
      <c r="D31" s="5"/>
      <c r="E31" s="5"/>
      <c r="F31" s="5"/>
      <c r="G31" s="5"/>
      <c r="H31" s="5"/>
      <c r="I31" s="5"/>
      <c r="J31" s="37"/>
      <c r="K31" s="227"/>
      <c r="L31" s="227"/>
      <c r="M31" s="227"/>
      <c r="N31" s="227"/>
      <c r="O31" s="239"/>
      <c r="P31" s="5"/>
      <c r="Q31" s="5"/>
      <c r="R31" s="5"/>
      <c r="S31" s="5"/>
      <c r="T31" s="5"/>
      <c r="U31" s="5"/>
      <c r="V31" s="5"/>
      <c r="W31" s="37"/>
      <c r="X31" s="227"/>
      <c r="Y31" s="227"/>
      <c r="Z31" s="227"/>
      <c r="AA31" s="227"/>
      <c r="AB31" s="227"/>
      <c r="AC31" s="227"/>
      <c r="AD31" s="227"/>
      <c r="AE31" s="227"/>
      <c r="AF31" s="227"/>
      <c r="AG31" s="227"/>
      <c r="AH31" s="227"/>
      <c r="AI31" s="227"/>
      <c r="AJ31" s="227"/>
      <c r="AK31" s="227"/>
      <c r="AL31" s="227"/>
      <c r="AM31" s="227"/>
      <c r="AN31" s="227"/>
      <c r="AO31" s="227"/>
      <c r="AP31" s="227"/>
      <c r="AQ31" s="227"/>
      <c r="AR31" s="227"/>
      <c r="AS31" s="227"/>
      <c r="AT31" s="227"/>
      <c r="AU31" s="227"/>
      <c r="AV31" s="227"/>
      <c r="AW31" s="227"/>
      <c r="AX31" s="227"/>
      <c r="AY31" s="227"/>
      <c r="AZ31" s="227"/>
      <c r="BA31" s="227"/>
      <c r="BB31" s="227"/>
      <c r="BC31" s="227"/>
      <c r="BD31" s="227"/>
      <c r="BE31" s="227"/>
      <c r="BF31" s="227"/>
      <c r="BG31" s="227"/>
      <c r="BH31" s="227"/>
      <c r="BI31" s="227"/>
      <c r="BJ31" s="227"/>
      <c r="BK31" s="227"/>
      <c r="BL31" s="227"/>
      <c r="BM31" s="227"/>
      <c r="BN31" s="227"/>
      <c r="BO31" s="227"/>
      <c r="BP31" s="227"/>
      <c r="BQ31" s="227"/>
      <c r="BR31" s="227"/>
      <c r="BS31" s="227"/>
      <c r="BT31" s="227"/>
      <c r="BU31" s="240"/>
      <c r="BV31" s="240"/>
      <c r="BW31" s="240"/>
      <c r="BX31" s="240"/>
    </row>
    <row r="32" spans="1:76" s="141" customFormat="1" ht="11.25" customHeight="1" x14ac:dyDescent="0.2">
      <c r="A32" s="5"/>
      <c r="B32" s="5"/>
      <c r="C32" s="5"/>
      <c r="D32" s="5"/>
      <c r="E32" s="5"/>
      <c r="F32" s="5"/>
      <c r="G32" s="5"/>
      <c r="H32" s="5"/>
      <c r="I32" s="5"/>
      <c r="J32" s="37"/>
      <c r="K32" s="227"/>
      <c r="L32" s="227"/>
      <c r="M32" s="227"/>
      <c r="N32" s="227"/>
      <c r="O32" s="239"/>
      <c r="P32" s="5"/>
      <c r="Q32" s="5"/>
      <c r="R32" s="5"/>
      <c r="S32" s="5"/>
      <c r="T32" s="5"/>
      <c r="U32" s="5"/>
      <c r="V32" s="5"/>
      <c r="W32" s="37"/>
      <c r="X32" s="227"/>
      <c r="Y32" s="227"/>
      <c r="Z32" s="227"/>
      <c r="AA32" s="227"/>
      <c r="AB32" s="227"/>
      <c r="AC32" s="227"/>
      <c r="AD32" s="227"/>
      <c r="AE32" s="227"/>
      <c r="AF32" s="227"/>
      <c r="AG32" s="227"/>
      <c r="AH32" s="227"/>
      <c r="AI32" s="227"/>
      <c r="AJ32" s="227"/>
      <c r="AK32" s="227"/>
      <c r="AL32" s="227"/>
      <c r="AM32" s="227"/>
      <c r="AN32" s="227"/>
      <c r="AO32" s="227"/>
      <c r="AP32" s="227"/>
      <c r="AQ32" s="227"/>
      <c r="AR32" s="227"/>
      <c r="AS32" s="227"/>
      <c r="AT32" s="227"/>
      <c r="AU32" s="227"/>
      <c r="AV32" s="227"/>
      <c r="AW32" s="227"/>
      <c r="AX32" s="227"/>
      <c r="AY32" s="227"/>
      <c r="AZ32" s="227"/>
      <c r="BA32" s="227"/>
      <c r="BB32" s="227"/>
      <c r="BC32" s="227"/>
      <c r="BD32" s="227"/>
      <c r="BE32" s="227"/>
      <c r="BF32" s="227"/>
      <c r="BG32" s="227"/>
      <c r="BH32" s="227"/>
      <c r="BI32" s="227"/>
      <c r="BJ32" s="227"/>
      <c r="BK32" s="227"/>
      <c r="BL32" s="227"/>
      <c r="BM32" s="227"/>
      <c r="BN32" s="227"/>
      <c r="BO32" s="227"/>
      <c r="BP32" s="227"/>
      <c r="BQ32" s="227"/>
      <c r="BR32" s="227"/>
      <c r="BS32" s="227"/>
      <c r="BT32" s="227"/>
      <c r="BU32" s="240"/>
      <c r="BV32" s="240"/>
      <c r="BW32" s="240"/>
      <c r="BX32" s="240"/>
    </row>
    <row r="33" spans="1:76" s="141" customFormat="1" ht="11.25" customHeight="1" x14ac:dyDescent="0.2">
      <c r="A33" s="5"/>
      <c r="B33" s="5"/>
      <c r="C33" s="5"/>
      <c r="D33" s="5"/>
      <c r="E33" s="5"/>
      <c r="F33" s="5"/>
      <c r="G33" s="5"/>
      <c r="H33" s="5"/>
      <c r="I33" s="5"/>
      <c r="J33" s="37"/>
      <c r="K33" s="227"/>
      <c r="L33" s="227"/>
      <c r="M33" s="227"/>
      <c r="N33" s="227"/>
      <c r="O33" s="239"/>
      <c r="P33" s="5"/>
      <c r="Q33" s="5"/>
      <c r="R33" s="5"/>
      <c r="S33" s="5"/>
      <c r="T33" s="5"/>
      <c r="U33" s="5"/>
      <c r="V33" s="5"/>
      <c r="W33" s="37"/>
      <c r="X33" s="227"/>
      <c r="Y33" s="227"/>
      <c r="Z33" s="227"/>
      <c r="AA33" s="227"/>
      <c r="AB33" s="227"/>
      <c r="AC33" s="227"/>
      <c r="AD33" s="227"/>
      <c r="AE33" s="227"/>
      <c r="AF33" s="227"/>
      <c r="AG33" s="227"/>
      <c r="AH33" s="227"/>
      <c r="AI33" s="227"/>
      <c r="AJ33" s="227"/>
      <c r="AK33" s="227"/>
      <c r="AL33" s="227"/>
      <c r="AM33" s="227"/>
      <c r="AN33" s="227"/>
      <c r="AO33" s="227"/>
      <c r="AP33" s="227"/>
      <c r="AQ33" s="227"/>
      <c r="AR33" s="227"/>
      <c r="AS33" s="227"/>
      <c r="AT33" s="227"/>
      <c r="AU33" s="227"/>
      <c r="AV33" s="227"/>
      <c r="AW33" s="227"/>
      <c r="AX33" s="227"/>
      <c r="AY33" s="227"/>
      <c r="AZ33" s="227"/>
      <c r="BA33" s="227"/>
      <c r="BB33" s="227"/>
      <c r="BC33" s="227"/>
      <c r="BD33" s="227"/>
      <c r="BE33" s="227"/>
      <c r="BF33" s="227"/>
      <c r="BG33" s="227"/>
      <c r="BH33" s="227"/>
      <c r="BI33" s="227"/>
      <c r="BJ33" s="227"/>
      <c r="BK33" s="227"/>
      <c r="BL33" s="227"/>
      <c r="BM33" s="227"/>
      <c r="BN33" s="227"/>
      <c r="BO33" s="227"/>
      <c r="BP33" s="227"/>
      <c r="BQ33" s="227"/>
      <c r="BR33" s="227"/>
      <c r="BS33" s="227"/>
      <c r="BT33" s="227"/>
      <c r="BU33" s="240"/>
      <c r="BV33" s="240"/>
      <c r="BW33" s="240"/>
      <c r="BX33" s="240"/>
    </row>
    <row r="34" spans="1:76" s="141" customFormat="1" ht="11.25" customHeight="1" x14ac:dyDescent="0.2">
      <c r="A34" s="5"/>
      <c r="B34" s="5"/>
      <c r="C34" s="5"/>
      <c r="D34" s="5"/>
      <c r="E34" s="5"/>
      <c r="F34" s="5"/>
      <c r="G34" s="5"/>
      <c r="H34" s="5"/>
      <c r="I34" s="5"/>
      <c r="J34" s="37"/>
      <c r="K34" s="227"/>
      <c r="L34" s="227"/>
      <c r="M34" s="227"/>
      <c r="N34" s="227"/>
      <c r="O34" s="239"/>
      <c r="P34" s="5"/>
      <c r="Q34" s="5"/>
      <c r="R34" s="5"/>
      <c r="S34" s="5"/>
      <c r="T34" s="5"/>
      <c r="U34" s="5"/>
      <c r="V34" s="5"/>
      <c r="W34" s="37"/>
      <c r="X34" s="227"/>
      <c r="Y34" s="227"/>
      <c r="Z34" s="227"/>
      <c r="AA34" s="227"/>
      <c r="AB34" s="227"/>
      <c r="AC34" s="227"/>
      <c r="AD34" s="227"/>
      <c r="AE34" s="227"/>
      <c r="AF34" s="227"/>
      <c r="AG34" s="227"/>
      <c r="AH34" s="227"/>
      <c r="AI34" s="227"/>
      <c r="AJ34" s="227"/>
      <c r="AK34" s="227"/>
      <c r="AL34" s="227"/>
      <c r="AM34" s="227"/>
      <c r="AN34" s="227"/>
      <c r="AO34" s="227"/>
      <c r="AP34" s="227"/>
      <c r="AQ34" s="227"/>
      <c r="AR34" s="227"/>
      <c r="AS34" s="227"/>
      <c r="AT34" s="227"/>
      <c r="AU34" s="227"/>
      <c r="AV34" s="227"/>
      <c r="AW34" s="227"/>
      <c r="AX34" s="227"/>
      <c r="AY34" s="227"/>
      <c r="AZ34" s="227"/>
      <c r="BA34" s="227"/>
      <c r="BB34" s="227"/>
      <c r="BC34" s="227"/>
      <c r="BD34" s="227"/>
      <c r="BE34" s="227"/>
      <c r="BF34" s="227"/>
      <c r="BG34" s="227"/>
      <c r="BH34" s="227"/>
      <c r="BI34" s="227"/>
      <c r="BJ34" s="227"/>
      <c r="BK34" s="227"/>
      <c r="BL34" s="227"/>
      <c r="BM34" s="227"/>
      <c r="BN34" s="227"/>
      <c r="BO34" s="227"/>
      <c r="BP34" s="227"/>
      <c r="BQ34" s="227"/>
      <c r="BR34" s="227"/>
      <c r="BS34" s="227"/>
      <c r="BT34" s="227"/>
      <c r="BU34" s="240"/>
      <c r="BV34" s="240"/>
      <c r="BW34" s="240"/>
      <c r="BX34" s="240"/>
    </row>
    <row r="35" spans="1:76" s="141" customFormat="1" ht="11.25" customHeight="1" x14ac:dyDescent="0.2">
      <c r="A35" s="5"/>
      <c r="B35" s="5"/>
      <c r="C35" s="5"/>
      <c r="D35" s="5"/>
      <c r="E35" s="5"/>
      <c r="F35" s="5"/>
      <c r="G35" s="5"/>
      <c r="H35" s="5"/>
      <c r="I35" s="5"/>
      <c r="J35" s="37"/>
      <c r="K35" s="227"/>
      <c r="L35" s="227"/>
      <c r="M35" s="227"/>
      <c r="N35" s="227"/>
      <c r="O35" s="239"/>
      <c r="P35" s="5"/>
      <c r="Q35" s="5"/>
      <c r="R35" s="5"/>
      <c r="S35" s="5"/>
      <c r="T35" s="5"/>
      <c r="U35" s="5"/>
      <c r="V35" s="5"/>
      <c r="W35" s="37"/>
      <c r="X35" s="227"/>
      <c r="Y35" s="227"/>
      <c r="Z35" s="227"/>
      <c r="AA35" s="227"/>
      <c r="AB35" s="227"/>
      <c r="AC35" s="227"/>
      <c r="AD35" s="227"/>
      <c r="AE35" s="227"/>
      <c r="AF35" s="227"/>
      <c r="AG35" s="227"/>
      <c r="AH35" s="227"/>
      <c r="AI35" s="227"/>
      <c r="AJ35" s="227"/>
      <c r="AK35" s="227"/>
      <c r="AL35" s="227"/>
      <c r="AM35" s="227"/>
      <c r="AN35" s="227"/>
      <c r="AO35" s="227"/>
      <c r="AP35" s="227"/>
      <c r="AQ35" s="227"/>
      <c r="AR35" s="227"/>
      <c r="AS35" s="227"/>
      <c r="AT35" s="227"/>
      <c r="AU35" s="227"/>
      <c r="AV35" s="227"/>
      <c r="AW35" s="227"/>
      <c r="AX35" s="227"/>
      <c r="AY35" s="227"/>
      <c r="AZ35" s="227"/>
      <c r="BA35" s="227"/>
      <c r="BB35" s="227"/>
      <c r="BC35" s="227"/>
      <c r="BD35" s="227"/>
      <c r="BE35" s="227"/>
      <c r="BF35" s="227"/>
      <c r="BG35" s="227"/>
      <c r="BH35" s="227"/>
      <c r="BI35" s="227"/>
      <c r="BJ35" s="227"/>
      <c r="BK35" s="227"/>
      <c r="BL35" s="227"/>
      <c r="BM35" s="227"/>
      <c r="BN35" s="227"/>
      <c r="BO35" s="227"/>
      <c r="BP35" s="227"/>
      <c r="BQ35" s="227"/>
      <c r="BR35" s="227"/>
      <c r="BS35" s="227"/>
      <c r="BT35" s="227"/>
      <c r="BU35" s="240"/>
      <c r="BV35" s="240"/>
      <c r="BW35" s="240"/>
      <c r="BX35" s="240"/>
    </row>
    <row r="36" spans="1:76" s="141" customFormat="1" ht="11.25" customHeight="1" x14ac:dyDescent="0.2">
      <c r="A36" s="5"/>
      <c r="B36" s="5"/>
      <c r="C36" s="5"/>
      <c r="D36" s="5"/>
      <c r="E36" s="5"/>
      <c r="F36" s="5"/>
      <c r="G36" s="5"/>
      <c r="H36" s="5"/>
      <c r="I36" s="5"/>
      <c r="J36" s="37"/>
      <c r="K36" s="227"/>
      <c r="L36" s="227"/>
      <c r="M36" s="227"/>
      <c r="N36" s="227"/>
      <c r="O36" s="239"/>
      <c r="P36" s="5"/>
      <c r="Q36" s="5"/>
      <c r="R36" s="5"/>
      <c r="S36" s="5"/>
      <c r="T36" s="5"/>
      <c r="U36" s="5"/>
      <c r="V36" s="5"/>
      <c r="W36" s="37"/>
      <c r="X36" s="227"/>
      <c r="Y36" s="227"/>
      <c r="Z36" s="227"/>
      <c r="AA36" s="227"/>
      <c r="AB36" s="227"/>
      <c r="AC36" s="227"/>
      <c r="AD36" s="227"/>
      <c r="AE36" s="227"/>
      <c r="AF36" s="227"/>
      <c r="AG36" s="227"/>
      <c r="AH36" s="227"/>
      <c r="AI36" s="227"/>
      <c r="AJ36" s="227"/>
      <c r="AK36" s="227"/>
      <c r="AL36" s="227"/>
      <c r="AM36" s="227"/>
      <c r="AN36" s="227"/>
      <c r="AO36" s="227"/>
      <c r="AP36" s="227"/>
      <c r="AQ36" s="227"/>
      <c r="AR36" s="227"/>
      <c r="AS36" s="227"/>
      <c r="AT36" s="227"/>
      <c r="AU36" s="227"/>
      <c r="AV36" s="227"/>
      <c r="AW36" s="227"/>
      <c r="AX36" s="227"/>
      <c r="AY36" s="227"/>
      <c r="AZ36" s="227"/>
      <c r="BA36" s="227"/>
      <c r="BB36" s="227"/>
      <c r="BC36" s="227"/>
      <c r="BD36" s="227"/>
      <c r="BE36" s="227"/>
      <c r="BF36" s="227"/>
      <c r="BG36" s="227"/>
      <c r="BH36" s="227"/>
      <c r="BI36" s="227"/>
      <c r="BJ36" s="227"/>
      <c r="BK36" s="227"/>
      <c r="BL36" s="227"/>
      <c r="BM36" s="227"/>
      <c r="BN36" s="227"/>
      <c r="BO36" s="227"/>
      <c r="BP36" s="227"/>
      <c r="BQ36" s="227"/>
      <c r="BR36" s="227"/>
      <c r="BS36" s="227"/>
      <c r="BT36" s="227"/>
      <c r="BU36" s="240"/>
      <c r="BV36" s="240"/>
      <c r="BW36" s="240"/>
      <c r="BX36" s="240"/>
    </row>
    <row r="37" spans="1:76" s="141" customFormat="1" ht="11.25" customHeight="1" x14ac:dyDescent="0.2">
      <c r="A37" s="5"/>
      <c r="B37" s="5"/>
      <c r="C37" s="5"/>
      <c r="D37" s="5"/>
      <c r="E37" s="5"/>
      <c r="F37" s="5"/>
      <c r="G37" s="5"/>
      <c r="H37" s="5"/>
      <c r="I37" s="5"/>
      <c r="J37" s="37"/>
      <c r="K37" s="227"/>
      <c r="L37" s="227"/>
      <c r="M37" s="227"/>
      <c r="N37" s="227"/>
      <c r="O37" s="239"/>
      <c r="P37" s="5"/>
      <c r="Q37" s="5"/>
      <c r="R37" s="5"/>
      <c r="S37" s="5"/>
      <c r="T37" s="5"/>
      <c r="U37" s="5"/>
      <c r="V37" s="5"/>
      <c r="W37" s="37"/>
      <c r="X37" s="227"/>
      <c r="Y37" s="227"/>
      <c r="Z37" s="227"/>
      <c r="AA37" s="227"/>
      <c r="AB37" s="227"/>
      <c r="AC37" s="227"/>
      <c r="AD37" s="227"/>
      <c r="AE37" s="227"/>
      <c r="AF37" s="227"/>
      <c r="AG37" s="227"/>
      <c r="AH37" s="227"/>
      <c r="AI37" s="227"/>
      <c r="AJ37" s="227"/>
      <c r="AK37" s="227"/>
      <c r="AL37" s="227"/>
      <c r="AM37" s="227"/>
      <c r="AN37" s="227"/>
      <c r="AO37" s="227"/>
      <c r="AP37" s="227"/>
      <c r="AQ37" s="227"/>
      <c r="AR37" s="227"/>
      <c r="AS37" s="227"/>
      <c r="AT37" s="227"/>
      <c r="AU37" s="227"/>
      <c r="AV37" s="227"/>
      <c r="AW37" s="227"/>
      <c r="AX37" s="227"/>
      <c r="AY37" s="227"/>
      <c r="AZ37" s="227"/>
      <c r="BA37" s="227"/>
      <c r="BB37" s="227"/>
      <c r="BC37" s="227"/>
      <c r="BD37" s="227"/>
      <c r="BE37" s="227"/>
      <c r="BF37" s="227"/>
      <c r="BG37" s="227"/>
      <c r="BH37" s="227"/>
      <c r="BI37" s="227"/>
      <c r="BJ37" s="227"/>
      <c r="BK37" s="227"/>
      <c r="BL37" s="227"/>
      <c r="BM37" s="227"/>
      <c r="BN37" s="227"/>
      <c r="BO37" s="227"/>
      <c r="BP37" s="227"/>
      <c r="BQ37" s="227"/>
      <c r="BR37" s="227"/>
      <c r="BS37" s="227"/>
      <c r="BT37" s="227"/>
      <c r="BU37" s="240"/>
      <c r="BV37" s="240"/>
      <c r="BW37" s="240"/>
      <c r="BX37" s="240"/>
    </row>
    <row r="38" spans="1:76" s="141" customFormat="1" ht="11.25" customHeight="1" x14ac:dyDescent="0.2">
      <c r="A38" s="5"/>
      <c r="B38" s="5"/>
      <c r="C38" s="5"/>
      <c r="D38" s="5"/>
      <c r="E38" s="5"/>
      <c r="F38" s="5"/>
      <c r="G38" s="5"/>
      <c r="H38" s="5"/>
      <c r="I38" s="5"/>
      <c r="J38" s="37"/>
      <c r="K38" s="227"/>
      <c r="L38" s="227"/>
      <c r="M38" s="227"/>
      <c r="N38" s="227"/>
      <c r="O38" s="239"/>
      <c r="P38" s="5"/>
      <c r="Q38" s="5"/>
      <c r="R38" s="5"/>
      <c r="S38" s="5"/>
      <c r="T38" s="5"/>
      <c r="U38" s="5"/>
      <c r="V38" s="5"/>
      <c r="W38" s="37"/>
      <c r="X38" s="227"/>
      <c r="Y38" s="227"/>
      <c r="Z38" s="227"/>
      <c r="AA38" s="227"/>
      <c r="AB38" s="227"/>
      <c r="AC38" s="227"/>
      <c r="AD38" s="227"/>
      <c r="AE38" s="227"/>
      <c r="AF38" s="227"/>
      <c r="AG38" s="227"/>
      <c r="AH38" s="227"/>
      <c r="AI38" s="227"/>
      <c r="AJ38" s="227"/>
      <c r="AK38" s="227"/>
      <c r="AL38" s="227"/>
      <c r="AM38" s="227"/>
      <c r="AN38" s="227"/>
      <c r="AO38" s="227"/>
      <c r="AP38" s="227"/>
      <c r="AQ38" s="227"/>
      <c r="AR38" s="227"/>
      <c r="AS38" s="227"/>
      <c r="AT38" s="227"/>
      <c r="AU38" s="227"/>
      <c r="AV38" s="227"/>
      <c r="AW38" s="227"/>
      <c r="AX38" s="227"/>
      <c r="AY38" s="227"/>
      <c r="AZ38" s="227"/>
      <c r="BA38" s="227"/>
      <c r="BB38" s="227"/>
      <c r="BC38" s="227"/>
      <c r="BD38" s="227"/>
      <c r="BE38" s="227"/>
      <c r="BF38" s="227"/>
      <c r="BG38" s="227"/>
      <c r="BH38" s="227"/>
      <c r="BI38" s="227"/>
      <c r="BJ38" s="227"/>
      <c r="BK38" s="227"/>
      <c r="BL38" s="227"/>
      <c r="BM38" s="227"/>
      <c r="BN38" s="227"/>
      <c r="BO38" s="227"/>
      <c r="BP38" s="227"/>
      <c r="BQ38" s="227"/>
      <c r="BR38" s="227"/>
      <c r="BS38" s="227"/>
      <c r="BT38" s="227"/>
      <c r="BU38" s="240"/>
      <c r="BV38" s="240"/>
      <c r="BW38" s="240"/>
      <c r="BX38" s="240"/>
    </row>
    <row r="39" spans="1:76" s="141" customFormat="1" ht="11.25" customHeight="1" x14ac:dyDescent="0.2">
      <c r="A39" s="5"/>
      <c r="B39" s="5"/>
      <c r="C39" s="5"/>
      <c r="D39" s="5"/>
      <c r="E39" s="5"/>
      <c r="F39" s="5"/>
      <c r="G39" s="5"/>
      <c r="H39" s="5"/>
      <c r="I39" s="5"/>
      <c r="J39" s="37"/>
      <c r="K39" s="227"/>
      <c r="L39" s="227"/>
      <c r="M39" s="227"/>
      <c r="N39" s="227"/>
      <c r="O39" s="239"/>
      <c r="P39" s="5"/>
      <c r="Q39" s="5"/>
      <c r="R39" s="5"/>
      <c r="S39" s="5"/>
      <c r="T39" s="5"/>
      <c r="U39" s="5"/>
      <c r="V39" s="5"/>
      <c r="W39" s="37"/>
      <c r="X39" s="227"/>
      <c r="Y39" s="227"/>
      <c r="Z39" s="227"/>
      <c r="AA39" s="227"/>
      <c r="AB39" s="227"/>
      <c r="AC39" s="227"/>
      <c r="AD39" s="227"/>
      <c r="AE39" s="227"/>
      <c r="AF39" s="227"/>
      <c r="AG39" s="227"/>
      <c r="AH39" s="227"/>
      <c r="AI39" s="227"/>
      <c r="AJ39" s="227"/>
      <c r="AK39" s="227"/>
      <c r="AL39" s="227"/>
      <c r="AM39" s="227"/>
      <c r="AN39" s="227"/>
      <c r="AO39" s="227"/>
      <c r="AP39" s="227"/>
      <c r="AQ39" s="227"/>
      <c r="AR39" s="227"/>
      <c r="AS39" s="227"/>
      <c r="AT39" s="227"/>
      <c r="AU39" s="227"/>
      <c r="AV39" s="227"/>
      <c r="AW39" s="227"/>
      <c r="AX39" s="227"/>
      <c r="AY39" s="227"/>
      <c r="AZ39" s="227"/>
      <c r="BA39" s="227"/>
      <c r="BB39" s="227"/>
      <c r="BC39" s="227"/>
      <c r="BD39" s="227"/>
      <c r="BE39" s="227"/>
      <c r="BF39" s="227"/>
      <c r="BG39" s="227"/>
      <c r="BH39" s="227"/>
      <c r="BI39" s="227"/>
      <c r="BJ39" s="227"/>
      <c r="BK39" s="227"/>
      <c r="BL39" s="227"/>
      <c r="BM39" s="227"/>
      <c r="BN39" s="227"/>
      <c r="BO39" s="227"/>
      <c r="BP39" s="227"/>
      <c r="BQ39" s="227"/>
      <c r="BR39" s="227"/>
      <c r="BS39" s="227"/>
      <c r="BT39" s="227"/>
      <c r="BU39" s="240"/>
      <c r="BV39" s="240"/>
      <c r="BW39" s="240"/>
      <c r="BX39" s="240"/>
    </row>
    <row r="40" spans="1:76" s="141" customFormat="1" ht="11.25" customHeight="1" x14ac:dyDescent="0.2">
      <c r="A40" s="5"/>
      <c r="B40" s="5"/>
      <c r="C40" s="5"/>
      <c r="D40" s="5"/>
      <c r="E40" s="5"/>
      <c r="F40" s="5"/>
      <c r="G40" s="5"/>
      <c r="H40" s="5"/>
      <c r="I40" s="5"/>
      <c r="J40" s="37"/>
      <c r="K40" s="227"/>
      <c r="L40" s="227"/>
      <c r="M40" s="227"/>
      <c r="N40" s="227"/>
      <c r="O40" s="239"/>
      <c r="P40" s="5"/>
      <c r="Q40" s="5"/>
      <c r="R40" s="5"/>
      <c r="S40" s="5"/>
      <c r="T40" s="5"/>
      <c r="U40" s="5"/>
      <c r="V40" s="5"/>
      <c r="W40" s="37"/>
      <c r="X40" s="227"/>
      <c r="Y40" s="227"/>
      <c r="Z40" s="227"/>
      <c r="AA40" s="227"/>
      <c r="AB40" s="227"/>
      <c r="AC40" s="227"/>
      <c r="AD40" s="227"/>
      <c r="AE40" s="227"/>
      <c r="AF40" s="227"/>
      <c r="AG40" s="227"/>
      <c r="AH40" s="227"/>
      <c r="AI40" s="227"/>
      <c r="AJ40" s="227"/>
      <c r="AK40" s="227"/>
      <c r="AL40" s="227"/>
      <c r="AM40" s="227"/>
      <c r="AN40" s="227"/>
      <c r="AO40" s="227"/>
      <c r="AP40" s="227"/>
      <c r="AQ40" s="227"/>
      <c r="AR40" s="227"/>
      <c r="AS40" s="227"/>
      <c r="AT40" s="227"/>
      <c r="AU40" s="227"/>
      <c r="AV40" s="227"/>
      <c r="AW40" s="227"/>
      <c r="AX40" s="227"/>
      <c r="AY40" s="227"/>
      <c r="AZ40" s="227"/>
      <c r="BA40" s="227"/>
      <c r="BB40" s="227"/>
      <c r="BC40" s="227"/>
      <c r="BD40" s="227"/>
      <c r="BE40" s="227"/>
      <c r="BF40" s="227"/>
      <c r="BG40" s="227"/>
      <c r="BH40" s="227"/>
      <c r="BI40" s="227"/>
      <c r="BJ40" s="227"/>
      <c r="BK40" s="227"/>
      <c r="BL40" s="227"/>
      <c r="BM40" s="227"/>
      <c r="BN40" s="227"/>
      <c r="BO40" s="227"/>
      <c r="BP40" s="227"/>
      <c r="BQ40" s="227"/>
      <c r="BR40" s="227"/>
      <c r="BS40" s="227"/>
      <c r="BT40" s="227"/>
      <c r="BU40" s="240"/>
      <c r="BV40" s="240"/>
      <c r="BW40" s="240"/>
      <c r="BX40" s="240"/>
    </row>
    <row r="41" spans="1:76" s="141" customFormat="1" ht="11.25" customHeight="1" x14ac:dyDescent="0.2">
      <c r="A41" s="5"/>
      <c r="B41" s="5"/>
      <c r="C41" s="5"/>
      <c r="D41" s="5"/>
      <c r="E41" s="5"/>
      <c r="F41" s="5"/>
      <c r="G41" s="5"/>
      <c r="H41" s="5"/>
      <c r="I41" s="5"/>
      <c r="J41" s="37"/>
      <c r="K41" s="227"/>
      <c r="L41" s="227"/>
      <c r="M41" s="227"/>
      <c r="N41" s="227"/>
      <c r="O41" s="239"/>
      <c r="P41" s="5"/>
      <c r="Q41" s="5"/>
      <c r="R41" s="5"/>
      <c r="S41" s="5"/>
      <c r="T41" s="5"/>
      <c r="U41" s="5"/>
      <c r="V41" s="5"/>
      <c r="W41" s="37"/>
      <c r="X41" s="227"/>
      <c r="Y41" s="227"/>
      <c r="Z41" s="227"/>
      <c r="AA41" s="227"/>
      <c r="AB41" s="227"/>
      <c r="AC41" s="227"/>
      <c r="AD41" s="227"/>
      <c r="AE41" s="227"/>
      <c r="AF41" s="227"/>
      <c r="AG41" s="227"/>
      <c r="AH41" s="227"/>
      <c r="AI41" s="227"/>
      <c r="AJ41" s="227"/>
      <c r="AK41" s="227"/>
      <c r="AL41" s="227"/>
      <c r="AM41" s="227"/>
      <c r="AN41" s="227"/>
      <c r="AO41" s="227"/>
      <c r="AP41" s="227"/>
      <c r="AQ41" s="227"/>
      <c r="AR41" s="227"/>
      <c r="AS41" s="227"/>
      <c r="AT41" s="227"/>
      <c r="AU41" s="227"/>
      <c r="AV41" s="227"/>
      <c r="AW41" s="227"/>
      <c r="AX41" s="227"/>
      <c r="AY41" s="227"/>
      <c r="AZ41" s="227"/>
      <c r="BA41" s="227"/>
      <c r="BB41" s="227"/>
      <c r="BC41" s="227"/>
      <c r="BD41" s="227"/>
      <c r="BE41" s="227"/>
      <c r="BF41" s="227"/>
      <c r="BG41" s="227"/>
      <c r="BH41" s="227"/>
      <c r="BI41" s="227"/>
      <c r="BJ41" s="227"/>
      <c r="BK41" s="227"/>
      <c r="BL41" s="227"/>
      <c r="BM41" s="227"/>
      <c r="BN41" s="227"/>
      <c r="BO41" s="227"/>
      <c r="BP41" s="227"/>
      <c r="BQ41" s="227"/>
      <c r="BR41" s="227"/>
      <c r="BS41" s="227"/>
      <c r="BT41" s="227"/>
      <c r="BU41" s="240"/>
      <c r="BV41" s="240"/>
      <c r="BW41" s="240"/>
      <c r="BX41" s="240"/>
    </row>
    <row r="42" spans="1:76" s="141" customFormat="1" ht="11.25" customHeight="1" x14ac:dyDescent="0.2">
      <c r="A42" s="5"/>
      <c r="B42" s="5"/>
      <c r="C42" s="5"/>
      <c r="D42" s="5"/>
      <c r="E42" s="5"/>
      <c r="F42" s="5"/>
      <c r="G42" s="5"/>
      <c r="H42" s="5"/>
      <c r="I42" s="5"/>
      <c r="J42" s="37"/>
      <c r="K42" s="227"/>
      <c r="L42" s="227"/>
      <c r="M42" s="227"/>
      <c r="N42" s="227"/>
      <c r="O42" s="239"/>
      <c r="P42" s="5"/>
      <c r="Q42" s="5"/>
      <c r="R42" s="5"/>
      <c r="S42" s="5"/>
      <c r="T42" s="5"/>
      <c r="U42" s="5"/>
      <c r="V42" s="5"/>
      <c r="W42" s="37"/>
      <c r="X42" s="227"/>
      <c r="Y42" s="227"/>
      <c r="Z42" s="227"/>
      <c r="AA42" s="227"/>
      <c r="AB42" s="227"/>
      <c r="AC42" s="227"/>
      <c r="AD42" s="227"/>
      <c r="AE42" s="227"/>
      <c r="AF42" s="227"/>
      <c r="AG42" s="227"/>
      <c r="AH42" s="227"/>
      <c r="AI42" s="227"/>
      <c r="AJ42" s="227"/>
      <c r="AK42" s="227"/>
      <c r="AL42" s="227"/>
      <c r="AM42" s="227"/>
      <c r="AN42" s="227"/>
      <c r="AO42" s="227"/>
      <c r="AP42" s="227"/>
      <c r="AQ42" s="227"/>
      <c r="AR42" s="227"/>
      <c r="AS42" s="227"/>
      <c r="AT42" s="227"/>
      <c r="AU42" s="227"/>
      <c r="AV42" s="227"/>
      <c r="AW42" s="227"/>
      <c r="AX42" s="227"/>
      <c r="AY42" s="227"/>
      <c r="AZ42" s="227"/>
      <c r="BA42" s="227"/>
      <c r="BB42" s="227"/>
      <c r="BC42" s="227"/>
      <c r="BD42" s="227"/>
      <c r="BE42" s="227"/>
      <c r="BF42" s="227"/>
      <c r="BG42" s="227"/>
      <c r="BH42" s="227"/>
      <c r="BI42" s="227"/>
      <c r="BJ42" s="227"/>
      <c r="BK42" s="227"/>
      <c r="BL42" s="227"/>
      <c r="BM42" s="227"/>
      <c r="BN42" s="227"/>
      <c r="BO42" s="227"/>
      <c r="BP42" s="227"/>
      <c r="BQ42" s="227"/>
      <c r="BR42" s="227"/>
      <c r="BS42" s="227"/>
      <c r="BT42" s="227"/>
      <c r="BU42" s="240"/>
      <c r="BV42" s="240"/>
      <c r="BW42" s="240"/>
      <c r="BX42" s="240"/>
    </row>
    <row r="43" spans="1:76" s="141" customFormat="1" ht="11.25" customHeight="1" x14ac:dyDescent="0.2">
      <c r="A43" s="5"/>
      <c r="B43" s="5"/>
      <c r="C43" s="5"/>
      <c r="D43" s="5"/>
      <c r="E43" s="5"/>
      <c r="F43" s="5"/>
      <c r="G43" s="5"/>
      <c r="H43" s="5"/>
      <c r="I43" s="5"/>
      <c r="J43" s="37"/>
      <c r="K43" s="227"/>
      <c r="L43" s="227"/>
      <c r="M43" s="227"/>
      <c r="N43" s="227"/>
      <c r="O43" s="239"/>
      <c r="P43" s="5"/>
      <c r="Q43" s="5"/>
      <c r="R43" s="5"/>
      <c r="S43" s="5"/>
      <c r="T43" s="5"/>
      <c r="U43" s="5"/>
      <c r="V43" s="5"/>
      <c r="W43" s="37"/>
      <c r="X43" s="227"/>
      <c r="Y43" s="227"/>
      <c r="Z43" s="227"/>
      <c r="AA43" s="227"/>
      <c r="AB43" s="227"/>
      <c r="AC43" s="227"/>
      <c r="AD43" s="227"/>
      <c r="AE43" s="227"/>
      <c r="AF43" s="227"/>
      <c r="AG43" s="227"/>
      <c r="AH43" s="227"/>
      <c r="AI43" s="227"/>
      <c r="AJ43" s="227"/>
      <c r="AK43" s="227"/>
      <c r="AL43" s="227"/>
      <c r="AM43" s="227"/>
      <c r="AN43" s="227"/>
      <c r="AO43" s="227"/>
      <c r="AP43" s="227"/>
      <c r="AQ43" s="227"/>
      <c r="AR43" s="227"/>
      <c r="AS43" s="227"/>
      <c r="AT43" s="227"/>
      <c r="AU43" s="227"/>
      <c r="AV43" s="227"/>
      <c r="AW43" s="227"/>
      <c r="AX43" s="227"/>
      <c r="AY43" s="227"/>
      <c r="AZ43" s="227"/>
      <c r="BA43" s="227"/>
      <c r="BB43" s="227"/>
      <c r="BC43" s="227"/>
      <c r="BD43" s="227"/>
      <c r="BE43" s="227"/>
      <c r="BF43" s="227"/>
      <c r="BG43" s="227"/>
      <c r="BH43" s="227"/>
      <c r="BI43" s="227"/>
      <c r="BJ43" s="227"/>
      <c r="BK43" s="227"/>
      <c r="BL43" s="227"/>
      <c r="BM43" s="227"/>
      <c r="BN43" s="227"/>
      <c r="BO43" s="227"/>
      <c r="BP43" s="227"/>
      <c r="BQ43" s="227"/>
      <c r="BR43" s="227"/>
      <c r="BS43" s="227"/>
      <c r="BT43" s="227"/>
      <c r="BU43" s="240"/>
      <c r="BV43" s="240"/>
      <c r="BW43" s="240"/>
      <c r="BX43" s="240"/>
    </row>
    <row r="44" spans="1:76" s="141" customFormat="1" ht="11.25" customHeight="1" x14ac:dyDescent="0.2">
      <c r="A44" s="5"/>
      <c r="B44" s="5"/>
      <c r="C44" s="5"/>
      <c r="D44" s="5"/>
      <c r="E44" s="5"/>
      <c r="F44" s="5"/>
      <c r="G44" s="5"/>
      <c r="H44" s="5"/>
      <c r="I44" s="5"/>
      <c r="J44" s="37"/>
      <c r="K44" s="227"/>
      <c r="L44" s="227"/>
      <c r="M44" s="227"/>
      <c r="N44" s="227"/>
      <c r="O44" s="239"/>
      <c r="P44" s="5"/>
      <c r="Q44" s="5"/>
      <c r="R44" s="5"/>
      <c r="S44" s="5"/>
      <c r="T44" s="5"/>
      <c r="U44" s="5"/>
      <c r="V44" s="5"/>
      <c r="W44" s="37"/>
      <c r="X44" s="227"/>
      <c r="Y44" s="227"/>
      <c r="Z44" s="227"/>
      <c r="AA44" s="227"/>
      <c r="AB44" s="227"/>
      <c r="AC44" s="227"/>
      <c r="AD44" s="227"/>
      <c r="AE44" s="227"/>
      <c r="AF44" s="227"/>
      <c r="AG44" s="227"/>
      <c r="AH44" s="227"/>
      <c r="AI44" s="227"/>
      <c r="AJ44" s="227"/>
      <c r="AK44" s="227"/>
      <c r="AL44" s="227"/>
      <c r="AM44" s="227"/>
      <c r="AN44" s="227"/>
      <c r="AO44" s="227"/>
      <c r="AP44" s="227"/>
      <c r="AQ44" s="227"/>
      <c r="AR44" s="227"/>
      <c r="AS44" s="227"/>
      <c r="AT44" s="227"/>
      <c r="AU44" s="227"/>
      <c r="AV44" s="227"/>
      <c r="AW44" s="227"/>
      <c r="AX44" s="227"/>
      <c r="AY44" s="227"/>
      <c r="AZ44" s="227"/>
      <c r="BA44" s="227"/>
      <c r="BB44" s="227"/>
      <c r="BC44" s="227"/>
      <c r="BD44" s="227"/>
      <c r="BE44" s="227"/>
      <c r="BF44" s="227"/>
      <c r="BG44" s="227"/>
      <c r="BH44" s="227"/>
      <c r="BI44" s="227"/>
      <c r="BJ44" s="227"/>
      <c r="BK44" s="227"/>
      <c r="BL44" s="227"/>
      <c r="BM44" s="227"/>
      <c r="BN44" s="227"/>
      <c r="BO44" s="227"/>
      <c r="BP44" s="227"/>
      <c r="BQ44" s="227"/>
      <c r="BR44" s="227"/>
      <c r="BS44" s="227"/>
      <c r="BT44" s="227"/>
      <c r="BU44" s="240"/>
      <c r="BV44" s="240"/>
      <c r="BW44" s="240"/>
      <c r="BX44" s="240"/>
    </row>
    <row r="45" spans="1:76" s="141" customFormat="1" ht="11.25" customHeight="1" x14ac:dyDescent="0.2">
      <c r="A45" s="5"/>
      <c r="B45" s="5"/>
      <c r="C45" s="5"/>
      <c r="D45" s="5"/>
      <c r="E45" s="5"/>
      <c r="F45" s="5"/>
      <c r="G45" s="5"/>
      <c r="H45" s="5"/>
      <c r="I45" s="5"/>
      <c r="J45" s="37"/>
      <c r="K45" s="227"/>
      <c r="L45" s="227"/>
      <c r="M45" s="227"/>
      <c r="N45" s="227"/>
      <c r="O45" s="239"/>
      <c r="P45" s="5"/>
      <c r="Q45" s="5"/>
      <c r="R45" s="5"/>
      <c r="S45" s="5"/>
      <c r="T45" s="5"/>
      <c r="U45" s="5"/>
      <c r="V45" s="5"/>
      <c r="W45" s="37"/>
      <c r="X45" s="227"/>
      <c r="Y45" s="227"/>
      <c r="Z45" s="227"/>
      <c r="AA45" s="227"/>
      <c r="AB45" s="227"/>
      <c r="AC45" s="227"/>
      <c r="AD45" s="227"/>
      <c r="AE45" s="227"/>
      <c r="AF45" s="227"/>
      <c r="AG45" s="227"/>
      <c r="AH45" s="227"/>
      <c r="AI45" s="227"/>
      <c r="AJ45" s="227"/>
      <c r="AK45" s="227"/>
      <c r="AL45" s="227"/>
      <c r="AM45" s="227"/>
      <c r="AN45" s="227"/>
      <c r="AO45" s="227"/>
      <c r="AP45" s="227"/>
      <c r="AQ45" s="227"/>
      <c r="AR45" s="227"/>
      <c r="AS45" s="227"/>
      <c r="AT45" s="227"/>
      <c r="AU45" s="227"/>
      <c r="AV45" s="227"/>
      <c r="AW45" s="227"/>
      <c r="AX45" s="227"/>
      <c r="AY45" s="227"/>
      <c r="AZ45" s="227"/>
      <c r="BA45" s="227"/>
      <c r="BB45" s="227"/>
      <c r="BC45" s="227"/>
      <c r="BD45" s="227"/>
      <c r="BE45" s="227"/>
      <c r="BF45" s="227"/>
      <c r="BG45" s="227"/>
      <c r="BH45" s="227"/>
      <c r="BI45" s="227"/>
      <c r="BJ45" s="227"/>
      <c r="BK45" s="227"/>
      <c r="BL45" s="227"/>
      <c r="BM45" s="227"/>
      <c r="BN45" s="227"/>
      <c r="BO45" s="227"/>
      <c r="BP45" s="227"/>
      <c r="BQ45" s="227"/>
      <c r="BR45" s="227"/>
      <c r="BS45" s="227"/>
      <c r="BT45" s="227"/>
      <c r="BU45" s="240"/>
      <c r="BV45" s="240"/>
      <c r="BW45" s="240"/>
      <c r="BX45" s="240"/>
    </row>
    <row r="46" spans="1:76" s="141" customFormat="1" ht="11.25" customHeight="1" x14ac:dyDescent="0.2">
      <c r="A46" s="5"/>
      <c r="B46" s="5"/>
      <c r="C46" s="5"/>
      <c r="D46" s="5"/>
      <c r="E46" s="5"/>
      <c r="F46" s="5"/>
      <c r="G46" s="5"/>
      <c r="H46" s="5"/>
      <c r="I46" s="5"/>
      <c r="J46" s="37"/>
      <c r="K46" s="227"/>
      <c r="L46" s="227"/>
      <c r="M46" s="227"/>
      <c r="N46" s="227"/>
      <c r="O46" s="239"/>
      <c r="P46" s="5"/>
      <c r="Q46" s="5"/>
      <c r="R46" s="5"/>
      <c r="S46" s="5"/>
      <c r="T46" s="5"/>
      <c r="U46" s="5"/>
      <c r="V46" s="5"/>
      <c r="W46" s="37"/>
      <c r="X46" s="227"/>
      <c r="Y46" s="227"/>
      <c r="Z46" s="227"/>
      <c r="AA46" s="227"/>
      <c r="AB46" s="227"/>
      <c r="AC46" s="227"/>
      <c r="AD46" s="227"/>
      <c r="AE46" s="227"/>
      <c r="AF46" s="227"/>
      <c r="AG46" s="227"/>
      <c r="AH46" s="227"/>
      <c r="AI46" s="227"/>
      <c r="AJ46" s="227"/>
      <c r="AK46" s="227"/>
      <c r="AL46" s="227"/>
      <c r="AM46" s="227"/>
      <c r="AN46" s="227"/>
      <c r="AO46" s="227"/>
      <c r="AP46" s="227"/>
      <c r="AQ46" s="227"/>
      <c r="AR46" s="227"/>
      <c r="AS46" s="227"/>
      <c r="AT46" s="227"/>
      <c r="AU46" s="227"/>
      <c r="AV46" s="227"/>
      <c r="AW46" s="227"/>
      <c r="AX46" s="227"/>
      <c r="AY46" s="227"/>
      <c r="AZ46" s="227"/>
      <c r="BA46" s="227"/>
      <c r="BB46" s="227"/>
      <c r="BC46" s="227"/>
      <c r="BD46" s="227"/>
      <c r="BE46" s="227"/>
      <c r="BF46" s="227"/>
      <c r="BG46" s="227"/>
      <c r="BH46" s="227"/>
      <c r="BI46" s="227"/>
      <c r="BJ46" s="227"/>
      <c r="BK46" s="227"/>
      <c r="BL46" s="227"/>
      <c r="BM46" s="227"/>
      <c r="BN46" s="227"/>
      <c r="BO46" s="227"/>
      <c r="BP46" s="227"/>
      <c r="BQ46" s="227"/>
      <c r="BR46" s="227"/>
      <c r="BS46" s="227"/>
      <c r="BT46" s="227"/>
      <c r="BU46" s="240"/>
      <c r="BV46" s="240"/>
      <c r="BW46" s="240"/>
      <c r="BX46" s="240"/>
    </row>
    <row r="47" spans="1:76" s="141" customFormat="1" ht="11.25" customHeight="1" x14ac:dyDescent="0.2">
      <c r="A47" s="5"/>
      <c r="B47" s="5"/>
      <c r="C47" s="5"/>
      <c r="D47" s="5"/>
      <c r="E47" s="5"/>
      <c r="F47" s="5"/>
      <c r="G47" s="5"/>
      <c r="H47" s="5"/>
      <c r="I47" s="5"/>
      <c r="J47" s="37"/>
      <c r="K47" s="227"/>
      <c r="L47" s="227"/>
      <c r="M47" s="227"/>
      <c r="N47" s="227"/>
      <c r="O47" s="239"/>
      <c r="P47" s="5"/>
      <c r="Q47" s="5"/>
      <c r="R47" s="5"/>
      <c r="S47" s="5"/>
      <c r="T47" s="5"/>
      <c r="U47" s="5"/>
      <c r="V47" s="5"/>
      <c r="W47" s="37"/>
      <c r="X47" s="227"/>
      <c r="Y47" s="227"/>
      <c r="Z47" s="227"/>
      <c r="AA47" s="227"/>
      <c r="AB47" s="227"/>
      <c r="AC47" s="227"/>
      <c r="AD47" s="227"/>
      <c r="AE47" s="227"/>
      <c r="AF47" s="227"/>
      <c r="AG47" s="227"/>
      <c r="AH47" s="227"/>
      <c r="AI47" s="227"/>
      <c r="AJ47" s="227"/>
      <c r="AK47" s="227"/>
      <c r="AL47" s="227"/>
      <c r="AM47" s="227"/>
      <c r="AN47" s="227"/>
      <c r="AO47" s="227"/>
      <c r="AP47" s="227"/>
      <c r="AQ47" s="227"/>
      <c r="AR47" s="227"/>
      <c r="AS47" s="227"/>
      <c r="AT47" s="227"/>
      <c r="AU47" s="227"/>
      <c r="AV47" s="227"/>
      <c r="AW47" s="227"/>
      <c r="AX47" s="227"/>
      <c r="AY47" s="227"/>
      <c r="AZ47" s="227"/>
      <c r="BA47" s="227"/>
      <c r="BB47" s="227"/>
      <c r="BC47" s="227"/>
      <c r="BD47" s="227"/>
      <c r="BE47" s="227"/>
      <c r="BF47" s="227"/>
      <c r="BG47" s="227"/>
      <c r="BH47" s="227"/>
      <c r="BI47" s="227"/>
      <c r="BJ47" s="227"/>
      <c r="BK47" s="227"/>
      <c r="BL47" s="227"/>
      <c r="BM47" s="227"/>
      <c r="BN47" s="227"/>
      <c r="BO47" s="227"/>
      <c r="BP47" s="227"/>
      <c r="BQ47" s="227"/>
      <c r="BR47" s="227"/>
      <c r="BS47" s="227"/>
      <c r="BT47" s="227"/>
      <c r="BU47" s="240"/>
      <c r="BV47" s="240"/>
      <c r="BW47" s="240"/>
      <c r="BX47" s="240"/>
    </row>
    <row r="48" spans="1:76" s="141" customFormat="1" ht="11.25" customHeight="1" x14ac:dyDescent="0.2">
      <c r="A48" s="5"/>
      <c r="B48" s="5"/>
      <c r="C48" s="5"/>
      <c r="D48" s="5"/>
      <c r="E48" s="5"/>
      <c r="F48" s="5"/>
      <c r="G48" s="5"/>
      <c r="H48" s="5"/>
      <c r="I48" s="5"/>
      <c r="J48" s="37"/>
      <c r="K48" s="227"/>
      <c r="L48" s="227"/>
      <c r="M48" s="227"/>
      <c r="N48" s="227"/>
      <c r="O48" s="239"/>
      <c r="P48" s="5"/>
      <c r="Q48" s="5"/>
      <c r="R48" s="5"/>
      <c r="S48" s="5"/>
      <c r="T48" s="5"/>
      <c r="U48" s="5"/>
      <c r="V48" s="5"/>
      <c r="W48" s="37"/>
      <c r="X48" s="227"/>
      <c r="Y48" s="227"/>
      <c r="Z48" s="227"/>
      <c r="AA48" s="227"/>
      <c r="AB48" s="227"/>
      <c r="AC48" s="227"/>
      <c r="AD48" s="227"/>
      <c r="AE48" s="227"/>
      <c r="AF48" s="227"/>
      <c r="AG48" s="227"/>
      <c r="AH48" s="227"/>
      <c r="AI48" s="227"/>
      <c r="AJ48" s="227"/>
      <c r="AK48" s="227"/>
      <c r="AL48" s="227"/>
      <c r="AM48" s="227"/>
      <c r="AN48" s="227"/>
      <c r="AO48" s="227"/>
      <c r="AP48" s="227"/>
      <c r="AQ48" s="227"/>
      <c r="AR48" s="227"/>
      <c r="AS48" s="227"/>
      <c r="AT48" s="227"/>
      <c r="AU48" s="227"/>
      <c r="AV48" s="227"/>
      <c r="AW48" s="227"/>
      <c r="AX48" s="227"/>
      <c r="AY48" s="227"/>
      <c r="AZ48" s="227"/>
      <c r="BA48" s="227"/>
      <c r="BB48" s="227"/>
      <c r="BC48" s="227"/>
      <c r="BD48" s="227"/>
      <c r="BE48" s="227"/>
      <c r="BF48" s="227"/>
      <c r="BG48" s="227"/>
      <c r="BH48" s="227"/>
      <c r="BI48" s="227"/>
      <c r="BJ48" s="227"/>
      <c r="BK48" s="227"/>
      <c r="BL48" s="227"/>
      <c r="BM48" s="227"/>
      <c r="BN48" s="227"/>
      <c r="BO48" s="227"/>
      <c r="BP48" s="227"/>
      <c r="BQ48" s="227"/>
      <c r="BR48" s="227"/>
      <c r="BS48" s="227"/>
      <c r="BT48" s="227"/>
      <c r="BU48" s="240"/>
      <c r="BV48" s="240"/>
      <c r="BW48" s="240"/>
      <c r="BX48" s="240"/>
    </row>
    <row r="49" spans="1:76" s="141" customFormat="1" ht="11.25" customHeight="1" x14ac:dyDescent="0.2">
      <c r="A49" s="5"/>
      <c r="B49" s="5"/>
      <c r="C49" s="5"/>
      <c r="D49" s="5"/>
      <c r="E49" s="5"/>
      <c r="F49" s="5"/>
      <c r="G49" s="5"/>
      <c r="H49" s="5"/>
      <c r="I49" s="5"/>
      <c r="J49" s="37"/>
      <c r="K49" s="227"/>
      <c r="L49" s="227"/>
      <c r="M49" s="227"/>
      <c r="N49" s="227"/>
      <c r="O49" s="239"/>
      <c r="P49" s="5"/>
      <c r="Q49" s="5"/>
      <c r="R49" s="5"/>
      <c r="S49" s="5"/>
      <c r="T49" s="5"/>
      <c r="U49" s="5"/>
      <c r="V49" s="5"/>
      <c r="W49" s="37"/>
      <c r="X49" s="227"/>
      <c r="Y49" s="227"/>
      <c r="Z49" s="227"/>
      <c r="AA49" s="227"/>
      <c r="AB49" s="227"/>
      <c r="AC49" s="227"/>
      <c r="AD49" s="227"/>
      <c r="AE49" s="227"/>
      <c r="AF49" s="227"/>
      <c r="AG49" s="227"/>
      <c r="AH49" s="227"/>
      <c r="AI49" s="227"/>
      <c r="AJ49" s="227"/>
      <c r="AK49" s="227"/>
      <c r="AL49" s="227"/>
      <c r="AM49" s="227"/>
      <c r="AN49" s="227"/>
      <c r="AO49" s="227"/>
      <c r="AP49" s="227"/>
      <c r="AQ49" s="227"/>
      <c r="AR49" s="227"/>
      <c r="AS49" s="227"/>
      <c r="AT49" s="227"/>
      <c r="AU49" s="227"/>
      <c r="AV49" s="227"/>
      <c r="AW49" s="227"/>
      <c r="AX49" s="227"/>
      <c r="AY49" s="227"/>
      <c r="AZ49" s="227"/>
      <c r="BA49" s="227"/>
      <c r="BB49" s="227"/>
      <c r="BC49" s="227"/>
      <c r="BD49" s="227"/>
      <c r="BE49" s="227"/>
      <c r="BF49" s="227"/>
      <c r="BG49" s="227"/>
      <c r="BH49" s="227"/>
      <c r="BI49" s="227"/>
      <c r="BJ49" s="227"/>
      <c r="BK49" s="227"/>
      <c r="BL49" s="227"/>
      <c r="BM49" s="227"/>
      <c r="BN49" s="227"/>
      <c r="BO49" s="227"/>
      <c r="BP49" s="227"/>
      <c r="BQ49" s="227"/>
      <c r="BR49" s="227"/>
      <c r="BS49" s="227"/>
      <c r="BT49" s="227"/>
      <c r="BU49" s="240"/>
      <c r="BV49" s="240"/>
      <c r="BW49" s="240"/>
      <c r="BX49" s="240"/>
    </row>
    <row r="50" spans="1:76" s="141" customFormat="1" ht="11.25" customHeight="1" x14ac:dyDescent="0.2">
      <c r="A50" s="5"/>
      <c r="B50" s="5"/>
      <c r="C50" s="5"/>
      <c r="D50" s="5"/>
      <c r="E50" s="5"/>
      <c r="F50" s="5"/>
      <c r="G50" s="5"/>
      <c r="H50" s="5"/>
      <c r="I50" s="5"/>
      <c r="J50" s="37"/>
      <c r="K50" s="227"/>
      <c r="L50" s="227"/>
      <c r="M50" s="227"/>
      <c r="N50" s="227"/>
      <c r="O50" s="239"/>
      <c r="P50" s="5"/>
      <c r="Q50" s="5"/>
      <c r="R50" s="5"/>
      <c r="S50" s="5"/>
      <c r="T50" s="5"/>
      <c r="U50" s="5"/>
      <c r="V50" s="5"/>
      <c r="W50" s="37"/>
      <c r="X50" s="227"/>
      <c r="Y50" s="227"/>
      <c r="Z50" s="227"/>
      <c r="AA50" s="227"/>
      <c r="AB50" s="227"/>
      <c r="AC50" s="227"/>
      <c r="AD50" s="227"/>
      <c r="AE50" s="227"/>
      <c r="AF50" s="227"/>
      <c r="AG50" s="227"/>
      <c r="AH50" s="227"/>
      <c r="AI50" s="227"/>
      <c r="AJ50" s="227"/>
      <c r="AK50" s="227"/>
      <c r="AL50" s="227"/>
      <c r="AM50" s="227"/>
      <c r="AN50" s="227"/>
      <c r="AO50" s="227"/>
      <c r="AP50" s="227"/>
      <c r="AQ50" s="227"/>
      <c r="AR50" s="227"/>
      <c r="AS50" s="227"/>
      <c r="AT50" s="227"/>
      <c r="AU50" s="227"/>
      <c r="AV50" s="227"/>
      <c r="AW50" s="227"/>
      <c r="AX50" s="227"/>
      <c r="AY50" s="227"/>
      <c r="AZ50" s="227"/>
      <c r="BA50" s="227"/>
      <c r="BB50" s="227"/>
      <c r="BC50" s="227"/>
      <c r="BD50" s="227"/>
      <c r="BE50" s="227"/>
      <c r="BF50" s="227"/>
      <c r="BG50" s="227"/>
      <c r="BH50" s="227"/>
      <c r="BI50" s="227"/>
      <c r="BJ50" s="227"/>
      <c r="BK50" s="227"/>
      <c r="BL50" s="227"/>
      <c r="BM50" s="227"/>
      <c r="BN50" s="227"/>
      <c r="BO50" s="227"/>
      <c r="BP50" s="227"/>
      <c r="BQ50" s="227"/>
      <c r="BR50" s="227"/>
      <c r="BS50" s="227"/>
      <c r="BT50" s="227"/>
      <c r="BU50" s="240"/>
      <c r="BV50" s="240"/>
      <c r="BW50" s="240"/>
      <c r="BX50" s="240"/>
    </row>
    <row r="51" spans="1:76" s="141" customFormat="1" ht="11.25" customHeight="1" x14ac:dyDescent="0.2">
      <c r="A51" s="5"/>
      <c r="B51" s="5"/>
      <c r="C51" s="5"/>
      <c r="D51" s="5"/>
      <c r="E51" s="5"/>
      <c r="F51" s="5"/>
      <c r="G51" s="5"/>
      <c r="H51" s="5"/>
      <c r="I51" s="5"/>
      <c r="J51" s="37"/>
      <c r="K51" s="227"/>
      <c r="L51" s="227"/>
      <c r="M51" s="227"/>
      <c r="N51" s="227"/>
      <c r="O51" s="239"/>
      <c r="P51" s="5"/>
      <c r="Q51" s="5"/>
      <c r="R51" s="5"/>
      <c r="S51" s="5"/>
      <c r="T51" s="5"/>
      <c r="U51" s="5"/>
      <c r="V51" s="5"/>
      <c r="W51" s="37"/>
      <c r="X51" s="227"/>
      <c r="Y51" s="227"/>
      <c r="Z51" s="227"/>
      <c r="AA51" s="227"/>
      <c r="AB51" s="227"/>
      <c r="AC51" s="227"/>
      <c r="AD51" s="227"/>
      <c r="AE51" s="227"/>
      <c r="AF51" s="227"/>
      <c r="AG51" s="227"/>
      <c r="AH51" s="227"/>
      <c r="AI51" s="227"/>
      <c r="AJ51" s="227"/>
      <c r="AK51" s="227"/>
      <c r="AL51" s="227"/>
      <c r="AM51" s="227"/>
      <c r="AN51" s="227"/>
      <c r="AO51" s="227"/>
      <c r="AP51" s="227"/>
      <c r="AQ51" s="227"/>
      <c r="AR51" s="227"/>
      <c r="AS51" s="227"/>
      <c r="AT51" s="227"/>
      <c r="AU51" s="227"/>
      <c r="AV51" s="227"/>
      <c r="AW51" s="227"/>
      <c r="AX51" s="227"/>
      <c r="AY51" s="227"/>
      <c r="AZ51" s="227"/>
      <c r="BA51" s="227"/>
      <c r="BB51" s="227"/>
      <c r="BC51" s="227"/>
      <c r="BD51" s="227"/>
      <c r="BE51" s="227"/>
      <c r="BF51" s="227"/>
      <c r="BG51" s="227"/>
      <c r="BH51" s="227"/>
      <c r="BI51" s="227"/>
      <c r="BJ51" s="227"/>
      <c r="BK51" s="227"/>
      <c r="BL51" s="227"/>
      <c r="BM51" s="227"/>
      <c r="BN51" s="227"/>
      <c r="BO51" s="227"/>
      <c r="BP51" s="227"/>
      <c r="BQ51" s="227"/>
      <c r="BR51" s="227"/>
      <c r="BS51" s="227"/>
      <c r="BT51" s="227"/>
      <c r="BU51" s="240"/>
      <c r="BV51" s="240"/>
      <c r="BW51" s="240"/>
      <c r="BX51" s="240"/>
    </row>
    <row r="52" spans="1:76" s="141" customFormat="1" ht="11.25" customHeight="1" x14ac:dyDescent="0.2">
      <c r="A52" s="5"/>
      <c r="B52" s="5"/>
      <c r="C52" s="5"/>
      <c r="D52" s="5"/>
      <c r="E52" s="5"/>
      <c r="F52" s="5"/>
      <c r="G52" s="5"/>
      <c r="H52" s="5"/>
      <c r="I52" s="5"/>
      <c r="J52" s="37"/>
      <c r="K52" s="227"/>
      <c r="L52" s="227"/>
      <c r="M52" s="227"/>
      <c r="N52" s="227"/>
      <c r="O52" s="239"/>
      <c r="P52" s="5"/>
      <c r="Q52" s="5"/>
      <c r="R52" s="5"/>
      <c r="S52" s="5"/>
      <c r="T52" s="5"/>
      <c r="U52" s="5"/>
      <c r="V52" s="5"/>
      <c r="W52" s="37"/>
      <c r="X52" s="227"/>
      <c r="Y52" s="227"/>
      <c r="Z52" s="227"/>
      <c r="AA52" s="227"/>
      <c r="AB52" s="227"/>
      <c r="AC52" s="227"/>
      <c r="AD52" s="227"/>
      <c r="AE52" s="227"/>
      <c r="AF52" s="227"/>
      <c r="AG52" s="227"/>
      <c r="AH52" s="227"/>
      <c r="AI52" s="227"/>
      <c r="AJ52" s="227"/>
      <c r="AK52" s="227"/>
      <c r="AL52" s="227"/>
      <c r="AM52" s="227"/>
      <c r="AN52" s="227"/>
      <c r="AO52" s="227"/>
      <c r="AP52" s="227"/>
      <c r="AQ52" s="227"/>
      <c r="AR52" s="227"/>
      <c r="AS52" s="227"/>
      <c r="AT52" s="227"/>
      <c r="AU52" s="227"/>
      <c r="AV52" s="227"/>
      <c r="AW52" s="227"/>
      <c r="AX52" s="227"/>
      <c r="AY52" s="227"/>
      <c r="AZ52" s="227"/>
      <c r="BA52" s="227"/>
      <c r="BB52" s="227"/>
      <c r="BC52" s="227"/>
      <c r="BD52" s="227"/>
      <c r="BE52" s="227"/>
      <c r="BF52" s="227"/>
      <c r="BG52" s="227"/>
      <c r="BH52" s="227"/>
      <c r="BI52" s="227"/>
      <c r="BJ52" s="227"/>
      <c r="BK52" s="227"/>
      <c r="BL52" s="227"/>
      <c r="BM52" s="227"/>
      <c r="BN52" s="227"/>
      <c r="BO52" s="227"/>
      <c r="BP52" s="227"/>
      <c r="BQ52" s="227"/>
      <c r="BR52" s="227"/>
      <c r="BS52" s="227"/>
      <c r="BT52" s="227"/>
      <c r="BU52" s="240"/>
      <c r="BV52" s="240"/>
      <c r="BW52" s="240"/>
      <c r="BX52" s="240"/>
    </row>
    <row r="53" spans="1:76" s="141" customFormat="1" ht="11.25" customHeight="1" x14ac:dyDescent="0.2">
      <c r="A53" s="5"/>
      <c r="B53" s="5"/>
      <c r="C53" s="5"/>
      <c r="D53" s="5"/>
      <c r="E53" s="5"/>
      <c r="F53" s="5"/>
      <c r="G53" s="5"/>
      <c r="H53" s="5"/>
      <c r="I53" s="5"/>
      <c r="J53" s="37"/>
      <c r="K53" s="227"/>
      <c r="L53" s="227"/>
      <c r="M53" s="227"/>
      <c r="N53" s="227"/>
      <c r="O53" s="239"/>
      <c r="P53" s="5"/>
      <c r="Q53" s="5"/>
      <c r="R53" s="5"/>
      <c r="S53" s="5"/>
      <c r="T53" s="5"/>
      <c r="U53" s="5"/>
      <c r="V53" s="5"/>
      <c r="W53" s="37"/>
      <c r="X53" s="227"/>
      <c r="Y53" s="227"/>
      <c r="Z53" s="227"/>
      <c r="AA53" s="227"/>
      <c r="AB53" s="227"/>
      <c r="AC53" s="227"/>
      <c r="AD53" s="227"/>
      <c r="AE53" s="227"/>
      <c r="AF53" s="227"/>
      <c r="AG53" s="227"/>
      <c r="AH53" s="227"/>
      <c r="AI53" s="227"/>
      <c r="AJ53" s="227"/>
      <c r="AK53" s="227"/>
      <c r="AL53" s="227"/>
      <c r="AM53" s="227"/>
      <c r="AN53" s="227"/>
      <c r="AO53" s="227"/>
      <c r="AP53" s="227"/>
      <c r="AQ53" s="227"/>
      <c r="AR53" s="227"/>
      <c r="AS53" s="227"/>
      <c r="AT53" s="227"/>
      <c r="AU53" s="227"/>
      <c r="AV53" s="227"/>
      <c r="AW53" s="227"/>
      <c r="AX53" s="227"/>
      <c r="AY53" s="227"/>
      <c r="AZ53" s="227"/>
      <c r="BA53" s="227"/>
      <c r="BB53" s="227"/>
      <c r="BC53" s="227"/>
      <c r="BD53" s="227"/>
      <c r="BE53" s="227"/>
      <c r="BF53" s="227"/>
      <c r="BG53" s="227"/>
      <c r="BH53" s="227"/>
      <c r="BI53" s="227"/>
      <c r="BJ53" s="227"/>
      <c r="BK53" s="227"/>
      <c r="BL53" s="227"/>
      <c r="BM53" s="227"/>
      <c r="BN53" s="227"/>
      <c r="BO53" s="227"/>
      <c r="BP53" s="227"/>
      <c r="BQ53" s="227"/>
      <c r="BR53" s="227"/>
      <c r="BS53" s="227"/>
      <c r="BT53" s="227"/>
      <c r="BU53" s="240"/>
      <c r="BV53" s="240"/>
      <c r="BW53" s="240"/>
      <c r="BX53" s="240"/>
    </row>
    <row r="54" spans="1:76" s="141" customFormat="1" ht="11.25" customHeight="1" x14ac:dyDescent="0.2">
      <c r="A54" s="5"/>
      <c r="B54" s="5"/>
      <c r="C54" s="5"/>
      <c r="D54" s="5"/>
      <c r="E54" s="5"/>
      <c r="F54" s="5"/>
      <c r="G54" s="5"/>
      <c r="H54" s="5"/>
      <c r="I54" s="5"/>
      <c r="J54" s="37"/>
      <c r="K54" s="227"/>
      <c r="L54" s="227"/>
      <c r="M54" s="227"/>
      <c r="N54" s="227"/>
      <c r="O54" s="239"/>
      <c r="P54" s="5"/>
      <c r="Q54" s="5"/>
      <c r="R54" s="5"/>
      <c r="S54" s="5"/>
      <c r="T54" s="5"/>
      <c r="U54" s="5"/>
      <c r="V54" s="5"/>
      <c r="W54" s="37"/>
      <c r="X54" s="227"/>
      <c r="Y54" s="227"/>
      <c r="Z54" s="227"/>
      <c r="AA54" s="227"/>
      <c r="AB54" s="227"/>
      <c r="AC54" s="227"/>
      <c r="AD54" s="227"/>
      <c r="AE54" s="227"/>
      <c r="AF54" s="227"/>
      <c r="AG54" s="227"/>
      <c r="AH54" s="227"/>
      <c r="AI54" s="227"/>
      <c r="AJ54" s="227"/>
      <c r="AK54" s="227"/>
      <c r="AL54" s="227"/>
      <c r="AM54" s="227"/>
      <c r="AN54" s="227"/>
      <c r="AO54" s="227"/>
      <c r="AP54" s="227"/>
      <c r="AQ54" s="227"/>
      <c r="AR54" s="227"/>
      <c r="AS54" s="227"/>
      <c r="AT54" s="227"/>
      <c r="AU54" s="227"/>
      <c r="AV54" s="227"/>
      <c r="AW54" s="227"/>
      <c r="AX54" s="227"/>
      <c r="AY54" s="227"/>
      <c r="AZ54" s="227"/>
      <c r="BA54" s="227"/>
      <c r="BB54" s="227"/>
      <c r="BC54" s="227"/>
      <c r="BD54" s="227"/>
      <c r="BE54" s="227"/>
      <c r="BF54" s="227"/>
      <c r="BG54" s="227"/>
      <c r="BH54" s="227"/>
      <c r="BI54" s="227"/>
      <c r="BJ54" s="227"/>
      <c r="BK54" s="227"/>
      <c r="BL54" s="227"/>
      <c r="BM54" s="227"/>
      <c r="BN54" s="227"/>
      <c r="BO54" s="227"/>
      <c r="BP54" s="227"/>
      <c r="BQ54" s="227"/>
      <c r="BR54" s="227"/>
      <c r="BS54" s="227"/>
      <c r="BT54" s="227"/>
      <c r="BU54" s="240"/>
      <c r="BV54" s="240"/>
      <c r="BW54" s="240"/>
      <c r="BX54" s="240"/>
    </row>
    <row r="55" spans="1:76" s="141" customFormat="1" ht="11.25" customHeight="1" x14ac:dyDescent="0.2">
      <c r="A55" s="5"/>
      <c r="B55" s="5"/>
      <c r="C55" s="5"/>
      <c r="D55" s="5"/>
      <c r="E55" s="5"/>
      <c r="F55" s="5"/>
      <c r="G55" s="5"/>
      <c r="H55" s="5"/>
      <c r="I55" s="5"/>
      <c r="J55" s="37"/>
      <c r="K55" s="227"/>
      <c r="L55" s="227"/>
      <c r="M55" s="227"/>
      <c r="N55" s="227"/>
      <c r="O55" s="239"/>
      <c r="P55" s="5"/>
      <c r="Q55" s="5"/>
      <c r="R55" s="5"/>
      <c r="S55" s="5"/>
      <c r="T55" s="5"/>
      <c r="U55" s="5"/>
      <c r="V55" s="5"/>
      <c r="W55" s="37"/>
      <c r="X55" s="227"/>
      <c r="Y55" s="227"/>
      <c r="Z55" s="227"/>
      <c r="AA55" s="227"/>
      <c r="AB55" s="227"/>
      <c r="AC55" s="227"/>
      <c r="AD55" s="227"/>
      <c r="AE55" s="227"/>
      <c r="AF55" s="227"/>
      <c r="AG55" s="227"/>
      <c r="AH55" s="227"/>
      <c r="AI55" s="227"/>
      <c r="AJ55" s="227"/>
      <c r="AK55" s="227"/>
      <c r="AL55" s="227"/>
      <c r="AM55" s="227"/>
      <c r="AN55" s="227"/>
      <c r="AO55" s="227"/>
      <c r="AP55" s="227"/>
      <c r="AQ55" s="227"/>
      <c r="AR55" s="227"/>
      <c r="AS55" s="227"/>
      <c r="AT55" s="227"/>
      <c r="AU55" s="227"/>
      <c r="AV55" s="227"/>
      <c r="AW55" s="227"/>
      <c r="AX55" s="227"/>
      <c r="AY55" s="227"/>
      <c r="AZ55" s="227"/>
      <c r="BA55" s="227"/>
      <c r="BB55" s="227"/>
      <c r="BC55" s="227"/>
      <c r="BD55" s="227"/>
      <c r="BE55" s="227"/>
      <c r="BF55" s="227"/>
      <c r="BG55" s="227"/>
      <c r="BH55" s="227"/>
      <c r="BI55" s="227"/>
      <c r="BJ55" s="227"/>
      <c r="BK55" s="227"/>
      <c r="BL55" s="227"/>
      <c r="BM55" s="227"/>
      <c r="BN55" s="227"/>
      <c r="BO55" s="227"/>
      <c r="BP55" s="227"/>
      <c r="BQ55" s="227"/>
      <c r="BR55" s="227"/>
      <c r="BS55" s="227"/>
      <c r="BT55" s="227"/>
      <c r="BU55" s="240"/>
      <c r="BV55" s="240"/>
      <c r="BW55" s="240"/>
      <c r="BX55" s="240"/>
    </row>
    <row r="56" spans="1:76" s="141" customFormat="1" ht="11.25" customHeight="1" x14ac:dyDescent="0.2">
      <c r="A56" s="5"/>
      <c r="B56" s="5"/>
      <c r="C56" s="5"/>
      <c r="D56" s="5"/>
      <c r="E56" s="5"/>
      <c r="F56" s="5"/>
      <c r="G56" s="5"/>
      <c r="H56" s="5"/>
      <c r="I56" s="5"/>
      <c r="J56" s="37"/>
      <c r="K56" s="227"/>
      <c r="L56" s="227"/>
      <c r="M56" s="227"/>
      <c r="N56" s="227"/>
      <c r="O56" s="239"/>
      <c r="P56" s="5"/>
      <c r="Q56" s="5"/>
      <c r="R56" s="5"/>
      <c r="S56" s="5"/>
      <c r="T56" s="5"/>
      <c r="U56" s="5"/>
      <c r="V56" s="5"/>
      <c r="W56" s="37"/>
      <c r="X56" s="227"/>
      <c r="Y56" s="227"/>
      <c r="Z56" s="227"/>
      <c r="AA56" s="227"/>
      <c r="AB56" s="227"/>
      <c r="AC56" s="227"/>
      <c r="AD56" s="227"/>
      <c r="AE56" s="227"/>
      <c r="AF56" s="227"/>
      <c r="AG56" s="227"/>
      <c r="AH56" s="227"/>
      <c r="AI56" s="227"/>
      <c r="AJ56" s="227"/>
      <c r="AK56" s="227"/>
      <c r="AL56" s="227"/>
      <c r="AM56" s="227"/>
      <c r="AN56" s="227"/>
      <c r="AO56" s="227"/>
      <c r="AP56" s="227"/>
      <c r="AQ56" s="227"/>
      <c r="AR56" s="227"/>
      <c r="AS56" s="227"/>
      <c r="AT56" s="227"/>
      <c r="AU56" s="227"/>
      <c r="AV56" s="227"/>
      <c r="AW56" s="227"/>
      <c r="AX56" s="227"/>
      <c r="AY56" s="227"/>
      <c r="AZ56" s="227"/>
      <c r="BA56" s="227"/>
      <c r="BB56" s="227"/>
      <c r="BC56" s="227"/>
      <c r="BD56" s="227"/>
      <c r="BE56" s="227"/>
      <c r="BF56" s="227"/>
      <c r="BG56" s="227"/>
      <c r="BH56" s="227"/>
      <c r="BI56" s="227"/>
      <c r="BJ56" s="227"/>
      <c r="BK56" s="227"/>
      <c r="BL56" s="227"/>
      <c r="BM56" s="227"/>
      <c r="BN56" s="227"/>
      <c r="BO56" s="227"/>
      <c r="BP56" s="227"/>
      <c r="BQ56" s="227"/>
      <c r="BR56" s="227"/>
      <c r="BS56" s="227"/>
      <c r="BT56" s="227"/>
      <c r="BU56" s="240"/>
      <c r="BV56" s="240"/>
      <c r="BW56" s="240"/>
      <c r="BX56" s="240"/>
    </row>
    <row r="57" spans="1:76" s="141" customFormat="1" ht="11.25" customHeight="1" x14ac:dyDescent="0.2">
      <c r="A57" s="5"/>
      <c r="B57" s="5"/>
      <c r="C57" s="5"/>
      <c r="D57" s="5"/>
      <c r="E57" s="5"/>
      <c r="F57" s="5"/>
      <c r="G57" s="5"/>
      <c r="H57" s="5"/>
      <c r="I57" s="5"/>
      <c r="J57" s="37"/>
      <c r="K57" s="227"/>
      <c r="L57" s="227"/>
      <c r="M57" s="227"/>
      <c r="N57" s="227"/>
      <c r="O57" s="239"/>
      <c r="P57" s="5"/>
      <c r="Q57" s="5"/>
      <c r="R57" s="5"/>
      <c r="S57" s="5"/>
      <c r="T57" s="5"/>
      <c r="U57" s="5"/>
      <c r="V57" s="5"/>
      <c r="W57" s="37"/>
      <c r="X57" s="227"/>
      <c r="Y57" s="227"/>
      <c r="Z57" s="227"/>
      <c r="AA57" s="227"/>
      <c r="AB57" s="227"/>
      <c r="AC57" s="227"/>
      <c r="AD57" s="227"/>
      <c r="AE57" s="227"/>
      <c r="AF57" s="227"/>
      <c r="AG57" s="227"/>
      <c r="AH57" s="227"/>
      <c r="AI57" s="227"/>
      <c r="AJ57" s="227"/>
      <c r="AK57" s="227"/>
      <c r="AL57" s="227"/>
      <c r="AM57" s="227"/>
      <c r="AN57" s="227"/>
      <c r="AO57" s="227"/>
      <c r="AP57" s="227"/>
      <c r="AQ57" s="227"/>
      <c r="AR57" s="227"/>
      <c r="AS57" s="227"/>
      <c r="AT57" s="227"/>
      <c r="AU57" s="227"/>
      <c r="AV57" s="227"/>
      <c r="AW57" s="227"/>
      <c r="AX57" s="227"/>
      <c r="AY57" s="227"/>
      <c r="AZ57" s="227"/>
      <c r="BA57" s="227"/>
      <c r="BB57" s="227"/>
      <c r="BC57" s="227"/>
      <c r="BD57" s="227"/>
      <c r="BE57" s="227"/>
      <c r="BF57" s="227"/>
      <c r="BG57" s="227"/>
      <c r="BH57" s="227"/>
      <c r="BI57" s="227"/>
      <c r="BJ57" s="227"/>
      <c r="BK57" s="227"/>
      <c r="BL57" s="227"/>
      <c r="BM57" s="227"/>
      <c r="BN57" s="227"/>
      <c r="BO57" s="227"/>
      <c r="BP57" s="227"/>
      <c r="BQ57" s="227"/>
      <c r="BR57" s="227"/>
      <c r="BS57" s="227"/>
      <c r="BT57" s="227"/>
      <c r="BU57" s="240"/>
      <c r="BV57" s="240"/>
      <c r="BW57" s="240"/>
      <c r="BX57" s="240"/>
    </row>
    <row r="58" spans="1:76" s="141" customFormat="1" ht="11.25" customHeight="1" x14ac:dyDescent="0.2">
      <c r="A58" s="5"/>
      <c r="B58" s="5"/>
      <c r="C58" s="5"/>
      <c r="D58" s="5"/>
      <c r="E58" s="5"/>
      <c r="F58" s="5"/>
      <c r="G58" s="5"/>
      <c r="H58" s="5"/>
      <c r="I58" s="5"/>
      <c r="J58" s="37"/>
      <c r="K58" s="227"/>
      <c r="L58" s="227"/>
      <c r="M58" s="227"/>
      <c r="N58" s="227"/>
      <c r="O58" s="239"/>
      <c r="P58" s="5"/>
      <c r="Q58" s="5"/>
      <c r="R58" s="5"/>
      <c r="S58" s="5"/>
      <c r="T58" s="5"/>
      <c r="U58" s="5"/>
      <c r="V58" s="5"/>
      <c r="W58" s="37"/>
      <c r="X58" s="227"/>
      <c r="Y58" s="227"/>
      <c r="Z58" s="227"/>
      <c r="AA58" s="227"/>
      <c r="AB58" s="227"/>
      <c r="AC58" s="227"/>
      <c r="AD58" s="227"/>
      <c r="AE58" s="227"/>
      <c r="AF58" s="227"/>
      <c r="AG58" s="227"/>
      <c r="AH58" s="227"/>
      <c r="AI58" s="227"/>
      <c r="AJ58" s="227"/>
      <c r="AK58" s="227"/>
      <c r="AL58" s="227"/>
      <c r="AM58" s="227"/>
      <c r="AN58" s="227"/>
      <c r="AO58" s="227"/>
      <c r="AP58" s="227"/>
      <c r="AQ58" s="227"/>
      <c r="AR58" s="227"/>
      <c r="AS58" s="227"/>
      <c r="AT58" s="227"/>
      <c r="AU58" s="227"/>
      <c r="AV58" s="227"/>
      <c r="AW58" s="227"/>
      <c r="AX58" s="227"/>
      <c r="AY58" s="227"/>
      <c r="AZ58" s="227"/>
      <c r="BA58" s="227"/>
      <c r="BB58" s="227"/>
      <c r="BC58" s="227"/>
      <c r="BD58" s="227"/>
      <c r="BE58" s="227"/>
      <c r="BF58" s="227"/>
      <c r="BG58" s="227"/>
      <c r="BH58" s="227"/>
      <c r="BI58" s="227"/>
      <c r="BJ58" s="227"/>
      <c r="BK58" s="227"/>
      <c r="BL58" s="227"/>
      <c r="BM58" s="227"/>
      <c r="BN58" s="227"/>
      <c r="BO58" s="227"/>
      <c r="BP58" s="227"/>
      <c r="BQ58" s="227"/>
      <c r="BR58" s="227"/>
      <c r="BS58" s="227"/>
      <c r="BT58" s="227"/>
      <c r="BU58" s="240"/>
      <c r="BV58" s="240"/>
      <c r="BW58" s="240"/>
      <c r="BX58" s="240"/>
    </row>
    <row r="59" spans="1:76" s="141" customFormat="1" ht="11.25" customHeight="1" x14ac:dyDescent="0.2">
      <c r="A59" s="5"/>
      <c r="B59" s="5"/>
      <c r="C59" s="5"/>
      <c r="D59" s="5"/>
      <c r="E59" s="5"/>
      <c r="F59" s="5"/>
      <c r="G59" s="5"/>
      <c r="H59" s="5"/>
      <c r="I59" s="5"/>
      <c r="J59" s="37"/>
      <c r="K59" s="227"/>
      <c r="L59" s="227"/>
      <c r="M59" s="227"/>
      <c r="N59" s="227"/>
      <c r="O59" s="239"/>
      <c r="P59" s="5"/>
      <c r="Q59" s="5"/>
      <c r="R59" s="5"/>
      <c r="S59" s="5"/>
      <c r="T59" s="5"/>
      <c r="U59" s="5"/>
      <c r="V59" s="5"/>
      <c r="W59" s="37"/>
      <c r="X59" s="227"/>
      <c r="Y59" s="227"/>
      <c r="Z59" s="227"/>
      <c r="AA59" s="227"/>
      <c r="AB59" s="227"/>
      <c r="AC59" s="227"/>
      <c r="AD59" s="227"/>
      <c r="AE59" s="227"/>
      <c r="AF59" s="227"/>
      <c r="AG59" s="227"/>
      <c r="AH59" s="227"/>
      <c r="AI59" s="227"/>
      <c r="AJ59" s="227"/>
      <c r="AK59" s="227"/>
      <c r="AL59" s="227"/>
      <c r="AM59" s="227"/>
      <c r="AN59" s="227"/>
      <c r="AO59" s="227"/>
      <c r="AP59" s="227"/>
      <c r="AQ59" s="227"/>
      <c r="AR59" s="227"/>
      <c r="AS59" s="227"/>
      <c r="AT59" s="227"/>
      <c r="AU59" s="227"/>
      <c r="AV59" s="227"/>
      <c r="AW59" s="227"/>
      <c r="AX59" s="227"/>
      <c r="AY59" s="227"/>
      <c r="AZ59" s="227"/>
      <c r="BA59" s="227"/>
      <c r="BB59" s="227"/>
      <c r="BC59" s="227"/>
      <c r="BD59" s="227"/>
      <c r="BE59" s="227"/>
      <c r="BF59" s="227"/>
      <c r="BG59" s="227"/>
      <c r="BH59" s="227"/>
      <c r="BI59" s="227"/>
      <c r="BJ59" s="227"/>
      <c r="BK59" s="227"/>
      <c r="BL59" s="227"/>
      <c r="BM59" s="227"/>
      <c r="BN59" s="227"/>
      <c r="BO59" s="227"/>
      <c r="BP59" s="227"/>
      <c r="BQ59" s="227"/>
      <c r="BR59" s="227"/>
      <c r="BS59" s="227"/>
      <c r="BT59" s="227"/>
      <c r="BU59" s="240"/>
      <c r="BV59" s="240"/>
      <c r="BW59" s="240"/>
      <c r="BX59" s="240"/>
    </row>
    <row r="60" spans="1:76" s="141" customFormat="1" ht="11.25" customHeight="1" x14ac:dyDescent="0.2">
      <c r="A60" s="5"/>
      <c r="B60" s="5"/>
      <c r="C60" s="5"/>
      <c r="D60" s="5"/>
      <c r="E60" s="5"/>
      <c r="F60" s="5"/>
      <c r="G60" s="5"/>
      <c r="H60" s="5"/>
      <c r="I60" s="5"/>
      <c r="J60" s="37"/>
      <c r="K60" s="227"/>
      <c r="L60" s="227"/>
      <c r="M60" s="227"/>
      <c r="N60" s="227"/>
      <c r="O60" s="239"/>
      <c r="P60" s="5"/>
      <c r="Q60" s="5"/>
      <c r="R60" s="5"/>
      <c r="S60" s="5"/>
      <c r="T60" s="5"/>
      <c r="U60" s="5"/>
      <c r="V60" s="5"/>
      <c r="W60" s="37"/>
      <c r="X60" s="227"/>
      <c r="Y60" s="227"/>
      <c r="Z60" s="227"/>
      <c r="AA60" s="227"/>
      <c r="AB60" s="227"/>
      <c r="AC60" s="227"/>
      <c r="AD60" s="227"/>
      <c r="AE60" s="227"/>
      <c r="AF60" s="227"/>
      <c r="AG60" s="227"/>
      <c r="AH60" s="227"/>
      <c r="AI60" s="227"/>
      <c r="AJ60" s="227"/>
      <c r="AK60" s="227"/>
      <c r="AL60" s="227"/>
      <c r="AM60" s="227"/>
      <c r="AN60" s="227"/>
      <c r="AO60" s="227"/>
      <c r="AP60" s="227"/>
      <c r="AQ60" s="227"/>
      <c r="AR60" s="227"/>
      <c r="AS60" s="227"/>
      <c r="AT60" s="227"/>
      <c r="AU60" s="227"/>
      <c r="AV60" s="227"/>
      <c r="AW60" s="227"/>
      <c r="AX60" s="227"/>
      <c r="AY60" s="227"/>
      <c r="AZ60" s="227"/>
      <c r="BA60" s="227"/>
      <c r="BB60" s="227"/>
      <c r="BC60" s="227"/>
      <c r="BD60" s="227"/>
      <c r="BE60" s="227"/>
      <c r="BF60" s="227"/>
      <c r="BG60" s="227"/>
      <c r="BH60" s="227"/>
      <c r="BI60" s="227"/>
      <c r="BJ60" s="227"/>
      <c r="BK60" s="227"/>
      <c r="BL60" s="227"/>
      <c r="BM60" s="227"/>
      <c r="BN60" s="227"/>
      <c r="BO60" s="227"/>
      <c r="BP60" s="227"/>
      <c r="BQ60" s="227"/>
      <c r="BR60" s="227"/>
      <c r="BS60" s="227"/>
      <c r="BT60" s="227"/>
      <c r="BU60" s="240"/>
      <c r="BV60" s="240"/>
      <c r="BW60" s="240"/>
      <c r="BX60" s="240"/>
    </row>
    <row r="61" spans="1:76" s="141" customFormat="1" ht="11.25" customHeight="1" x14ac:dyDescent="0.2">
      <c r="A61" s="5"/>
      <c r="B61" s="5"/>
      <c r="C61" s="5"/>
      <c r="D61" s="5"/>
      <c r="E61" s="5"/>
      <c r="F61" s="5"/>
      <c r="G61" s="5"/>
      <c r="H61" s="5"/>
      <c r="I61" s="5"/>
      <c r="J61" s="37"/>
      <c r="K61" s="227"/>
      <c r="L61" s="227"/>
      <c r="M61" s="227"/>
      <c r="N61" s="227"/>
      <c r="O61" s="239"/>
      <c r="P61" s="5"/>
      <c r="Q61" s="5"/>
      <c r="R61" s="5"/>
      <c r="S61" s="5"/>
      <c r="T61" s="5"/>
      <c r="U61" s="5"/>
      <c r="V61" s="5"/>
      <c r="W61" s="37"/>
      <c r="X61" s="227"/>
      <c r="Y61" s="227"/>
      <c r="Z61" s="227"/>
      <c r="AA61" s="227"/>
      <c r="AB61" s="227"/>
      <c r="AC61" s="227"/>
      <c r="AD61" s="227"/>
      <c r="AE61" s="227"/>
      <c r="AF61" s="227"/>
      <c r="AG61" s="227"/>
      <c r="AH61" s="227"/>
      <c r="AI61" s="227"/>
      <c r="AJ61" s="227"/>
      <c r="AK61" s="227"/>
      <c r="AL61" s="227"/>
      <c r="AM61" s="227"/>
      <c r="AN61" s="227"/>
      <c r="AO61" s="227"/>
      <c r="AP61" s="227"/>
      <c r="AQ61" s="227"/>
      <c r="AR61" s="227"/>
      <c r="AS61" s="227"/>
      <c r="AT61" s="227"/>
      <c r="AU61" s="227"/>
      <c r="AV61" s="227"/>
      <c r="AW61" s="227"/>
      <c r="AX61" s="227"/>
      <c r="AY61" s="227"/>
      <c r="AZ61" s="227"/>
      <c r="BA61" s="227"/>
      <c r="BB61" s="227"/>
      <c r="BC61" s="227"/>
      <c r="BD61" s="227"/>
      <c r="BE61" s="227"/>
      <c r="BF61" s="227"/>
      <c r="BG61" s="227"/>
      <c r="BH61" s="227"/>
      <c r="BI61" s="227"/>
      <c r="BJ61" s="227"/>
      <c r="BK61" s="227"/>
      <c r="BL61" s="227"/>
      <c r="BM61" s="227"/>
      <c r="BN61" s="227"/>
      <c r="BO61" s="227"/>
      <c r="BP61" s="227"/>
      <c r="BQ61" s="227"/>
      <c r="BR61" s="227"/>
      <c r="BS61" s="227"/>
      <c r="BT61" s="227"/>
      <c r="BU61" s="240"/>
      <c r="BV61" s="240"/>
      <c r="BW61" s="240"/>
      <c r="BX61" s="240"/>
    </row>
    <row r="62" spans="1:76" s="141" customFormat="1" ht="11.25" customHeight="1" x14ac:dyDescent="0.2">
      <c r="A62" s="5"/>
      <c r="B62" s="5"/>
      <c r="C62" s="5"/>
      <c r="D62" s="5"/>
      <c r="E62" s="5"/>
      <c r="F62" s="5"/>
      <c r="G62" s="5"/>
      <c r="H62" s="5"/>
      <c r="I62" s="5"/>
      <c r="J62" s="37"/>
      <c r="K62" s="227"/>
      <c r="L62" s="227"/>
      <c r="M62" s="227"/>
      <c r="N62" s="227"/>
      <c r="O62" s="239"/>
      <c r="P62" s="5"/>
      <c r="Q62" s="5"/>
      <c r="R62" s="5"/>
      <c r="S62" s="5"/>
      <c r="T62" s="5"/>
      <c r="U62" s="5"/>
      <c r="V62" s="5"/>
      <c r="W62" s="37"/>
      <c r="X62" s="227"/>
      <c r="Y62" s="227"/>
      <c r="Z62" s="227"/>
      <c r="AA62" s="227"/>
      <c r="AB62" s="227"/>
      <c r="AC62" s="227"/>
      <c r="AD62" s="227"/>
      <c r="AE62" s="227"/>
      <c r="AF62" s="227"/>
      <c r="AG62" s="227"/>
      <c r="AH62" s="227"/>
      <c r="AI62" s="227"/>
      <c r="AJ62" s="227"/>
      <c r="AK62" s="227"/>
      <c r="AL62" s="227"/>
      <c r="AM62" s="227"/>
      <c r="AN62" s="227"/>
      <c r="AO62" s="227"/>
      <c r="AP62" s="227"/>
      <c r="AQ62" s="227"/>
      <c r="AR62" s="227"/>
      <c r="AS62" s="227"/>
      <c r="AT62" s="227"/>
      <c r="AU62" s="227"/>
      <c r="AV62" s="227"/>
      <c r="AW62" s="227"/>
      <c r="AX62" s="227"/>
      <c r="AY62" s="227"/>
      <c r="AZ62" s="227"/>
      <c r="BA62" s="227"/>
      <c r="BB62" s="227"/>
      <c r="BC62" s="227"/>
      <c r="BD62" s="227"/>
      <c r="BE62" s="227"/>
      <c r="BF62" s="227"/>
      <c r="BG62" s="227"/>
      <c r="BH62" s="227"/>
      <c r="BI62" s="227"/>
      <c r="BJ62" s="227"/>
      <c r="BK62" s="227"/>
      <c r="BL62" s="227"/>
      <c r="BM62" s="227"/>
      <c r="BN62" s="227"/>
      <c r="BO62" s="227"/>
      <c r="BP62" s="227"/>
      <c r="BQ62" s="227"/>
      <c r="BR62" s="227"/>
      <c r="BS62" s="227"/>
      <c r="BT62" s="227"/>
      <c r="BU62" s="240"/>
      <c r="BV62" s="240"/>
      <c r="BW62" s="240"/>
      <c r="BX62" s="240"/>
    </row>
    <row r="63" spans="1:76" s="141" customFormat="1" ht="11.25" customHeight="1" x14ac:dyDescent="0.2">
      <c r="A63" s="5"/>
      <c r="B63" s="5"/>
      <c r="C63" s="5"/>
      <c r="D63" s="5"/>
      <c r="E63" s="5"/>
      <c r="F63" s="5"/>
      <c r="G63" s="5"/>
      <c r="H63" s="5"/>
      <c r="I63" s="5"/>
      <c r="J63" s="37"/>
      <c r="K63" s="227"/>
      <c r="L63" s="227"/>
      <c r="M63" s="227"/>
      <c r="N63" s="227"/>
      <c r="O63" s="239"/>
      <c r="P63" s="5"/>
      <c r="Q63" s="5"/>
      <c r="R63" s="5"/>
      <c r="S63" s="5"/>
      <c r="T63" s="5"/>
      <c r="U63" s="5"/>
      <c r="V63" s="5"/>
      <c r="W63" s="37"/>
      <c r="X63" s="227"/>
      <c r="Y63" s="227"/>
      <c r="Z63" s="227"/>
      <c r="AA63" s="227"/>
      <c r="AB63" s="227"/>
      <c r="AC63" s="227"/>
      <c r="AD63" s="227"/>
      <c r="AE63" s="227"/>
      <c r="AF63" s="227"/>
      <c r="AG63" s="227"/>
      <c r="AH63" s="227"/>
      <c r="AI63" s="227"/>
      <c r="AJ63" s="227"/>
      <c r="AK63" s="227"/>
      <c r="AL63" s="227"/>
      <c r="AM63" s="227"/>
      <c r="AN63" s="227"/>
      <c r="AO63" s="227"/>
      <c r="AP63" s="227"/>
      <c r="AQ63" s="227"/>
      <c r="AR63" s="227"/>
      <c r="AS63" s="227"/>
      <c r="AT63" s="227"/>
      <c r="AU63" s="227"/>
      <c r="AV63" s="227"/>
      <c r="AW63" s="227"/>
      <c r="AX63" s="227"/>
      <c r="AY63" s="227"/>
      <c r="AZ63" s="227"/>
      <c r="BA63" s="227"/>
      <c r="BB63" s="227"/>
      <c r="BC63" s="227"/>
      <c r="BD63" s="227"/>
      <c r="BE63" s="227"/>
      <c r="BF63" s="227"/>
      <c r="BG63" s="227"/>
      <c r="BH63" s="227"/>
      <c r="BI63" s="227"/>
      <c r="BJ63" s="227"/>
      <c r="BK63" s="227"/>
      <c r="BL63" s="227"/>
      <c r="BM63" s="227"/>
      <c r="BN63" s="227"/>
      <c r="BO63" s="227"/>
      <c r="BP63" s="227"/>
      <c r="BQ63" s="227"/>
      <c r="BR63" s="227"/>
      <c r="BS63" s="227"/>
      <c r="BT63" s="227"/>
      <c r="BU63" s="240"/>
      <c r="BV63" s="240"/>
      <c r="BW63" s="240"/>
      <c r="BX63" s="240"/>
    </row>
    <row r="64" spans="1:76" s="141" customFormat="1" ht="11.25" customHeight="1" x14ac:dyDescent="0.2">
      <c r="A64" s="5"/>
      <c r="B64" s="5"/>
      <c r="C64" s="5"/>
      <c r="D64" s="5"/>
      <c r="E64" s="5"/>
      <c r="F64" s="5"/>
      <c r="G64" s="5"/>
      <c r="H64" s="5"/>
      <c r="I64" s="5"/>
      <c r="J64" s="37"/>
      <c r="K64" s="227"/>
      <c r="L64" s="227"/>
      <c r="M64" s="227"/>
      <c r="N64" s="227"/>
      <c r="O64" s="239"/>
      <c r="P64" s="5"/>
      <c r="Q64" s="5"/>
      <c r="R64" s="5"/>
      <c r="S64" s="5"/>
      <c r="T64" s="5"/>
      <c r="U64" s="5"/>
      <c r="V64" s="5"/>
      <c r="W64" s="37"/>
      <c r="X64" s="227"/>
      <c r="Y64" s="227"/>
      <c r="Z64" s="227"/>
      <c r="AA64" s="227"/>
      <c r="AB64" s="227"/>
      <c r="AC64" s="227"/>
      <c r="AD64" s="227"/>
      <c r="AE64" s="227"/>
      <c r="AF64" s="227"/>
      <c r="AG64" s="227"/>
      <c r="AH64" s="227"/>
      <c r="AI64" s="227"/>
      <c r="AJ64" s="227"/>
      <c r="AK64" s="227"/>
      <c r="AL64" s="227"/>
      <c r="AM64" s="227"/>
      <c r="AN64" s="227"/>
      <c r="AO64" s="227"/>
      <c r="AP64" s="227"/>
      <c r="AQ64" s="227"/>
      <c r="AR64" s="227"/>
      <c r="AS64" s="227"/>
      <c r="AT64" s="227"/>
      <c r="AU64" s="227"/>
      <c r="AV64" s="227"/>
      <c r="AW64" s="227"/>
      <c r="AX64" s="227"/>
      <c r="AY64" s="227"/>
      <c r="AZ64" s="227"/>
      <c r="BA64" s="227"/>
      <c r="BB64" s="227"/>
      <c r="BC64" s="227"/>
      <c r="BD64" s="227"/>
      <c r="BE64" s="227"/>
      <c r="BF64" s="227"/>
      <c r="BG64" s="227"/>
      <c r="BH64" s="227"/>
      <c r="BI64" s="227"/>
      <c r="BJ64" s="227"/>
      <c r="BK64" s="227"/>
      <c r="BL64" s="227"/>
      <c r="BM64" s="227"/>
      <c r="BN64" s="227"/>
      <c r="BO64" s="227"/>
      <c r="BP64" s="227"/>
      <c r="BQ64" s="227"/>
      <c r="BR64" s="227"/>
      <c r="BS64" s="227"/>
      <c r="BT64" s="227"/>
      <c r="BU64" s="240"/>
      <c r="BV64" s="240"/>
      <c r="BW64" s="240"/>
      <c r="BX64" s="240"/>
    </row>
    <row r="65" spans="1:76" s="141" customFormat="1" ht="11.25" customHeight="1" x14ac:dyDescent="0.2">
      <c r="A65" s="5"/>
      <c r="B65" s="5"/>
      <c r="C65" s="5"/>
      <c r="D65" s="5"/>
      <c r="E65" s="5"/>
      <c r="F65" s="5"/>
      <c r="G65" s="5"/>
      <c r="H65" s="5"/>
      <c r="I65" s="5"/>
      <c r="J65" s="37"/>
      <c r="K65" s="227"/>
      <c r="L65" s="227"/>
      <c r="M65" s="227"/>
      <c r="N65" s="227"/>
      <c r="O65" s="239"/>
      <c r="P65" s="5"/>
      <c r="Q65" s="5"/>
      <c r="R65" s="5"/>
      <c r="S65" s="5"/>
      <c r="T65" s="5"/>
      <c r="U65" s="5"/>
      <c r="V65" s="5"/>
      <c r="W65" s="37"/>
      <c r="X65" s="227"/>
      <c r="Y65" s="227"/>
      <c r="Z65" s="227"/>
      <c r="AA65" s="227"/>
      <c r="AB65" s="227"/>
      <c r="AC65" s="227"/>
      <c r="AD65" s="227"/>
      <c r="AE65" s="227"/>
      <c r="AF65" s="227"/>
      <c r="AG65" s="227"/>
      <c r="AH65" s="227"/>
      <c r="AI65" s="227"/>
      <c r="AJ65" s="227"/>
      <c r="AK65" s="227"/>
      <c r="AL65" s="227"/>
      <c r="AM65" s="227"/>
      <c r="AN65" s="227"/>
      <c r="AO65" s="227"/>
      <c r="AP65" s="227"/>
      <c r="AQ65" s="227"/>
      <c r="AR65" s="227"/>
      <c r="AS65" s="227"/>
      <c r="AT65" s="227"/>
      <c r="AU65" s="227"/>
      <c r="AV65" s="227"/>
      <c r="AW65" s="227"/>
      <c r="AX65" s="227"/>
      <c r="AY65" s="227"/>
      <c r="AZ65" s="227"/>
      <c r="BA65" s="227"/>
      <c r="BB65" s="227"/>
      <c r="BC65" s="227"/>
      <c r="BD65" s="227"/>
      <c r="BE65" s="227"/>
      <c r="BF65" s="227"/>
      <c r="BG65" s="227"/>
      <c r="BH65" s="227"/>
      <c r="BI65" s="227"/>
      <c r="BJ65" s="227"/>
      <c r="BK65" s="227"/>
      <c r="BL65" s="227"/>
      <c r="BM65" s="227"/>
      <c r="BN65" s="227"/>
      <c r="BO65" s="227"/>
      <c r="BP65" s="227"/>
      <c r="BQ65" s="227"/>
      <c r="BR65" s="227"/>
      <c r="BS65" s="227"/>
      <c r="BT65" s="227"/>
      <c r="BU65" s="240"/>
      <c r="BV65" s="240"/>
      <c r="BW65" s="240"/>
      <c r="BX65" s="240"/>
    </row>
    <row r="66" spans="1:76" s="141" customFormat="1" ht="11.25" customHeight="1" x14ac:dyDescent="0.2">
      <c r="A66" s="5"/>
      <c r="B66" s="5"/>
      <c r="C66" s="5"/>
      <c r="D66" s="5"/>
      <c r="E66" s="5"/>
      <c r="F66" s="5"/>
      <c r="G66" s="5"/>
      <c r="H66" s="5"/>
      <c r="I66" s="5"/>
      <c r="J66" s="37"/>
      <c r="K66" s="227"/>
      <c r="L66" s="227"/>
      <c r="M66" s="227"/>
      <c r="N66" s="227"/>
      <c r="O66" s="239"/>
      <c r="P66" s="5"/>
      <c r="Q66" s="5"/>
      <c r="R66" s="5"/>
      <c r="S66" s="5"/>
      <c r="T66" s="5"/>
      <c r="U66" s="5"/>
      <c r="V66" s="5"/>
      <c r="W66" s="37"/>
      <c r="X66" s="227"/>
      <c r="Y66" s="227"/>
      <c r="Z66" s="227"/>
      <c r="AA66" s="227"/>
      <c r="AB66" s="227"/>
      <c r="AC66" s="227"/>
      <c r="AD66" s="227"/>
      <c r="AE66" s="227"/>
      <c r="AF66" s="227"/>
      <c r="AG66" s="227"/>
      <c r="AH66" s="227"/>
      <c r="AI66" s="227"/>
      <c r="AJ66" s="227"/>
      <c r="AK66" s="227"/>
      <c r="AL66" s="227"/>
      <c r="AM66" s="227"/>
      <c r="AN66" s="227"/>
      <c r="AO66" s="227"/>
      <c r="AP66" s="227"/>
      <c r="AQ66" s="227"/>
      <c r="AR66" s="227"/>
      <c r="AS66" s="227"/>
      <c r="AT66" s="227"/>
      <c r="AU66" s="227"/>
      <c r="AV66" s="227"/>
      <c r="AW66" s="227"/>
      <c r="AX66" s="227"/>
      <c r="AY66" s="227"/>
      <c r="AZ66" s="227"/>
      <c r="BA66" s="227"/>
      <c r="BB66" s="227"/>
      <c r="BC66" s="227"/>
      <c r="BD66" s="227"/>
      <c r="BE66" s="227"/>
      <c r="BF66" s="227"/>
      <c r="BG66" s="227"/>
      <c r="BH66" s="227"/>
      <c r="BI66" s="227"/>
      <c r="BJ66" s="227"/>
      <c r="BK66" s="227"/>
      <c r="BL66" s="227"/>
      <c r="BM66" s="227"/>
      <c r="BN66" s="227"/>
      <c r="BO66" s="227"/>
      <c r="BP66" s="227"/>
      <c r="BQ66" s="227"/>
      <c r="BR66" s="227"/>
      <c r="BS66" s="227"/>
      <c r="BT66" s="227"/>
      <c r="BU66" s="240"/>
      <c r="BV66" s="240"/>
      <c r="BW66" s="240"/>
      <c r="BX66" s="240"/>
    </row>
    <row r="67" spans="1:76" s="141" customFormat="1" ht="11.25" customHeight="1" x14ac:dyDescent="0.2">
      <c r="A67" s="5"/>
      <c r="B67" s="5"/>
      <c r="C67" s="5"/>
      <c r="D67" s="5"/>
      <c r="E67" s="5"/>
      <c r="F67" s="5"/>
      <c r="G67" s="5"/>
      <c r="H67" s="5"/>
      <c r="I67" s="5"/>
      <c r="J67" s="37"/>
      <c r="K67" s="227"/>
      <c r="L67" s="227"/>
      <c r="M67" s="227"/>
      <c r="N67" s="227"/>
      <c r="O67" s="239"/>
      <c r="P67" s="5"/>
      <c r="Q67" s="5"/>
      <c r="R67" s="5"/>
      <c r="S67" s="5"/>
      <c r="T67" s="5"/>
      <c r="U67" s="5"/>
      <c r="V67" s="5"/>
      <c r="W67" s="37"/>
      <c r="X67" s="227"/>
      <c r="Y67" s="227"/>
      <c r="Z67" s="227"/>
      <c r="AA67" s="227"/>
      <c r="AB67" s="227"/>
      <c r="AC67" s="227"/>
      <c r="AD67" s="227"/>
      <c r="AE67" s="227"/>
      <c r="AF67" s="227"/>
      <c r="AG67" s="227"/>
      <c r="AH67" s="227"/>
      <c r="AI67" s="227"/>
      <c r="AJ67" s="227"/>
      <c r="AK67" s="227"/>
      <c r="AL67" s="227"/>
      <c r="AM67" s="227"/>
      <c r="AN67" s="227"/>
      <c r="AO67" s="227"/>
      <c r="AP67" s="227"/>
      <c r="AQ67" s="227"/>
      <c r="AR67" s="227"/>
      <c r="AS67" s="227"/>
      <c r="AT67" s="227"/>
      <c r="AU67" s="227"/>
      <c r="AV67" s="227"/>
      <c r="AW67" s="227"/>
      <c r="AX67" s="227"/>
      <c r="AY67" s="227"/>
      <c r="AZ67" s="227"/>
      <c r="BA67" s="227"/>
      <c r="BB67" s="227"/>
      <c r="BC67" s="227"/>
      <c r="BD67" s="227"/>
      <c r="BE67" s="227"/>
      <c r="BF67" s="227"/>
      <c r="BG67" s="227"/>
      <c r="BH67" s="227"/>
      <c r="BI67" s="227"/>
      <c r="BJ67" s="227"/>
      <c r="BK67" s="227"/>
      <c r="BL67" s="227"/>
      <c r="BM67" s="227"/>
      <c r="BN67" s="227"/>
      <c r="BO67" s="227"/>
      <c r="BP67" s="227"/>
      <c r="BQ67" s="227"/>
      <c r="BR67" s="227"/>
      <c r="BS67" s="227"/>
      <c r="BT67" s="227"/>
      <c r="BU67" s="240"/>
      <c r="BV67" s="240"/>
      <c r="BW67" s="240"/>
      <c r="BX67" s="240"/>
    </row>
    <row r="68" spans="1:76" s="141" customFormat="1" ht="11.25" customHeight="1" x14ac:dyDescent="0.2">
      <c r="A68" s="5"/>
      <c r="B68" s="5"/>
      <c r="C68" s="5"/>
      <c r="D68" s="5"/>
      <c r="E68" s="5"/>
      <c r="F68" s="5"/>
      <c r="G68" s="5"/>
      <c r="H68" s="5"/>
      <c r="I68" s="5"/>
      <c r="J68" s="37"/>
      <c r="K68" s="227"/>
      <c r="L68" s="227"/>
      <c r="M68" s="227"/>
      <c r="N68" s="227"/>
      <c r="O68" s="239"/>
      <c r="P68" s="5"/>
      <c r="Q68" s="5"/>
      <c r="R68" s="5"/>
      <c r="S68" s="5"/>
      <c r="T68" s="5"/>
      <c r="U68" s="5"/>
      <c r="V68" s="5"/>
      <c r="W68" s="37"/>
      <c r="X68" s="227"/>
      <c r="Y68" s="227"/>
      <c r="Z68" s="227"/>
      <c r="AA68" s="227"/>
      <c r="AB68" s="227"/>
      <c r="AC68" s="227"/>
      <c r="AD68" s="227"/>
      <c r="AE68" s="227"/>
      <c r="AF68" s="227"/>
      <c r="AG68" s="227"/>
      <c r="AH68" s="227"/>
      <c r="AI68" s="227"/>
      <c r="AJ68" s="227"/>
      <c r="AK68" s="227"/>
      <c r="AL68" s="227"/>
      <c r="AM68" s="227"/>
      <c r="AN68" s="227"/>
      <c r="AO68" s="227"/>
      <c r="AP68" s="227"/>
      <c r="AQ68" s="227"/>
      <c r="AR68" s="227"/>
      <c r="AS68" s="227"/>
      <c r="AT68" s="227"/>
      <c r="AU68" s="227"/>
      <c r="AV68" s="227"/>
      <c r="AW68" s="227"/>
      <c r="AX68" s="227"/>
      <c r="AY68" s="227"/>
      <c r="AZ68" s="227"/>
      <c r="BA68" s="227"/>
      <c r="BB68" s="227"/>
      <c r="BC68" s="227"/>
      <c r="BD68" s="227"/>
      <c r="BE68" s="227"/>
      <c r="BF68" s="227"/>
      <c r="BG68" s="227"/>
      <c r="BH68" s="227"/>
      <c r="BI68" s="227"/>
      <c r="BJ68" s="227"/>
      <c r="BK68" s="227"/>
      <c r="BL68" s="227"/>
      <c r="BM68" s="227"/>
      <c r="BN68" s="227"/>
      <c r="BO68" s="227"/>
      <c r="BP68" s="227"/>
      <c r="BQ68" s="227"/>
      <c r="BR68" s="227"/>
      <c r="BS68" s="227"/>
      <c r="BT68" s="227"/>
      <c r="BU68" s="240"/>
      <c r="BV68" s="240"/>
      <c r="BW68" s="240"/>
      <c r="BX68" s="240"/>
    </row>
    <row r="69" spans="1:76" s="141" customFormat="1" ht="11.25" customHeight="1" x14ac:dyDescent="0.2">
      <c r="A69" s="5"/>
      <c r="B69" s="5"/>
      <c r="C69" s="5"/>
      <c r="D69" s="5"/>
      <c r="E69" s="5"/>
      <c r="F69" s="5"/>
      <c r="G69" s="5"/>
      <c r="H69" s="5"/>
      <c r="I69" s="5"/>
      <c r="J69" s="37"/>
      <c r="K69" s="227"/>
      <c r="L69" s="227"/>
      <c r="M69" s="227"/>
      <c r="N69" s="227"/>
      <c r="O69" s="239"/>
      <c r="P69" s="5"/>
      <c r="Q69" s="5"/>
      <c r="R69" s="5"/>
      <c r="S69" s="5"/>
      <c r="T69" s="5"/>
      <c r="U69" s="5"/>
      <c r="V69" s="5"/>
      <c r="W69" s="37"/>
      <c r="X69" s="227"/>
      <c r="Y69" s="227"/>
      <c r="Z69" s="227"/>
      <c r="AA69" s="227"/>
      <c r="AB69" s="227"/>
      <c r="AC69" s="227"/>
      <c r="AD69" s="227"/>
      <c r="AE69" s="227"/>
      <c r="AF69" s="227"/>
      <c r="AG69" s="227"/>
      <c r="AH69" s="227"/>
      <c r="AI69" s="227"/>
      <c r="AJ69" s="227"/>
      <c r="AK69" s="227"/>
      <c r="AL69" s="227"/>
      <c r="AM69" s="227"/>
      <c r="AN69" s="227"/>
      <c r="AO69" s="227"/>
      <c r="AP69" s="227"/>
      <c r="AQ69" s="227"/>
      <c r="AR69" s="227"/>
      <c r="AS69" s="227"/>
      <c r="AT69" s="227"/>
      <c r="AU69" s="227"/>
      <c r="AV69" s="227"/>
      <c r="AW69" s="227"/>
      <c r="AX69" s="227"/>
      <c r="AY69" s="227"/>
      <c r="AZ69" s="227"/>
      <c r="BA69" s="227"/>
      <c r="BB69" s="227"/>
      <c r="BC69" s="227"/>
      <c r="BD69" s="227"/>
      <c r="BE69" s="227"/>
      <c r="BF69" s="227"/>
      <c r="BG69" s="227"/>
      <c r="BH69" s="227"/>
      <c r="BI69" s="227"/>
      <c r="BJ69" s="227"/>
      <c r="BK69" s="227"/>
      <c r="BL69" s="227"/>
      <c r="BM69" s="227"/>
      <c r="BN69" s="227"/>
      <c r="BO69" s="227"/>
      <c r="BP69" s="227"/>
      <c r="BQ69" s="227"/>
      <c r="BR69" s="227"/>
      <c r="BS69" s="227"/>
      <c r="BT69" s="227"/>
      <c r="BU69" s="240"/>
      <c r="BV69" s="240"/>
      <c r="BW69" s="240"/>
      <c r="BX69" s="240"/>
    </row>
    <row r="70" spans="1:76" s="141" customFormat="1" ht="11.25" customHeight="1" x14ac:dyDescent="0.2">
      <c r="A70" s="5"/>
      <c r="B70" s="5"/>
      <c r="C70" s="5"/>
      <c r="D70" s="5"/>
      <c r="E70" s="5"/>
      <c r="F70" s="5"/>
      <c r="G70" s="5"/>
      <c r="H70" s="5"/>
      <c r="I70" s="5"/>
      <c r="J70" s="37"/>
      <c r="K70" s="227"/>
      <c r="L70" s="227"/>
      <c r="M70" s="227"/>
      <c r="N70" s="227"/>
      <c r="O70" s="239"/>
      <c r="P70" s="5"/>
      <c r="Q70" s="5"/>
      <c r="R70" s="5"/>
      <c r="S70" s="5"/>
      <c r="T70" s="5"/>
      <c r="U70" s="5"/>
      <c r="V70" s="5"/>
      <c r="W70" s="37"/>
      <c r="X70" s="227"/>
      <c r="Y70" s="227"/>
      <c r="Z70" s="227"/>
      <c r="AA70" s="227"/>
      <c r="AB70" s="227"/>
      <c r="AC70" s="227"/>
      <c r="AD70" s="227"/>
      <c r="AE70" s="227"/>
      <c r="AF70" s="227"/>
      <c r="AG70" s="227"/>
      <c r="AH70" s="227"/>
      <c r="AI70" s="227"/>
      <c r="AJ70" s="227"/>
      <c r="AK70" s="227"/>
      <c r="AL70" s="227"/>
      <c r="AM70" s="227"/>
      <c r="AN70" s="227"/>
      <c r="AO70" s="227"/>
      <c r="AP70" s="227"/>
      <c r="AQ70" s="227"/>
      <c r="AR70" s="227"/>
      <c r="AS70" s="227"/>
      <c r="AT70" s="227"/>
      <c r="AU70" s="227"/>
      <c r="AV70" s="227"/>
      <c r="AW70" s="227"/>
      <c r="AX70" s="227"/>
      <c r="AY70" s="227"/>
      <c r="AZ70" s="227"/>
      <c r="BA70" s="227"/>
      <c r="BB70" s="227"/>
      <c r="BC70" s="227"/>
      <c r="BD70" s="227"/>
      <c r="BE70" s="227"/>
      <c r="BF70" s="227"/>
      <c r="BG70" s="227"/>
      <c r="BH70" s="227"/>
      <c r="BI70" s="227"/>
      <c r="BJ70" s="227"/>
      <c r="BK70" s="227"/>
      <c r="BL70" s="227"/>
      <c r="BM70" s="227"/>
      <c r="BN70" s="227"/>
      <c r="BO70" s="227"/>
      <c r="BP70" s="227"/>
      <c r="BQ70" s="227"/>
      <c r="BR70" s="227"/>
      <c r="BS70" s="227"/>
      <c r="BT70" s="227"/>
      <c r="BU70" s="240"/>
      <c r="BV70" s="240"/>
      <c r="BW70" s="240"/>
      <c r="BX70" s="240"/>
    </row>
    <row r="71" spans="1:76" s="141" customFormat="1" ht="11.25" customHeight="1" x14ac:dyDescent="0.2">
      <c r="A71" s="5"/>
      <c r="B71" s="5"/>
      <c r="C71" s="5"/>
      <c r="D71" s="5"/>
      <c r="E71" s="5"/>
      <c r="F71" s="5"/>
      <c r="G71" s="5"/>
      <c r="H71" s="5"/>
      <c r="I71" s="5"/>
      <c r="J71" s="37"/>
      <c r="K71" s="227"/>
      <c r="L71" s="227"/>
      <c r="M71" s="227"/>
      <c r="N71" s="227"/>
      <c r="O71" s="239"/>
      <c r="P71" s="5"/>
      <c r="Q71" s="5"/>
      <c r="R71" s="5"/>
      <c r="S71" s="5"/>
      <c r="T71" s="5"/>
      <c r="U71" s="5"/>
      <c r="V71" s="5"/>
      <c r="W71" s="37"/>
      <c r="X71" s="227"/>
      <c r="Y71" s="227"/>
      <c r="Z71" s="227"/>
      <c r="AA71" s="227"/>
      <c r="AB71" s="227"/>
      <c r="AC71" s="227"/>
      <c r="AD71" s="227"/>
      <c r="AE71" s="227"/>
      <c r="AF71" s="227"/>
      <c r="AG71" s="227"/>
      <c r="AH71" s="227"/>
      <c r="AI71" s="227"/>
      <c r="AJ71" s="227"/>
      <c r="AK71" s="227"/>
      <c r="AL71" s="227"/>
      <c r="AM71" s="227"/>
      <c r="AN71" s="227"/>
      <c r="AO71" s="227"/>
      <c r="AP71" s="227"/>
      <c r="AQ71" s="227"/>
      <c r="AR71" s="227"/>
      <c r="AS71" s="227"/>
      <c r="AT71" s="227"/>
      <c r="AU71" s="227"/>
      <c r="AV71" s="227"/>
      <c r="AW71" s="227"/>
      <c r="AX71" s="227"/>
      <c r="AY71" s="227"/>
      <c r="AZ71" s="227"/>
      <c r="BA71" s="227"/>
      <c r="BB71" s="227"/>
      <c r="BC71" s="227"/>
      <c r="BD71" s="227"/>
      <c r="BE71" s="227"/>
      <c r="BF71" s="227"/>
      <c r="BG71" s="227"/>
      <c r="BH71" s="227"/>
      <c r="BI71" s="227"/>
      <c r="BJ71" s="227"/>
      <c r="BK71" s="227"/>
      <c r="BL71" s="227"/>
      <c r="BM71" s="227"/>
      <c r="BN71" s="227"/>
      <c r="BO71" s="227"/>
      <c r="BP71" s="227"/>
      <c r="BQ71" s="227"/>
      <c r="BR71" s="227"/>
      <c r="BS71" s="227"/>
      <c r="BT71" s="227"/>
      <c r="BU71" s="240"/>
      <c r="BV71" s="240"/>
      <c r="BW71" s="240"/>
      <c r="BX71" s="240"/>
    </row>
    <row r="72" spans="1:76" s="141" customFormat="1" ht="11.25" customHeight="1" x14ac:dyDescent="0.2">
      <c r="A72" s="5"/>
      <c r="B72" s="5"/>
      <c r="C72" s="5"/>
      <c r="D72" s="5"/>
      <c r="E72" s="5"/>
      <c r="F72" s="5"/>
      <c r="G72" s="5"/>
      <c r="H72" s="5"/>
      <c r="I72" s="5"/>
      <c r="J72" s="37"/>
      <c r="K72" s="227"/>
      <c r="L72" s="227"/>
      <c r="M72" s="227"/>
      <c r="N72" s="227"/>
      <c r="O72" s="239"/>
      <c r="P72" s="5"/>
      <c r="Q72" s="5"/>
      <c r="R72" s="5"/>
      <c r="S72" s="5"/>
      <c r="T72" s="5"/>
      <c r="U72" s="5"/>
      <c r="V72" s="5"/>
      <c r="W72" s="37"/>
      <c r="X72" s="227"/>
      <c r="Y72" s="227"/>
      <c r="Z72" s="227"/>
      <c r="AA72" s="227"/>
      <c r="AB72" s="227"/>
      <c r="AC72" s="227"/>
      <c r="AD72" s="227"/>
      <c r="AE72" s="227"/>
      <c r="AF72" s="227"/>
      <c r="AG72" s="227"/>
      <c r="AH72" s="227"/>
      <c r="AI72" s="227"/>
      <c r="AJ72" s="227"/>
      <c r="AK72" s="227"/>
      <c r="AL72" s="227"/>
      <c r="AM72" s="227"/>
      <c r="AN72" s="227"/>
      <c r="AO72" s="227"/>
      <c r="AP72" s="227"/>
      <c r="AQ72" s="227"/>
      <c r="AR72" s="227"/>
      <c r="AS72" s="227"/>
      <c r="AT72" s="227"/>
      <c r="AU72" s="227"/>
      <c r="AV72" s="227"/>
      <c r="AW72" s="227"/>
      <c r="AX72" s="227"/>
      <c r="AY72" s="227"/>
      <c r="AZ72" s="227"/>
      <c r="BA72" s="227"/>
      <c r="BB72" s="227"/>
      <c r="BC72" s="227"/>
      <c r="BD72" s="227"/>
      <c r="BE72" s="227"/>
      <c r="BF72" s="227"/>
      <c r="BG72" s="227"/>
      <c r="BH72" s="227"/>
      <c r="BI72" s="227"/>
      <c r="BJ72" s="227"/>
      <c r="BK72" s="227"/>
      <c r="BL72" s="227"/>
      <c r="BM72" s="227"/>
      <c r="BN72" s="227"/>
      <c r="BO72" s="227"/>
      <c r="BP72" s="227"/>
      <c r="BQ72" s="227"/>
      <c r="BR72" s="227"/>
      <c r="BS72" s="227"/>
      <c r="BT72" s="227"/>
      <c r="BU72" s="240"/>
      <c r="BV72" s="240"/>
      <c r="BW72" s="240"/>
      <c r="BX72" s="240"/>
    </row>
    <row r="73" spans="1:76" s="141" customFormat="1" ht="11.25" customHeight="1" x14ac:dyDescent="0.2">
      <c r="A73" s="5"/>
      <c r="B73" s="5"/>
      <c r="C73" s="5"/>
      <c r="D73" s="5"/>
      <c r="E73" s="5"/>
      <c r="F73" s="5"/>
      <c r="G73" s="5"/>
      <c r="H73" s="5"/>
      <c r="I73" s="5"/>
      <c r="J73" s="37"/>
      <c r="K73" s="227"/>
      <c r="L73" s="227"/>
      <c r="M73" s="227"/>
      <c r="N73" s="227"/>
      <c r="O73" s="239"/>
      <c r="P73" s="5"/>
      <c r="Q73" s="5"/>
      <c r="R73" s="5"/>
      <c r="S73" s="5"/>
      <c r="T73" s="5"/>
      <c r="U73" s="5"/>
      <c r="V73" s="5"/>
      <c r="W73" s="37"/>
      <c r="X73" s="227"/>
      <c r="Y73" s="227"/>
      <c r="Z73" s="227"/>
      <c r="AA73" s="227"/>
      <c r="AB73" s="227"/>
      <c r="AC73" s="227"/>
      <c r="AD73" s="227"/>
      <c r="AE73" s="227"/>
      <c r="AF73" s="227"/>
      <c r="AG73" s="227"/>
      <c r="AH73" s="227"/>
      <c r="AI73" s="227"/>
      <c r="AJ73" s="227"/>
      <c r="AK73" s="227"/>
      <c r="AL73" s="227"/>
      <c r="AM73" s="227"/>
      <c r="AN73" s="227"/>
      <c r="AO73" s="227"/>
      <c r="AP73" s="227"/>
      <c r="AQ73" s="227"/>
      <c r="AR73" s="227"/>
      <c r="AS73" s="227"/>
      <c r="AT73" s="227"/>
      <c r="AU73" s="227"/>
      <c r="AV73" s="227"/>
      <c r="AW73" s="227"/>
      <c r="AX73" s="227"/>
      <c r="AY73" s="227"/>
      <c r="AZ73" s="227"/>
      <c r="BA73" s="227"/>
      <c r="BB73" s="227"/>
      <c r="BC73" s="227"/>
      <c r="BD73" s="227"/>
      <c r="BE73" s="227"/>
      <c r="BF73" s="227"/>
      <c r="BG73" s="227"/>
      <c r="BH73" s="227"/>
      <c r="BI73" s="227"/>
      <c r="BJ73" s="227"/>
      <c r="BK73" s="227"/>
      <c r="BL73" s="227"/>
      <c r="BM73" s="227"/>
      <c r="BN73" s="227"/>
      <c r="BO73" s="227"/>
      <c r="BP73" s="227"/>
      <c r="BQ73" s="227"/>
      <c r="BR73" s="227"/>
      <c r="BS73" s="227"/>
      <c r="BT73" s="227"/>
      <c r="BU73" s="240"/>
      <c r="BV73" s="240"/>
      <c r="BW73" s="240"/>
      <c r="BX73" s="240"/>
    </row>
    <row r="74" spans="1:76" s="141" customFormat="1" ht="11.25" customHeight="1" x14ac:dyDescent="0.2">
      <c r="A74" s="5"/>
      <c r="B74" s="5"/>
      <c r="C74" s="5"/>
      <c r="D74" s="5"/>
      <c r="E74" s="5"/>
      <c r="F74" s="5"/>
      <c r="G74" s="5"/>
      <c r="H74" s="5"/>
      <c r="I74" s="5"/>
      <c r="J74" s="37"/>
      <c r="K74" s="227"/>
      <c r="L74" s="227"/>
      <c r="M74" s="227"/>
      <c r="N74" s="227"/>
      <c r="O74" s="239"/>
      <c r="P74" s="5"/>
      <c r="Q74" s="5"/>
      <c r="R74" s="5"/>
      <c r="S74" s="5"/>
      <c r="T74" s="5"/>
      <c r="U74" s="5"/>
      <c r="V74" s="5"/>
      <c r="W74" s="37"/>
      <c r="X74" s="227"/>
      <c r="Y74" s="227"/>
      <c r="Z74" s="227"/>
      <c r="AA74" s="227"/>
      <c r="AB74" s="227"/>
      <c r="AC74" s="227"/>
      <c r="AD74" s="227"/>
      <c r="AE74" s="227"/>
      <c r="AF74" s="227"/>
      <c r="AG74" s="227"/>
      <c r="AH74" s="227"/>
      <c r="AI74" s="227"/>
      <c r="AJ74" s="227"/>
      <c r="AK74" s="227"/>
      <c r="AL74" s="227"/>
      <c r="AM74" s="227"/>
      <c r="AN74" s="227"/>
      <c r="AO74" s="227"/>
      <c r="AP74" s="227"/>
      <c r="AQ74" s="227"/>
      <c r="AR74" s="227"/>
      <c r="AS74" s="227"/>
      <c r="AT74" s="227"/>
      <c r="AU74" s="227"/>
      <c r="AV74" s="227"/>
      <c r="AW74" s="227"/>
      <c r="AX74" s="227"/>
      <c r="AY74" s="227"/>
      <c r="AZ74" s="227"/>
      <c r="BA74" s="227"/>
      <c r="BB74" s="227"/>
      <c r="BC74" s="227"/>
      <c r="BD74" s="227"/>
      <c r="BE74" s="227"/>
      <c r="BF74" s="227"/>
      <c r="BG74" s="227"/>
      <c r="BH74" s="227"/>
      <c r="BI74" s="227"/>
      <c r="BJ74" s="227"/>
      <c r="BK74" s="227"/>
      <c r="BL74" s="227"/>
      <c r="BM74" s="227"/>
      <c r="BN74" s="227"/>
      <c r="BO74" s="227"/>
      <c r="BP74" s="227"/>
      <c r="BQ74" s="227"/>
      <c r="BR74" s="227"/>
      <c r="BS74" s="227"/>
      <c r="BT74" s="227"/>
      <c r="BU74" s="240"/>
      <c r="BV74" s="240"/>
      <c r="BW74" s="240"/>
      <c r="BX74" s="240"/>
    </row>
    <row r="75" spans="1:76" s="141" customFormat="1" ht="11.25" customHeight="1" x14ac:dyDescent="0.2">
      <c r="A75" s="5"/>
      <c r="B75" s="5"/>
      <c r="C75" s="5"/>
      <c r="D75" s="5"/>
      <c r="E75" s="5"/>
      <c r="F75" s="5"/>
      <c r="G75" s="5"/>
      <c r="H75" s="5"/>
      <c r="I75" s="5"/>
      <c r="J75" s="37"/>
      <c r="K75" s="227"/>
      <c r="L75" s="227"/>
      <c r="M75" s="227"/>
      <c r="N75" s="227"/>
      <c r="O75" s="239"/>
      <c r="P75" s="5"/>
      <c r="Q75" s="5"/>
      <c r="R75" s="5"/>
      <c r="S75" s="5"/>
      <c r="T75" s="5"/>
      <c r="U75" s="5"/>
      <c r="V75" s="5"/>
      <c r="W75" s="37"/>
      <c r="X75" s="227"/>
      <c r="Y75" s="227"/>
      <c r="Z75" s="227"/>
      <c r="AA75" s="227"/>
      <c r="AB75" s="227"/>
      <c r="AC75" s="227"/>
      <c r="AD75" s="227"/>
      <c r="AE75" s="227"/>
      <c r="AF75" s="227"/>
      <c r="AG75" s="227"/>
      <c r="AH75" s="227"/>
      <c r="AI75" s="227"/>
      <c r="AJ75" s="227"/>
      <c r="AK75" s="227"/>
      <c r="AL75" s="227"/>
      <c r="AM75" s="227"/>
      <c r="AN75" s="227"/>
      <c r="AO75" s="227"/>
      <c r="AP75" s="227"/>
      <c r="AQ75" s="227"/>
      <c r="AR75" s="227"/>
      <c r="AS75" s="227"/>
      <c r="AT75" s="227"/>
      <c r="AU75" s="227"/>
      <c r="AV75" s="227"/>
      <c r="AW75" s="227"/>
      <c r="AX75" s="227"/>
      <c r="AY75" s="227"/>
      <c r="AZ75" s="227"/>
      <c r="BA75" s="227"/>
      <c r="BB75" s="227"/>
      <c r="BC75" s="227"/>
      <c r="BD75" s="227"/>
      <c r="BE75" s="227"/>
      <c r="BF75" s="227"/>
      <c r="BG75" s="227"/>
      <c r="BH75" s="227"/>
      <c r="BI75" s="227"/>
      <c r="BJ75" s="227"/>
      <c r="BK75" s="227"/>
      <c r="BL75" s="227"/>
      <c r="BM75" s="227"/>
      <c r="BN75" s="227"/>
      <c r="BO75" s="227"/>
      <c r="BP75" s="227"/>
      <c r="BQ75" s="227"/>
      <c r="BR75" s="227"/>
      <c r="BS75" s="227"/>
      <c r="BT75" s="227"/>
      <c r="BU75" s="240"/>
      <c r="BV75" s="240"/>
      <c r="BW75" s="240"/>
      <c r="BX75" s="240"/>
    </row>
    <row r="76" spans="1:76" s="141" customFormat="1" ht="11.25" customHeight="1" x14ac:dyDescent="0.2">
      <c r="A76" s="5"/>
      <c r="B76" s="5"/>
      <c r="C76" s="5"/>
      <c r="D76" s="5"/>
      <c r="E76" s="5"/>
      <c r="F76" s="5"/>
      <c r="G76" s="5"/>
      <c r="H76" s="5"/>
      <c r="I76" s="5"/>
      <c r="J76" s="37"/>
      <c r="K76" s="227"/>
      <c r="L76" s="227"/>
      <c r="M76" s="227"/>
      <c r="N76" s="227"/>
      <c r="O76" s="239"/>
      <c r="P76" s="5"/>
      <c r="Q76" s="5"/>
      <c r="R76" s="5"/>
      <c r="S76" s="5"/>
      <c r="T76" s="5"/>
      <c r="U76" s="5"/>
      <c r="V76" s="5"/>
      <c r="W76" s="37"/>
      <c r="X76" s="227"/>
      <c r="Y76" s="227"/>
      <c r="Z76" s="227"/>
      <c r="AA76" s="227"/>
      <c r="AB76" s="227"/>
      <c r="AC76" s="227"/>
      <c r="AD76" s="227"/>
      <c r="AE76" s="227"/>
      <c r="AF76" s="227"/>
      <c r="AG76" s="227"/>
      <c r="AH76" s="227"/>
      <c r="AI76" s="227"/>
      <c r="AJ76" s="227"/>
      <c r="AK76" s="227"/>
      <c r="AL76" s="227"/>
      <c r="AM76" s="227"/>
      <c r="AN76" s="227"/>
      <c r="AO76" s="227"/>
      <c r="AP76" s="227"/>
      <c r="AQ76" s="227"/>
      <c r="AR76" s="227"/>
      <c r="AS76" s="227"/>
      <c r="AT76" s="227"/>
      <c r="AU76" s="227"/>
      <c r="AV76" s="227"/>
      <c r="AW76" s="227"/>
      <c r="AX76" s="227"/>
      <c r="AY76" s="227"/>
      <c r="AZ76" s="227"/>
      <c r="BA76" s="227"/>
      <c r="BB76" s="227"/>
      <c r="BC76" s="227"/>
      <c r="BD76" s="227"/>
      <c r="BE76" s="227"/>
      <c r="BF76" s="227"/>
      <c r="BG76" s="227"/>
      <c r="BH76" s="227"/>
      <c r="BI76" s="227"/>
      <c r="BJ76" s="227"/>
      <c r="BK76" s="227"/>
      <c r="BL76" s="227"/>
      <c r="BM76" s="227"/>
      <c r="BN76" s="227"/>
      <c r="BO76" s="227"/>
      <c r="BP76" s="227"/>
      <c r="BQ76" s="227"/>
      <c r="BR76" s="227"/>
      <c r="BS76" s="227"/>
      <c r="BT76" s="227"/>
      <c r="BU76" s="240"/>
      <c r="BV76" s="240"/>
      <c r="BW76" s="240"/>
      <c r="BX76" s="240"/>
    </row>
    <row r="77" spans="1:76" s="141" customFormat="1" ht="11.25" customHeight="1" x14ac:dyDescent="0.2">
      <c r="A77" s="5"/>
      <c r="B77" s="5"/>
      <c r="C77" s="5"/>
      <c r="D77" s="5"/>
      <c r="E77" s="5"/>
      <c r="F77" s="5"/>
      <c r="G77" s="5"/>
      <c r="H77" s="5"/>
      <c r="I77" s="5"/>
      <c r="J77" s="37"/>
      <c r="K77" s="227"/>
      <c r="L77" s="227"/>
      <c r="M77" s="227"/>
      <c r="N77" s="227"/>
      <c r="O77" s="239"/>
      <c r="P77" s="5"/>
      <c r="Q77" s="5"/>
      <c r="R77" s="5"/>
      <c r="S77" s="5"/>
      <c r="T77" s="5"/>
      <c r="U77" s="5"/>
      <c r="V77" s="5"/>
      <c r="W77" s="37"/>
      <c r="X77" s="227"/>
      <c r="Y77" s="227"/>
      <c r="Z77" s="227"/>
      <c r="AA77" s="227"/>
      <c r="AB77" s="227"/>
      <c r="AC77" s="227"/>
      <c r="AD77" s="227"/>
      <c r="AE77" s="227"/>
      <c r="AF77" s="227"/>
      <c r="AG77" s="227"/>
      <c r="AH77" s="227"/>
      <c r="AI77" s="227"/>
      <c r="AJ77" s="227"/>
      <c r="AK77" s="227"/>
      <c r="AL77" s="227"/>
      <c r="AM77" s="227"/>
      <c r="AN77" s="227"/>
      <c r="AO77" s="227"/>
      <c r="AP77" s="227"/>
      <c r="AQ77" s="227"/>
      <c r="AR77" s="227"/>
      <c r="AS77" s="227"/>
      <c r="AT77" s="227"/>
      <c r="AU77" s="227"/>
      <c r="AV77" s="227"/>
      <c r="AW77" s="227"/>
      <c r="AX77" s="227"/>
      <c r="AY77" s="227"/>
      <c r="AZ77" s="227"/>
      <c r="BA77" s="227"/>
      <c r="BB77" s="227"/>
      <c r="BC77" s="227"/>
      <c r="BD77" s="227"/>
      <c r="BE77" s="227"/>
      <c r="BF77" s="227"/>
      <c r="BG77" s="227"/>
      <c r="BH77" s="227"/>
      <c r="BI77" s="227"/>
      <c r="BJ77" s="227"/>
      <c r="BK77" s="227"/>
      <c r="BL77" s="227"/>
      <c r="BM77" s="227"/>
      <c r="BN77" s="227"/>
      <c r="BO77" s="227"/>
      <c r="BP77" s="227"/>
      <c r="BQ77" s="227"/>
      <c r="BR77" s="227"/>
      <c r="BS77" s="227"/>
      <c r="BT77" s="227"/>
      <c r="BU77" s="240"/>
      <c r="BV77" s="240"/>
      <c r="BW77" s="240"/>
      <c r="BX77" s="240"/>
    </row>
    <row r="78" spans="1:76" s="141" customFormat="1" ht="11.25" customHeight="1" x14ac:dyDescent="0.2">
      <c r="A78" s="5"/>
      <c r="B78" s="5"/>
      <c r="C78" s="5"/>
      <c r="D78" s="5"/>
      <c r="E78" s="5"/>
      <c r="F78" s="5"/>
      <c r="G78" s="5"/>
      <c r="H78" s="5"/>
      <c r="I78" s="5"/>
      <c r="J78" s="37"/>
      <c r="K78" s="227"/>
      <c r="L78" s="227"/>
      <c r="M78" s="227"/>
      <c r="N78" s="227"/>
      <c r="O78" s="239"/>
      <c r="P78" s="5"/>
      <c r="Q78" s="5"/>
      <c r="R78" s="5"/>
      <c r="S78" s="5"/>
      <c r="T78" s="5"/>
      <c r="U78" s="5"/>
      <c r="V78" s="5"/>
      <c r="W78" s="37"/>
      <c r="X78" s="227"/>
      <c r="Y78" s="227"/>
      <c r="Z78" s="227"/>
      <c r="AA78" s="227"/>
      <c r="AB78" s="227"/>
      <c r="AC78" s="227"/>
      <c r="AD78" s="227"/>
      <c r="AE78" s="227"/>
      <c r="AF78" s="227"/>
      <c r="AG78" s="227"/>
      <c r="AH78" s="227"/>
      <c r="AI78" s="227"/>
      <c r="AJ78" s="227"/>
      <c r="AK78" s="227"/>
      <c r="AL78" s="227"/>
      <c r="AM78" s="227"/>
      <c r="AN78" s="227"/>
      <c r="AO78" s="227"/>
      <c r="AP78" s="227"/>
      <c r="AQ78" s="227"/>
      <c r="AR78" s="227"/>
      <c r="AS78" s="227"/>
      <c r="AT78" s="227"/>
      <c r="AU78" s="227"/>
      <c r="AV78" s="227"/>
      <c r="AW78" s="227"/>
      <c r="AX78" s="227"/>
      <c r="AY78" s="227"/>
      <c r="AZ78" s="227"/>
      <c r="BA78" s="227"/>
      <c r="BB78" s="227"/>
      <c r="BC78" s="227"/>
      <c r="BD78" s="227"/>
      <c r="BE78" s="227"/>
      <c r="BF78" s="227"/>
      <c r="BG78" s="227"/>
      <c r="BH78" s="227"/>
      <c r="BI78" s="227"/>
      <c r="BJ78" s="227"/>
      <c r="BK78" s="227"/>
      <c r="BL78" s="227"/>
      <c r="BM78" s="227"/>
      <c r="BN78" s="227"/>
      <c r="BO78" s="227"/>
      <c r="BP78" s="227"/>
      <c r="BQ78" s="227"/>
      <c r="BR78" s="227"/>
      <c r="BS78" s="227"/>
      <c r="BT78" s="227"/>
      <c r="BU78" s="240"/>
      <c r="BV78" s="240"/>
      <c r="BW78" s="240"/>
      <c r="BX78" s="240"/>
    </row>
    <row r="79" spans="1:76" s="141" customFormat="1" ht="11.25" customHeight="1" x14ac:dyDescent="0.2">
      <c r="A79" s="5"/>
      <c r="B79" s="5"/>
      <c r="C79" s="5"/>
      <c r="D79" s="5"/>
      <c r="E79" s="5"/>
      <c r="F79" s="5"/>
      <c r="G79" s="5"/>
      <c r="H79" s="5"/>
      <c r="I79" s="5"/>
      <c r="J79" s="37"/>
      <c r="K79" s="227"/>
      <c r="L79" s="227"/>
      <c r="M79" s="227"/>
      <c r="N79" s="227"/>
      <c r="O79" s="239"/>
      <c r="P79" s="5"/>
      <c r="Q79" s="5"/>
      <c r="R79" s="5"/>
      <c r="S79" s="5"/>
      <c r="T79" s="5"/>
      <c r="U79" s="5"/>
      <c r="V79" s="5"/>
      <c r="W79" s="37"/>
      <c r="X79" s="227"/>
      <c r="Y79" s="227"/>
      <c r="Z79" s="227"/>
      <c r="AA79" s="227"/>
      <c r="AB79" s="227"/>
      <c r="AC79" s="227"/>
      <c r="AD79" s="227"/>
      <c r="AE79" s="227"/>
      <c r="AF79" s="227"/>
      <c r="AG79" s="227"/>
      <c r="AH79" s="227"/>
      <c r="AI79" s="227"/>
      <c r="AJ79" s="227"/>
      <c r="AK79" s="227"/>
      <c r="AL79" s="227"/>
      <c r="AM79" s="227"/>
      <c r="AN79" s="227"/>
      <c r="AO79" s="227"/>
      <c r="AP79" s="227"/>
      <c r="AQ79" s="227"/>
      <c r="AR79" s="227"/>
      <c r="AS79" s="227"/>
      <c r="AT79" s="227"/>
      <c r="AU79" s="227"/>
      <c r="AV79" s="227"/>
      <c r="AW79" s="227"/>
      <c r="AX79" s="227"/>
      <c r="AY79" s="227"/>
      <c r="AZ79" s="227"/>
      <c r="BA79" s="227"/>
      <c r="BB79" s="227"/>
      <c r="BC79" s="227"/>
      <c r="BD79" s="227"/>
      <c r="BE79" s="227"/>
      <c r="BF79" s="227"/>
      <c r="BG79" s="227"/>
      <c r="BH79" s="227"/>
      <c r="BI79" s="227"/>
      <c r="BJ79" s="227"/>
      <c r="BK79" s="227"/>
      <c r="BL79" s="227"/>
      <c r="BM79" s="227"/>
      <c r="BN79" s="227"/>
      <c r="BO79" s="227"/>
      <c r="BP79" s="227"/>
      <c r="BQ79" s="227"/>
      <c r="BR79" s="227"/>
      <c r="BS79" s="227"/>
      <c r="BT79" s="227"/>
      <c r="BU79" s="240"/>
      <c r="BV79" s="240"/>
      <c r="BW79" s="240"/>
      <c r="BX79" s="240"/>
    </row>
    <row r="80" spans="1:76" s="141" customFormat="1" ht="11.25" customHeight="1" x14ac:dyDescent="0.2">
      <c r="A80" s="5"/>
      <c r="B80" s="5"/>
      <c r="C80" s="5"/>
      <c r="D80" s="5"/>
      <c r="E80" s="5"/>
      <c r="F80" s="5"/>
      <c r="G80" s="5"/>
      <c r="H80" s="5"/>
      <c r="I80" s="5"/>
      <c r="J80" s="37"/>
      <c r="K80" s="227"/>
      <c r="L80" s="227"/>
      <c r="M80" s="227"/>
      <c r="N80" s="227"/>
      <c r="O80" s="239"/>
      <c r="P80" s="5"/>
      <c r="Q80" s="5"/>
      <c r="R80" s="5"/>
      <c r="S80" s="5"/>
      <c r="T80" s="5"/>
      <c r="U80" s="5"/>
      <c r="V80" s="5"/>
      <c r="W80" s="37"/>
      <c r="X80" s="227"/>
      <c r="Y80" s="227"/>
      <c r="Z80" s="227"/>
      <c r="AA80" s="227"/>
      <c r="AB80" s="227"/>
      <c r="AC80" s="227"/>
      <c r="AD80" s="227"/>
      <c r="AE80" s="227"/>
      <c r="AF80" s="227"/>
      <c r="AG80" s="227"/>
      <c r="AH80" s="227"/>
      <c r="AI80" s="227"/>
      <c r="AJ80" s="227"/>
      <c r="AK80" s="227"/>
      <c r="AL80" s="227"/>
      <c r="AM80" s="227"/>
      <c r="AN80" s="227"/>
      <c r="AO80" s="227"/>
      <c r="AP80" s="227"/>
      <c r="AQ80" s="227"/>
      <c r="AR80" s="227"/>
      <c r="AS80" s="227"/>
      <c r="AT80" s="227"/>
      <c r="AU80" s="227"/>
      <c r="AV80" s="227"/>
      <c r="AW80" s="227"/>
      <c r="AX80" s="227"/>
      <c r="AY80" s="227"/>
      <c r="AZ80" s="227"/>
      <c r="BA80" s="227"/>
      <c r="BB80" s="227"/>
      <c r="BC80" s="227"/>
      <c r="BD80" s="227"/>
      <c r="BE80" s="227"/>
      <c r="BF80" s="227"/>
      <c r="BG80" s="227"/>
      <c r="BH80" s="227"/>
      <c r="BI80" s="227"/>
      <c r="BJ80" s="227"/>
      <c r="BK80" s="227"/>
      <c r="BL80" s="227"/>
      <c r="BM80" s="227"/>
      <c r="BN80" s="227"/>
      <c r="BO80" s="227"/>
      <c r="BP80" s="227"/>
      <c r="BQ80" s="227"/>
      <c r="BR80" s="227"/>
      <c r="BS80" s="227"/>
      <c r="BT80" s="227"/>
      <c r="BU80" s="240"/>
      <c r="BV80" s="240"/>
      <c r="BW80" s="240"/>
      <c r="BX80" s="240"/>
    </row>
    <row r="81" spans="1:76" s="141" customFormat="1" ht="11.25" customHeight="1" x14ac:dyDescent="0.2">
      <c r="A81" s="5"/>
      <c r="B81" s="5"/>
      <c r="C81" s="5"/>
      <c r="D81" s="5"/>
      <c r="E81" s="5"/>
      <c r="F81" s="5"/>
      <c r="G81" s="5"/>
      <c r="H81" s="5"/>
      <c r="I81" s="5"/>
      <c r="J81" s="37"/>
      <c r="K81" s="227"/>
      <c r="L81" s="227"/>
      <c r="M81" s="227"/>
      <c r="N81" s="227"/>
      <c r="O81" s="239"/>
      <c r="P81" s="5"/>
      <c r="Q81" s="5"/>
      <c r="R81" s="5"/>
      <c r="S81" s="5"/>
      <c r="T81" s="5"/>
      <c r="U81" s="5"/>
      <c r="V81" s="5"/>
      <c r="W81" s="37"/>
      <c r="X81" s="227"/>
      <c r="Y81" s="227"/>
      <c r="Z81" s="227"/>
      <c r="AA81" s="227"/>
      <c r="AB81" s="227"/>
      <c r="AC81" s="227"/>
      <c r="AD81" s="227"/>
      <c r="AE81" s="227"/>
      <c r="AF81" s="227"/>
      <c r="AG81" s="227"/>
      <c r="AH81" s="227"/>
      <c r="AI81" s="227"/>
      <c r="AJ81" s="227"/>
      <c r="AK81" s="227"/>
      <c r="AL81" s="227"/>
      <c r="AM81" s="227"/>
      <c r="AN81" s="227"/>
      <c r="AO81" s="227"/>
      <c r="AP81" s="227"/>
      <c r="AQ81" s="227"/>
      <c r="AR81" s="227"/>
      <c r="AS81" s="227"/>
      <c r="AT81" s="227"/>
      <c r="AU81" s="227"/>
      <c r="AV81" s="227"/>
      <c r="AW81" s="227"/>
      <c r="AX81" s="227"/>
      <c r="AY81" s="227"/>
      <c r="AZ81" s="227"/>
      <c r="BA81" s="227"/>
      <c r="BB81" s="227"/>
      <c r="BC81" s="227"/>
      <c r="BD81" s="227"/>
      <c r="BE81" s="227"/>
      <c r="BF81" s="227"/>
      <c r="BG81" s="227"/>
      <c r="BH81" s="227"/>
      <c r="BI81" s="227"/>
      <c r="BJ81" s="227"/>
      <c r="BK81" s="227"/>
      <c r="BL81" s="227"/>
      <c r="BM81" s="227"/>
      <c r="BN81" s="227"/>
      <c r="BO81" s="227"/>
      <c r="BP81" s="227"/>
      <c r="BQ81" s="227"/>
      <c r="BR81" s="227"/>
      <c r="BS81" s="227"/>
      <c r="BT81" s="227"/>
      <c r="BU81" s="240"/>
      <c r="BV81" s="240"/>
      <c r="BW81" s="240"/>
      <c r="BX81" s="240"/>
    </row>
    <row r="82" spans="1:76" s="141" customFormat="1" ht="11.25" customHeight="1" x14ac:dyDescent="0.2">
      <c r="A82" s="5"/>
      <c r="B82" s="5"/>
      <c r="C82" s="5"/>
      <c r="D82" s="5"/>
      <c r="E82" s="5"/>
      <c r="F82" s="5"/>
      <c r="G82" s="5"/>
      <c r="H82" s="5"/>
      <c r="I82" s="5"/>
      <c r="J82" s="37"/>
      <c r="K82" s="227"/>
      <c r="L82" s="227"/>
      <c r="M82" s="227"/>
      <c r="N82" s="227"/>
      <c r="O82" s="239"/>
      <c r="P82" s="5"/>
      <c r="Q82" s="5"/>
      <c r="R82" s="5"/>
      <c r="S82" s="5"/>
      <c r="T82" s="5"/>
      <c r="U82" s="5"/>
      <c r="V82" s="5"/>
      <c r="W82" s="37"/>
      <c r="X82" s="227"/>
      <c r="Y82" s="227"/>
      <c r="Z82" s="227"/>
      <c r="AA82" s="227"/>
      <c r="AB82" s="227"/>
      <c r="AC82" s="227"/>
      <c r="AD82" s="227"/>
      <c r="AE82" s="227"/>
      <c r="AF82" s="227"/>
      <c r="AG82" s="227"/>
      <c r="AH82" s="227"/>
      <c r="AI82" s="227"/>
      <c r="AJ82" s="227"/>
      <c r="AK82" s="227"/>
      <c r="AL82" s="227"/>
      <c r="AM82" s="227"/>
      <c r="AN82" s="227"/>
      <c r="AO82" s="227"/>
      <c r="AP82" s="227"/>
      <c r="AQ82" s="227"/>
      <c r="AR82" s="227"/>
      <c r="AS82" s="227"/>
      <c r="AT82" s="227"/>
      <c r="AU82" s="227"/>
      <c r="AV82" s="227"/>
      <c r="AW82" s="227"/>
      <c r="AX82" s="227"/>
      <c r="AY82" s="227"/>
      <c r="AZ82" s="227"/>
      <c r="BA82" s="227"/>
      <c r="BB82" s="227"/>
      <c r="BC82" s="227"/>
      <c r="BD82" s="227"/>
      <c r="BE82" s="227"/>
      <c r="BF82" s="227"/>
      <c r="BG82" s="227"/>
      <c r="BH82" s="227"/>
      <c r="BI82" s="227"/>
      <c r="BJ82" s="227"/>
      <c r="BK82" s="227"/>
      <c r="BL82" s="227"/>
      <c r="BM82" s="227"/>
      <c r="BN82" s="227"/>
      <c r="BO82" s="227"/>
      <c r="BP82" s="227"/>
      <c r="BQ82" s="227"/>
      <c r="BR82" s="227"/>
      <c r="BS82" s="227"/>
      <c r="BT82" s="227"/>
      <c r="BU82" s="240"/>
      <c r="BV82" s="240"/>
      <c r="BW82" s="240"/>
      <c r="BX82" s="240"/>
    </row>
    <row r="83" spans="1:76" s="141" customFormat="1" ht="11.25" customHeight="1" x14ac:dyDescent="0.2">
      <c r="A83" s="5"/>
      <c r="B83" s="5"/>
      <c r="C83" s="5"/>
      <c r="D83" s="5"/>
      <c r="E83" s="5"/>
      <c r="F83" s="5"/>
      <c r="G83" s="5"/>
      <c r="H83" s="5"/>
      <c r="I83" s="5"/>
      <c r="J83" s="37"/>
      <c r="K83" s="227"/>
      <c r="L83" s="227"/>
      <c r="M83" s="227"/>
      <c r="N83" s="227"/>
      <c r="O83" s="239"/>
      <c r="P83" s="5"/>
      <c r="Q83" s="5"/>
      <c r="R83" s="5"/>
      <c r="S83" s="5"/>
      <c r="T83" s="5"/>
      <c r="U83" s="5"/>
      <c r="V83" s="5"/>
      <c r="W83" s="37"/>
      <c r="X83" s="227"/>
      <c r="Y83" s="227"/>
      <c r="Z83" s="227"/>
      <c r="AA83" s="227"/>
      <c r="AB83" s="227"/>
      <c r="AC83" s="227"/>
      <c r="AD83" s="227"/>
      <c r="AE83" s="227"/>
      <c r="AF83" s="227"/>
      <c r="AG83" s="227"/>
      <c r="AH83" s="227"/>
      <c r="AI83" s="227"/>
      <c r="AJ83" s="227"/>
      <c r="AK83" s="227"/>
      <c r="AL83" s="227"/>
      <c r="AM83" s="227"/>
      <c r="AN83" s="227"/>
      <c r="AO83" s="227"/>
      <c r="AP83" s="227"/>
      <c r="AQ83" s="227"/>
      <c r="AR83" s="227"/>
      <c r="AS83" s="227"/>
      <c r="AT83" s="227"/>
      <c r="AU83" s="227"/>
      <c r="AV83" s="227"/>
      <c r="AW83" s="227"/>
      <c r="AX83" s="227"/>
      <c r="AY83" s="227"/>
      <c r="AZ83" s="227"/>
      <c r="BA83" s="227"/>
      <c r="BB83" s="227"/>
      <c r="BC83" s="227"/>
      <c r="BD83" s="227"/>
      <c r="BE83" s="227"/>
      <c r="BF83" s="227"/>
      <c r="BG83" s="227"/>
      <c r="BH83" s="227"/>
      <c r="BI83" s="227"/>
      <c r="BJ83" s="227"/>
      <c r="BK83" s="227"/>
      <c r="BL83" s="227"/>
      <c r="BM83" s="227"/>
      <c r="BN83" s="227"/>
      <c r="BO83" s="227"/>
      <c r="BP83" s="227"/>
      <c r="BQ83" s="227"/>
      <c r="BR83" s="227"/>
      <c r="BS83" s="227"/>
      <c r="BT83" s="227"/>
      <c r="BU83" s="240"/>
      <c r="BV83" s="240"/>
      <c r="BW83" s="240"/>
      <c r="BX83" s="240"/>
    </row>
    <row r="84" spans="1:76" s="141" customFormat="1" ht="11.25" customHeight="1" x14ac:dyDescent="0.2">
      <c r="A84" s="5"/>
      <c r="B84" s="5"/>
      <c r="C84" s="5"/>
      <c r="D84" s="5"/>
      <c r="E84" s="5"/>
      <c r="F84" s="5"/>
      <c r="G84" s="5"/>
      <c r="H84" s="5"/>
      <c r="I84" s="5"/>
      <c r="J84" s="37"/>
      <c r="K84" s="227"/>
      <c r="L84" s="227"/>
      <c r="M84" s="227"/>
      <c r="N84" s="227"/>
      <c r="O84" s="239"/>
      <c r="P84" s="5"/>
      <c r="Q84" s="5"/>
      <c r="R84" s="5"/>
      <c r="S84" s="5"/>
      <c r="T84" s="5"/>
      <c r="U84" s="5"/>
      <c r="V84" s="5"/>
      <c r="W84" s="37"/>
      <c r="X84" s="227"/>
      <c r="Y84" s="227"/>
      <c r="Z84" s="227"/>
      <c r="AA84" s="227"/>
      <c r="AB84" s="227"/>
      <c r="AC84" s="227"/>
      <c r="AD84" s="227"/>
      <c r="AE84" s="227"/>
      <c r="AF84" s="227"/>
      <c r="AG84" s="227"/>
      <c r="AH84" s="227"/>
      <c r="AI84" s="227"/>
      <c r="AJ84" s="227"/>
      <c r="AK84" s="227"/>
      <c r="AL84" s="227"/>
      <c r="AM84" s="227"/>
      <c r="AN84" s="227"/>
      <c r="AO84" s="227"/>
      <c r="AP84" s="227"/>
      <c r="AQ84" s="227"/>
      <c r="AR84" s="227"/>
      <c r="AS84" s="227"/>
      <c r="AT84" s="227"/>
      <c r="AU84" s="227"/>
      <c r="AV84" s="227"/>
      <c r="AW84" s="227"/>
      <c r="AX84" s="227"/>
      <c r="AY84" s="227"/>
      <c r="AZ84" s="227"/>
      <c r="BA84" s="227"/>
      <c r="BB84" s="227"/>
      <c r="BC84" s="227"/>
      <c r="BD84" s="227"/>
      <c r="BE84" s="227"/>
      <c r="BF84" s="227"/>
      <c r="BG84" s="227"/>
      <c r="BH84" s="227"/>
      <c r="BI84" s="227"/>
      <c r="BJ84" s="227"/>
      <c r="BK84" s="227"/>
      <c r="BL84" s="227"/>
      <c r="BM84" s="227"/>
      <c r="BN84" s="227"/>
      <c r="BO84" s="227"/>
      <c r="BP84" s="227"/>
      <c r="BQ84" s="227"/>
      <c r="BR84" s="227"/>
      <c r="BS84" s="227"/>
      <c r="BT84" s="227"/>
      <c r="BU84" s="240"/>
      <c r="BV84" s="240"/>
      <c r="BW84" s="240"/>
      <c r="BX84" s="240"/>
    </row>
    <row r="85" spans="1:76" s="141" customFormat="1" ht="11.25" customHeight="1" x14ac:dyDescent="0.2">
      <c r="A85" s="5"/>
      <c r="B85" s="5"/>
      <c r="C85" s="5"/>
      <c r="D85" s="5"/>
      <c r="E85" s="5"/>
      <c r="F85" s="5"/>
      <c r="G85" s="5"/>
      <c r="H85" s="5"/>
      <c r="I85" s="5"/>
      <c r="J85" s="37"/>
      <c r="K85" s="227"/>
      <c r="L85" s="227"/>
      <c r="M85" s="227"/>
      <c r="N85" s="227"/>
      <c r="O85" s="239"/>
      <c r="P85" s="5"/>
      <c r="Q85" s="5"/>
      <c r="R85" s="5"/>
      <c r="S85" s="5"/>
      <c r="T85" s="5"/>
      <c r="U85" s="5"/>
      <c r="V85" s="5"/>
      <c r="W85" s="37"/>
      <c r="X85" s="227"/>
      <c r="Y85" s="227"/>
      <c r="Z85" s="227"/>
      <c r="AA85" s="227"/>
      <c r="AB85" s="227"/>
      <c r="AC85" s="227"/>
      <c r="AD85" s="227"/>
      <c r="AE85" s="227"/>
      <c r="AF85" s="227"/>
      <c r="AG85" s="227"/>
      <c r="AH85" s="227"/>
      <c r="AI85" s="227"/>
      <c r="AJ85" s="227"/>
      <c r="AK85" s="227"/>
      <c r="AL85" s="227"/>
      <c r="AM85" s="227"/>
      <c r="AN85" s="227"/>
      <c r="AO85" s="227"/>
      <c r="AP85" s="227"/>
      <c r="AQ85" s="227"/>
      <c r="AR85" s="227"/>
      <c r="AS85" s="227"/>
      <c r="AT85" s="227"/>
      <c r="AU85" s="227"/>
      <c r="AV85" s="227"/>
      <c r="AW85" s="227"/>
      <c r="AX85" s="227"/>
      <c r="AY85" s="227"/>
      <c r="AZ85" s="227"/>
      <c r="BA85" s="227"/>
      <c r="BB85" s="227"/>
      <c r="BC85" s="227"/>
      <c r="BD85" s="227"/>
      <c r="BE85" s="227"/>
      <c r="BF85" s="227"/>
      <c r="BG85" s="227"/>
      <c r="BH85" s="227"/>
      <c r="BI85" s="227"/>
      <c r="BJ85" s="227"/>
      <c r="BK85" s="227"/>
      <c r="BL85" s="227"/>
      <c r="BM85" s="227"/>
      <c r="BN85" s="227"/>
      <c r="BO85" s="227"/>
      <c r="BP85" s="227"/>
      <c r="BQ85" s="227"/>
      <c r="BR85" s="227"/>
      <c r="BS85" s="227"/>
      <c r="BT85" s="227"/>
      <c r="BU85" s="240"/>
      <c r="BV85" s="240"/>
      <c r="BW85" s="240"/>
      <c r="BX85" s="240"/>
    </row>
    <row r="86" spans="1:76" s="141" customFormat="1" ht="11.25" customHeight="1" x14ac:dyDescent="0.2">
      <c r="A86" s="5"/>
      <c r="B86" s="5"/>
      <c r="C86" s="5"/>
      <c r="D86" s="5"/>
      <c r="E86" s="5"/>
      <c r="F86" s="5"/>
      <c r="G86" s="5"/>
      <c r="H86" s="5"/>
      <c r="I86" s="5"/>
      <c r="J86" s="37"/>
      <c r="K86" s="227"/>
      <c r="L86" s="227"/>
      <c r="M86" s="227"/>
      <c r="N86" s="227"/>
      <c r="O86" s="239"/>
      <c r="P86" s="5"/>
      <c r="Q86" s="5"/>
      <c r="R86" s="5"/>
      <c r="S86" s="5"/>
      <c r="T86" s="5"/>
      <c r="U86" s="5"/>
      <c r="V86" s="5"/>
      <c r="W86" s="37"/>
      <c r="X86" s="227"/>
      <c r="Y86" s="227"/>
      <c r="Z86" s="227"/>
      <c r="AA86" s="227"/>
      <c r="AB86" s="227"/>
      <c r="AC86" s="227"/>
      <c r="AD86" s="227"/>
      <c r="AE86" s="227"/>
      <c r="AF86" s="227"/>
      <c r="AG86" s="227"/>
      <c r="AH86" s="227"/>
      <c r="AI86" s="227"/>
      <c r="AJ86" s="227"/>
      <c r="AK86" s="227"/>
      <c r="AL86" s="227"/>
      <c r="AM86" s="227"/>
      <c r="AN86" s="227"/>
      <c r="AO86" s="227"/>
      <c r="AP86" s="227"/>
      <c r="AQ86" s="227"/>
      <c r="AR86" s="227"/>
      <c r="AS86" s="227"/>
      <c r="AT86" s="227"/>
      <c r="AU86" s="227"/>
      <c r="AV86" s="227"/>
      <c r="AW86" s="227"/>
      <c r="AX86" s="227"/>
      <c r="AY86" s="227"/>
      <c r="AZ86" s="227"/>
      <c r="BA86" s="227"/>
      <c r="BB86" s="227"/>
      <c r="BC86" s="227"/>
      <c r="BD86" s="227"/>
      <c r="BE86" s="227"/>
      <c r="BF86" s="227"/>
      <c r="BG86" s="227"/>
      <c r="BH86" s="227"/>
      <c r="BI86" s="227"/>
      <c r="BJ86" s="227"/>
      <c r="BK86" s="227"/>
      <c r="BL86" s="227"/>
      <c r="BM86" s="227"/>
      <c r="BN86" s="227"/>
      <c r="BO86" s="227"/>
      <c r="BP86" s="227"/>
      <c r="BQ86" s="227"/>
      <c r="BR86" s="227"/>
      <c r="BS86" s="227"/>
      <c r="BT86" s="227"/>
      <c r="BU86" s="240"/>
      <c r="BV86" s="240"/>
      <c r="BW86" s="240"/>
      <c r="BX86" s="240"/>
    </row>
    <row r="87" spans="1:76" s="141" customFormat="1" ht="11.25" customHeight="1" x14ac:dyDescent="0.2">
      <c r="A87" s="5"/>
      <c r="B87" s="5"/>
      <c r="C87" s="5"/>
      <c r="D87" s="5"/>
      <c r="E87" s="5"/>
      <c r="F87" s="5"/>
      <c r="G87" s="5"/>
      <c r="H87" s="5"/>
      <c r="I87" s="5"/>
      <c r="J87" s="37"/>
      <c r="K87" s="227"/>
      <c r="L87" s="227"/>
      <c r="M87" s="227"/>
      <c r="N87" s="227"/>
      <c r="O87" s="239"/>
      <c r="P87" s="5"/>
      <c r="Q87" s="5"/>
      <c r="R87" s="5"/>
      <c r="S87" s="5"/>
      <c r="T87" s="5"/>
      <c r="U87" s="5"/>
      <c r="V87" s="5"/>
      <c r="W87" s="37"/>
      <c r="X87" s="227"/>
      <c r="Y87" s="227"/>
      <c r="Z87" s="227"/>
      <c r="AA87" s="227"/>
      <c r="AB87" s="227"/>
      <c r="AC87" s="227"/>
      <c r="AD87" s="227"/>
      <c r="AE87" s="227"/>
      <c r="AF87" s="227"/>
      <c r="AG87" s="227"/>
      <c r="AH87" s="227"/>
      <c r="AI87" s="227"/>
      <c r="AJ87" s="227"/>
      <c r="AK87" s="227"/>
      <c r="AL87" s="227"/>
      <c r="AM87" s="227"/>
      <c r="AN87" s="227"/>
      <c r="AO87" s="227"/>
      <c r="AP87" s="227"/>
      <c r="AQ87" s="227"/>
      <c r="AR87" s="227"/>
      <c r="AS87" s="227"/>
      <c r="AT87" s="227"/>
      <c r="AU87" s="227"/>
      <c r="AV87" s="227"/>
      <c r="AW87" s="227"/>
      <c r="AX87" s="227"/>
      <c r="AY87" s="227"/>
      <c r="AZ87" s="227"/>
      <c r="BA87" s="227"/>
      <c r="BB87" s="227"/>
      <c r="BC87" s="227"/>
      <c r="BD87" s="227"/>
      <c r="BE87" s="227"/>
      <c r="BF87" s="227"/>
      <c r="BG87" s="227"/>
      <c r="BH87" s="227"/>
      <c r="BI87" s="227"/>
      <c r="BJ87" s="227"/>
      <c r="BK87" s="227"/>
      <c r="BL87" s="227"/>
      <c r="BM87" s="227"/>
      <c r="BN87" s="227"/>
      <c r="BO87" s="227"/>
      <c r="BP87" s="227"/>
      <c r="BQ87" s="227"/>
      <c r="BR87" s="227"/>
      <c r="BS87" s="227"/>
      <c r="BT87" s="227"/>
      <c r="BU87" s="240"/>
      <c r="BV87" s="240"/>
      <c r="BW87" s="240"/>
      <c r="BX87" s="240"/>
    </row>
    <row r="88" spans="1:76" s="141" customFormat="1" ht="11.25" customHeight="1" x14ac:dyDescent="0.2">
      <c r="A88" s="5"/>
      <c r="B88" s="5"/>
      <c r="C88" s="5"/>
      <c r="D88" s="5"/>
      <c r="E88" s="5"/>
      <c r="F88" s="5"/>
      <c r="G88" s="5"/>
      <c r="H88" s="5"/>
      <c r="I88" s="5"/>
      <c r="J88" s="37"/>
      <c r="K88" s="227"/>
      <c r="L88" s="227"/>
      <c r="M88" s="227"/>
      <c r="N88" s="227"/>
      <c r="O88" s="239"/>
      <c r="P88" s="5"/>
      <c r="Q88" s="5"/>
      <c r="R88" s="5"/>
      <c r="S88" s="5"/>
      <c r="T88" s="5"/>
      <c r="U88" s="5"/>
      <c r="V88" s="5"/>
      <c r="W88" s="37"/>
      <c r="X88" s="227"/>
      <c r="Y88" s="227"/>
      <c r="Z88" s="227"/>
      <c r="AA88" s="227"/>
      <c r="AB88" s="227"/>
      <c r="AC88" s="227"/>
      <c r="AD88" s="227"/>
      <c r="AE88" s="227"/>
      <c r="AF88" s="227"/>
      <c r="AG88" s="227"/>
      <c r="AH88" s="227"/>
      <c r="AI88" s="227"/>
      <c r="AJ88" s="227"/>
      <c r="AK88" s="227"/>
      <c r="AL88" s="227"/>
      <c r="AM88" s="227"/>
      <c r="AN88" s="227"/>
      <c r="AO88" s="227"/>
      <c r="AP88" s="227"/>
      <c r="AQ88" s="227"/>
      <c r="AR88" s="227"/>
      <c r="AS88" s="227"/>
      <c r="AT88" s="227"/>
      <c r="AU88" s="227"/>
      <c r="AV88" s="227"/>
      <c r="AW88" s="227"/>
      <c r="AX88" s="227"/>
      <c r="AY88" s="227"/>
      <c r="AZ88" s="227"/>
      <c r="BA88" s="227"/>
      <c r="BB88" s="227"/>
      <c r="BC88" s="227"/>
      <c r="BD88" s="227"/>
      <c r="BE88" s="227"/>
      <c r="BF88" s="227"/>
      <c r="BG88" s="227"/>
      <c r="BH88" s="227"/>
      <c r="BI88" s="227"/>
      <c r="BJ88" s="227"/>
      <c r="BK88" s="227"/>
      <c r="BL88" s="227"/>
      <c r="BM88" s="227"/>
      <c r="BN88" s="227"/>
      <c r="BO88" s="227"/>
      <c r="BP88" s="227"/>
      <c r="BQ88" s="227"/>
      <c r="BR88" s="227"/>
      <c r="BS88" s="227"/>
      <c r="BT88" s="227"/>
      <c r="BU88" s="240"/>
      <c r="BV88" s="240"/>
      <c r="BW88" s="240"/>
      <c r="BX88" s="240"/>
    </row>
    <row r="89" spans="1:76" s="141" customFormat="1" ht="11.25" customHeight="1" x14ac:dyDescent="0.2">
      <c r="A89" s="5"/>
      <c r="B89" s="5"/>
      <c r="C89" s="5"/>
      <c r="D89" s="5"/>
      <c r="E89" s="5"/>
      <c r="F89" s="5"/>
      <c r="G89" s="5"/>
      <c r="H89" s="5"/>
      <c r="I89" s="5"/>
      <c r="J89" s="37"/>
      <c r="K89" s="227"/>
      <c r="L89" s="227"/>
      <c r="M89" s="227"/>
      <c r="N89" s="227"/>
      <c r="O89" s="239"/>
      <c r="P89" s="5"/>
      <c r="Q89" s="5"/>
      <c r="R89" s="5"/>
      <c r="S89" s="5"/>
      <c r="T89" s="5"/>
      <c r="U89" s="5"/>
      <c r="V89" s="5"/>
      <c r="W89" s="37"/>
      <c r="X89" s="227"/>
      <c r="Y89" s="227"/>
      <c r="Z89" s="227"/>
      <c r="AA89" s="227"/>
      <c r="AB89" s="227"/>
      <c r="AC89" s="227"/>
      <c r="AD89" s="227"/>
      <c r="AE89" s="227"/>
      <c r="AF89" s="227"/>
      <c r="AG89" s="227"/>
      <c r="AH89" s="227"/>
      <c r="AI89" s="227"/>
      <c r="AJ89" s="227"/>
      <c r="AK89" s="227"/>
      <c r="AL89" s="227"/>
      <c r="AM89" s="227"/>
      <c r="AN89" s="227"/>
      <c r="AO89" s="227"/>
      <c r="AP89" s="227"/>
      <c r="AQ89" s="227"/>
      <c r="AR89" s="227"/>
      <c r="AS89" s="227"/>
      <c r="AT89" s="227"/>
      <c r="AU89" s="227"/>
      <c r="AV89" s="227"/>
      <c r="AW89" s="227"/>
      <c r="AX89" s="227"/>
      <c r="AY89" s="227"/>
      <c r="AZ89" s="227"/>
      <c r="BA89" s="227"/>
      <c r="BB89" s="227"/>
      <c r="BC89" s="227"/>
      <c r="BD89" s="227"/>
      <c r="BE89" s="227"/>
      <c r="BF89" s="227"/>
      <c r="BG89" s="227"/>
      <c r="BH89" s="227"/>
      <c r="BI89" s="227"/>
      <c r="BJ89" s="227"/>
      <c r="BK89" s="227"/>
      <c r="BL89" s="227"/>
      <c r="BM89" s="227"/>
      <c r="BN89" s="227"/>
      <c r="BO89" s="227"/>
      <c r="BP89" s="227"/>
      <c r="BQ89" s="227"/>
      <c r="BR89" s="227"/>
      <c r="BS89" s="227"/>
      <c r="BT89" s="227"/>
      <c r="BU89" s="240"/>
      <c r="BV89" s="240"/>
      <c r="BW89" s="240"/>
      <c r="BX89" s="240"/>
    </row>
    <row r="90" spans="1:76" s="141" customFormat="1" ht="11.25" customHeight="1" x14ac:dyDescent="0.2">
      <c r="A90" s="5"/>
      <c r="B90" s="5"/>
      <c r="C90" s="5"/>
      <c r="D90" s="5"/>
      <c r="E90" s="5"/>
      <c r="F90" s="5"/>
      <c r="G90" s="5"/>
      <c r="H90" s="5"/>
      <c r="I90" s="5"/>
      <c r="J90" s="37"/>
      <c r="K90" s="227"/>
      <c r="L90" s="227"/>
      <c r="M90" s="227"/>
      <c r="N90" s="227"/>
      <c r="O90" s="239"/>
      <c r="P90" s="5"/>
      <c r="Q90" s="5"/>
      <c r="R90" s="5"/>
      <c r="S90" s="5"/>
      <c r="T90" s="5"/>
      <c r="U90" s="5"/>
      <c r="V90" s="5"/>
      <c r="W90" s="37"/>
      <c r="X90" s="227"/>
      <c r="Y90" s="227"/>
      <c r="Z90" s="227"/>
      <c r="AA90" s="227"/>
      <c r="AB90" s="227"/>
      <c r="AC90" s="227"/>
      <c r="AD90" s="227"/>
      <c r="AE90" s="227"/>
      <c r="AF90" s="227"/>
      <c r="AG90" s="227"/>
      <c r="AH90" s="227"/>
      <c r="AI90" s="227"/>
      <c r="AJ90" s="227"/>
      <c r="AK90" s="227"/>
      <c r="AL90" s="227"/>
      <c r="AM90" s="227"/>
      <c r="AN90" s="227"/>
      <c r="AO90" s="227"/>
      <c r="AP90" s="227"/>
      <c r="AQ90" s="227"/>
      <c r="AR90" s="227"/>
      <c r="AS90" s="227"/>
      <c r="AT90" s="227"/>
      <c r="AU90" s="227"/>
      <c r="AV90" s="227"/>
      <c r="AW90" s="227"/>
      <c r="AX90" s="227"/>
      <c r="AY90" s="227"/>
      <c r="AZ90" s="227"/>
      <c r="BA90" s="227"/>
      <c r="BB90" s="227"/>
      <c r="BC90" s="227"/>
      <c r="BD90" s="227"/>
      <c r="BE90" s="227"/>
      <c r="BF90" s="227"/>
      <c r="BG90" s="227"/>
      <c r="BH90" s="227"/>
      <c r="BI90" s="227"/>
      <c r="BJ90" s="227"/>
      <c r="BK90" s="227"/>
      <c r="BL90" s="227"/>
      <c r="BM90" s="227"/>
      <c r="BN90" s="227"/>
      <c r="BO90" s="227"/>
      <c r="BP90" s="227"/>
      <c r="BQ90" s="227"/>
      <c r="BR90" s="227"/>
      <c r="BS90" s="227"/>
      <c r="BT90" s="227"/>
      <c r="BU90" s="240"/>
      <c r="BV90" s="240"/>
      <c r="BW90" s="240"/>
      <c r="BX90" s="240"/>
    </row>
    <row r="91" spans="1:76" s="141" customFormat="1" ht="11.25" customHeight="1" x14ac:dyDescent="0.2">
      <c r="A91" s="5"/>
      <c r="B91" s="5"/>
      <c r="C91" s="5"/>
      <c r="D91" s="5"/>
      <c r="E91" s="5"/>
      <c r="F91" s="5"/>
      <c r="G91" s="5"/>
      <c r="H91" s="5"/>
      <c r="I91" s="5"/>
      <c r="J91" s="37"/>
      <c r="K91" s="227"/>
      <c r="L91" s="227"/>
      <c r="M91" s="227"/>
      <c r="N91" s="227"/>
      <c r="O91" s="239"/>
      <c r="P91" s="5"/>
      <c r="Q91" s="5"/>
      <c r="R91" s="5"/>
      <c r="S91" s="5"/>
      <c r="T91" s="5"/>
      <c r="U91" s="5"/>
      <c r="V91" s="5"/>
      <c r="W91" s="37"/>
      <c r="X91" s="227"/>
      <c r="Y91" s="227"/>
      <c r="Z91" s="227"/>
      <c r="AA91" s="227"/>
      <c r="AB91" s="227"/>
      <c r="AC91" s="227"/>
      <c r="AD91" s="227"/>
      <c r="AE91" s="227"/>
      <c r="AF91" s="227"/>
      <c r="AG91" s="227"/>
      <c r="AH91" s="227"/>
      <c r="AI91" s="227"/>
      <c r="AJ91" s="227"/>
      <c r="AK91" s="227"/>
      <c r="AL91" s="227"/>
      <c r="AM91" s="227"/>
      <c r="AN91" s="227"/>
      <c r="AO91" s="227"/>
      <c r="AP91" s="227"/>
      <c r="AQ91" s="227"/>
      <c r="AR91" s="227"/>
      <c r="AS91" s="227"/>
      <c r="AT91" s="227"/>
      <c r="AU91" s="227"/>
      <c r="AV91" s="227"/>
      <c r="AW91" s="227"/>
      <c r="AX91" s="227"/>
      <c r="AY91" s="227"/>
      <c r="AZ91" s="227"/>
      <c r="BA91" s="227"/>
      <c r="BB91" s="227"/>
      <c r="BC91" s="227"/>
      <c r="BD91" s="227"/>
      <c r="BE91" s="227"/>
      <c r="BF91" s="227"/>
      <c r="BG91" s="227"/>
      <c r="BH91" s="227"/>
      <c r="BI91" s="227"/>
      <c r="BJ91" s="227"/>
      <c r="BK91" s="227"/>
      <c r="BL91" s="227"/>
      <c r="BM91" s="227"/>
      <c r="BN91" s="227"/>
      <c r="BO91" s="227"/>
      <c r="BP91" s="227"/>
      <c r="BQ91" s="227"/>
      <c r="BR91" s="227"/>
      <c r="BS91" s="227"/>
      <c r="BT91" s="227"/>
      <c r="BU91" s="240"/>
      <c r="BV91" s="240"/>
      <c r="BW91" s="240"/>
      <c r="BX91" s="240"/>
    </row>
    <row r="92" spans="1:76" s="141" customFormat="1" ht="11.25" customHeight="1" x14ac:dyDescent="0.2">
      <c r="A92" s="5"/>
      <c r="B92" s="5"/>
      <c r="C92" s="5"/>
      <c r="D92" s="5"/>
      <c r="E92" s="5"/>
      <c r="F92" s="5"/>
      <c r="G92" s="5"/>
      <c r="H92" s="5"/>
      <c r="I92" s="5"/>
      <c r="J92" s="37"/>
      <c r="K92" s="227"/>
      <c r="L92" s="227"/>
      <c r="M92" s="227"/>
      <c r="N92" s="227"/>
      <c r="O92" s="239"/>
      <c r="P92" s="5"/>
      <c r="Q92" s="5"/>
      <c r="R92" s="5"/>
      <c r="S92" s="5"/>
      <c r="T92" s="5"/>
      <c r="U92" s="5"/>
      <c r="V92" s="5"/>
      <c r="W92" s="37"/>
      <c r="X92" s="227"/>
      <c r="Y92" s="227"/>
      <c r="Z92" s="227"/>
      <c r="AA92" s="227"/>
      <c r="AB92" s="227"/>
      <c r="AC92" s="227"/>
      <c r="AD92" s="227"/>
      <c r="AE92" s="227"/>
      <c r="AF92" s="227"/>
      <c r="AG92" s="227"/>
      <c r="AH92" s="227"/>
      <c r="AI92" s="227"/>
      <c r="AJ92" s="227"/>
      <c r="AK92" s="227"/>
      <c r="AL92" s="227"/>
      <c r="AM92" s="227"/>
      <c r="AN92" s="227"/>
      <c r="AO92" s="227"/>
      <c r="AP92" s="227"/>
      <c r="AQ92" s="227"/>
      <c r="AR92" s="227"/>
      <c r="AS92" s="227"/>
      <c r="AT92" s="227"/>
      <c r="AU92" s="227"/>
      <c r="AV92" s="227"/>
      <c r="AW92" s="227"/>
      <c r="AX92" s="227"/>
      <c r="AY92" s="227"/>
      <c r="AZ92" s="227"/>
      <c r="BA92" s="227"/>
      <c r="BB92" s="227"/>
      <c r="BC92" s="227"/>
      <c r="BD92" s="227"/>
      <c r="BE92" s="227"/>
      <c r="BF92" s="227"/>
      <c r="BG92" s="227"/>
      <c r="BH92" s="227"/>
      <c r="BI92" s="227"/>
      <c r="BJ92" s="227"/>
      <c r="BK92" s="227"/>
      <c r="BL92" s="227"/>
      <c r="BM92" s="227"/>
      <c r="BN92" s="227"/>
      <c r="BO92" s="227"/>
      <c r="BP92" s="227"/>
      <c r="BQ92" s="227"/>
      <c r="BR92" s="227"/>
      <c r="BS92" s="227"/>
      <c r="BT92" s="227"/>
      <c r="BU92" s="240"/>
      <c r="BV92" s="240"/>
      <c r="BW92" s="240"/>
      <c r="BX92" s="240"/>
    </row>
    <row r="93" spans="1:76" s="141" customFormat="1" ht="11.25" customHeight="1" x14ac:dyDescent="0.2">
      <c r="A93" s="5"/>
      <c r="B93" s="5"/>
      <c r="C93" s="5"/>
      <c r="D93" s="5"/>
      <c r="E93" s="5"/>
      <c r="F93" s="5"/>
      <c r="G93" s="5"/>
      <c r="H93" s="5"/>
      <c r="I93" s="5"/>
      <c r="J93" s="37"/>
      <c r="K93" s="227"/>
      <c r="L93" s="227"/>
      <c r="M93" s="227"/>
      <c r="N93" s="227"/>
      <c r="O93" s="239"/>
      <c r="P93" s="5"/>
      <c r="Q93" s="5"/>
      <c r="R93" s="5"/>
      <c r="S93" s="5"/>
      <c r="T93" s="5"/>
      <c r="U93" s="5"/>
      <c r="V93" s="5"/>
      <c r="W93" s="37"/>
      <c r="X93" s="227"/>
      <c r="Y93" s="227"/>
      <c r="Z93" s="227"/>
      <c r="AA93" s="227"/>
      <c r="AB93" s="227"/>
      <c r="AC93" s="227"/>
      <c r="AD93" s="227"/>
      <c r="AE93" s="227"/>
      <c r="AF93" s="227"/>
      <c r="AG93" s="227"/>
      <c r="AH93" s="227"/>
      <c r="AI93" s="227"/>
      <c r="AJ93" s="227"/>
      <c r="AK93" s="227"/>
      <c r="AL93" s="227"/>
      <c r="AM93" s="227"/>
      <c r="AN93" s="227"/>
      <c r="AO93" s="227"/>
      <c r="AP93" s="227"/>
      <c r="AQ93" s="227"/>
      <c r="AR93" s="227"/>
      <c r="AS93" s="227"/>
      <c r="AT93" s="227"/>
      <c r="AU93" s="227"/>
      <c r="AV93" s="227"/>
      <c r="AW93" s="227"/>
      <c r="AX93" s="227"/>
      <c r="AY93" s="227"/>
      <c r="AZ93" s="227"/>
      <c r="BA93" s="227"/>
      <c r="BB93" s="227"/>
      <c r="BC93" s="227"/>
      <c r="BD93" s="227"/>
      <c r="BE93" s="227"/>
      <c r="BF93" s="227"/>
      <c r="BG93" s="227"/>
      <c r="BH93" s="227"/>
      <c r="BI93" s="227"/>
      <c r="BJ93" s="227"/>
      <c r="BK93" s="227"/>
      <c r="BL93" s="227"/>
      <c r="BM93" s="227"/>
      <c r="BN93" s="227"/>
      <c r="BO93" s="227"/>
      <c r="BP93" s="227"/>
      <c r="BQ93" s="227"/>
      <c r="BR93" s="227"/>
      <c r="BS93" s="227"/>
      <c r="BT93" s="227"/>
      <c r="BU93" s="240"/>
      <c r="BV93" s="240"/>
      <c r="BW93" s="240"/>
      <c r="BX93" s="240"/>
    </row>
    <row r="94" spans="1:76" s="141" customFormat="1" ht="11.25" customHeight="1" x14ac:dyDescent="0.2">
      <c r="A94" s="5"/>
      <c r="B94" s="5"/>
      <c r="C94" s="5"/>
      <c r="D94" s="5"/>
      <c r="E94" s="5"/>
      <c r="F94" s="5"/>
      <c r="G94" s="5"/>
      <c r="H94" s="5"/>
      <c r="I94" s="5"/>
      <c r="J94" s="37"/>
      <c r="K94" s="227"/>
      <c r="L94" s="227"/>
      <c r="M94" s="227"/>
      <c r="N94" s="227"/>
      <c r="O94" s="239"/>
      <c r="P94" s="5"/>
      <c r="Q94" s="5"/>
      <c r="R94" s="5"/>
      <c r="S94" s="5"/>
      <c r="T94" s="5"/>
      <c r="U94" s="5"/>
      <c r="V94" s="5"/>
      <c r="W94" s="37"/>
      <c r="X94" s="227"/>
      <c r="Y94" s="227"/>
      <c r="Z94" s="227"/>
      <c r="AA94" s="227"/>
      <c r="AB94" s="227"/>
      <c r="AC94" s="227"/>
      <c r="AD94" s="227"/>
      <c r="AE94" s="227"/>
      <c r="AF94" s="227"/>
      <c r="AG94" s="227"/>
      <c r="AH94" s="227"/>
      <c r="AI94" s="227"/>
      <c r="AJ94" s="227"/>
      <c r="AK94" s="227"/>
      <c r="AL94" s="227"/>
      <c r="AM94" s="227"/>
      <c r="AN94" s="227"/>
      <c r="AO94" s="227"/>
      <c r="AP94" s="227"/>
      <c r="AQ94" s="227"/>
      <c r="AR94" s="227"/>
      <c r="AS94" s="227"/>
      <c r="AT94" s="227"/>
      <c r="AU94" s="227"/>
      <c r="AV94" s="227"/>
      <c r="AW94" s="227"/>
      <c r="AX94" s="227"/>
      <c r="AY94" s="227"/>
      <c r="AZ94" s="227"/>
      <c r="BA94" s="227"/>
      <c r="BB94" s="227"/>
      <c r="BC94" s="227"/>
      <c r="BD94" s="227"/>
      <c r="BE94" s="227"/>
      <c r="BF94" s="227"/>
      <c r="BG94" s="227"/>
      <c r="BH94" s="227"/>
      <c r="BI94" s="227"/>
      <c r="BJ94" s="227"/>
      <c r="BK94" s="227"/>
      <c r="BL94" s="227"/>
      <c r="BM94" s="227"/>
      <c r="BN94" s="227"/>
      <c r="BO94" s="227"/>
      <c r="BP94" s="227"/>
      <c r="BQ94" s="227"/>
      <c r="BR94" s="227"/>
      <c r="BS94" s="227"/>
      <c r="BT94" s="227"/>
      <c r="BU94" s="240"/>
      <c r="BV94" s="240"/>
      <c r="BW94" s="240"/>
      <c r="BX94" s="240"/>
    </row>
    <row r="95" spans="1:76" s="141" customFormat="1" ht="11.25" customHeight="1" x14ac:dyDescent="0.2">
      <c r="A95" s="5"/>
      <c r="B95" s="5"/>
      <c r="C95" s="5"/>
      <c r="D95" s="5"/>
      <c r="E95" s="5"/>
      <c r="F95" s="5"/>
      <c r="G95" s="5"/>
      <c r="H95" s="5"/>
      <c r="I95" s="5"/>
      <c r="J95" s="37"/>
      <c r="K95" s="227"/>
      <c r="L95" s="227"/>
      <c r="M95" s="227"/>
      <c r="N95" s="227"/>
      <c r="O95" s="239"/>
      <c r="P95" s="5"/>
      <c r="Q95" s="5"/>
      <c r="R95" s="5"/>
      <c r="S95" s="5"/>
      <c r="T95" s="5"/>
      <c r="U95" s="5"/>
      <c r="V95" s="5"/>
      <c r="W95" s="37"/>
      <c r="X95" s="227"/>
      <c r="Y95" s="227"/>
      <c r="Z95" s="227"/>
      <c r="AA95" s="227"/>
      <c r="AB95" s="227"/>
      <c r="AC95" s="227"/>
      <c r="AD95" s="227"/>
      <c r="AE95" s="227"/>
      <c r="AF95" s="227"/>
      <c r="AG95" s="227"/>
      <c r="AH95" s="227"/>
      <c r="AI95" s="227"/>
      <c r="AJ95" s="227"/>
      <c r="AK95" s="227"/>
      <c r="AL95" s="227"/>
      <c r="AM95" s="227"/>
      <c r="AN95" s="227"/>
      <c r="AO95" s="227"/>
      <c r="AP95" s="227"/>
      <c r="AQ95" s="227"/>
      <c r="AR95" s="227"/>
      <c r="AS95" s="227"/>
      <c r="AT95" s="227"/>
      <c r="AU95" s="227"/>
      <c r="AV95" s="227"/>
      <c r="AW95" s="227"/>
      <c r="AX95" s="227"/>
      <c r="AY95" s="227"/>
      <c r="AZ95" s="227"/>
      <c r="BA95" s="227"/>
      <c r="BB95" s="227"/>
      <c r="BC95" s="227"/>
      <c r="BD95" s="227"/>
      <c r="BE95" s="227"/>
      <c r="BF95" s="227"/>
      <c r="BG95" s="227"/>
      <c r="BH95" s="227"/>
      <c r="BI95" s="227"/>
      <c r="BJ95" s="227"/>
      <c r="BK95" s="227"/>
      <c r="BL95" s="227"/>
      <c r="BM95" s="227"/>
      <c r="BN95" s="227"/>
      <c r="BO95" s="227"/>
      <c r="BP95" s="227"/>
      <c r="BQ95" s="227"/>
      <c r="BR95" s="227"/>
      <c r="BS95" s="227"/>
      <c r="BT95" s="227"/>
      <c r="BU95" s="240"/>
      <c r="BV95" s="240"/>
      <c r="BW95" s="240"/>
      <c r="BX95" s="240"/>
    </row>
    <row r="96" spans="1:76" s="141" customFormat="1" ht="11.25" customHeight="1" x14ac:dyDescent="0.2">
      <c r="A96" s="5"/>
      <c r="B96" s="5"/>
      <c r="C96" s="5"/>
      <c r="D96" s="5"/>
      <c r="E96" s="5"/>
      <c r="F96" s="5"/>
      <c r="G96" s="5"/>
      <c r="H96" s="5"/>
      <c r="I96" s="5"/>
      <c r="J96" s="37"/>
      <c r="K96" s="227"/>
      <c r="L96" s="227"/>
      <c r="M96" s="227"/>
      <c r="N96" s="227"/>
      <c r="O96" s="239"/>
      <c r="P96" s="5"/>
      <c r="Q96" s="5"/>
      <c r="R96" s="5"/>
      <c r="S96" s="5"/>
      <c r="T96" s="5"/>
      <c r="U96" s="5"/>
      <c r="V96" s="5"/>
      <c r="W96" s="37"/>
      <c r="X96" s="227"/>
      <c r="Y96" s="227"/>
      <c r="Z96" s="227"/>
      <c r="AA96" s="227"/>
      <c r="AB96" s="227"/>
      <c r="AC96" s="227"/>
      <c r="AD96" s="227"/>
      <c r="AE96" s="227"/>
      <c r="AF96" s="227"/>
      <c r="AG96" s="227"/>
      <c r="AH96" s="227"/>
      <c r="AI96" s="227"/>
      <c r="AJ96" s="227"/>
      <c r="AK96" s="227"/>
      <c r="AL96" s="227"/>
      <c r="AM96" s="227"/>
      <c r="AN96" s="227"/>
      <c r="AO96" s="227"/>
      <c r="AP96" s="227"/>
      <c r="AQ96" s="227"/>
      <c r="AR96" s="227"/>
      <c r="AS96" s="227"/>
      <c r="AT96" s="227"/>
      <c r="AU96" s="227"/>
      <c r="AV96" s="227"/>
      <c r="AW96" s="227"/>
      <c r="AX96" s="227"/>
      <c r="AY96" s="227"/>
      <c r="AZ96" s="227"/>
      <c r="BA96" s="227"/>
      <c r="BB96" s="227"/>
      <c r="BC96" s="227"/>
      <c r="BD96" s="227"/>
      <c r="BE96" s="227"/>
      <c r="BF96" s="227"/>
      <c r="BG96" s="227"/>
      <c r="BH96" s="227"/>
      <c r="BI96" s="227"/>
      <c r="BJ96" s="227"/>
      <c r="BK96" s="227"/>
      <c r="BL96" s="227"/>
      <c r="BM96" s="227"/>
      <c r="BN96" s="227"/>
      <c r="BO96" s="227"/>
      <c r="BP96" s="227"/>
      <c r="BQ96" s="227"/>
      <c r="BR96" s="227"/>
      <c r="BS96" s="227"/>
      <c r="BT96" s="227"/>
      <c r="BU96" s="240"/>
      <c r="BV96" s="240"/>
      <c r="BW96" s="240"/>
      <c r="BX96" s="240"/>
    </row>
    <row r="97" spans="1:76" s="141" customFormat="1" ht="11.25" customHeight="1" x14ac:dyDescent="0.2">
      <c r="A97" s="5"/>
      <c r="B97" s="5"/>
      <c r="C97" s="5"/>
      <c r="D97" s="5"/>
      <c r="E97" s="5"/>
      <c r="F97" s="5"/>
      <c r="G97" s="5"/>
      <c r="H97" s="5"/>
      <c r="I97" s="5"/>
      <c r="J97" s="37"/>
      <c r="K97" s="227"/>
      <c r="L97" s="227"/>
      <c r="M97" s="227"/>
      <c r="N97" s="227"/>
      <c r="O97" s="239"/>
      <c r="P97" s="5"/>
      <c r="Q97" s="5"/>
      <c r="R97" s="5"/>
      <c r="S97" s="5"/>
      <c r="T97" s="5"/>
      <c r="U97" s="5"/>
      <c r="V97" s="5"/>
      <c r="W97" s="37"/>
      <c r="X97" s="227"/>
      <c r="Y97" s="227"/>
      <c r="Z97" s="227"/>
      <c r="AA97" s="227"/>
      <c r="AB97" s="227"/>
      <c r="AC97" s="227"/>
      <c r="AD97" s="227"/>
      <c r="AE97" s="227"/>
      <c r="AF97" s="227"/>
      <c r="AG97" s="227"/>
      <c r="AH97" s="227"/>
      <c r="AI97" s="227"/>
      <c r="AJ97" s="227"/>
      <c r="AK97" s="227"/>
      <c r="AL97" s="227"/>
      <c r="AM97" s="227"/>
      <c r="AN97" s="227"/>
      <c r="AO97" s="227"/>
      <c r="AP97" s="227"/>
      <c r="AQ97" s="227"/>
      <c r="AR97" s="227"/>
      <c r="AS97" s="227"/>
      <c r="AT97" s="227"/>
      <c r="AU97" s="227"/>
      <c r="AV97" s="227"/>
      <c r="AW97" s="227"/>
      <c r="AX97" s="227"/>
      <c r="AY97" s="227"/>
      <c r="AZ97" s="227"/>
      <c r="BA97" s="227"/>
      <c r="BB97" s="227"/>
      <c r="BC97" s="227"/>
      <c r="BD97" s="227"/>
      <c r="BE97" s="227"/>
      <c r="BF97" s="227"/>
      <c r="BG97" s="227"/>
      <c r="BH97" s="227"/>
      <c r="BI97" s="227"/>
      <c r="BJ97" s="227"/>
      <c r="BK97" s="227"/>
      <c r="BL97" s="227"/>
      <c r="BM97" s="227"/>
      <c r="BN97" s="227"/>
      <c r="BO97" s="227"/>
      <c r="BP97" s="227"/>
      <c r="BQ97" s="227"/>
      <c r="BR97" s="227"/>
      <c r="BS97" s="227"/>
      <c r="BT97" s="227"/>
      <c r="BU97" s="240"/>
      <c r="BV97" s="240"/>
      <c r="BW97" s="240"/>
      <c r="BX97" s="240"/>
    </row>
    <row r="98" spans="1:76" s="141" customFormat="1" ht="11.25" customHeight="1" x14ac:dyDescent="0.2">
      <c r="A98" s="5"/>
      <c r="B98" s="5"/>
      <c r="C98" s="5"/>
      <c r="D98" s="5"/>
      <c r="E98" s="5"/>
      <c r="F98" s="5"/>
      <c r="G98" s="5"/>
      <c r="H98" s="5"/>
      <c r="I98" s="5"/>
      <c r="J98" s="37"/>
      <c r="K98" s="227"/>
      <c r="L98" s="227"/>
      <c r="M98" s="227"/>
      <c r="N98" s="227"/>
      <c r="O98" s="239"/>
      <c r="P98" s="5"/>
      <c r="Q98" s="5"/>
      <c r="R98" s="5"/>
      <c r="S98" s="5"/>
      <c r="T98" s="5"/>
      <c r="U98" s="5"/>
      <c r="V98" s="5"/>
      <c r="W98" s="37"/>
      <c r="X98" s="227"/>
      <c r="Y98" s="227"/>
      <c r="Z98" s="227"/>
      <c r="AA98" s="227"/>
      <c r="AB98" s="227"/>
      <c r="AC98" s="227"/>
      <c r="AD98" s="227"/>
      <c r="AE98" s="227"/>
      <c r="AF98" s="227"/>
      <c r="AG98" s="227"/>
      <c r="AH98" s="227"/>
      <c r="AI98" s="227"/>
      <c r="AJ98" s="227"/>
      <c r="AK98" s="227"/>
      <c r="AL98" s="227"/>
      <c r="AM98" s="227"/>
      <c r="AN98" s="227"/>
      <c r="AO98" s="227"/>
      <c r="AP98" s="227"/>
      <c r="AQ98" s="227"/>
      <c r="AR98" s="227"/>
      <c r="AS98" s="227"/>
      <c r="AT98" s="227"/>
      <c r="AU98" s="227"/>
      <c r="AV98" s="227"/>
      <c r="AW98" s="227"/>
      <c r="AX98" s="227"/>
      <c r="AY98" s="227"/>
      <c r="AZ98" s="227"/>
      <c r="BA98" s="227"/>
      <c r="BB98" s="227"/>
      <c r="BC98" s="227"/>
      <c r="BD98" s="227"/>
      <c r="BE98" s="227"/>
      <c r="BF98" s="227"/>
      <c r="BG98" s="227"/>
      <c r="BH98" s="227"/>
      <c r="BI98" s="227"/>
      <c r="BJ98" s="227"/>
      <c r="BK98" s="227"/>
      <c r="BL98" s="227"/>
      <c r="BM98" s="227"/>
      <c r="BN98" s="227"/>
      <c r="BO98" s="227"/>
      <c r="BP98" s="227"/>
      <c r="BQ98" s="227"/>
      <c r="BR98" s="227"/>
      <c r="BS98" s="227"/>
      <c r="BT98" s="227"/>
      <c r="BU98" s="240"/>
      <c r="BV98" s="240"/>
      <c r="BW98" s="240"/>
      <c r="BX98" s="240"/>
    </row>
    <row r="99" spans="1:76" s="141" customFormat="1" ht="11.25" customHeight="1" x14ac:dyDescent="0.2">
      <c r="A99" s="5"/>
      <c r="B99" s="5"/>
      <c r="C99" s="5"/>
      <c r="D99" s="5"/>
      <c r="E99" s="5"/>
      <c r="F99" s="5"/>
      <c r="G99" s="5"/>
      <c r="H99" s="5"/>
      <c r="I99" s="5"/>
      <c r="J99" s="37"/>
      <c r="K99" s="227"/>
      <c r="L99" s="227"/>
      <c r="M99" s="227"/>
      <c r="N99" s="227"/>
      <c r="O99" s="239"/>
      <c r="P99" s="5"/>
      <c r="Q99" s="5"/>
      <c r="R99" s="5"/>
      <c r="S99" s="5"/>
      <c r="T99" s="5"/>
      <c r="U99" s="5"/>
      <c r="V99" s="5"/>
      <c r="W99" s="37"/>
      <c r="X99" s="227"/>
      <c r="Y99" s="227"/>
      <c r="Z99" s="227"/>
      <c r="AA99" s="227"/>
      <c r="AB99" s="227"/>
      <c r="AC99" s="227"/>
      <c r="AD99" s="227"/>
      <c r="AE99" s="227"/>
      <c r="AF99" s="227"/>
      <c r="AG99" s="227"/>
      <c r="AH99" s="227"/>
      <c r="AI99" s="227"/>
      <c r="AJ99" s="227"/>
      <c r="AK99" s="227"/>
      <c r="AL99" s="227"/>
      <c r="AM99" s="227"/>
      <c r="AN99" s="227"/>
      <c r="AO99" s="227"/>
      <c r="AP99" s="227"/>
      <c r="AQ99" s="227"/>
      <c r="AR99" s="227"/>
      <c r="AS99" s="227"/>
      <c r="AT99" s="227"/>
      <c r="AU99" s="227"/>
      <c r="AV99" s="227"/>
      <c r="AW99" s="227"/>
      <c r="AX99" s="227"/>
      <c r="AY99" s="227"/>
      <c r="AZ99" s="227"/>
      <c r="BA99" s="227"/>
      <c r="BB99" s="227"/>
      <c r="BC99" s="227"/>
      <c r="BD99" s="227"/>
      <c r="BE99" s="227"/>
      <c r="BF99" s="227"/>
      <c r="BG99" s="227"/>
      <c r="BH99" s="227"/>
      <c r="BI99" s="227"/>
      <c r="BJ99" s="227"/>
      <c r="BK99" s="227"/>
      <c r="BL99" s="227"/>
      <c r="BM99" s="227"/>
      <c r="BN99" s="227"/>
      <c r="BO99" s="227"/>
      <c r="BP99" s="227"/>
      <c r="BQ99" s="227"/>
      <c r="BR99" s="227"/>
      <c r="BS99" s="227"/>
      <c r="BT99" s="227"/>
      <c r="BU99" s="240"/>
      <c r="BV99" s="240"/>
      <c r="BW99" s="240"/>
      <c r="BX99" s="240"/>
    </row>
    <row r="100" spans="1:76" s="141" customFormat="1" ht="11.25" customHeight="1" x14ac:dyDescent="0.2">
      <c r="A100" s="5"/>
      <c r="B100" s="5"/>
      <c r="C100" s="5"/>
      <c r="D100" s="5"/>
      <c r="E100" s="5"/>
      <c r="F100" s="5"/>
      <c r="G100" s="5"/>
      <c r="H100" s="5"/>
      <c r="I100" s="5"/>
      <c r="J100" s="37"/>
      <c r="K100" s="227"/>
      <c r="L100" s="227"/>
      <c r="M100" s="227"/>
      <c r="N100" s="227"/>
      <c r="O100" s="239"/>
      <c r="P100" s="5"/>
      <c r="Q100" s="5"/>
      <c r="R100" s="5"/>
      <c r="S100" s="5"/>
      <c r="T100" s="5"/>
      <c r="U100" s="5"/>
      <c r="V100" s="5"/>
      <c r="W100" s="37"/>
      <c r="X100" s="227"/>
      <c r="Y100" s="227"/>
      <c r="Z100" s="227"/>
      <c r="AA100" s="227"/>
      <c r="AB100" s="227"/>
      <c r="AC100" s="227"/>
      <c r="AD100" s="227"/>
      <c r="AE100" s="227"/>
      <c r="AF100" s="227"/>
      <c r="AG100" s="227"/>
      <c r="AH100" s="227"/>
      <c r="AI100" s="227"/>
      <c r="AJ100" s="227"/>
      <c r="AK100" s="227"/>
      <c r="AL100" s="227"/>
      <c r="AM100" s="227"/>
      <c r="AN100" s="227"/>
      <c r="AO100" s="227"/>
      <c r="AP100" s="227"/>
      <c r="AQ100" s="227"/>
      <c r="AR100" s="227"/>
      <c r="AS100" s="227"/>
      <c r="AT100" s="227"/>
      <c r="AU100" s="227"/>
      <c r="AV100" s="227"/>
      <c r="AW100" s="227"/>
      <c r="AX100" s="227"/>
      <c r="AY100" s="227"/>
      <c r="AZ100" s="227"/>
      <c r="BA100" s="227"/>
      <c r="BB100" s="227"/>
      <c r="BC100" s="227"/>
      <c r="BD100" s="227"/>
      <c r="BE100" s="227"/>
      <c r="BF100" s="227"/>
      <c r="BG100" s="227"/>
      <c r="BH100" s="227"/>
      <c r="BI100" s="227"/>
      <c r="BJ100" s="227"/>
      <c r="BK100" s="227"/>
      <c r="BL100" s="227"/>
      <c r="BM100" s="227"/>
      <c r="BN100" s="227"/>
      <c r="BO100" s="227"/>
      <c r="BP100" s="227"/>
      <c r="BQ100" s="227"/>
      <c r="BR100" s="227"/>
      <c r="BS100" s="227"/>
      <c r="BT100" s="227"/>
      <c r="BU100" s="240"/>
      <c r="BV100" s="240"/>
      <c r="BW100" s="240"/>
      <c r="BX100" s="240"/>
    </row>
    <row r="101" spans="1:76" s="141" customFormat="1" ht="11.25" customHeight="1" x14ac:dyDescent="0.2">
      <c r="A101" s="5"/>
      <c r="B101" s="5"/>
      <c r="C101" s="5"/>
      <c r="D101" s="5"/>
      <c r="E101" s="5"/>
      <c r="F101" s="5"/>
      <c r="G101" s="5"/>
      <c r="H101" s="5"/>
      <c r="I101" s="5"/>
      <c r="J101" s="37"/>
      <c r="K101" s="227"/>
      <c r="L101" s="227"/>
      <c r="M101" s="227"/>
      <c r="N101" s="227"/>
      <c r="O101" s="239"/>
      <c r="P101" s="5"/>
      <c r="Q101" s="5"/>
      <c r="R101" s="5"/>
      <c r="S101" s="5"/>
      <c r="T101" s="5"/>
      <c r="U101" s="5"/>
      <c r="V101" s="5"/>
      <c r="W101" s="37"/>
      <c r="X101" s="227"/>
      <c r="Y101" s="227"/>
      <c r="Z101" s="227"/>
      <c r="AA101" s="227"/>
      <c r="AB101" s="227"/>
      <c r="AC101" s="227"/>
      <c r="AD101" s="227"/>
      <c r="AE101" s="227"/>
      <c r="AF101" s="227"/>
      <c r="AG101" s="227"/>
      <c r="AH101" s="227"/>
      <c r="AI101" s="227"/>
      <c r="AJ101" s="227"/>
      <c r="AK101" s="227"/>
      <c r="AL101" s="227"/>
      <c r="AM101" s="227"/>
      <c r="AN101" s="227"/>
      <c r="AO101" s="227"/>
      <c r="AP101" s="227"/>
      <c r="AQ101" s="227"/>
      <c r="AR101" s="227"/>
      <c r="AS101" s="227"/>
      <c r="AT101" s="227"/>
      <c r="AU101" s="227"/>
      <c r="AV101" s="227"/>
      <c r="AW101" s="227"/>
      <c r="AX101" s="227"/>
      <c r="AY101" s="227"/>
      <c r="AZ101" s="227"/>
      <c r="BA101" s="227"/>
      <c r="BB101" s="227"/>
      <c r="BC101" s="227"/>
      <c r="BD101" s="227"/>
      <c r="BE101" s="227"/>
      <c r="BF101" s="227"/>
      <c r="BG101" s="227"/>
      <c r="BH101" s="227"/>
      <c r="BI101" s="227"/>
      <c r="BJ101" s="227"/>
      <c r="BK101" s="227"/>
      <c r="BL101" s="227"/>
      <c r="BM101" s="227"/>
      <c r="BN101" s="227"/>
      <c r="BO101" s="227"/>
      <c r="BP101" s="227"/>
      <c r="BQ101" s="227"/>
      <c r="BR101" s="227"/>
      <c r="BS101" s="227"/>
      <c r="BT101" s="227"/>
      <c r="BU101" s="240"/>
      <c r="BV101" s="240"/>
      <c r="BW101" s="240"/>
      <c r="BX101" s="240"/>
    </row>
    <row r="102" spans="1:76" s="141" customFormat="1" ht="11.25" customHeight="1" x14ac:dyDescent="0.2">
      <c r="A102" s="5"/>
      <c r="B102" s="5"/>
      <c r="C102" s="5"/>
      <c r="D102" s="5"/>
      <c r="E102" s="5"/>
      <c r="F102" s="5"/>
      <c r="G102" s="5"/>
      <c r="H102" s="5"/>
      <c r="I102" s="5"/>
      <c r="J102" s="37"/>
      <c r="K102" s="227"/>
      <c r="L102" s="227"/>
      <c r="M102" s="227"/>
      <c r="N102" s="227"/>
      <c r="O102" s="239"/>
      <c r="P102" s="5"/>
      <c r="Q102" s="5"/>
      <c r="R102" s="5"/>
      <c r="S102" s="5"/>
      <c r="T102" s="5"/>
      <c r="U102" s="5"/>
      <c r="V102" s="5"/>
      <c r="W102" s="37"/>
      <c r="X102" s="227"/>
      <c r="Y102" s="227"/>
      <c r="Z102" s="227"/>
      <c r="AA102" s="227"/>
      <c r="AB102" s="227"/>
      <c r="AC102" s="227"/>
      <c r="AD102" s="227"/>
      <c r="AE102" s="227"/>
      <c r="AF102" s="227"/>
      <c r="AG102" s="227"/>
      <c r="AH102" s="227"/>
      <c r="AI102" s="227"/>
      <c r="AJ102" s="227"/>
      <c r="AK102" s="227"/>
      <c r="AL102" s="227"/>
      <c r="AM102" s="227"/>
      <c r="AN102" s="227"/>
      <c r="AO102" s="227"/>
      <c r="AP102" s="227"/>
      <c r="AQ102" s="227"/>
      <c r="AR102" s="227"/>
      <c r="AS102" s="227"/>
      <c r="AT102" s="227"/>
      <c r="AU102" s="227"/>
      <c r="AV102" s="227"/>
      <c r="AW102" s="227"/>
      <c r="AX102" s="227"/>
      <c r="AY102" s="227"/>
      <c r="AZ102" s="227"/>
      <c r="BA102" s="227"/>
      <c r="BB102" s="227"/>
      <c r="BC102" s="227"/>
      <c r="BD102" s="227"/>
      <c r="BE102" s="227"/>
      <c r="BF102" s="227"/>
      <c r="BG102" s="227"/>
      <c r="BH102" s="227"/>
      <c r="BI102" s="227"/>
      <c r="BJ102" s="227"/>
      <c r="BK102" s="227"/>
      <c r="BL102" s="227"/>
      <c r="BM102" s="227"/>
      <c r="BN102" s="227"/>
      <c r="BO102" s="227"/>
      <c r="BP102" s="227"/>
      <c r="BQ102" s="227"/>
      <c r="BR102" s="227"/>
      <c r="BS102" s="227"/>
      <c r="BT102" s="227"/>
      <c r="BU102" s="240"/>
      <c r="BV102" s="240"/>
      <c r="BW102" s="240"/>
      <c r="BX102" s="240"/>
    </row>
    <row r="103" spans="1:76" s="141" customFormat="1" ht="11.25" customHeight="1" x14ac:dyDescent="0.2">
      <c r="A103" s="5"/>
      <c r="B103" s="5"/>
      <c r="C103" s="5"/>
      <c r="D103" s="5"/>
      <c r="E103" s="5"/>
      <c r="F103" s="5"/>
      <c r="G103" s="5"/>
      <c r="H103" s="5"/>
      <c r="I103" s="5"/>
      <c r="J103" s="37"/>
      <c r="K103" s="227"/>
      <c r="L103" s="227"/>
      <c r="M103" s="227"/>
      <c r="N103" s="227"/>
      <c r="O103" s="239"/>
      <c r="P103" s="5"/>
      <c r="Q103" s="5"/>
      <c r="R103" s="5"/>
      <c r="S103" s="5"/>
      <c r="T103" s="5"/>
      <c r="U103" s="5"/>
      <c r="V103" s="5"/>
      <c r="W103" s="37"/>
      <c r="X103" s="227"/>
      <c r="Y103" s="227"/>
      <c r="Z103" s="227"/>
      <c r="AA103" s="227"/>
      <c r="AB103" s="227"/>
      <c r="AC103" s="227"/>
      <c r="AD103" s="227"/>
      <c r="AE103" s="227"/>
      <c r="AF103" s="227"/>
      <c r="AG103" s="227"/>
      <c r="AH103" s="227"/>
      <c r="AI103" s="227"/>
      <c r="AJ103" s="227"/>
      <c r="AK103" s="227"/>
      <c r="AL103" s="227"/>
      <c r="AM103" s="227"/>
      <c r="AN103" s="227"/>
      <c r="AO103" s="227"/>
      <c r="AP103" s="227"/>
      <c r="AQ103" s="227"/>
      <c r="AR103" s="227"/>
      <c r="AS103" s="227"/>
      <c r="AT103" s="227"/>
      <c r="AU103" s="227"/>
      <c r="AV103" s="227"/>
      <c r="AW103" s="227"/>
      <c r="AX103" s="227"/>
      <c r="AY103" s="227"/>
      <c r="AZ103" s="227"/>
      <c r="BA103" s="227"/>
      <c r="BB103" s="227"/>
      <c r="BC103" s="227"/>
      <c r="BD103" s="227"/>
      <c r="BE103" s="227"/>
      <c r="BF103" s="227"/>
      <c r="BG103" s="227"/>
      <c r="BH103" s="227"/>
      <c r="BI103" s="227"/>
      <c r="BJ103" s="227"/>
      <c r="BK103" s="227"/>
      <c r="BL103" s="227"/>
      <c r="BM103" s="227"/>
      <c r="BN103" s="227"/>
      <c r="BO103" s="227"/>
      <c r="BP103" s="227"/>
      <c r="BQ103" s="227"/>
      <c r="BR103" s="227"/>
      <c r="BS103" s="227"/>
      <c r="BT103" s="227"/>
      <c r="BU103" s="240"/>
      <c r="BV103" s="240"/>
      <c r="BW103" s="240"/>
      <c r="BX103" s="240"/>
    </row>
    <row r="104" spans="1:76" s="141" customFormat="1" ht="11.25" customHeight="1" x14ac:dyDescent="0.2">
      <c r="A104" s="5"/>
      <c r="B104" s="5"/>
      <c r="C104" s="5"/>
      <c r="D104" s="5"/>
      <c r="E104" s="5"/>
      <c r="F104" s="5"/>
      <c r="G104" s="5"/>
      <c r="H104" s="5"/>
      <c r="I104" s="5"/>
      <c r="J104" s="37"/>
      <c r="K104" s="227"/>
      <c r="L104" s="227"/>
      <c r="M104" s="227"/>
      <c r="N104" s="227"/>
      <c r="O104" s="239"/>
      <c r="P104" s="5"/>
      <c r="Q104" s="5"/>
      <c r="R104" s="5"/>
      <c r="S104" s="5"/>
      <c r="T104" s="5"/>
      <c r="U104" s="5"/>
      <c r="V104" s="5"/>
      <c r="W104" s="37"/>
      <c r="X104" s="227"/>
      <c r="Y104" s="227"/>
      <c r="Z104" s="227"/>
      <c r="AA104" s="227"/>
      <c r="AB104" s="227"/>
      <c r="AC104" s="227"/>
      <c r="AD104" s="227"/>
      <c r="AE104" s="227"/>
      <c r="AF104" s="227"/>
      <c r="AG104" s="227"/>
      <c r="AH104" s="227"/>
      <c r="AI104" s="227"/>
      <c r="AJ104" s="227"/>
      <c r="AK104" s="227"/>
      <c r="AL104" s="227"/>
      <c r="AM104" s="227"/>
      <c r="AN104" s="227"/>
      <c r="AO104" s="227"/>
      <c r="AP104" s="227"/>
      <c r="AQ104" s="227"/>
      <c r="AR104" s="227"/>
      <c r="AS104" s="227"/>
      <c r="AT104" s="227"/>
      <c r="AU104" s="227"/>
      <c r="AV104" s="227"/>
      <c r="AW104" s="227"/>
      <c r="AX104" s="227"/>
      <c r="AY104" s="227"/>
      <c r="AZ104" s="227"/>
      <c r="BA104" s="227"/>
      <c r="BB104" s="227"/>
      <c r="BC104" s="227"/>
      <c r="BD104" s="227"/>
      <c r="BE104" s="227"/>
      <c r="BF104" s="227"/>
      <c r="BG104" s="227"/>
      <c r="BH104" s="227"/>
      <c r="BI104" s="227"/>
      <c r="BJ104" s="227"/>
      <c r="BK104" s="227"/>
      <c r="BL104" s="227"/>
      <c r="BM104" s="227"/>
      <c r="BN104" s="227"/>
      <c r="BO104" s="227"/>
      <c r="BP104" s="227"/>
      <c r="BQ104" s="227"/>
      <c r="BR104" s="227"/>
      <c r="BS104" s="227"/>
      <c r="BT104" s="227"/>
      <c r="BU104" s="240"/>
      <c r="BV104" s="240"/>
      <c r="BW104" s="240"/>
      <c r="BX104" s="240"/>
    </row>
    <row r="105" spans="1:76" s="141" customFormat="1" ht="11.25" customHeight="1" x14ac:dyDescent="0.2">
      <c r="A105" s="5"/>
      <c r="B105" s="5"/>
      <c r="C105" s="5"/>
      <c r="D105" s="5"/>
      <c r="E105" s="5"/>
      <c r="F105" s="5"/>
      <c r="G105" s="5"/>
      <c r="H105" s="5"/>
      <c r="I105" s="5"/>
      <c r="J105" s="37"/>
      <c r="K105" s="227"/>
      <c r="L105" s="227"/>
      <c r="M105" s="227"/>
      <c r="N105" s="227"/>
      <c r="O105" s="239"/>
      <c r="P105" s="5"/>
      <c r="Q105" s="5"/>
      <c r="R105" s="5"/>
      <c r="S105" s="5"/>
      <c r="T105" s="5"/>
      <c r="U105" s="5"/>
      <c r="V105" s="5"/>
      <c r="W105" s="37"/>
      <c r="X105" s="227"/>
      <c r="Y105" s="227"/>
      <c r="Z105" s="227"/>
      <c r="AA105" s="227"/>
      <c r="AB105" s="227"/>
      <c r="AC105" s="227"/>
      <c r="AD105" s="227"/>
      <c r="AE105" s="227"/>
      <c r="AF105" s="227"/>
      <c r="AG105" s="227"/>
      <c r="AH105" s="227"/>
      <c r="AI105" s="227"/>
      <c r="AJ105" s="227"/>
      <c r="AK105" s="227"/>
      <c r="AL105" s="227"/>
      <c r="AM105" s="227"/>
      <c r="AN105" s="227"/>
      <c r="AO105" s="227"/>
      <c r="AP105" s="227"/>
      <c r="AQ105" s="227"/>
      <c r="AR105" s="227"/>
      <c r="AS105" s="227"/>
      <c r="AT105" s="227"/>
      <c r="AU105" s="227"/>
      <c r="AV105" s="227"/>
      <c r="AW105" s="227"/>
      <c r="AX105" s="227"/>
      <c r="AY105" s="227"/>
      <c r="AZ105" s="227"/>
      <c r="BA105" s="227"/>
      <c r="BB105" s="227"/>
      <c r="BC105" s="227"/>
      <c r="BD105" s="227"/>
      <c r="BE105" s="227"/>
      <c r="BF105" s="227"/>
      <c r="BG105" s="227"/>
      <c r="BH105" s="227"/>
      <c r="BI105" s="227"/>
      <c r="BJ105" s="227"/>
      <c r="BK105" s="227"/>
      <c r="BL105" s="227"/>
      <c r="BM105" s="227"/>
      <c r="BN105" s="227"/>
      <c r="BO105" s="227"/>
      <c r="BP105" s="227"/>
      <c r="BQ105" s="227"/>
      <c r="BR105" s="227"/>
      <c r="BS105" s="227"/>
      <c r="BT105" s="227"/>
      <c r="BU105" s="240"/>
      <c r="BV105" s="240"/>
      <c r="BW105" s="240"/>
      <c r="BX105" s="240"/>
    </row>
    <row r="106" spans="1:76" s="141" customFormat="1" ht="11.25" customHeight="1" x14ac:dyDescent="0.2">
      <c r="A106" s="5"/>
      <c r="B106" s="5"/>
      <c r="C106" s="5"/>
      <c r="D106" s="5"/>
      <c r="E106" s="5"/>
      <c r="F106" s="5"/>
      <c r="G106" s="5"/>
      <c r="H106" s="5"/>
      <c r="I106" s="5"/>
      <c r="J106" s="37"/>
      <c r="K106" s="227"/>
      <c r="L106" s="227"/>
      <c r="M106" s="227"/>
      <c r="N106" s="227"/>
      <c r="O106" s="239"/>
      <c r="P106" s="5"/>
      <c r="Q106" s="5"/>
      <c r="R106" s="5"/>
      <c r="S106" s="5"/>
      <c r="T106" s="5"/>
      <c r="U106" s="5"/>
      <c r="V106" s="5"/>
      <c r="W106" s="37"/>
      <c r="X106" s="227"/>
      <c r="Y106" s="227"/>
      <c r="Z106" s="227"/>
      <c r="AA106" s="227"/>
      <c r="AB106" s="227"/>
      <c r="AC106" s="227"/>
      <c r="AD106" s="227"/>
      <c r="AE106" s="227"/>
      <c r="AF106" s="227"/>
      <c r="AG106" s="227"/>
      <c r="AH106" s="227"/>
      <c r="AI106" s="227"/>
      <c r="AJ106" s="227"/>
      <c r="AK106" s="227"/>
      <c r="AL106" s="227"/>
      <c r="AM106" s="227"/>
      <c r="AN106" s="227"/>
      <c r="AO106" s="227"/>
      <c r="AP106" s="227"/>
      <c r="AQ106" s="227"/>
      <c r="AR106" s="227"/>
      <c r="AS106" s="227"/>
      <c r="AT106" s="227"/>
      <c r="AU106" s="227"/>
      <c r="AV106" s="227"/>
      <c r="AW106" s="227"/>
      <c r="AX106" s="227"/>
      <c r="AY106" s="227"/>
      <c r="AZ106" s="227"/>
      <c r="BA106" s="227"/>
      <c r="BB106" s="227"/>
      <c r="BC106" s="227"/>
      <c r="BD106" s="227"/>
      <c r="BE106" s="227"/>
      <c r="BF106" s="227"/>
      <c r="BG106" s="227"/>
      <c r="BH106" s="227"/>
      <c r="BI106" s="227"/>
      <c r="BJ106" s="227"/>
      <c r="BK106" s="227"/>
      <c r="BL106" s="227"/>
      <c r="BM106" s="227"/>
      <c r="BN106" s="227"/>
      <c r="BO106" s="227"/>
      <c r="BP106" s="227"/>
      <c r="BQ106" s="227"/>
      <c r="BR106" s="227"/>
      <c r="BS106" s="227"/>
      <c r="BT106" s="227"/>
      <c r="BU106" s="240"/>
      <c r="BV106" s="240"/>
      <c r="BW106" s="240"/>
      <c r="BX106" s="240"/>
    </row>
    <row r="107" spans="1:76" s="141" customFormat="1" ht="11.25" customHeight="1" x14ac:dyDescent="0.2">
      <c r="A107" s="5"/>
      <c r="B107" s="5"/>
      <c r="C107" s="5"/>
      <c r="D107" s="5"/>
      <c r="E107" s="5"/>
      <c r="F107" s="5"/>
      <c r="G107" s="5"/>
      <c r="H107" s="5"/>
      <c r="I107" s="5"/>
      <c r="J107" s="37"/>
      <c r="K107" s="227"/>
      <c r="L107" s="227"/>
      <c r="M107" s="227"/>
      <c r="N107" s="227"/>
      <c r="O107" s="239"/>
      <c r="P107" s="5"/>
      <c r="Q107" s="5"/>
      <c r="R107" s="5"/>
      <c r="S107" s="5"/>
      <c r="T107" s="5"/>
      <c r="U107" s="5"/>
      <c r="V107" s="5"/>
      <c r="W107" s="37"/>
      <c r="X107" s="227"/>
      <c r="Y107" s="227"/>
      <c r="Z107" s="227"/>
      <c r="AA107" s="227"/>
      <c r="AB107" s="227"/>
      <c r="AC107" s="227"/>
      <c r="AD107" s="227"/>
      <c r="AE107" s="227"/>
      <c r="AF107" s="227"/>
      <c r="AG107" s="227"/>
      <c r="AH107" s="227"/>
      <c r="AI107" s="227"/>
      <c r="AJ107" s="227"/>
      <c r="AK107" s="227"/>
      <c r="AL107" s="227"/>
      <c r="AM107" s="227"/>
      <c r="AN107" s="227"/>
      <c r="AO107" s="227"/>
      <c r="AP107" s="227"/>
      <c r="AQ107" s="227"/>
      <c r="AR107" s="227"/>
      <c r="AS107" s="227"/>
      <c r="AT107" s="227"/>
      <c r="AU107" s="227"/>
      <c r="AV107" s="227"/>
      <c r="AW107" s="227"/>
      <c r="AX107" s="227"/>
      <c r="AY107" s="227"/>
      <c r="AZ107" s="227"/>
      <c r="BA107" s="227"/>
      <c r="BB107" s="227"/>
      <c r="BC107" s="227"/>
      <c r="BD107" s="227"/>
      <c r="BE107" s="227"/>
      <c r="BF107" s="227"/>
      <c r="BG107" s="227"/>
      <c r="BH107" s="227"/>
      <c r="BI107" s="227"/>
      <c r="BJ107" s="227"/>
      <c r="BK107" s="227"/>
      <c r="BL107" s="227"/>
      <c r="BM107" s="227"/>
      <c r="BN107" s="227"/>
      <c r="BO107" s="227"/>
      <c r="BP107" s="227"/>
      <c r="BQ107" s="227"/>
      <c r="BR107" s="227"/>
      <c r="BS107" s="227"/>
      <c r="BT107" s="227"/>
      <c r="BU107" s="240"/>
      <c r="BV107" s="240"/>
      <c r="BW107" s="240"/>
      <c r="BX107" s="240"/>
    </row>
    <row r="108" spans="1:76" s="141" customFormat="1" ht="11.25" customHeight="1" x14ac:dyDescent="0.2">
      <c r="A108" s="5"/>
      <c r="B108" s="5"/>
      <c r="C108" s="5"/>
      <c r="D108" s="5"/>
      <c r="E108" s="5"/>
      <c r="F108" s="5"/>
      <c r="G108" s="5"/>
      <c r="H108" s="5"/>
      <c r="I108" s="5"/>
      <c r="J108" s="37"/>
      <c r="K108" s="227"/>
      <c r="L108" s="227"/>
      <c r="M108" s="227"/>
      <c r="N108" s="227"/>
      <c r="O108" s="239"/>
      <c r="P108" s="5"/>
      <c r="Q108" s="5"/>
      <c r="R108" s="5"/>
      <c r="S108" s="5"/>
      <c r="T108" s="5"/>
      <c r="U108" s="5"/>
      <c r="V108" s="5"/>
      <c r="W108" s="37"/>
      <c r="X108" s="227"/>
      <c r="Y108" s="227"/>
      <c r="Z108" s="227"/>
      <c r="AA108" s="227"/>
      <c r="AB108" s="227"/>
      <c r="AC108" s="227"/>
      <c r="AD108" s="227"/>
      <c r="AE108" s="227"/>
      <c r="AF108" s="227"/>
      <c r="AG108" s="227"/>
      <c r="AH108" s="227"/>
      <c r="AI108" s="227"/>
      <c r="AJ108" s="227"/>
      <c r="AK108" s="227"/>
      <c r="AL108" s="227"/>
      <c r="AM108" s="227"/>
      <c r="AN108" s="227"/>
      <c r="AO108" s="227"/>
      <c r="AP108" s="227"/>
      <c r="AQ108" s="227"/>
      <c r="AR108" s="227"/>
      <c r="AS108" s="227"/>
      <c r="AT108" s="227"/>
      <c r="AU108" s="227"/>
      <c r="AV108" s="227"/>
      <c r="AW108" s="227"/>
      <c r="AX108" s="227"/>
      <c r="AY108" s="227"/>
      <c r="AZ108" s="227"/>
      <c r="BA108" s="227"/>
      <c r="BB108" s="227"/>
      <c r="BC108" s="227"/>
      <c r="BD108" s="227"/>
      <c r="BE108" s="227"/>
      <c r="BF108" s="227"/>
      <c r="BG108" s="227"/>
      <c r="BH108" s="227"/>
      <c r="BI108" s="227"/>
      <c r="BJ108" s="227"/>
      <c r="BK108" s="227"/>
      <c r="BL108" s="227"/>
      <c r="BM108" s="227"/>
      <c r="BN108" s="227"/>
      <c r="BO108" s="227"/>
      <c r="BP108" s="227"/>
      <c r="BQ108" s="227"/>
      <c r="BR108" s="227"/>
      <c r="BS108" s="227"/>
      <c r="BT108" s="227"/>
      <c r="BU108" s="240"/>
      <c r="BV108" s="240"/>
      <c r="BW108" s="240"/>
      <c r="BX108" s="240"/>
    </row>
    <row r="109" spans="1:76" s="141" customFormat="1" ht="11.25" customHeight="1" x14ac:dyDescent="0.2">
      <c r="A109" s="5"/>
      <c r="B109" s="5"/>
      <c r="C109" s="5"/>
      <c r="D109" s="5"/>
      <c r="E109" s="5"/>
      <c r="F109" s="5"/>
      <c r="G109" s="5"/>
      <c r="H109" s="5"/>
      <c r="I109" s="5"/>
      <c r="J109" s="37"/>
      <c r="K109" s="227"/>
      <c r="L109" s="227"/>
      <c r="M109" s="227"/>
      <c r="N109" s="227"/>
      <c r="O109" s="239"/>
      <c r="P109" s="5"/>
      <c r="Q109" s="5"/>
      <c r="R109" s="5"/>
      <c r="S109" s="5"/>
      <c r="T109" s="5"/>
      <c r="U109" s="5"/>
      <c r="V109" s="5"/>
      <c r="W109" s="37"/>
      <c r="X109" s="227"/>
      <c r="Y109" s="227"/>
      <c r="Z109" s="227"/>
      <c r="AA109" s="227"/>
      <c r="AB109" s="227"/>
      <c r="AC109" s="227"/>
      <c r="AD109" s="227"/>
      <c r="AE109" s="227"/>
      <c r="AF109" s="227"/>
      <c r="AG109" s="227"/>
      <c r="AH109" s="227"/>
      <c r="AI109" s="227"/>
      <c r="AJ109" s="227"/>
      <c r="AK109" s="227"/>
      <c r="AL109" s="227"/>
      <c r="AM109" s="227"/>
      <c r="AN109" s="227"/>
      <c r="AO109" s="227"/>
      <c r="AP109" s="227"/>
      <c r="AQ109" s="227"/>
      <c r="AR109" s="227"/>
      <c r="AS109" s="227"/>
      <c r="AT109" s="227"/>
      <c r="AU109" s="227"/>
      <c r="AV109" s="227"/>
      <c r="AW109" s="227"/>
      <c r="AX109" s="227"/>
      <c r="AY109" s="227"/>
      <c r="AZ109" s="227"/>
      <c r="BA109" s="227"/>
      <c r="BB109" s="227"/>
      <c r="BC109" s="227"/>
      <c r="BD109" s="227"/>
      <c r="BE109" s="227"/>
      <c r="BF109" s="227"/>
      <c r="BG109" s="227"/>
      <c r="BH109" s="227"/>
      <c r="BI109" s="227"/>
      <c r="BJ109" s="227"/>
      <c r="BK109" s="227"/>
      <c r="BL109" s="227"/>
      <c r="BM109" s="227"/>
      <c r="BN109" s="227"/>
      <c r="BO109" s="227"/>
      <c r="BP109" s="227"/>
      <c r="BQ109" s="227"/>
      <c r="BR109" s="227"/>
      <c r="BS109" s="227"/>
      <c r="BT109" s="227"/>
      <c r="BU109" s="240"/>
      <c r="BV109" s="240"/>
      <c r="BW109" s="240"/>
      <c r="BX109" s="240"/>
    </row>
    <row r="110" spans="1:76" s="141" customFormat="1" ht="11.25" customHeight="1" x14ac:dyDescent="0.2">
      <c r="A110" s="5"/>
      <c r="B110" s="5"/>
      <c r="C110" s="5"/>
      <c r="D110" s="5"/>
      <c r="E110" s="5"/>
      <c r="F110" s="5"/>
      <c r="G110" s="5"/>
      <c r="H110" s="5"/>
      <c r="I110" s="5"/>
      <c r="J110" s="37"/>
      <c r="K110" s="227"/>
      <c r="L110" s="227"/>
      <c r="M110" s="227"/>
      <c r="N110" s="227"/>
      <c r="O110" s="239"/>
      <c r="P110" s="5"/>
      <c r="Q110" s="5"/>
      <c r="R110" s="5"/>
      <c r="S110" s="5"/>
      <c r="T110" s="5"/>
      <c r="U110" s="5"/>
      <c r="V110" s="5"/>
      <c r="W110" s="37"/>
      <c r="X110" s="227"/>
      <c r="Y110" s="227"/>
      <c r="Z110" s="227"/>
      <c r="AA110" s="227"/>
      <c r="AB110" s="227"/>
      <c r="AC110" s="227"/>
      <c r="AD110" s="227"/>
      <c r="AE110" s="227"/>
      <c r="AF110" s="227"/>
      <c r="AG110" s="227"/>
      <c r="AH110" s="227"/>
      <c r="AI110" s="227"/>
      <c r="AJ110" s="227"/>
      <c r="AK110" s="227"/>
      <c r="AL110" s="227"/>
      <c r="AM110" s="227"/>
      <c r="AN110" s="227"/>
      <c r="AO110" s="227"/>
      <c r="AP110" s="227"/>
      <c r="AQ110" s="227"/>
      <c r="AR110" s="227"/>
      <c r="AS110" s="227"/>
      <c r="AT110" s="227"/>
      <c r="AU110" s="227"/>
      <c r="AV110" s="227"/>
      <c r="AW110" s="227"/>
      <c r="AX110" s="227"/>
      <c r="AY110" s="227"/>
      <c r="AZ110" s="227"/>
      <c r="BA110" s="227"/>
      <c r="BB110" s="227"/>
      <c r="BC110" s="227"/>
      <c r="BD110" s="227"/>
      <c r="BE110" s="227"/>
      <c r="BF110" s="227"/>
      <c r="BG110" s="227"/>
      <c r="BH110" s="227"/>
      <c r="BI110" s="227"/>
      <c r="BJ110" s="227"/>
      <c r="BK110" s="227"/>
      <c r="BL110" s="227"/>
      <c r="BM110" s="227"/>
      <c r="BN110" s="227"/>
      <c r="BO110" s="227"/>
      <c r="BP110" s="227"/>
      <c r="BQ110" s="227"/>
      <c r="BR110" s="227"/>
      <c r="BS110" s="227"/>
      <c r="BT110" s="227"/>
      <c r="BU110" s="240"/>
      <c r="BV110" s="240"/>
      <c r="BW110" s="240"/>
      <c r="BX110" s="240"/>
    </row>
    <row r="111" spans="1:76" s="141" customFormat="1" ht="11.25" customHeight="1" x14ac:dyDescent="0.2">
      <c r="A111" s="5"/>
      <c r="B111" s="5"/>
      <c r="C111" s="5"/>
      <c r="D111" s="5"/>
      <c r="E111" s="5"/>
      <c r="F111" s="5"/>
      <c r="G111" s="5"/>
      <c r="H111" s="5"/>
      <c r="I111" s="5"/>
      <c r="J111" s="37"/>
      <c r="K111" s="227"/>
      <c r="L111" s="227"/>
      <c r="M111" s="227"/>
      <c r="N111" s="227"/>
      <c r="O111" s="239"/>
      <c r="P111" s="5"/>
      <c r="Q111" s="5"/>
      <c r="R111" s="5"/>
      <c r="S111" s="5"/>
      <c r="T111" s="5"/>
      <c r="U111" s="5"/>
      <c r="V111" s="5"/>
      <c r="W111" s="37"/>
      <c r="X111" s="227"/>
      <c r="Y111" s="227"/>
      <c r="Z111" s="227"/>
      <c r="AA111" s="227"/>
      <c r="AB111" s="227"/>
      <c r="AC111" s="227"/>
      <c r="AD111" s="227"/>
      <c r="AE111" s="227"/>
      <c r="AF111" s="227"/>
      <c r="AG111" s="227"/>
      <c r="AH111" s="227"/>
      <c r="AI111" s="227"/>
      <c r="AJ111" s="227"/>
      <c r="AK111" s="227"/>
      <c r="AL111" s="227"/>
      <c r="AM111" s="227"/>
      <c r="AN111" s="227"/>
      <c r="AO111" s="227"/>
      <c r="AP111" s="227"/>
      <c r="AQ111" s="227"/>
      <c r="AR111" s="227"/>
      <c r="AS111" s="227"/>
      <c r="AT111" s="227"/>
      <c r="AU111" s="227"/>
      <c r="AV111" s="227"/>
      <c r="AW111" s="227"/>
      <c r="AX111" s="227"/>
      <c r="AY111" s="227"/>
      <c r="AZ111" s="227"/>
      <c r="BA111" s="227"/>
      <c r="BB111" s="227"/>
      <c r="BC111" s="227"/>
      <c r="BD111" s="227"/>
      <c r="BE111" s="227"/>
      <c r="BF111" s="227"/>
      <c r="BG111" s="227"/>
      <c r="BH111" s="227"/>
      <c r="BI111" s="227"/>
      <c r="BJ111" s="227"/>
      <c r="BK111" s="227"/>
      <c r="BL111" s="227"/>
      <c r="BM111" s="227"/>
      <c r="BN111" s="227"/>
      <c r="BO111" s="227"/>
      <c r="BP111" s="227"/>
      <c r="BQ111" s="227"/>
      <c r="BR111" s="227"/>
      <c r="BS111" s="227"/>
      <c r="BT111" s="227"/>
      <c r="BU111" s="240"/>
      <c r="BV111" s="240"/>
      <c r="BW111" s="240"/>
      <c r="BX111" s="240"/>
    </row>
    <row r="112" spans="1:76" s="141" customFormat="1" ht="11.25" customHeight="1" x14ac:dyDescent="0.2">
      <c r="A112" s="5"/>
      <c r="B112" s="5"/>
      <c r="C112" s="5"/>
      <c r="D112" s="5"/>
      <c r="E112" s="5"/>
      <c r="F112" s="5"/>
      <c r="G112" s="5"/>
      <c r="H112" s="5"/>
      <c r="I112" s="5"/>
      <c r="J112" s="37"/>
      <c r="K112" s="227"/>
      <c r="L112" s="227"/>
      <c r="M112" s="227"/>
      <c r="N112" s="227"/>
      <c r="O112" s="239"/>
      <c r="P112" s="5"/>
      <c r="Q112" s="5"/>
      <c r="R112" s="5"/>
      <c r="S112" s="5"/>
      <c r="T112" s="5"/>
      <c r="U112" s="5"/>
      <c r="V112" s="5"/>
      <c r="W112" s="37"/>
      <c r="X112" s="227"/>
      <c r="Y112" s="227"/>
      <c r="Z112" s="227"/>
      <c r="AA112" s="227"/>
      <c r="AB112" s="227"/>
      <c r="AC112" s="227"/>
      <c r="AD112" s="227"/>
      <c r="AE112" s="227"/>
      <c r="AF112" s="227"/>
      <c r="AG112" s="227"/>
      <c r="AH112" s="227"/>
      <c r="AI112" s="227"/>
      <c r="AJ112" s="227"/>
      <c r="AK112" s="227"/>
      <c r="AL112" s="227"/>
      <c r="AM112" s="227"/>
      <c r="AN112" s="227"/>
      <c r="AO112" s="227"/>
      <c r="AP112" s="227"/>
      <c r="AQ112" s="227"/>
      <c r="AR112" s="227"/>
      <c r="AS112" s="227"/>
      <c r="AT112" s="227"/>
      <c r="AU112" s="227"/>
      <c r="AV112" s="227"/>
      <c r="AW112" s="227"/>
      <c r="AX112" s="227"/>
      <c r="AY112" s="227"/>
      <c r="AZ112" s="227"/>
      <c r="BA112" s="227"/>
      <c r="BB112" s="227"/>
      <c r="BC112" s="227"/>
      <c r="BD112" s="227"/>
      <c r="BE112" s="227"/>
      <c r="BF112" s="227"/>
      <c r="BG112" s="227"/>
      <c r="BH112" s="227"/>
      <c r="BI112" s="227"/>
      <c r="BJ112" s="227"/>
      <c r="BK112" s="227"/>
      <c r="BL112" s="227"/>
      <c r="BM112" s="227"/>
      <c r="BN112" s="227"/>
      <c r="BO112" s="227"/>
      <c r="BP112" s="227"/>
      <c r="BQ112" s="227"/>
      <c r="BR112" s="227"/>
      <c r="BS112" s="227"/>
      <c r="BT112" s="227"/>
      <c r="BU112" s="240"/>
      <c r="BV112" s="240"/>
      <c r="BW112" s="240"/>
      <c r="BX112" s="240"/>
    </row>
    <row r="113" spans="1:76" s="141" customFormat="1" ht="11.25" customHeight="1" x14ac:dyDescent="0.2">
      <c r="A113" s="5"/>
      <c r="B113" s="5"/>
      <c r="C113" s="5"/>
      <c r="D113" s="5"/>
      <c r="E113" s="5"/>
      <c r="F113" s="5"/>
      <c r="G113" s="5"/>
      <c r="H113" s="5"/>
      <c r="I113" s="5"/>
      <c r="J113" s="37"/>
      <c r="K113" s="227"/>
      <c r="L113" s="227"/>
      <c r="M113" s="227"/>
      <c r="N113" s="227"/>
      <c r="O113" s="239"/>
      <c r="P113" s="5"/>
      <c r="Q113" s="5"/>
      <c r="R113" s="5"/>
      <c r="S113" s="5"/>
      <c r="T113" s="5"/>
      <c r="U113" s="5"/>
      <c r="V113" s="5"/>
      <c r="W113" s="37"/>
      <c r="X113" s="227"/>
      <c r="Y113" s="227"/>
      <c r="Z113" s="227"/>
      <c r="AA113" s="227"/>
      <c r="AB113" s="227"/>
      <c r="AC113" s="227"/>
      <c r="AD113" s="227"/>
      <c r="AE113" s="227"/>
      <c r="AF113" s="227"/>
      <c r="AG113" s="227"/>
      <c r="AH113" s="227"/>
      <c r="AI113" s="227"/>
      <c r="AJ113" s="227"/>
      <c r="AK113" s="227"/>
      <c r="AL113" s="227"/>
      <c r="AM113" s="227"/>
      <c r="AN113" s="227"/>
      <c r="AO113" s="227"/>
      <c r="AP113" s="227"/>
      <c r="AQ113" s="227"/>
      <c r="AR113" s="227"/>
      <c r="AS113" s="227"/>
      <c r="AT113" s="227"/>
      <c r="AU113" s="227"/>
      <c r="AV113" s="227"/>
      <c r="AW113" s="227"/>
      <c r="AX113" s="227"/>
      <c r="AY113" s="227"/>
      <c r="AZ113" s="227"/>
      <c r="BA113" s="227"/>
      <c r="BB113" s="227"/>
      <c r="BC113" s="227"/>
      <c r="BD113" s="227"/>
      <c r="BE113" s="227"/>
      <c r="BF113" s="227"/>
      <c r="BG113" s="227"/>
      <c r="BH113" s="227"/>
      <c r="BI113" s="227"/>
      <c r="BJ113" s="227"/>
      <c r="BK113" s="227"/>
      <c r="BL113" s="227"/>
      <c r="BM113" s="227"/>
      <c r="BN113" s="227"/>
      <c r="BO113" s="227"/>
      <c r="BP113" s="227"/>
      <c r="BQ113" s="227"/>
      <c r="BR113" s="227"/>
      <c r="BS113" s="227"/>
      <c r="BT113" s="227"/>
      <c r="BU113" s="240"/>
      <c r="BV113" s="240"/>
      <c r="BW113" s="240"/>
      <c r="BX113" s="240"/>
    </row>
    <row r="114" spans="1:76" s="141" customFormat="1" ht="11.25" customHeight="1" x14ac:dyDescent="0.2">
      <c r="A114" s="5"/>
      <c r="B114" s="5"/>
      <c r="C114" s="5"/>
      <c r="D114" s="5"/>
      <c r="E114" s="5"/>
      <c r="F114" s="5"/>
      <c r="G114" s="5"/>
      <c r="H114" s="5"/>
      <c r="I114" s="5"/>
      <c r="J114" s="37"/>
      <c r="K114" s="227"/>
      <c r="L114" s="227"/>
      <c r="M114" s="227"/>
      <c r="N114" s="227"/>
      <c r="O114" s="239"/>
      <c r="P114" s="5"/>
      <c r="Q114" s="5"/>
      <c r="R114" s="5"/>
      <c r="S114" s="5"/>
      <c r="T114" s="5"/>
      <c r="U114" s="5"/>
      <c r="V114" s="5"/>
      <c r="W114" s="37"/>
      <c r="X114" s="227"/>
      <c r="Y114" s="227"/>
      <c r="Z114" s="227"/>
      <c r="AA114" s="227"/>
      <c r="AB114" s="227"/>
      <c r="AC114" s="227"/>
      <c r="AD114" s="227"/>
      <c r="AE114" s="227"/>
      <c r="AF114" s="227"/>
      <c r="AG114" s="227"/>
      <c r="AH114" s="227"/>
      <c r="AI114" s="227"/>
      <c r="AJ114" s="227"/>
      <c r="AK114" s="227"/>
      <c r="AL114" s="227"/>
      <c r="AM114" s="227"/>
      <c r="AN114" s="227"/>
      <c r="AO114" s="227"/>
      <c r="AP114" s="227"/>
      <c r="AQ114" s="227"/>
      <c r="AR114" s="227"/>
      <c r="AS114" s="227"/>
      <c r="AT114" s="227"/>
      <c r="AU114" s="227"/>
      <c r="AV114" s="227"/>
      <c r="AW114" s="227"/>
      <c r="AX114" s="227"/>
      <c r="AY114" s="227"/>
      <c r="AZ114" s="227"/>
      <c r="BA114" s="227"/>
      <c r="BB114" s="227"/>
      <c r="BC114" s="227"/>
      <c r="BD114" s="227"/>
      <c r="BE114" s="227"/>
      <c r="BF114" s="227"/>
      <c r="BG114" s="227"/>
      <c r="BH114" s="227"/>
      <c r="BI114" s="227"/>
      <c r="BJ114" s="227"/>
      <c r="BK114" s="227"/>
      <c r="BL114" s="227"/>
      <c r="BM114" s="227"/>
      <c r="BN114" s="227"/>
      <c r="BO114" s="227"/>
      <c r="BP114" s="227"/>
      <c r="BQ114" s="227"/>
      <c r="BR114" s="227"/>
      <c r="BS114" s="227"/>
      <c r="BT114" s="227"/>
      <c r="BU114" s="240"/>
      <c r="BV114" s="240"/>
      <c r="BW114" s="240"/>
      <c r="BX114" s="240"/>
    </row>
    <row r="115" spans="1:76" s="141" customFormat="1" ht="11.25" customHeight="1" x14ac:dyDescent="0.2">
      <c r="A115" s="5"/>
      <c r="B115" s="5"/>
      <c r="C115" s="5"/>
      <c r="D115" s="5"/>
      <c r="E115" s="5"/>
      <c r="F115" s="5"/>
      <c r="G115" s="5"/>
      <c r="H115" s="5"/>
      <c r="I115" s="5"/>
      <c r="J115" s="37"/>
      <c r="K115" s="227"/>
      <c r="L115" s="227"/>
      <c r="M115" s="227"/>
      <c r="N115" s="227"/>
      <c r="O115" s="239"/>
      <c r="P115" s="5"/>
      <c r="Q115" s="5"/>
      <c r="R115" s="5"/>
      <c r="S115" s="5"/>
      <c r="T115" s="5"/>
      <c r="U115" s="5"/>
      <c r="V115" s="5"/>
      <c r="W115" s="37"/>
      <c r="X115" s="227"/>
      <c r="Y115" s="227"/>
      <c r="Z115" s="227"/>
      <c r="AA115" s="227"/>
      <c r="AB115" s="227"/>
      <c r="AC115" s="227"/>
      <c r="AD115" s="227"/>
      <c r="AE115" s="227"/>
      <c r="AF115" s="227"/>
      <c r="AG115" s="227"/>
      <c r="AH115" s="227"/>
      <c r="AI115" s="227"/>
      <c r="AJ115" s="227"/>
      <c r="AK115" s="227"/>
      <c r="AL115" s="227"/>
      <c r="AM115" s="227"/>
      <c r="AN115" s="227"/>
      <c r="AO115" s="227"/>
      <c r="AP115" s="227"/>
      <c r="AQ115" s="227"/>
      <c r="AR115" s="227"/>
      <c r="AS115" s="227"/>
      <c r="AT115" s="227"/>
      <c r="AU115" s="227"/>
      <c r="AV115" s="227"/>
      <c r="AW115" s="227"/>
      <c r="AX115" s="227"/>
      <c r="AY115" s="227"/>
      <c r="AZ115" s="227"/>
      <c r="BA115" s="227"/>
      <c r="BB115" s="227"/>
      <c r="BC115" s="227"/>
      <c r="BD115" s="227"/>
      <c r="BE115" s="227"/>
      <c r="BF115" s="227"/>
      <c r="BG115" s="227"/>
      <c r="BH115" s="227"/>
      <c r="BI115" s="227"/>
      <c r="BJ115" s="227"/>
      <c r="BK115" s="227"/>
      <c r="BL115" s="227"/>
      <c r="BM115" s="227"/>
      <c r="BN115" s="227"/>
      <c r="BO115" s="227"/>
      <c r="BP115" s="227"/>
      <c r="BQ115" s="227"/>
      <c r="BR115" s="227"/>
      <c r="BS115" s="227"/>
      <c r="BT115" s="227"/>
      <c r="BU115" s="240"/>
      <c r="BV115" s="240"/>
      <c r="BW115" s="240"/>
      <c r="BX115" s="240"/>
    </row>
    <row r="116" spans="1:76" s="141" customFormat="1" ht="11.25" customHeight="1" x14ac:dyDescent="0.2">
      <c r="A116" s="5"/>
      <c r="B116" s="5"/>
      <c r="C116" s="5"/>
      <c r="D116" s="5"/>
      <c r="E116" s="5"/>
      <c r="F116" s="5"/>
      <c r="G116" s="5"/>
      <c r="H116" s="5"/>
      <c r="I116" s="5"/>
      <c r="J116" s="37"/>
      <c r="K116" s="227"/>
      <c r="L116" s="227"/>
      <c r="M116" s="227"/>
      <c r="N116" s="227"/>
      <c r="O116" s="239"/>
      <c r="P116" s="5"/>
      <c r="Q116" s="5"/>
      <c r="R116" s="5"/>
      <c r="S116" s="5"/>
      <c r="T116" s="5"/>
      <c r="U116" s="5"/>
      <c r="V116" s="5"/>
      <c r="W116" s="37"/>
      <c r="X116" s="227"/>
      <c r="Y116" s="227"/>
      <c r="Z116" s="227"/>
      <c r="AA116" s="227"/>
      <c r="AB116" s="227"/>
      <c r="AC116" s="227"/>
      <c r="AD116" s="227"/>
      <c r="AE116" s="227"/>
      <c r="AF116" s="227"/>
      <c r="AG116" s="227"/>
      <c r="AH116" s="227"/>
      <c r="AI116" s="227"/>
      <c r="AJ116" s="227"/>
      <c r="AK116" s="227"/>
      <c r="AL116" s="227"/>
      <c r="AM116" s="227"/>
      <c r="AN116" s="227"/>
      <c r="AO116" s="227"/>
      <c r="AP116" s="227"/>
      <c r="AQ116" s="227"/>
      <c r="AR116" s="227"/>
      <c r="AS116" s="227"/>
      <c r="AT116" s="227"/>
      <c r="AU116" s="227"/>
      <c r="AV116" s="227"/>
      <c r="AW116" s="227"/>
      <c r="AX116" s="227"/>
      <c r="AY116" s="227"/>
      <c r="AZ116" s="227"/>
      <c r="BA116" s="227"/>
      <c r="BB116" s="227"/>
      <c r="BC116" s="227"/>
      <c r="BD116" s="227"/>
      <c r="BE116" s="227"/>
      <c r="BF116" s="227"/>
      <c r="BG116" s="227"/>
      <c r="BH116" s="227"/>
      <c r="BI116" s="227"/>
      <c r="BJ116" s="227"/>
      <c r="BK116" s="227"/>
      <c r="BL116" s="227"/>
      <c r="BM116" s="227"/>
      <c r="BN116" s="227"/>
      <c r="BO116" s="227"/>
      <c r="BP116" s="227"/>
      <c r="BQ116" s="227"/>
      <c r="BR116" s="227"/>
      <c r="BS116" s="227"/>
      <c r="BT116" s="227"/>
      <c r="BU116" s="240"/>
      <c r="BV116" s="240"/>
      <c r="BW116" s="240"/>
      <c r="BX116" s="240"/>
    </row>
    <row r="117" spans="1:76" s="141" customFormat="1" ht="11.25" customHeight="1" x14ac:dyDescent="0.2">
      <c r="A117" s="5"/>
      <c r="B117" s="5"/>
      <c r="C117" s="5"/>
      <c r="D117" s="5"/>
      <c r="E117" s="5"/>
      <c r="F117" s="5"/>
      <c r="G117" s="5"/>
      <c r="H117" s="5"/>
      <c r="I117" s="5"/>
      <c r="J117" s="37"/>
      <c r="K117" s="227"/>
      <c r="L117" s="227"/>
      <c r="M117" s="227"/>
      <c r="N117" s="227"/>
      <c r="O117" s="239"/>
      <c r="P117" s="5"/>
      <c r="Q117" s="5"/>
      <c r="R117" s="5"/>
      <c r="S117" s="5"/>
      <c r="T117" s="5"/>
      <c r="U117" s="5"/>
      <c r="V117" s="5"/>
      <c r="W117" s="37"/>
      <c r="X117" s="227"/>
      <c r="Y117" s="227"/>
      <c r="Z117" s="227"/>
      <c r="AA117" s="227"/>
      <c r="AB117" s="227"/>
      <c r="AC117" s="227"/>
      <c r="AD117" s="227"/>
      <c r="AE117" s="227"/>
      <c r="AF117" s="227"/>
      <c r="AG117" s="227"/>
      <c r="AH117" s="227"/>
      <c r="AI117" s="227"/>
      <c r="AJ117" s="227"/>
      <c r="AK117" s="227"/>
      <c r="AL117" s="227"/>
      <c r="AM117" s="227"/>
      <c r="AN117" s="227"/>
      <c r="AO117" s="227"/>
      <c r="AP117" s="227"/>
      <c r="AQ117" s="227"/>
      <c r="AR117" s="227"/>
      <c r="AS117" s="227"/>
      <c r="AT117" s="227"/>
      <c r="AU117" s="227"/>
      <c r="AV117" s="227"/>
      <c r="AW117" s="227"/>
      <c r="AX117" s="227"/>
      <c r="AY117" s="227"/>
      <c r="AZ117" s="227"/>
      <c r="BA117" s="227"/>
      <c r="BB117" s="227"/>
      <c r="BC117" s="227"/>
      <c r="BD117" s="227"/>
      <c r="BE117" s="227"/>
      <c r="BF117" s="227"/>
      <c r="BG117" s="227"/>
      <c r="BH117" s="227"/>
      <c r="BI117" s="227"/>
      <c r="BJ117" s="227"/>
      <c r="BK117" s="227"/>
      <c r="BL117" s="227"/>
      <c r="BM117" s="227"/>
      <c r="BN117" s="227"/>
      <c r="BO117" s="227"/>
      <c r="BP117" s="227"/>
      <c r="BQ117" s="227"/>
      <c r="BR117" s="227"/>
      <c r="BS117" s="227"/>
      <c r="BT117" s="227"/>
      <c r="BU117" s="240"/>
      <c r="BV117" s="240"/>
      <c r="BW117" s="240"/>
      <c r="BX117" s="240"/>
    </row>
    <row r="118" spans="1:76" s="141" customFormat="1" ht="11.25" customHeight="1" x14ac:dyDescent="0.2">
      <c r="A118" s="5"/>
      <c r="B118" s="5"/>
      <c r="C118" s="5"/>
      <c r="D118" s="5"/>
      <c r="E118" s="5"/>
      <c r="F118" s="5"/>
      <c r="G118" s="5"/>
      <c r="H118" s="5"/>
      <c r="I118" s="5"/>
      <c r="J118" s="37"/>
      <c r="K118" s="227"/>
      <c r="L118" s="227"/>
      <c r="M118" s="227"/>
      <c r="N118" s="227"/>
      <c r="O118" s="239"/>
      <c r="P118" s="5"/>
      <c r="Q118" s="5"/>
      <c r="R118" s="5"/>
      <c r="S118" s="5"/>
      <c r="T118" s="5"/>
      <c r="U118" s="5"/>
      <c r="V118" s="5"/>
      <c r="W118" s="37"/>
      <c r="X118" s="227"/>
      <c r="Y118" s="227"/>
      <c r="Z118" s="227"/>
      <c r="AA118" s="227"/>
      <c r="AB118" s="227"/>
      <c r="AC118" s="227"/>
      <c r="AD118" s="227"/>
      <c r="AE118" s="227"/>
      <c r="AF118" s="227"/>
      <c r="AG118" s="227"/>
      <c r="AH118" s="227"/>
      <c r="AI118" s="227"/>
      <c r="AJ118" s="227"/>
      <c r="AK118" s="227"/>
      <c r="AL118" s="227"/>
      <c r="AM118" s="227"/>
      <c r="AN118" s="227"/>
      <c r="AO118" s="227"/>
      <c r="AP118" s="227"/>
      <c r="AQ118" s="227"/>
      <c r="AR118" s="227"/>
      <c r="AS118" s="227"/>
      <c r="AT118" s="227"/>
      <c r="AU118" s="227"/>
      <c r="AV118" s="227"/>
      <c r="AW118" s="227"/>
      <c r="AX118" s="227"/>
      <c r="AY118" s="227"/>
      <c r="AZ118" s="227"/>
      <c r="BA118" s="227"/>
      <c r="BB118" s="227"/>
      <c r="BC118" s="227"/>
      <c r="BD118" s="227"/>
      <c r="BE118" s="227"/>
      <c r="BF118" s="227"/>
      <c r="BG118" s="227"/>
      <c r="BH118" s="227"/>
      <c r="BI118" s="227"/>
      <c r="BJ118" s="227"/>
      <c r="BK118" s="227"/>
      <c r="BL118" s="227"/>
      <c r="BM118" s="227"/>
      <c r="BN118" s="227"/>
      <c r="BO118" s="227"/>
      <c r="BP118" s="227"/>
      <c r="BQ118" s="227"/>
      <c r="BR118" s="227"/>
      <c r="BS118" s="227"/>
      <c r="BT118" s="227"/>
      <c r="BU118" s="240"/>
      <c r="BV118" s="240"/>
      <c r="BW118" s="240"/>
      <c r="BX118" s="240"/>
    </row>
    <row r="119" spans="1:76" s="141" customFormat="1" ht="11.25" customHeight="1" x14ac:dyDescent="0.2">
      <c r="A119" s="5"/>
      <c r="B119" s="5"/>
      <c r="C119" s="5"/>
      <c r="D119" s="5"/>
      <c r="E119" s="5"/>
      <c r="F119" s="5"/>
      <c r="G119" s="5"/>
      <c r="H119" s="5"/>
      <c r="I119" s="5"/>
      <c r="J119" s="37"/>
      <c r="K119" s="227"/>
      <c r="L119" s="227"/>
      <c r="M119" s="227"/>
      <c r="N119" s="227"/>
      <c r="O119" s="239"/>
      <c r="P119" s="5"/>
      <c r="Q119" s="5"/>
      <c r="R119" s="5"/>
      <c r="S119" s="5"/>
      <c r="T119" s="5"/>
      <c r="U119" s="5"/>
      <c r="V119" s="5"/>
      <c r="W119" s="37"/>
      <c r="X119" s="227"/>
      <c r="Y119" s="227"/>
      <c r="Z119" s="227"/>
      <c r="AA119" s="227"/>
      <c r="AB119" s="227"/>
      <c r="AC119" s="227"/>
      <c r="AD119" s="227"/>
      <c r="AE119" s="227"/>
      <c r="AF119" s="227"/>
      <c r="AG119" s="227"/>
      <c r="AH119" s="227"/>
      <c r="AI119" s="227"/>
      <c r="AJ119" s="227"/>
      <c r="AK119" s="227"/>
      <c r="AL119" s="227"/>
      <c r="AM119" s="227"/>
      <c r="AN119" s="227"/>
      <c r="AO119" s="227"/>
      <c r="AP119" s="227"/>
      <c r="AQ119" s="227"/>
      <c r="AR119" s="227"/>
      <c r="AS119" s="227"/>
      <c r="AT119" s="227"/>
      <c r="AU119" s="227"/>
      <c r="AV119" s="227"/>
      <c r="AW119" s="227"/>
      <c r="AX119" s="227"/>
      <c r="AY119" s="227"/>
      <c r="AZ119" s="227"/>
      <c r="BA119" s="227"/>
      <c r="BB119" s="227"/>
      <c r="BC119" s="227"/>
      <c r="BD119" s="227"/>
      <c r="BE119" s="227"/>
      <c r="BF119" s="227"/>
      <c r="BG119" s="227"/>
      <c r="BH119" s="227"/>
      <c r="BI119" s="227"/>
      <c r="BJ119" s="227"/>
      <c r="BK119" s="227"/>
      <c r="BL119" s="227"/>
      <c r="BM119" s="227"/>
      <c r="BN119" s="227"/>
      <c r="BO119" s="227"/>
      <c r="BP119" s="227"/>
      <c r="BQ119" s="227"/>
      <c r="BR119" s="227"/>
      <c r="BS119" s="227"/>
      <c r="BT119" s="227"/>
      <c r="BU119" s="240"/>
      <c r="BV119" s="240"/>
      <c r="BW119" s="240"/>
      <c r="BX119" s="240"/>
    </row>
    <row r="120" spans="1:76" s="141" customFormat="1" ht="11.25" customHeight="1" x14ac:dyDescent="0.2">
      <c r="A120" s="5"/>
      <c r="B120" s="5"/>
      <c r="C120" s="5"/>
      <c r="D120" s="5"/>
      <c r="E120" s="5"/>
      <c r="F120" s="5"/>
      <c r="G120" s="5"/>
      <c r="H120" s="5"/>
      <c r="I120" s="5"/>
      <c r="J120" s="37"/>
      <c r="K120" s="227"/>
      <c r="L120" s="227"/>
      <c r="M120" s="227"/>
      <c r="N120" s="227"/>
      <c r="O120" s="239"/>
      <c r="P120" s="5"/>
      <c r="Q120" s="5"/>
      <c r="R120" s="5"/>
      <c r="S120" s="5"/>
      <c r="T120" s="5"/>
      <c r="U120" s="5"/>
      <c r="V120" s="5"/>
      <c r="W120" s="37"/>
      <c r="X120" s="227"/>
      <c r="Y120" s="227"/>
      <c r="Z120" s="227"/>
      <c r="AA120" s="227"/>
      <c r="AB120" s="227"/>
      <c r="AC120" s="227"/>
      <c r="AD120" s="227"/>
      <c r="AE120" s="227"/>
      <c r="AF120" s="227"/>
      <c r="AG120" s="227"/>
      <c r="AH120" s="227"/>
      <c r="AI120" s="227"/>
      <c r="AJ120" s="227"/>
      <c r="AK120" s="227"/>
      <c r="AL120" s="227"/>
      <c r="AM120" s="227"/>
      <c r="AN120" s="227"/>
      <c r="AO120" s="227"/>
      <c r="AP120" s="227"/>
      <c r="AQ120" s="227"/>
      <c r="AR120" s="227"/>
      <c r="AS120" s="227"/>
      <c r="AT120" s="227"/>
      <c r="AU120" s="227"/>
      <c r="AV120" s="227"/>
      <c r="AW120" s="227"/>
      <c r="AX120" s="227"/>
      <c r="AY120" s="227"/>
      <c r="AZ120" s="227"/>
      <c r="BA120" s="227"/>
      <c r="BB120" s="227"/>
      <c r="BC120" s="227"/>
      <c r="BD120" s="227"/>
      <c r="BE120" s="227"/>
      <c r="BF120" s="227"/>
      <c r="BG120" s="227"/>
      <c r="BH120" s="227"/>
      <c r="BI120" s="227"/>
      <c r="BJ120" s="227"/>
      <c r="BK120" s="227"/>
      <c r="BL120" s="227"/>
      <c r="BM120" s="227"/>
      <c r="BN120" s="227"/>
      <c r="BO120" s="227"/>
      <c r="BP120" s="227"/>
      <c r="BQ120" s="227"/>
      <c r="BR120" s="227"/>
      <c r="BS120" s="227"/>
      <c r="BT120" s="227"/>
      <c r="BU120" s="240"/>
      <c r="BV120" s="240"/>
      <c r="BW120" s="240"/>
      <c r="BX120" s="240"/>
    </row>
    <row r="121" spans="1:76" s="141" customFormat="1" ht="11.25" customHeight="1" x14ac:dyDescent="0.2">
      <c r="A121" s="5"/>
      <c r="B121" s="5"/>
      <c r="C121" s="5"/>
      <c r="D121" s="5"/>
      <c r="E121" s="5"/>
      <c r="F121" s="5"/>
      <c r="G121" s="5"/>
      <c r="H121" s="5"/>
      <c r="I121" s="5"/>
      <c r="J121" s="37"/>
      <c r="K121" s="227"/>
      <c r="L121" s="227"/>
      <c r="M121" s="227"/>
      <c r="N121" s="227"/>
      <c r="O121" s="239"/>
      <c r="P121" s="5"/>
      <c r="Q121" s="5"/>
      <c r="R121" s="5"/>
      <c r="S121" s="5"/>
      <c r="T121" s="5"/>
      <c r="U121" s="5"/>
      <c r="V121" s="5"/>
      <c r="W121" s="37"/>
      <c r="X121" s="227"/>
      <c r="Y121" s="227"/>
      <c r="Z121" s="227"/>
      <c r="AA121" s="227"/>
      <c r="AB121" s="227"/>
      <c r="AC121" s="227"/>
      <c r="AD121" s="227"/>
      <c r="AE121" s="227"/>
      <c r="AF121" s="227"/>
      <c r="AG121" s="227"/>
      <c r="AH121" s="227"/>
      <c r="AI121" s="227"/>
      <c r="AJ121" s="227"/>
      <c r="AK121" s="227"/>
      <c r="AL121" s="227"/>
      <c r="AM121" s="227"/>
      <c r="AN121" s="227"/>
      <c r="AO121" s="227"/>
      <c r="AP121" s="227"/>
      <c r="AQ121" s="227"/>
      <c r="AR121" s="227"/>
      <c r="AS121" s="227"/>
      <c r="AT121" s="227"/>
      <c r="AU121" s="227"/>
      <c r="AV121" s="227"/>
      <c r="AW121" s="227"/>
      <c r="AX121" s="227"/>
      <c r="AY121" s="227"/>
      <c r="AZ121" s="227"/>
      <c r="BA121" s="227"/>
      <c r="BB121" s="227"/>
      <c r="BC121" s="227"/>
      <c r="BD121" s="227"/>
      <c r="BE121" s="227"/>
      <c r="BF121" s="227"/>
      <c r="BG121" s="227"/>
      <c r="BH121" s="227"/>
      <c r="BI121" s="227"/>
      <c r="BJ121" s="227"/>
      <c r="BK121" s="227"/>
      <c r="BL121" s="227"/>
      <c r="BM121" s="227"/>
      <c r="BN121" s="227"/>
      <c r="BO121" s="227"/>
      <c r="BP121" s="227"/>
      <c r="BQ121" s="227"/>
      <c r="BR121" s="227"/>
      <c r="BS121" s="227"/>
      <c r="BT121" s="227"/>
      <c r="BU121" s="240"/>
      <c r="BV121" s="240"/>
      <c r="BW121" s="240"/>
      <c r="BX121" s="240"/>
    </row>
    <row r="122" spans="1:76" s="141" customFormat="1" ht="11.25" customHeight="1" x14ac:dyDescent="0.2">
      <c r="A122" s="5"/>
      <c r="B122" s="5"/>
      <c r="C122" s="5"/>
      <c r="D122" s="5"/>
      <c r="E122" s="5"/>
      <c r="F122" s="5"/>
      <c r="G122" s="5"/>
      <c r="H122" s="5"/>
      <c r="I122" s="5"/>
      <c r="J122" s="37"/>
      <c r="K122" s="227"/>
      <c r="L122" s="227"/>
      <c r="M122" s="227"/>
      <c r="N122" s="227"/>
      <c r="O122" s="239"/>
      <c r="P122" s="5"/>
      <c r="Q122" s="5"/>
      <c r="R122" s="5"/>
      <c r="S122" s="5"/>
      <c r="T122" s="5"/>
      <c r="U122" s="5"/>
      <c r="V122" s="5"/>
      <c r="W122" s="37"/>
      <c r="X122" s="227"/>
      <c r="Y122" s="227"/>
      <c r="Z122" s="227"/>
      <c r="AA122" s="227"/>
      <c r="AB122" s="227"/>
      <c r="AC122" s="227"/>
      <c r="AD122" s="227"/>
      <c r="AE122" s="227"/>
      <c r="AF122" s="227"/>
      <c r="AG122" s="227"/>
      <c r="AH122" s="227"/>
      <c r="AI122" s="227"/>
      <c r="AJ122" s="227"/>
      <c r="AK122" s="227"/>
      <c r="AL122" s="227"/>
      <c r="AM122" s="227"/>
      <c r="AN122" s="227"/>
      <c r="AO122" s="227"/>
      <c r="AP122" s="227"/>
      <c r="AQ122" s="227"/>
      <c r="AR122" s="227"/>
      <c r="AS122" s="227"/>
      <c r="AT122" s="227"/>
      <c r="AU122" s="227"/>
      <c r="AV122" s="227"/>
      <c r="AW122" s="227"/>
      <c r="AX122" s="227"/>
      <c r="AY122" s="227"/>
      <c r="AZ122" s="227"/>
      <c r="BA122" s="227"/>
      <c r="BB122" s="227"/>
      <c r="BC122" s="227"/>
      <c r="BD122" s="227"/>
      <c r="BE122" s="227"/>
      <c r="BF122" s="227"/>
      <c r="BG122" s="227"/>
      <c r="BH122" s="227"/>
      <c r="BI122" s="227"/>
      <c r="BJ122" s="227"/>
      <c r="BK122" s="227"/>
      <c r="BL122" s="227"/>
      <c r="BM122" s="227"/>
      <c r="BN122" s="227"/>
      <c r="BO122" s="227"/>
      <c r="BP122" s="227"/>
      <c r="BQ122" s="227"/>
      <c r="BR122" s="227"/>
      <c r="BS122" s="227"/>
      <c r="BT122" s="227"/>
      <c r="BU122" s="240"/>
      <c r="BV122" s="240"/>
      <c r="BW122" s="240"/>
      <c r="BX122" s="240"/>
    </row>
    <row r="123" spans="1:76" s="141" customFormat="1" ht="11.25" customHeight="1" x14ac:dyDescent="0.2">
      <c r="A123" s="5"/>
      <c r="B123" s="5"/>
      <c r="C123" s="5"/>
      <c r="D123" s="5"/>
      <c r="E123" s="5"/>
      <c r="F123" s="5"/>
      <c r="G123" s="5"/>
      <c r="H123" s="5"/>
      <c r="I123" s="5"/>
      <c r="J123" s="37"/>
      <c r="K123" s="227"/>
      <c r="L123" s="227"/>
      <c r="M123" s="227"/>
      <c r="N123" s="227"/>
      <c r="O123" s="239"/>
      <c r="P123" s="5"/>
      <c r="Q123" s="5"/>
      <c r="R123" s="5"/>
      <c r="S123" s="5"/>
      <c r="T123" s="5"/>
      <c r="U123" s="5"/>
      <c r="V123" s="5"/>
      <c r="W123" s="37"/>
      <c r="X123" s="227"/>
      <c r="Y123" s="227"/>
      <c r="Z123" s="227"/>
      <c r="AA123" s="227"/>
      <c r="AB123" s="227"/>
      <c r="AC123" s="227"/>
      <c r="AD123" s="227"/>
      <c r="AE123" s="227"/>
      <c r="AF123" s="227"/>
      <c r="AG123" s="227"/>
      <c r="AH123" s="227"/>
      <c r="AI123" s="227"/>
      <c r="AJ123" s="227"/>
      <c r="AK123" s="227"/>
      <c r="AL123" s="227"/>
      <c r="AM123" s="227"/>
      <c r="AN123" s="227"/>
      <c r="AO123" s="227"/>
      <c r="AP123" s="227"/>
      <c r="AQ123" s="227"/>
      <c r="AR123" s="227"/>
      <c r="AS123" s="227"/>
      <c r="AT123" s="227"/>
      <c r="AU123" s="227"/>
      <c r="AV123" s="227"/>
      <c r="AW123" s="227"/>
      <c r="AX123" s="227"/>
      <c r="AY123" s="227"/>
      <c r="AZ123" s="227"/>
      <c r="BA123" s="227"/>
      <c r="BB123" s="227"/>
      <c r="BC123" s="227"/>
      <c r="BD123" s="227"/>
      <c r="BE123" s="227"/>
      <c r="BF123" s="227"/>
      <c r="BG123" s="227"/>
      <c r="BH123" s="227"/>
      <c r="BI123" s="227"/>
      <c r="BJ123" s="227"/>
      <c r="BK123" s="227"/>
      <c r="BL123" s="227"/>
      <c r="BM123" s="227"/>
      <c r="BN123" s="227"/>
      <c r="BO123" s="227"/>
      <c r="BP123" s="227"/>
      <c r="BQ123" s="227"/>
      <c r="BR123" s="227"/>
      <c r="BS123" s="227"/>
      <c r="BT123" s="227"/>
      <c r="BU123" s="240"/>
      <c r="BV123" s="240"/>
      <c r="BW123" s="240"/>
      <c r="BX123" s="240"/>
    </row>
    <row r="124" spans="1:76" s="141" customFormat="1" ht="11.25" customHeight="1" x14ac:dyDescent="0.2">
      <c r="A124" s="5"/>
      <c r="B124" s="5"/>
      <c r="C124" s="5"/>
      <c r="D124" s="5"/>
      <c r="E124" s="5"/>
      <c r="F124" s="5"/>
      <c r="G124" s="5"/>
      <c r="H124" s="5"/>
      <c r="I124" s="5"/>
      <c r="J124" s="37"/>
      <c r="K124" s="227"/>
      <c r="L124" s="227"/>
      <c r="M124" s="227"/>
      <c r="N124" s="227"/>
      <c r="O124" s="239"/>
      <c r="P124" s="5"/>
      <c r="Q124" s="5"/>
      <c r="R124" s="5"/>
      <c r="S124" s="5"/>
      <c r="T124" s="5"/>
      <c r="U124" s="5"/>
      <c r="V124" s="5"/>
      <c r="W124" s="37"/>
      <c r="X124" s="227"/>
      <c r="Y124" s="227"/>
      <c r="Z124" s="227"/>
      <c r="AA124" s="227"/>
      <c r="AB124" s="227"/>
      <c r="AC124" s="227"/>
      <c r="AD124" s="227"/>
      <c r="AE124" s="227"/>
      <c r="AF124" s="227"/>
      <c r="AG124" s="227"/>
      <c r="AH124" s="227"/>
      <c r="AI124" s="227"/>
      <c r="AJ124" s="227"/>
      <c r="AK124" s="227"/>
      <c r="AL124" s="227"/>
      <c r="AM124" s="227"/>
      <c r="AN124" s="227"/>
      <c r="AO124" s="227"/>
      <c r="AP124" s="227"/>
      <c r="AQ124" s="227"/>
      <c r="AR124" s="227"/>
      <c r="AS124" s="227"/>
      <c r="AT124" s="227"/>
      <c r="AU124" s="227"/>
      <c r="AV124" s="227"/>
      <c r="AW124" s="227"/>
      <c r="AX124" s="227"/>
      <c r="AY124" s="227"/>
      <c r="AZ124" s="227"/>
      <c r="BA124" s="227"/>
      <c r="BB124" s="227"/>
      <c r="BC124" s="227"/>
      <c r="BD124" s="227"/>
      <c r="BE124" s="227"/>
      <c r="BF124" s="227"/>
      <c r="BG124" s="227"/>
      <c r="BH124" s="227"/>
      <c r="BI124" s="227"/>
      <c r="BJ124" s="227"/>
      <c r="BK124" s="227"/>
      <c r="BL124" s="227"/>
      <c r="BM124" s="227"/>
      <c r="BN124" s="227"/>
      <c r="BO124" s="227"/>
      <c r="BP124" s="227"/>
      <c r="BQ124" s="227"/>
      <c r="BR124" s="227"/>
      <c r="BS124" s="227"/>
      <c r="BT124" s="227"/>
      <c r="BU124" s="240"/>
      <c r="BV124" s="240"/>
      <c r="BW124" s="240"/>
      <c r="BX124" s="240"/>
    </row>
    <row r="125" spans="1:76" s="141" customFormat="1" ht="11.25" customHeight="1" x14ac:dyDescent="0.2">
      <c r="A125" s="5"/>
      <c r="B125" s="5"/>
      <c r="C125" s="5"/>
      <c r="D125" s="5"/>
      <c r="E125" s="5"/>
      <c r="F125" s="5"/>
      <c r="G125" s="5"/>
      <c r="H125" s="5"/>
      <c r="I125" s="5"/>
      <c r="J125" s="37"/>
      <c r="K125" s="227"/>
      <c r="L125" s="227"/>
      <c r="M125" s="227"/>
      <c r="N125" s="227"/>
      <c r="O125" s="239"/>
      <c r="P125" s="5"/>
      <c r="Q125" s="5"/>
      <c r="R125" s="5"/>
      <c r="S125" s="5"/>
      <c r="T125" s="5"/>
      <c r="U125" s="5"/>
      <c r="V125" s="5"/>
      <c r="W125" s="37"/>
      <c r="X125" s="227"/>
      <c r="Y125" s="227"/>
      <c r="Z125" s="227"/>
      <c r="AA125" s="227"/>
      <c r="AB125" s="227"/>
      <c r="AC125" s="227"/>
      <c r="AD125" s="227"/>
      <c r="AE125" s="227"/>
      <c r="AF125" s="227"/>
      <c r="AG125" s="227"/>
      <c r="AH125" s="227"/>
      <c r="AI125" s="227"/>
      <c r="AJ125" s="227"/>
      <c r="AK125" s="227"/>
      <c r="AL125" s="227"/>
      <c r="AM125" s="227"/>
      <c r="AN125" s="227"/>
      <c r="AO125" s="227"/>
      <c r="AP125" s="227"/>
      <c r="AQ125" s="227"/>
      <c r="AR125" s="227"/>
      <c r="AS125" s="227"/>
      <c r="AT125" s="227"/>
      <c r="AU125" s="227"/>
      <c r="AV125" s="227"/>
      <c r="AW125" s="227"/>
      <c r="AX125" s="227"/>
      <c r="AY125" s="227"/>
      <c r="AZ125" s="227"/>
      <c r="BA125" s="227"/>
      <c r="BB125" s="227"/>
      <c r="BC125" s="227"/>
      <c r="BD125" s="227"/>
      <c r="BE125" s="227"/>
      <c r="BF125" s="227"/>
      <c r="BG125" s="227"/>
      <c r="BH125" s="227"/>
      <c r="BI125" s="227"/>
      <c r="BJ125" s="227"/>
      <c r="BK125" s="227"/>
      <c r="BL125" s="227"/>
      <c r="BM125" s="227"/>
      <c r="BN125" s="227"/>
      <c r="BO125" s="227"/>
      <c r="BP125" s="227"/>
      <c r="BQ125" s="227"/>
      <c r="BR125" s="227"/>
      <c r="BS125" s="227"/>
      <c r="BT125" s="227"/>
      <c r="BU125" s="240"/>
      <c r="BV125" s="240"/>
      <c r="BW125" s="240"/>
      <c r="BX125" s="240"/>
    </row>
    <row r="126" spans="1:76" s="141" customFormat="1" ht="11.25" customHeight="1" x14ac:dyDescent="0.2">
      <c r="A126" s="5"/>
      <c r="B126" s="5"/>
      <c r="C126" s="5"/>
      <c r="D126" s="5"/>
      <c r="E126" s="5"/>
      <c r="F126" s="5"/>
      <c r="G126" s="5"/>
      <c r="H126" s="5"/>
      <c r="I126" s="5"/>
      <c r="J126" s="37"/>
      <c r="K126" s="227"/>
      <c r="L126" s="227"/>
      <c r="M126" s="227"/>
      <c r="N126" s="227"/>
      <c r="O126" s="239"/>
      <c r="P126" s="5"/>
      <c r="Q126" s="5"/>
      <c r="R126" s="5"/>
      <c r="S126" s="5"/>
      <c r="T126" s="5"/>
      <c r="U126" s="5"/>
      <c r="V126" s="5"/>
      <c r="W126" s="37"/>
      <c r="X126" s="227"/>
      <c r="Y126" s="227"/>
      <c r="Z126" s="227"/>
      <c r="AA126" s="227"/>
      <c r="AB126" s="227"/>
      <c r="AC126" s="227"/>
      <c r="AD126" s="227"/>
      <c r="AE126" s="227"/>
      <c r="AF126" s="227"/>
      <c r="AG126" s="227"/>
      <c r="AH126" s="227"/>
      <c r="AI126" s="227"/>
      <c r="AJ126" s="227"/>
      <c r="AK126" s="227"/>
      <c r="AL126" s="227"/>
      <c r="AM126" s="227"/>
      <c r="AN126" s="227"/>
      <c r="AO126" s="227"/>
      <c r="AP126" s="227"/>
      <c r="AQ126" s="227"/>
      <c r="AR126" s="227"/>
      <c r="AS126" s="227"/>
      <c r="AT126" s="227"/>
      <c r="AU126" s="227"/>
      <c r="AV126" s="227"/>
      <c r="AW126" s="227"/>
      <c r="AX126" s="227"/>
      <c r="AY126" s="227"/>
      <c r="AZ126" s="227"/>
      <c r="BA126" s="227"/>
      <c r="BB126" s="227"/>
      <c r="BC126" s="227"/>
      <c r="BD126" s="227"/>
      <c r="BE126" s="227"/>
      <c r="BF126" s="227"/>
      <c r="BG126" s="227"/>
      <c r="BH126" s="227"/>
      <c r="BI126" s="227"/>
      <c r="BJ126" s="227"/>
      <c r="BK126" s="227"/>
      <c r="BL126" s="227"/>
      <c r="BM126" s="227"/>
      <c r="BN126" s="227"/>
      <c r="BO126" s="227"/>
      <c r="BP126" s="227"/>
      <c r="BQ126" s="227"/>
      <c r="BR126" s="227"/>
      <c r="BS126" s="227"/>
      <c r="BT126" s="227"/>
      <c r="BU126" s="240"/>
      <c r="BV126" s="240"/>
      <c r="BW126" s="240"/>
      <c r="BX126" s="240"/>
    </row>
    <row r="127" spans="1:76" s="141" customFormat="1" ht="11.25" customHeight="1" x14ac:dyDescent="0.2">
      <c r="A127" s="5"/>
      <c r="B127" s="5"/>
      <c r="C127" s="5"/>
      <c r="D127" s="5"/>
      <c r="E127" s="5"/>
      <c r="F127" s="5"/>
      <c r="G127" s="5"/>
      <c r="H127" s="5"/>
      <c r="I127" s="5"/>
      <c r="J127" s="37"/>
      <c r="K127" s="227"/>
      <c r="L127" s="227"/>
      <c r="M127" s="227"/>
      <c r="N127" s="227"/>
      <c r="O127" s="239"/>
      <c r="P127" s="5"/>
      <c r="Q127" s="5"/>
      <c r="R127" s="5"/>
      <c r="S127" s="5"/>
      <c r="T127" s="5"/>
      <c r="U127" s="5"/>
      <c r="V127" s="5"/>
      <c r="W127" s="37"/>
      <c r="X127" s="227"/>
      <c r="Y127" s="227"/>
      <c r="Z127" s="227"/>
      <c r="AA127" s="227"/>
      <c r="AB127" s="227"/>
      <c r="AC127" s="227"/>
      <c r="AD127" s="227"/>
      <c r="AE127" s="227"/>
      <c r="AF127" s="227"/>
      <c r="AG127" s="227"/>
      <c r="AH127" s="227"/>
      <c r="AI127" s="227"/>
      <c r="AJ127" s="227"/>
      <c r="AK127" s="227"/>
      <c r="AL127" s="227"/>
      <c r="AM127" s="227"/>
      <c r="AN127" s="227"/>
      <c r="AO127" s="227"/>
      <c r="AP127" s="227"/>
      <c r="AQ127" s="227"/>
      <c r="AR127" s="227"/>
      <c r="AS127" s="227"/>
      <c r="AT127" s="227"/>
      <c r="AU127" s="227"/>
      <c r="AV127" s="227"/>
      <c r="AW127" s="227"/>
      <c r="AX127" s="227"/>
      <c r="AY127" s="227"/>
      <c r="AZ127" s="227"/>
      <c r="BA127" s="227"/>
      <c r="BB127" s="227"/>
      <c r="BC127" s="227"/>
      <c r="BD127" s="227"/>
      <c r="BE127" s="227"/>
      <c r="BF127" s="227"/>
      <c r="BG127" s="227"/>
      <c r="BH127" s="227"/>
      <c r="BI127" s="227"/>
      <c r="BJ127" s="227"/>
      <c r="BK127" s="227"/>
      <c r="BL127" s="227"/>
      <c r="BM127" s="227"/>
      <c r="BN127" s="227"/>
      <c r="BO127" s="227"/>
      <c r="BP127" s="227"/>
      <c r="BQ127" s="227"/>
      <c r="BR127" s="227"/>
      <c r="BS127" s="227"/>
      <c r="BT127" s="227"/>
      <c r="BU127" s="240"/>
      <c r="BV127" s="240"/>
      <c r="BW127" s="240"/>
      <c r="BX127" s="240"/>
    </row>
    <row r="128" spans="1:76" s="141" customFormat="1" ht="11.25" customHeight="1" x14ac:dyDescent="0.2">
      <c r="A128" s="5"/>
      <c r="B128" s="5"/>
      <c r="C128" s="5"/>
      <c r="D128" s="5"/>
      <c r="E128" s="5"/>
      <c r="F128" s="5"/>
      <c r="G128" s="5"/>
      <c r="H128" s="5"/>
      <c r="I128" s="5"/>
      <c r="J128" s="37"/>
      <c r="K128" s="227"/>
      <c r="L128" s="227"/>
      <c r="M128" s="227"/>
      <c r="N128" s="227"/>
      <c r="O128" s="239"/>
      <c r="P128" s="5"/>
      <c r="Q128" s="5"/>
      <c r="R128" s="5"/>
      <c r="S128" s="5"/>
      <c r="T128" s="5"/>
      <c r="U128" s="5"/>
      <c r="V128" s="5"/>
      <c r="W128" s="37"/>
      <c r="X128" s="227"/>
      <c r="Y128" s="227"/>
      <c r="Z128" s="227"/>
      <c r="AA128" s="227"/>
      <c r="AB128" s="227"/>
      <c r="AC128" s="227"/>
      <c r="AD128" s="227"/>
      <c r="AE128" s="227"/>
      <c r="AF128" s="227"/>
      <c r="AG128" s="227"/>
      <c r="AH128" s="227"/>
      <c r="AI128" s="227"/>
      <c r="AJ128" s="227"/>
      <c r="AK128" s="227"/>
      <c r="AL128" s="227"/>
      <c r="AM128" s="227"/>
      <c r="AN128" s="227"/>
      <c r="AO128" s="227"/>
      <c r="AP128" s="227"/>
      <c r="AQ128" s="227"/>
      <c r="AR128" s="227"/>
      <c r="AS128" s="227"/>
      <c r="AT128" s="227"/>
      <c r="AU128" s="227"/>
      <c r="AV128" s="227"/>
      <c r="AW128" s="227"/>
      <c r="AX128" s="227"/>
      <c r="AY128" s="227"/>
      <c r="AZ128" s="227"/>
      <c r="BA128" s="227"/>
      <c r="BB128" s="227"/>
      <c r="BC128" s="227"/>
      <c r="BD128" s="227"/>
      <c r="BE128" s="227"/>
      <c r="BF128" s="227"/>
      <c r="BG128" s="227"/>
      <c r="BH128" s="227"/>
      <c r="BI128" s="227"/>
      <c r="BJ128" s="227"/>
      <c r="BK128" s="227"/>
      <c r="BL128" s="227"/>
      <c r="BM128" s="227"/>
      <c r="BN128" s="227"/>
      <c r="BO128" s="227"/>
      <c r="BP128" s="227"/>
      <c r="BQ128" s="227"/>
      <c r="BR128" s="227"/>
      <c r="BS128" s="227"/>
      <c r="BT128" s="227"/>
      <c r="BU128" s="240"/>
      <c r="BV128" s="240"/>
      <c r="BW128" s="240"/>
      <c r="BX128" s="240"/>
    </row>
    <row r="129" spans="1:76" s="141" customFormat="1" ht="11.25" customHeight="1" x14ac:dyDescent="0.2">
      <c r="A129" s="5"/>
      <c r="B129" s="5"/>
      <c r="C129" s="5"/>
      <c r="D129" s="5"/>
      <c r="E129" s="5"/>
      <c r="F129" s="5"/>
      <c r="G129" s="5"/>
      <c r="H129" s="5"/>
      <c r="I129" s="5"/>
      <c r="J129" s="37"/>
      <c r="K129" s="227"/>
      <c r="L129" s="227"/>
      <c r="M129" s="227"/>
      <c r="N129" s="227"/>
      <c r="O129" s="239"/>
      <c r="P129" s="5"/>
      <c r="Q129" s="5"/>
      <c r="R129" s="5"/>
      <c r="S129" s="5"/>
      <c r="T129" s="5"/>
      <c r="U129" s="5"/>
      <c r="V129" s="5"/>
      <c r="W129" s="37"/>
      <c r="X129" s="227"/>
      <c r="Y129" s="227"/>
      <c r="Z129" s="227"/>
      <c r="AA129" s="227"/>
      <c r="AB129" s="227"/>
      <c r="AC129" s="227"/>
      <c r="AD129" s="227"/>
      <c r="AE129" s="227"/>
      <c r="AF129" s="227"/>
      <c r="AG129" s="227"/>
      <c r="AH129" s="227"/>
      <c r="AI129" s="227"/>
      <c r="AJ129" s="227"/>
      <c r="AK129" s="227"/>
      <c r="AL129" s="227"/>
      <c r="AM129" s="227"/>
      <c r="AN129" s="227"/>
      <c r="AO129" s="227"/>
      <c r="AP129" s="227"/>
      <c r="AQ129" s="227"/>
      <c r="AR129" s="227"/>
      <c r="AS129" s="227"/>
      <c r="AT129" s="227"/>
      <c r="AU129" s="227"/>
      <c r="AV129" s="227"/>
      <c r="AW129" s="227"/>
      <c r="AX129" s="227"/>
      <c r="AY129" s="227"/>
      <c r="AZ129" s="227"/>
      <c r="BA129" s="227"/>
      <c r="BB129" s="227"/>
      <c r="BC129" s="227"/>
      <c r="BD129" s="227"/>
      <c r="BE129" s="227"/>
      <c r="BF129" s="227"/>
      <c r="BG129" s="227"/>
      <c r="BH129" s="227"/>
      <c r="BI129" s="227"/>
      <c r="BJ129" s="227"/>
      <c r="BK129" s="227"/>
      <c r="BL129" s="227"/>
      <c r="BM129" s="227"/>
      <c r="BN129" s="227"/>
      <c r="BO129" s="227"/>
      <c r="BP129" s="227"/>
      <c r="BQ129" s="227"/>
      <c r="BR129" s="227"/>
      <c r="BS129" s="227"/>
      <c r="BT129" s="227"/>
      <c r="BU129" s="240"/>
      <c r="BV129" s="240"/>
      <c r="BW129" s="240"/>
      <c r="BX129" s="240"/>
    </row>
    <row r="130" spans="1:76" s="141" customFormat="1" ht="11.25" customHeight="1" x14ac:dyDescent="0.2">
      <c r="A130" s="5"/>
      <c r="B130" s="5"/>
      <c r="C130" s="5"/>
      <c r="D130" s="5"/>
      <c r="E130" s="5"/>
      <c r="F130" s="5"/>
      <c r="G130" s="5"/>
      <c r="H130" s="5"/>
      <c r="I130" s="5"/>
      <c r="J130" s="37"/>
      <c r="K130" s="227"/>
      <c r="L130" s="227"/>
      <c r="M130" s="227"/>
      <c r="N130" s="227"/>
      <c r="O130" s="239"/>
      <c r="P130" s="5"/>
      <c r="Q130" s="5"/>
      <c r="R130" s="5"/>
      <c r="S130" s="5"/>
      <c r="T130" s="5"/>
      <c r="U130" s="5"/>
      <c r="V130" s="5"/>
      <c r="W130" s="37"/>
      <c r="X130" s="227"/>
      <c r="Y130" s="227"/>
      <c r="Z130" s="227"/>
      <c r="AA130" s="227"/>
      <c r="AB130" s="227"/>
      <c r="AC130" s="227"/>
      <c r="AD130" s="227"/>
      <c r="AE130" s="227"/>
      <c r="AF130" s="227"/>
      <c r="AG130" s="227"/>
      <c r="AH130" s="227"/>
      <c r="AI130" s="227"/>
      <c r="AJ130" s="227"/>
      <c r="AK130" s="227"/>
      <c r="AL130" s="227"/>
      <c r="AM130" s="227"/>
      <c r="AN130" s="227"/>
      <c r="AO130" s="227"/>
      <c r="AP130" s="227"/>
      <c r="AQ130" s="227"/>
      <c r="AR130" s="227"/>
      <c r="AS130" s="227"/>
      <c r="AT130" s="227"/>
      <c r="AU130" s="227"/>
      <c r="AV130" s="227"/>
      <c r="AW130" s="227"/>
      <c r="AX130" s="227"/>
      <c r="AY130" s="227"/>
      <c r="AZ130" s="227"/>
      <c r="BA130" s="227"/>
      <c r="BB130" s="227"/>
      <c r="BC130" s="227"/>
      <c r="BD130" s="227"/>
      <c r="BE130" s="227"/>
      <c r="BF130" s="227"/>
      <c r="BG130" s="227"/>
      <c r="BH130" s="227"/>
      <c r="BI130" s="227"/>
      <c r="BJ130" s="227"/>
      <c r="BK130" s="227"/>
      <c r="BL130" s="227"/>
      <c r="BM130" s="227"/>
      <c r="BN130" s="227"/>
      <c r="BO130" s="227"/>
      <c r="BP130" s="227"/>
      <c r="BQ130" s="227"/>
      <c r="BR130" s="227"/>
      <c r="BS130" s="227"/>
      <c r="BT130" s="227"/>
      <c r="BU130" s="240"/>
      <c r="BV130" s="240"/>
      <c r="BW130" s="240"/>
      <c r="BX130" s="240"/>
    </row>
    <row r="131" spans="1:76" s="141" customFormat="1" ht="11.25" customHeight="1" x14ac:dyDescent="0.2">
      <c r="A131" s="5"/>
      <c r="B131" s="5"/>
      <c r="C131" s="5"/>
      <c r="D131" s="5"/>
      <c r="E131" s="5"/>
      <c r="F131" s="5"/>
      <c r="G131" s="5"/>
      <c r="H131" s="5"/>
      <c r="I131" s="5"/>
      <c r="J131" s="37"/>
      <c r="K131" s="227"/>
      <c r="L131" s="227"/>
      <c r="M131" s="227"/>
      <c r="N131" s="227"/>
      <c r="O131" s="239"/>
      <c r="P131" s="5"/>
      <c r="Q131" s="5"/>
      <c r="R131" s="5"/>
      <c r="S131" s="5"/>
      <c r="T131" s="5"/>
      <c r="U131" s="5"/>
      <c r="V131" s="5"/>
      <c r="W131" s="37"/>
      <c r="X131" s="227"/>
      <c r="Y131" s="227"/>
      <c r="Z131" s="227"/>
      <c r="AA131" s="227"/>
      <c r="AB131" s="227"/>
      <c r="AC131" s="227"/>
      <c r="AD131" s="227"/>
      <c r="AE131" s="227"/>
      <c r="AF131" s="227"/>
      <c r="AG131" s="227"/>
      <c r="AH131" s="227"/>
      <c r="AI131" s="227"/>
      <c r="AJ131" s="227"/>
      <c r="AK131" s="227"/>
      <c r="AL131" s="227"/>
      <c r="AM131" s="227"/>
      <c r="AN131" s="227"/>
      <c r="AO131" s="227"/>
      <c r="AP131" s="227"/>
      <c r="AQ131" s="227"/>
      <c r="AR131" s="227"/>
      <c r="AS131" s="227"/>
      <c r="AT131" s="227"/>
      <c r="AU131" s="227"/>
      <c r="AV131" s="227"/>
      <c r="AW131" s="227"/>
      <c r="AX131" s="227"/>
      <c r="AY131" s="227"/>
      <c r="AZ131" s="227"/>
      <c r="BA131" s="227"/>
      <c r="BB131" s="227"/>
      <c r="BC131" s="227"/>
      <c r="BD131" s="227"/>
      <c r="BE131" s="227"/>
      <c r="BF131" s="227"/>
      <c r="BG131" s="227"/>
      <c r="BH131" s="227"/>
      <c r="BI131" s="227"/>
      <c r="BJ131" s="227"/>
      <c r="BK131" s="227"/>
      <c r="BL131" s="227"/>
      <c r="BM131" s="227"/>
      <c r="BN131" s="227"/>
      <c r="BO131" s="227"/>
      <c r="BP131" s="227"/>
      <c r="BQ131" s="227"/>
      <c r="BR131" s="227"/>
      <c r="BS131" s="227"/>
      <c r="BT131" s="227"/>
      <c r="BU131" s="240"/>
      <c r="BV131" s="240"/>
      <c r="BW131" s="240"/>
      <c r="BX131" s="240"/>
    </row>
    <row r="132" spans="1:76" s="141" customFormat="1" ht="11.25" customHeight="1" x14ac:dyDescent="0.2">
      <c r="A132" s="5"/>
      <c r="B132" s="5"/>
      <c r="C132" s="5"/>
      <c r="D132" s="5"/>
      <c r="E132" s="5"/>
      <c r="F132" s="5"/>
      <c r="G132" s="5"/>
      <c r="H132" s="5"/>
      <c r="I132" s="5"/>
      <c r="J132" s="37"/>
      <c r="K132" s="227"/>
      <c r="L132" s="227"/>
      <c r="M132" s="227"/>
      <c r="N132" s="227"/>
      <c r="O132" s="239"/>
      <c r="P132" s="5"/>
      <c r="Q132" s="5"/>
      <c r="R132" s="5"/>
      <c r="S132" s="5"/>
      <c r="T132" s="5"/>
      <c r="U132" s="5"/>
      <c r="V132" s="5"/>
      <c r="W132" s="37"/>
      <c r="X132" s="227"/>
      <c r="Y132" s="227"/>
      <c r="Z132" s="227"/>
      <c r="AA132" s="227"/>
      <c r="AB132" s="227"/>
      <c r="AC132" s="227"/>
      <c r="AD132" s="227"/>
      <c r="AE132" s="227"/>
      <c r="AF132" s="227"/>
      <c r="AG132" s="227"/>
      <c r="AH132" s="227"/>
      <c r="AI132" s="227"/>
      <c r="AJ132" s="227"/>
      <c r="AK132" s="227"/>
      <c r="AL132" s="227"/>
      <c r="AM132" s="227"/>
      <c r="AN132" s="227"/>
      <c r="AO132" s="227"/>
      <c r="AP132" s="227"/>
      <c r="AQ132" s="227"/>
      <c r="AR132" s="227"/>
      <c r="AS132" s="227"/>
      <c r="AT132" s="227"/>
      <c r="AU132" s="227"/>
      <c r="AV132" s="227"/>
      <c r="AW132" s="227"/>
      <c r="AX132" s="227"/>
      <c r="AY132" s="227"/>
      <c r="AZ132" s="227"/>
      <c r="BA132" s="227"/>
      <c r="BB132" s="227"/>
      <c r="BC132" s="227"/>
      <c r="BD132" s="227"/>
      <c r="BE132" s="227"/>
      <c r="BF132" s="227"/>
      <c r="BG132" s="227"/>
      <c r="BH132" s="227"/>
      <c r="BI132" s="227"/>
      <c r="BJ132" s="227"/>
      <c r="BK132" s="227"/>
      <c r="BL132" s="227"/>
      <c r="BM132" s="227"/>
      <c r="BN132" s="227"/>
      <c r="BO132" s="227"/>
      <c r="BP132" s="227"/>
      <c r="BQ132" s="227"/>
      <c r="BR132" s="227"/>
      <c r="BS132" s="227"/>
      <c r="BT132" s="227"/>
      <c r="BU132" s="240"/>
      <c r="BV132" s="240"/>
      <c r="BW132" s="240"/>
      <c r="BX132" s="240"/>
    </row>
    <row r="133" spans="1:76" s="141" customFormat="1" ht="11.25" customHeight="1" x14ac:dyDescent="0.2">
      <c r="A133" s="5"/>
      <c r="B133" s="5"/>
      <c r="C133" s="5"/>
      <c r="D133" s="5"/>
      <c r="E133" s="5"/>
      <c r="F133" s="5"/>
      <c r="G133" s="5"/>
      <c r="H133" s="5"/>
      <c r="I133" s="5"/>
      <c r="J133" s="37"/>
      <c r="K133" s="227"/>
      <c r="L133" s="227"/>
      <c r="M133" s="227"/>
      <c r="N133" s="227"/>
      <c r="O133" s="239"/>
      <c r="P133" s="5"/>
      <c r="Q133" s="5"/>
      <c r="R133" s="5"/>
      <c r="S133" s="5"/>
      <c r="T133" s="5"/>
      <c r="U133" s="5"/>
      <c r="V133" s="5"/>
      <c r="W133" s="37"/>
      <c r="X133" s="227"/>
      <c r="Y133" s="227"/>
      <c r="Z133" s="227"/>
      <c r="AA133" s="227"/>
      <c r="AB133" s="227"/>
      <c r="AC133" s="227"/>
      <c r="AD133" s="227"/>
      <c r="AE133" s="227"/>
      <c r="AF133" s="227"/>
      <c r="AG133" s="227"/>
      <c r="AH133" s="227"/>
      <c r="AI133" s="227"/>
      <c r="AJ133" s="227"/>
      <c r="AK133" s="227"/>
      <c r="AL133" s="227"/>
      <c r="AM133" s="227"/>
      <c r="AN133" s="227"/>
      <c r="AO133" s="227"/>
      <c r="AP133" s="227"/>
      <c r="AQ133" s="227"/>
      <c r="AR133" s="227"/>
      <c r="AS133" s="227"/>
      <c r="AT133" s="227"/>
      <c r="AU133" s="227"/>
      <c r="AV133" s="227"/>
      <c r="AW133" s="227"/>
      <c r="AX133" s="227"/>
      <c r="AY133" s="227"/>
      <c r="AZ133" s="227"/>
      <c r="BA133" s="227"/>
      <c r="BB133" s="227"/>
      <c r="BC133" s="227"/>
      <c r="BD133" s="227"/>
      <c r="BE133" s="227"/>
      <c r="BF133" s="227"/>
      <c r="BG133" s="227"/>
      <c r="BH133" s="227"/>
      <c r="BI133" s="227"/>
      <c r="BJ133" s="227"/>
      <c r="BK133" s="227"/>
      <c r="BL133" s="227"/>
      <c r="BM133" s="227"/>
      <c r="BN133" s="227"/>
      <c r="BO133" s="227"/>
      <c r="BP133" s="227"/>
      <c r="BQ133" s="227"/>
      <c r="BR133" s="227"/>
      <c r="BS133" s="227"/>
      <c r="BT133" s="227"/>
      <c r="BU133" s="240"/>
      <c r="BV133" s="240"/>
      <c r="BW133" s="240"/>
      <c r="BX133" s="240"/>
    </row>
    <row r="134" spans="1:76" s="141" customFormat="1" ht="11.25" customHeight="1" x14ac:dyDescent="0.2">
      <c r="A134" s="5"/>
      <c r="B134" s="5"/>
      <c r="C134" s="5"/>
      <c r="D134" s="5"/>
      <c r="E134" s="5"/>
      <c r="F134" s="5"/>
      <c r="G134" s="5"/>
      <c r="H134" s="5"/>
      <c r="I134" s="5"/>
      <c r="J134" s="37"/>
      <c r="K134" s="227"/>
      <c r="L134" s="227"/>
      <c r="M134" s="227"/>
      <c r="N134" s="227"/>
      <c r="O134" s="239"/>
      <c r="P134" s="5"/>
      <c r="Q134" s="5"/>
      <c r="R134" s="5"/>
      <c r="S134" s="5"/>
      <c r="T134" s="5"/>
      <c r="U134" s="5"/>
      <c r="V134" s="5"/>
      <c r="W134" s="37"/>
      <c r="X134" s="227"/>
      <c r="Y134" s="227"/>
      <c r="Z134" s="227"/>
      <c r="AA134" s="227"/>
      <c r="AB134" s="227"/>
      <c r="AC134" s="227"/>
      <c r="AD134" s="227"/>
      <c r="AE134" s="227"/>
      <c r="AF134" s="227"/>
      <c r="AG134" s="227"/>
      <c r="AH134" s="227"/>
      <c r="AI134" s="227"/>
      <c r="AJ134" s="227"/>
      <c r="AK134" s="227"/>
      <c r="AL134" s="227"/>
      <c r="AM134" s="227"/>
      <c r="AN134" s="227"/>
      <c r="AO134" s="227"/>
      <c r="AP134" s="227"/>
      <c r="AQ134" s="227"/>
      <c r="AR134" s="227"/>
      <c r="AS134" s="227"/>
      <c r="AT134" s="227"/>
      <c r="AU134" s="227"/>
      <c r="AV134" s="227"/>
      <c r="AW134" s="227"/>
      <c r="AX134" s="227"/>
      <c r="AY134" s="227"/>
      <c r="AZ134" s="227"/>
      <c r="BA134" s="227"/>
      <c r="BB134" s="227"/>
      <c r="BC134" s="227"/>
      <c r="BD134" s="227"/>
      <c r="BE134" s="227"/>
      <c r="BF134" s="227"/>
      <c r="BG134" s="227"/>
      <c r="BH134" s="227"/>
      <c r="BI134" s="227"/>
      <c r="BJ134" s="227"/>
      <c r="BK134" s="227"/>
      <c r="BL134" s="227"/>
      <c r="BM134" s="227"/>
      <c r="BN134" s="227"/>
      <c r="BO134" s="227"/>
      <c r="BP134" s="227"/>
      <c r="BQ134" s="227"/>
      <c r="BR134" s="227"/>
      <c r="BS134" s="227"/>
      <c r="BT134" s="227"/>
      <c r="BU134" s="240"/>
      <c r="BV134" s="240"/>
      <c r="BW134" s="240"/>
      <c r="BX134" s="240"/>
    </row>
    <row r="135" spans="1:76" s="141" customFormat="1" ht="11.25" customHeight="1" x14ac:dyDescent="0.2">
      <c r="A135" s="5"/>
      <c r="B135" s="5"/>
      <c r="C135" s="5"/>
      <c r="D135" s="5"/>
      <c r="E135" s="5"/>
      <c r="F135" s="5"/>
      <c r="G135" s="5"/>
      <c r="H135" s="5"/>
      <c r="I135" s="5"/>
      <c r="J135" s="37"/>
      <c r="K135" s="227"/>
      <c r="L135" s="227"/>
      <c r="M135" s="227"/>
      <c r="N135" s="227"/>
      <c r="O135" s="239"/>
      <c r="P135" s="5"/>
      <c r="Q135" s="5"/>
      <c r="R135" s="5"/>
      <c r="S135" s="5"/>
      <c r="T135" s="5"/>
      <c r="U135" s="5"/>
      <c r="V135" s="5"/>
      <c r="W135" s="37"/>
      <c r="X135" s="227"/>
      <c r="Y135" s="227"/>
      <c r="Z135" s="227"/>
      <c r="AA135" s="227"/>
      <c r="AB135" s="227"/>
      <c r="AC135" s="227"/>
      <c r="AD135" s="227"/>
      <c r="AE135" s="227"/>
      <c r="AF135" s="227"/>
      <c r="AG135" s="227"/>
      <c r="AH135" s="227"/>
      <c r="AI135" s="227"/>
      <c r="AJ135" s="227"/>
      <c r="AK135" s="227"/>
      <c r="AL135" s="227"/>
      <c r="AM135" s="227"/>
      <c r="AN135" s="227"/>
      <c r="AO135" s="227"/>
      <c r="AP135" s="227"/>
      <c r="AQ135" s="227"/>
      <c r="AR135" s="227"/>
      <c r="AS135" s="227"/>
      <c r="AT135" s="227"/>
      <c r="AU135" s="227"/>
      <c r="AV135" s="227"/>
      <c r="AW135" s="227"/>
      <c r="AX135" s="227"/>
      <c r="AY135" s="227"/>
      <c r="AZ135" s="227"/>
      <c r="BA135" s="227"/>
      <c r="BB135" s="227"/>
      <c r="BC135" s="227"/>
      <c r="BD135" s="227"/>
      <c r="BE135" s="227"/>
      <c r="BF135" s="227"/>
      <c r="BG135" s="227"/>
      <c r="BH135" s="227"/>
      <c r="BI135" s="227"/>
      <c r="BJ135" s="227"/>
      <c r="BK135" s="227"/>
      <c r="BL135" s="227"/>
      <c r="BM135" s="227"/>
      <c r="BN135" s="227"/>
      <c r="BO135" s="227"/>
      <c r="BP135" s="227"/>
      <c r="BQ135" s="227"/>
      <c r="BR135" s="227"/>
      <c r="BS135" s="227"/>
      <c r="BT135" s="227"/>
      <c r="BU135" s="240"/>
      <c r="BV135" s="240"/>
      <c r="BW135" s="240"/>
      <c r="BX135" s="240"/>
    </row>
    <row r="136" spans="1:76" s="141" customFormat="1" ht="11.25" customHeight="1" x14ac:dyDescent="0.2">
      <c r="A136" s="5"/>
      <c r="B136" s="5"/>
      <c r="C136" s="5"/>
      <c r="D136" s="5"/>
      <c r="E136" s="5"/>
      <c r="F136" s="5"/>
      <c r="G136" s="5"/>
      <c r="H136" s="5"/>
      <c r="I136" s="5"/>
      <c r="J136" s="37"/>
      <c r="K136" s="227"/>
      <c r="L136" s="227"/>
      <c r="M136" s="227"/>
      <c r="N136" s="227"/>
      <c r="O136" s="239"/>
      <c r="P136" s="5"/>
      <c r="Q136" s="5"/>
      <c r="R136" s="5"/>
      <c r="S136" s="5"/>
      <c r="T136" s="5"/>
      <c r="U136" s="5"/>
      <c r="V136" s="5"/>
      <c r="W136" s="37"/>
      <c r="X136" s="227"/>
      <c r="Y136" s="227"/>
      <c r="Z136" s="227"/>
      <c r="AA136" s="227"/>
      <c r="AB136" s="227"/>
      <c r="AC136" s="227"/>
      <c r="AD136" s="227"/>
      <c r="AE136" s="227"/>
      <c r="AF136" s="227"/>
      <c r="AG136" s="227"/>
      <c r="AH136" s="227"/>
      <c r="AI136" s="227"/>
      <c r="AJ136" s="227"/>
      <c r="AK136" s="227"/>
      <c r="AL136" s="227"/>
      <c r="AM136" s="227"/>
      <c r="AN136" s="227"/>
      <c r="AO136" s="227"/>
      <c r="AP136" s="227"/>
      <c r="AQ136" s="227"/>
      <c r="AR136" s="227"/>
      <c r="AS136" s="227"/>
      <c r="AT136" s="227"/>
      <c r="AU136" s="227"/>
      <c r="AV136" s="227"/>
      <c r="AW136" s="227"/>
      <c r="AX136" s="227"/>
      <c r="AY136" s="227"/>
      <c r="AZ136" s="227"/>
      <c r="BA136" s="227"/>
      <c r="BB136" s="227"/>
      <c r="BC136" s="227"/>
      <c r="BD136" s="227"/>
      <c r="BE136" s="227"/>
      <c r="BF136" s="227"/>
      <c r="BG136" s="227"/>
      <c r="BH136" s="227"/>
      <c r="BI136" s="227"/>
      <c r="BJ136" s="227"/>
      <c r="BK136" s="227"/>
      <c r="BL136" s="227"/>
      <c r="BM136" s="227"/>
      <c r="BN136" s="227"/>
      <c r="BO136" s="227"/>
      <c r="BP136" s="227"/>
      <c r="BQ136" s="227"/>
      <c r="BR136" s="227"/>
      <c r="BS136" s="227"/>
      <c r="BT136" s="227"/>
      <c r="BU136" s="240"/>
      <c r="BV136" s="240"/>
      <c r="BW136" s="240"/>
      <c r="BX136" s="240"/>
    </row>
    <row r="137" spans="1:76" s="141" customFormat="1" ht="11.25" customHeight="1" x14ac:dyDescent="0.2">
      <c r="A137" s="5"/>
      <c r="B137" s="5"/>
      <c r="C137" s="5"/>
      <c r="D137" s="5"/>
      <c r="E137" s="5"/>
      <c r="F137" s="5"/>
      <c r="G137" s="5"/>
      <c r="H137" s="5"/>
      <c r="I137" s="5"/>
      <c r="J137" s="37"/>
      <c r="K137" s="227"/>
      <c r="L137" s="227"/>
      <c r="M137" s="227"/>
      <c r="N137" s="227"/>
      <c r="O137" s="239"/>
      <c r="P137" s="5"/>
      <c r="Q137" s="5"/>
      <c r="R137" s="5"/>
      <c r="S137" s="5"/>
      <c r="T137" s="5"/>
      <c r="U137" s="5"/>
      <c r="V137" s="5"/>
      <c r="W137" s="37"/>
      <c r="X137" s="227"/>
      <c r="Y137" s="227"/>
      <c r="Z137" s="227"/>
      <c r="AA137" s="227"/>
      <c r="AB137" s="227"/>
      <c r="AC137" s="227"/>
      <c r="AD137" s="227"/>
      <c r="AE137" s="227"/>
      <c r="AF137" s="227"/>
      <c r="AG137" s="227"/>
      <c r="AH137" s="227"/>
      <c r="AI137" s="227"/>
      <c r="AJ137" s="227"/>
      <c r="AK137" s="227"/>
      <c r="AL137" s="227"/>
      <c r="AM137" s="227"/>
      <c r="AN137" s="227"/>
      <c r="AO137" s="227"/>
      <c r="AP137" s="227"/>
      <c r="AQ137" s="227"/>
      <c r="AR137" s="227"/>
      <c r="AS137" s="227"/>
      <c r="AT137" s="227"/>
      <c r="AU137" s="227"/>
      <c r="AV137" s="227"/>
      <c r="AW137" s="227"/>
      <c r="AX137" s="227"/>
      <c r="AY137" s="227"/>
      <c r="AZ137" s="227"/>
      <c r="BA137" s="227"/>
      <c r="BB137" s="227"/>
      <c r="BC137" s="227"/>
      <c r="BD137" s="227"/>
      <c r="BE137" s="227"/>
      <c r="BF137" s="227"/>
      <c r="BG137" s="227"/>
      <c r="BH137" s="227"/>
      <c r="BI137" s="227"/>
      <c r="BJ137" s="227"/>
      <c r="BK137" s="227"/>
      <c r="BL137" s="227"/>
      <c r="BM137" s="227"/>
      <c r="BN137" s="227"/>
      <c r="BO137" s="227"/>
      <c r="BP137" s="227"/>
      <c r="BQ137" s="227"/>
      <c r="BR137" s="227"/>
      <c r="BS137" s="227"/>
      <c r="BT137" s="227"/>
      <c r="BU137" s="240"/>
      <c r="BV137" s="240"/>
      <c r="BW137" s="240"/>
      <c r="BX137" s="240"/>
    </row>
    <row r="138" spans="1:76" s="141" customFormat="1" ht="11.25" customHeight="1" x14ac:dyDescent="0.2">
      <c r="A138" s="5"/>
      <c r="B138" s="5"/>
      <c r="C138" s="5"/>
      <c r="D138" s="5"/>
      <c r="E138" s="5"/>
      <c r="F138" s="5"/>
      <c r="G138" s="5"/>
      <c r="H138" s="5"/>
      <c r="I138" s="5"/>
      <c r="J138" s="37"/>
      <c r="K138" s="227"/>
      <c r="L138" s="227"/>
      <c r="M138" s="227"/>
      <c r="N138" s="227"/>
      <c r="O138" s="239"/>
      <c r="P138" s="5"/>
      <c r="Q138" s="5"/>
      <c r="R138" s="5"/>
      <c r="S138" s="5"/>
      <c r="T138" s="5"/>
      <c r="U138" s="5"/>
      <c r="V138" s="5"/>
      <c r="W138" s="37"/>
      <c r="X138" s="227"/>
      <c r="Y138" s="227"/>
      <c r="Z138" s="227"/>
      <c r="AA138" s="227"/>
      <c r="AB138" s="227"/>
      <c r="AC138" s="227"/>
      <c r="AD138" s="227"/>
      <c r="AE138" s="227"/>
      <c r="AF138" s="227"/>
      <c r="AG138" s="227"/>
      <c r="AH138" s="227"/>
      <c r="AI138" s="227"/>
      <c r="AJ138" s="227"/>
      <c r="AK138" s="227"/>
      <c r="AL138" s="227"/>
      <c r="AM138" s="227"/>
      <c r="AN138" s="227"/>
      <c r="AO138" s="227"/>
      <c r="AP138" s="227"/>
      <c r="AQ138" s="227"/>
      <c r="AR138" s="227"/>
      <c r="AS138" s="227"/>
      <c r="AT138" s="227"/>
      <c r="AU138" s="227"/>
      <c r="AV138" s="227"/>
      <c r="AW138" s="227"/>
      <c r="AX138" s="227"/>
      <c r="AY138" s="227"/>
      <c r="AZ138" s="227"/>
      <c r="BA138" s="227"/>
      <c r="BB138" s="227"/>
      <c r="BC138" s="227"/>
      <c r="BD138" s="227"/>
      <c r="BE138" s="227"/>
      <c r="BF138" s="227"/>
      <c r="BG138" s="227"/>
      <c r="BH138" s="227"/>
      <c r="BI138" s="227"/>
      <c r="BJ138" s="227"/>
      <c r="BK138" s="227"/>
      <c r="BL138" s="227"/>
      <c r="BM138" s="227"/>
      <c r="BN138" s="227"/>
      <c r="BO138" s="227"/>
      <c r="BP138" s="227"/>
      <c r="BQ138" s="227"/>
      <c r="BR138" s="227"/>
      <c r="BS138" s="227"/>
      <c r="BT138" s="227"/>
      <c r="BU138" s="240"/>
      <c r="BV138" s="240"/>
      <c r="BW138" s="240"/>
      <c r="BX138" s="240"/>
    </row>
    <row r="139" spans="1:76" s="141" customFormat="1" ht="11.25" customHeight="1" x14ac:dyDescent="0.2">
      <c r="A139" s="5"/>
      <c r="B139" s="5"/>
      <c r="C139" s="5"/>
      <c r="D139" s="5"/>
      <c r="E139" s="5"/>
      <c r="F139" s="5"/>
      <c r="G139" s="5"/>
      <c r="H139" s="5"/>
      <c r="I139" s="5"/>
      <c r="J139" s="37"/>
      <c r="K139" s="227"/>
      <c r="L139" s="227"/>
      <c r="M139" s="227"/>
      <c r="N139" s="227"/>
      <c r="O139" s="239"/>
      <c r="P139" s="5"/>
      <c r="Q139" s="5"/>
      <c r="R139" s="5"/>
      <c r="S139" s="5"/>
      <c r="T139" s="5"/>
      <c r="U139" s="5"/>
      <c r="V139" s="5"/>
      <c r="W139" s="37"/>
      <c r="X139" s="227"/>
      <c r="Y139" s="227"/>
      <c r="Z139" s="227"/>
      <c r="AA139" s="227"/>
      <c r="AB139" s="227"/>
      <c r="AC139" s="227"/>
      <c r="AD139" s="227"/>
      <c r="AE139" s="227"/>
      <c r="AF139" s="227"/>
      <c r="AG139" s="227"/>
      <c r="AH139" s="227"/>
      <c r="AI139" s="227"/>
      <c r="AJ139" s="227"/>
      <c r="AK139" s="227"/>
      <c r="AL139" s="227"/>
      <c r="AM139" s="227"/>
      <c r="AN139" s="227"/>
      <c r="AO139" s="227"/>
      <c r="AP139" s="227"/>
      <c r="AQ139" s="227"/>
      <c r="AR139" s="227"/>
      <c r="AS139" s="227"/>
      <c r="AT139" s="227"/>
      <c r="AU139" s="227"/>
      <c r="AV139" s="227"/>
      <c r="AW139" s="227"/>
      <c r="AX139" s="227"/>
      <c r="AY139" s="227"/>
      <c r="AZ139" s="227"/>
      <c r="BA139" s="227"/>
      <c r="BB139" s="227"/>
      <c r="BC139" s="227"/>
      <c r="BD139" s="227"/>
      <c r="BE139" s="227"/>
      <c r="BF139" s="227"/>
      <c r="BG139" s="227"/>
      <c r="BH139" s="227"/>
      <c r="BI139" s="227"/>
      <c r="BJ139" s="227"/>
      <c r="BK139" s="227"/>
      <c r="BL139" s="227"/>
      <c r="BM139" s="227"/>
      <c r="BN139" s="227"/>
      <c r="BO139" s="227"/>
      <c r="BP139" s="227"/>
      <c r="BQ139" s="227"/>
      <c r="BR139" s="227"/>
      <c r="BS139" s="227"/>
      <c r="BT139" s="227"/>
      <c r="BU139" s="240"/>
      <c r="BV139" s="240"/>
      <c r="BW139" s="240"/>
      <c r="BX139" s="240"/>
    </row>
    <row r="140" spans="1:76" s="141" customFormat="1" ht="11.25" customHeight="1" x14ac:dyDescent="0.2">
      <c r="A140" s="5"/>
      <c r="B140" s="5"/>
      <c r="C140" s="5"/>
      <c r="D140" s="5"/>
      <c r="E140" s="5"/>
      <c r="F140" s="5"/>
      <c r="G140" s="5"/>
      <c r="H140" s="5"/>
      <c r="I140" s="5"/>
      <c r="J140" s="37"/>
      <c r="K140" s="227"/>
      <c r="L140" s="227"/>
      <c r="M140" s="227"/>
      <c r="N140" s="227"/>
      <c r="O140" s="239"/>
      <c r="P140" s="5"/>
      <c r="Q140" s="5"/>
      <c r="R140" s="5"/>
      <c r="S140" s="5"/>
      <c r="T140" s="5"/>
      <c r="U140" s="5"/>
      <c r="V140" s="5"/>
      <c r="W140" s="37"/>
      <c r="X140" s="227"/>
      <c r="Y140" s="227"/>
      <c r="Z140" s="227"/>
      <c r="AA140" s="227"/>
      <c r="AB140" s="227"/>
      <c r="AC140" s="227"/>
      <c r="AD140" s="227"/>
      <c r="AE140" s="227"/>
      <c r="AF140" s="227"/>
      <c r="AG140" s="227"/>
      <c r="AH140" s="227"/>
      <c r="AI140" s="227"/>
      <c r="AJ140" s="227"/>
      <c r="AK140" s="227"/>
      <c r="AL140" s="227"/>
      <c r="AM140" s="227"/>
      <c r="AN140" s="227"/>
      <c r="AO140" s="227"/>
      <c r="AP140" s="227"/>
      <c r="AQ140" s="227"/>
      <c r="AR140" s="227"/>
      <c r="AS140" s="227"/>
      <c r="AT140" s="227"/>
      <c r="AU140" s="227"/>
      <c r="AV140" s="227"/>
      <c r="AW140" s="227"/>
      <c r="AX140" s="227"/>
      <c r="AY140" s="227"/>
      <c r="AZ140" s="227"/>
      <c r="BA140" s="227"/>
      <c r="BB140" s="227"/>
      <c r="BC140" s="227"/>
      <c r="BD140" s="227"/>
      <c r="BE140" s="227"/>
      <c r="BF140" s="227"/>
      <c r="BG140" s="227"/>
      <c r="BH140" s="227"/>
      <c r="BI140" s="227"/>
      <c r="BJ140" s="227"/>
      <c r="BK140" s="227"/>
      <c r="BL140" s="227"/>
      <c r="BM140" s="227"/>
      <c r="BN140" s="227"/>
      <c r="BO140" s="227"/>
      <c r="BP140" s="227"/>
      <c r="BQ140" s="227"/>
      <c r="BR140" s="227"/>
      <c r="BS140" s="227"/>
      <c r="BT140" s="227"/>
      <c r="BU140" s="240"/>
      <c r="BV140" s="240"/>
      <c r="BW140" s="240"/>
      <c r="BX140" s="240"/>
    </row>
    <row r="141" spans="1:76" s="141" customFormat="1" ht="11.25" customHeight="1" x14ac:dyDescent="0.2">
      <c r="A141" s="5"/>
      <c r="B141" s="5"/>
      <c r="C141" s="5"/>
      <c r="D141" s="5"/>
      <c r="E141" s="5"/>
      <c r="F141" s="5"/>
      <c r="G141" s="5"/>
      <c r="H141" s="5"/>
      <c r="I141" s="5"/>
      <c r="J141" s="37"/>
      <c r="K141" s="227"/>
      <c r="L141" s="227"/>
      <c r="M141" s="227"/>
      <c r="N141" s="227"/>
      <c r="O141" s="239"/>
      <c r="P141" s="5"/>
      <c r="Q141" s="5"/>
      <c r="R141" s="5"/>
      <c r="S141" s="5"/>
      <c r="T141" s="5"/>
      <c r="U141" s="5"/>
      <c r="V141" s="5"/>
      <c r="W141" s="37"/>
      <c r="X141" s="227"/>
      <c r="Y141" s="227"/>
      <c r="Z141" s="227"/>
      <c r="AA141" s="227"/>
      <c r="AB141" s="227"/>
      <c r="AC141" s="227"/>
      <c r="AD141" s="227"/>
      <c r="AE141" s="227"/>
      <c r="AF141" s="227"/>
      <c r="AG141" s="227"/>
      <c r="AH141" s="227"/>
      <c r="AI141" s="227"/>
      <c r="AJ141" s="227"/>
      <c r="AK141" s="227"/>
      <c r="AL141" s="227"/>
      <c r="AM141" s="227"/>
      <c r="AN141" s="227"/>
      <c r="AO141" s="227"/>
      <c r="AP141" s="227"/>
      <c r="AQ141" s="227"/>
      <c r="AR141" s="227"/>
      <c r="AS141" s="227"/>
      <c r="AT141" s="227"/>
      <c r="AU141" s="227"/>
      <c r="AV141" s="227"/>
      <c r="AW141" s="227"/>
      <c r="AX141" s="227"/>
      <c r="AY141" s="227"/>
      <c r="AZ141" s="227"/>
      <c r="BA141" s="227"/>
      <c r="BB141" s="227"/>
      <c r="BC141" s="227"/>
      <c r="BD141" s="227"/>
      <c r="BE141" s="227"/>
      <c r="BF141" s="227"/>
      <c r="BG141" s="227"/>
      <c r="BH141" s="227"/>
      <c r="BI141" s="227"/>
      <c r="BJ141" s="227"/>
      <c r="BK141" s="227"/>
      <c r="BL141" s="227"/>
      <c r="BM141" s="227"/>
      <c r="BN141" s="227"/>
      <c r="BO141" s="227"/>
      <c r="BP141" s="227"/>
      <c r="BQ141" s="227"/>
      <c r="BR141" s="227"/>
      <c r="BS141" s="227"/>
      <c r="BT141" s="227"/>
      <c r="BU141" s="240"/>
      <c r="BV141" s="240"/>
      <c r="BW141" s="240"/>
      <c r="BX141" s="240"/>
    </row>
    <row r="142" spans="1:76" s="141" customFormat="1" ht="11.25" customHeight="1" x14ac:dyDescent="0.2">
      <c r="A142" s="5"/>
      <c r="B142" s="5"/>
      <c r="C142" s="5"/>
      <c r="D142" s="5"/>
      <c r="E142" s="5"/>
      <c r="F142" s="5"/>
      <c r="G142" s="5"/>
      <c r="H142" s="5"/>
      <c r="I142" s="5"/>
      <c r="J142" s="37"/>
      <c r="K142" s="227"/>
      <c r="L142" s="227"/>
      <c r="M142" s="227"/>
      <c r="N142" s="227"/>
      <c r="O142" s="239"/>
      <c r="P142" s="5"/>
      <c r="Q142" s="5"/>
      <c r="R142" s="5"/>
      <c r="S142" s="5"/>
      <c r="T142" s="5"/>
      <c r="U142" s="5"/>
      <c r="V142" s="5"/>
      <c r="W142" s="37"/>
      <c r="X142" s="227"/>
      <c r="Y142" s="227"/>
      <c r="Z142" s="227"/>
      <c r="AA142" s="227"/>
      <c r="AB142" s="227"/>
      <c r="AC142" s="227"/>
      <c r="AD142" s="227"/>
      <c r="AE142" s="227"/>
      <c r="AF142" s="227"/>
      <c r="AG142" s="227"/>
      <c r="AH142" s="227"/>
      <c r="AI142" s="227"/>
      <c r="AJ142" s="227"/>
      <c r="AK142" s="227"/>
      <c r="AL142" s="227"/>
      <c r="AM142" s="227"/>
      <c r="AN142" s="227"/>
      <c r="AO142" s="227"/>
      <c r="AP142" s="227"/>
      <c r="AQ142" s="227"/>
      <c r="AR142" s="227"/>
      <c r="AS142" s="227"/>
      <c r="AT142" s="227"/>
      <c r="AU142" s="227"/>
      <c r="AV142" s="227"/>
      <c r="AW142" s="227"/>
      <c r="AX142" s="227"/>
      <c r="AY142" s="227"/>
      <c r="AZ142" s="227"/>
      <c r="BA142" s="227"/>
      <c r="BB142" s="227"/>
      <c r="BC142" s="227"/>
      <c r="BD142" s="227"/>
      <c r="BE142" s="227"/>
      <c r="BF142" s="227"/>
      <c r="BG142" s="227"/>
      <c r="BH142" s="227"/>
      <c r="BI142" s="227"/>
      <c r="BJ142" s="227"/>
      <c r="BK142" s="227"/>
      <c r="BL142" s="227"/>
      <c r="BM142" s="227"/>
      <c r="BN142" s="227"/>
      <c r="BO142" s="227"/>
      <c r="BP142" s="227"/>
      <c r="BQ142" s="227"/>
      <c r="BR142" s="227"/>
      <c r="BS142" s="227"/>
      <c r="BT142" s="227"/>
      <c r="BU142" s="240"/>
      <c r="BV142" s="240"/>
      <c r="BW142" s="240"/>
      <c r="BX142" s="240"/>
    </row>
    <row r="143" spans="1:76" s="141" customFormat="1" ht="11.25" customHeight="1" x14ac:dyDescent="0.2">
      <c r="A143" s="5"/>
      <c r="B143" s="5"/>
      <c r="C143" s="5"/>
      <c r="D143" s="5"/>
      <c r="E143" s="5"/>
      <c r="F143" s="5"/>
      <c r="G143" s="5"/>
      <c r="H143" s="5"/>
      <c r="I143" s="5"/>
      <c r="J143" s="37"/>
      <c r="K143" s="227"/>
      <c r="L143" s="227"/>
      <c r="M143" s="227"/>
      <c r="N143" s="227"/>
      <c r="O143" s="239"/>
      <c r="P143" s="5"/>
      <c r="Q143" s="5"/>
      <c r="R143" s="5"/>
      <c r="S143" s="5"/>
      <c r="T143" s="5"/>
      <c r="U143" s="5"/>
      <c r="V143" s="5"/>
      <c r="W143" s="37"/>
      <c r="X143" s="227"/>
      <c r="Y143" s="227"/>
      <c r="Z143" s="227"/>
      <c r="AA143" s="227"/>
      <c r="AB143" s="227"/>
      <c r="AC143" s="227"/>
      <c r="AD143" s="227"/>
      <c r="AE143" s="227"/>
      <c r="AF143" s="227"/>
      <c r="AG143" s="227"/>
      <c r="AH143" s="227"/>
      <c r="AI143" s="227"/>
      <c r="AJ143" s="227"/>
      <c r="AK143" s="227"/>
      <c r="AL143" s="227"/>
      <c r="AM143" s="227"/>
      <c r="AN143" s="227"/>
      <c r="AO143" s="227"/>
      <c r="AP143" s="227"/>
      <c r="AQ143" s="227"/>
      <c r="AR143" s="227"/>
      <c r="AS143" s="227"/>
      <c r="AT143" s="227"/>
      <c r="AU143" s="227"/>
      <c r="AV143" s="227"/>
      <c r="AW143" s="227"/>
      <c r="AX143" s="227"/>
      <c r="AY143" s="227"/>
      <c r="AZ143" s="227"/>
      <c r="BA143" s="227"/>
      <c r="BB143" s="227"/>
      <c r="BC143" s="227"/>
      <c r="BD143" s="227"/>
      <c r="BE143" s="227"/>
      <c r="BF143" s="227"/>
      <c r="BG143" s="227"/>
      <c r="BH143" s="227"/>
      <c r="BI143" s="227"/>
      <c r="BJ143" s="227"/>
      <c r="BK143" s="227"/>
      <c r="BL143" s="227"/>
      <c r="BM143" s="227"/>
      <c r="BN143" s="227"/>
      <c r="BO143" s="227"/>
      <c r="BP143" s="227"/>
      <c r="BQ143" s="227"/>
      <c r="BR143" s="227"/>
      <c r="BS143" s="227"/>
      <c r="BT143" s="227"/>
      <c r="BU143" s="240"/>
      <c r="BV143" s="240"/>
      <c r="BW143" s="240"/>
      <c r="BX143" s="240"/>
    </row>
    <row r="144" spans="1:76" s="141" customFormat="1" ht="11.25" customHeight="1" x14ac:dyDescent="0.2">
      <c r="A144" s="5"/>
      <c r="B144" s="5"/>
      <c r="C144" s="5"/>
      <c r="D144" s="5"/>
      <c r="E144" s="5"/>
      <c r="F144" s="5"/>
      <c r="G144" s="5"/>
      <c r="H144" s="5"/>
      <c r="I144" s="5"/>
      <c r="J144" s="37"/>
      <c r="K144" s="227"/>
      <c r="L144" s="227"/>
      <c r="M144" s="227"/>
      <c r="N144" s="227"/>
      <c r="O144" s="239"/>
      <c r="P144" s="5"/>
      <c r="Q144" s="5"/>
      <c r="R144" s="5"/>
      <c r="S144" s="5"/>
      <c r="T144" s="5"/>
      <c r="U144" s="5"/>
      <c r="V144" s="5"/>
      <c r="W144" s="37"/>
      <c r="X144" s="227"/>
      <c r="Y144" s="227"/>
      <c r="Z144" s="227"/>
      <c r="AA144" s="227"/>
      <c r="AB144" s="227"/>
      <c r="AC144" s="227"/>
      <c r="AD144" s="227"/>
      <c r="AE144" s="227"/>
      <c r="AF144" s="227"/>
      <c r="AG144" s="227"/>
      <c r="AH144" s="227"/>
      <c r="AI144" s="227"/>
      <c r="AJ144" s="227"/>
      <c r="AK144" s="227"/>
      <c r="AL144" s="227"/>
      <c r="AM144" s="227"/>
      <c r="AN144" s="227"/>
      <c r="AO144" s="227"/>
      <c r="AP144" s="227"/>
      <c r="AQ144" s="227"/>
      <c r="AR144" s="227"/>
      <c r="AS144" s="227"/>
      <c r="AT144" s="227"/>
      <c r="AU144" s="227"/>
      <c r="AV144" s="227"/>
      <c r="AW144" s="227"/>
      <c r="AX144" s="227"/>
      <c r="AY144" s="227"/>
      <c r="AZ144" s="227"/>
      <c r="BA144" s="227"/>
      <c r="BB144" s="227"/>
      <c r="BC144" s="227"/>
      <c r="BD144" s="227"/>
      <c r="BE144" s="227"/>
      <c r="BF144" s="227"/>
      <c r="BG144" s="227"/>
      <c r="BH144" s="227"/>
      <c r="BI144" s="227"/>
      <c r="BJ144" s="227"/>
      <c r="BK144" s="227"/>
      <c r="BL144" s="227"/>
      <c r="BM144" s="227"/>
      <c r="BN144" s="227"/>
      <c r="BO144" s="227"/>
      <c r="BP144" s="227"/>
      <c r="BQ144" s="227"/>
      <c r="BR144" s="227"/>
      <c r="BS144" s="227"/>
      <c r="BT144" s="227"/>
      <c r="BU144" s="240"/>
      <c r="BV144" s="240"/>
      <c r="BW144" s="240"/>
      <c r="BX144" s="240"/>
    </row>
    <row r="145" spans="1:76" s="141" customFormat="1" ht="11.25" customHeight="1" x14ac:dyDescent="0.2">
      <c r="A145" s="5"/>
      <c r="B145" s="5"/>
      <c r="C145" s="5"/>
      <c r="D145" s="5"/>
      <c r="E145" s="5"/>
      <c r="F145" s="5"/>
      <c r="G145" s="5"/>
      <c r="H145" s="5"/>
      <c r="I145" s="5"/>
      <c r="J145" s="37"/>
      <c r="K145" s="227"/>
      <c r="L145" s="227"/>
      <c r="M145" s="227"/>
      <c r="N145" s="227"/>
      <c r="O145" s="239"/>
      <c r="P145" s="5"/>
      <c r="Q145" s="5"/>
      <c r="R145" s="5"/>
      <c r="S145" s="5"/>
      <c r="T145" s="5"/>
      <c r="U145" s="5"/>
      <c r="V145" s="5"/>
      <c r="W145" s="37"/>
      <c r="X145" s="227"/>
      <c r="Y145" s="227"/>
      <c r="Z145" s="227"/>
      <c r="AA145" s="227"/>
      <c r="AB145" s="227"/>
      <c r="AC145" s="227"/>
      <c r="AD145" s="227"/>
      <c r="AE145" s="227"/>
      <c r="AF145" s="227"/>
      <c r="AG145" s="227"/>
      <c r="AH145" s="227"/>
      <c r="AI145" s="227"/>
      <c r="AJ145" s="227"/>
      <c r="AK145" s="227"/>
      <c r="AL145" s="227"/>
      <c r="AM145" s="227"/>
      <c r="AN145" s="227"/>
      <c r="AO145" s="227"/>
      <c r="AP145" s="227"/>
      <c r="AQ145" s="227"/>
      <c r="AR145" s="227"/>
      <c r="AS145" s="227"/>
      <c r="AT145" s="227"/>
      <c r="AU145" s="227"/>
      <c r="AV145" s="227"/>
      <c r="AW145" s="227"/>
      <c r="AX145" s="227"/>
      <c r="AY145" s="227"/>
      <c r="AZ145" s="227"/>
      <c r="BA145" s="227"/>
      <c r="BB145" s="227"/>
      <c r="BC145" s="227"/>
      <c r="BD145" s="227"/>
      <c r="BE145" s="227"/>
      <c r="BF145" s="227"/>
      <c r="BG145" s="227"/>
      <c r="BH145" s="227"/>
      <c r="BI145" s="227"/>
      <c r="BJ145" s="227"/>
      <c r="BK145" s="227"/>
      <c r="BL145" s="227"/>
      <c r="BM145" s="227"/>
      <c r="BN145" s="227"/>
      <c r="BO145" s="227"/>
      <c r="BP145" s="227"/>
      <c r="BQ145" s="227"/>
      <c r="BR145" s="227"/>
      <c r="BS145" s="227"/>
      <c r="BT145" s="227"/>
      <c r="BU145" s="240"/>
      <c r="BV145" s="240"/>
      <c r="BW145" s="240"/>
      <c r="BX145" s="240"/>
    </row>
    <row r="146" spans="1:76" s="141" customFormat="1" ht="11.25" customHeight="1" x14ac:dyDescent="0.2">
      <c r="A146" s="5"/>
      <c r="B146" s="5"/>
      <c r="C146" s="5"/>
      <c r="D146" s="5"/>
      <c r="E146" s="5"/>
      <c r="F146" s="5"/>
      <c r="G146" s="5"/>
      <c r="H146" s="5"/>
      <c r="I146" s="5"/>
      <c r="J146" s="37"/>
      <c r="K146" s="227"/>
      <c r="L146" s="227"/>
      <c r="M146" s="227"/>
      <c r="N146" s="227"/>
      <c r="O146" s="239"/>
      <c r="P146" s="5"/>
      <c r="Q146" s="5"/>
      <c r="R146" s="5"/>
      <c r="S146" s="5"/>
      <c r="T146" s="5"/>
      <c r="U146" s="5"/>
      <c r="V146" s="5"/>
      <c r="W146" s="37"/>
      <c r="X146" s="227"/>
      <c r="Y146" s="227"/>
      <c r="Z146" s="227"/>
      <c r="AA146" s="227"/>
      <c r="AB146" s="227"/>
      <c r="AC146" s="227"/>
      <c r="AD146" s="227"/>
      <c r="AE146" s="227"/>
      <c r="AF146" s="227"/>
      <c r="AG146" s="227"/>
      <c r="AH146" s="227"/>
      <c r="AI146" s="227"/>
      <c r="AJ146" s="227"/>
      <c r="AK146" s="227"/>
      <c r="AL146" s="227"/>
      <c r="AM146" s="227"/>
      <c r="AN146" s="227"/>
      <c r="AO146" s="227"/>
      <c r="AP146" s="227"/>
      <c r="AQ146" s="227"/>
      <c r="AR146" s="227"/>
      <c r="AS146" s="227"/>
      <c r="AT146" s="227"/>
      <c r="AU146" s="227"/>
      <c r="AV146" s="227"/>
      <c r="AW146" s="227"/>
      <c r="AX146" s="227"/>
      <c r="AY146" s="227"/>
      <c r="AZ146" s="227"/>
      <c r="BA146" s="227"/>
      <c r="BB146" s="227"/>
      <c r="BC146" s="227"/>
      <c r="BD146" s="227"/>
      <c r="BE146" s="227"/>
      <c r="BF146" s="227"/>
      <c r="BG146" s="227"/>
      <c r="BH146" s="227"/>
      <c r="BI146" s="227"/>
      <c r="BJ146" s="227"/>
      <c r="BK146" s="227"/>
      <c r="BL146" s="227"/>
      <c r="BM146" s="227"/>
      <c r="BN146" s="227"/>
      <c r="BO146" s="227"/>
      <c r="BP146" s="227"/>
      <c r="BQ146" s="227"/>
      <c r="BR146" s="227"/>
      <c r="BS146" s="227"/>
      <c r="BT146" s="227"/>
      <c r="BU146" s="240"/>
      <c r="BV146" s="240"/>
      <c r="BW146" s="240"/>
      <c r="BX146" s="240"/>
    </row>
    <row r="147" spans="1:76" s="141" customFormat="1" ht="11.25" customHeight="1" x14ac:dyDescent="0.2">
      <c r="A147" s="5"/>
      <c r="B147" s="5"/>
      <c r="C147" s="5"/>
      <c r="D147" s="5"/>
      <c r="E147" s="5"/>
      <c r="F147" s="5"/>
      <c r="G147" s="5"/>
      <c r="H147" s="5"/>
      <c r="I147" s="5"/>
      <c r="J147" s="37"/>
      <c r="K147" s="227"/>
      <c r="L147" s="227"/>
      <c r="M147" s="227"/>
      <c r="N147" s="227"/>
      <c r="O147" s="239"/>
      <c r="P147" s="5"/>
      <c r="Q147" s="5"/>
      <c r="R147" s="5"/>
      <c r="S147" s="5"/>
      <c r="T147" s="5"/>
      <c r="U147" s="5"/>
      <c r="V147" s="5"/>
      <c r="W147" s="37"/>
      <c r="X147" s="227"/>
      <c r="Y147" s="227"/>
      <c r="Z147" s="227"/>
      <c r="AA147" s="227"/>
      <c r="AB147" s="227"/>
      <c r="AC147" s="227"/>
      <c r="AD147" s="227"/>
      <c r="AE147" s="227"/>
      <c r="AF147" s="227"/>
      <c r="AG147" s="227"/>
      <c r="AH147" s="227"/>
      <c r="AI147" s="227"/>
      <c r="AJ147" s="227"/>
      <c r="AK147" s="227"/>
      <c r="AL147" s="227"/>
      <c r="AM147" s="227"/>
      <c r="AN147" s="227"/>
      <c r="AO147" s="227"/>
      <c r="AP147" s="227"/>
      <c r="AQ147" s="227"/>
      <c r="AR147" s="227"/>
      <c r="AS147" s="227"/>
      <c r="AT147" s="227"/>
      <c r="AU147" s="227"/>
      <c r="AV147" s="227"/>
      <c r="AW147" s="227"/>
      <c r="AX147" s="227"/>
      <c r="AY147" s="227"/>
      <c r="AZ147" s="227"/>
      <c r="BA147" s="227"/>
      <c r="BB147" s="227"/>
      <c r="BC147" s="227"/>
      <c r="BD147" s="227"/>
      <c r="BE147" s="227"/>
      <c r="BF147" s="227"/>
      <c r="BG147" s="227"/>
      <c r="BH147" s="227"/>
      <c r="BI147" s="227"/>
      <c r="BJ147" s="227"/>
      <c r="BK147" s="227"/>
      <c r="BL147" s="227"/>
      <c r="BM147" s="227"/>
      <c r="BN147" s="227"/>
      <c r="BO147" s="227"/>
      <c r="BP147" s="227"/>
      <c r="BQ147" s="227"/>
      <c r="BR147" s="227"/>
      <c r="BS147" s="227"/>
      <c r="BT147" s="227"/>
      <c r="BU147" s="240"/>
      <c r="BV147" s="240"/>
      <c r="BW147" s="240"/>
      <c r="BX147" s="240"/>
    </row>
    <row r="148" spans="1:76" s="141" customFormat="1" ht="11.25" customHeight="1" x14ac:dyDescent="0.2">
      <c r="A148" s="5"/>
      <c r="B148" s="5"/>
      <c r="C148" s="5"/>
      <c r="D148" s="5"/>
      <c r="E148" s="5"/>
      <c r="F148" s="5"/>
      <c r="G148" s="5"/>
      <c r="H148" s="5"/>
      <c r="I148" s="5"/>
      <c r="J148" s="37"/>
      <c r="K148" s="227"/>
      <c r="L148" s="227"/>
      <c r="M148" s="227"/>
      <c r="N148" s="227"/>
      <c r="O148" s="239"/>
      <c r="P148" s="5"/>
      <c r="Q148" s="5"/>
      <c r="R148" s="5"/>
      <c r="S148" s="5"/>
      <c r="T148" s="5"/>
      <c r="U148" s="5"/>
      <c r="V148" s="5"/>
      <c r="W148" s="37"/>
      <c r="X148" s="227"/>
      <c r="Y148" s="227"/>
      <c r="Z148" s="227"/>
      <c r="AA148" s="227"/>
      <c r="AB148" s="227"/>
      <c r="AC148" s="227"/>
      <c r="AD148" s="227"/>
      <c r="AE148" s="227"/>
      <c r="AF148" s="227"/>
      <c r="AG148" s="227"/>
      <c r="AH148" s="227"/>
      <c r="AI148" s="227"/>
      <c r="AJ148" s="227"/>
      <c r="AK148" s="227"/>
      <c r="AL148" s="227"/>
      <c r="AM148" s="227"/>
      <c r="AN148" s="227"/>
      <c r="AO148" s="227"/>
      <c r="AP148" s="227"/>
      <c r="AQ148" s="227"/>
      <c r="AR148" s="227"/>
      <c r="AS148" s="227"/>
      <c r="AT148" s="227"/>
      <c r="AU148" s="227"/>
      <c r="AV148" s="227"/>
      <c r="AW148" s="227"/>
      <c r="AX148" s="227"/>
      <c r="AY148" s="227"/>
      <c r="AZ148" s="227"/>
      <c r="BA148" s="227"/>
      <c r="BB148" s="227"/>
      <c r="BC148" s="227"/>
      <c r="BD148" s="227"/>
      <c r="BE148" s="227"/>
      <c r="BF148" s="227"/>
      <c r="BG148" s="227"/>
      <c r="BH148" s="227"/>
      <c r="BI148" s="227"/>
      <c r="BJ148" s="227"/>
      <c r="BK148" s="227"/>
      <c r="BL148" s="227"/>
      <c r="BM148" s="227"/>
      <c r="BN148" s="227"/>
      <c r="BO148" s="227"/>
      <c r="BP148" s="227"/>
      <c r="BQ148" s="227"/>
      <c r="BR148" s="227"/>
      <c r="BS148" s="227"/>
      <c r="BT148" s="227"/>
      <c r="BU148" s="240"/>
      <c r="BV148" s="240"/>
      <c r="BW148" s="240"/>
      <c r="BX148" s="240"/>
    </row>
    <row r="149" spans="1:76" s="141" customFormat="1" ht="11.25" customHeight="1" x14ac:dyDescent="0.2">
      <c r="A149" s="5"/>
      <c r="B149" s="5"/>
      <c r="C149" s="5"/>
      <c r="D149" s="5"/>
      <c r="E149" s="5"/>
      <c r="F149" s="5"/>
      <c r="G149" s="5"/>
      <c r="H149" s="5"/>
      <c r="I149" s="5"/>
      <c r="J149" s="37"/>
      <c r="K149" s="227"/>
      <c r="L149" s="227"/>
      <c r="M149" s="227"/>
      <c r="N149" s="227"/>
      <c r="O149" s="239"/>
      <c r="P149" s="5"/>
      <c r="Q149" s="5"/>
      <c r="R149" s="5"/>
      <c r="S149" s="5"/>
      <c r="T149" s="5"/>
      <c r="U149" s="5"/>
      <c r="V149" s="5"/>
      <c r="W149" s="37"/>
      <c r="X149" s="227"/>
      <c r="Y149" s="227"/>
      <c r="Z149" s="227"/>
      <c r="AA149" s="227"/>
      <c r="AB149" s="227"/>
      <c r="AC149" s="227"/>
      <c r="AD149" s="227"/>
      <c r="AE149" s="227"/>
      <c r="AF149" s="227"/>
      <c r="AG149" s="227"/>
      <c r="AH149" s="227"/>
      <c r="AI149" s="227"/>
      <c r="AJ149" s="227"/>
      <c r="AK149" s="227"/>
      <c r="AL149" s="227"/>
      <c r="AM149" s="227"/>
      <c r="AN149" s="227"/>
      <c r="AO149" s="227"/>
      <c r="AP149" s="227"/>
      <c r="AQ149" s="227"/>
      <c r="AR149" s="227"/>
      <c r="AS149" s="227"/>
      <c r="AT149" s="227"/>
      <c r="AU149" s="227"/>
      <c r="AV149" s="227"/>
      <c r="AW149" s="227"/>
      <c r="AX149" s="227"/>
      <c r="AY149" s="227"/>
      <c r="AZ149" s="227"/>
      <c r="BA149" s="227"/>
      <c r="BB149" s="227"/>
      <c r="BC149" s="227"/>
      <c r="BD149" s="227"/>
      <c r="BE149" s="227"/>
      <c r="BF149" s="227"/>
      <c r="BG149" s="227"/>
      <c r="BH149" s="227"/>
      <c r="BI149" s="227"/>
      <c r="BJ149" s="227"/>
      <c r="BK149" s="227"/>
      <c r="BL149" s="227"/>
      <c r="BM149" s="227"/>
      <c r="BN149" s="227"/>
      <c r="BO149" s="227"/>
      <c r="BP149" s="227"/>
      <c r="BQ149" s="227"/>
      <c r="BR149" s="227"/>
      <c r="BS149" s="227"/>
      <c r="BT149" s="227"/>
      <c r="BU149" s="240"/>
      <c r="BV149" s="240"/>
      <c r="BW149" s="240"/>
      <c r="BX149" s="240"/>
    </row>
    <row r="150" spans="1:76" s="141" customFormat="1" ht="11.25" customHeight="1" x14ac:dyDescent="0.2">
      <c r="A150" s="5"/>
      <c r="B150" s="5"/>
      <c r="C150" s="5"/>
      <c r="D150" s="5"/>
      <c r="E150" s="5"/>
      <c r="F150" s="5"/>
      <c r="G150" s="5"/>
      <c r="H150" s="5"/>
      <c r="I150" s="5"/>
      <c r="J150" s="37"/>
      <c r="K150" s="227"/>
      <c r="L150" s="227"/>
      <c r="M150" s="227"/>
      <c r="N150" s="227"/>
      <c r="O150" s="239"/>
      <c r="P150" s="5"/>
      <c r="Q150" s="5"/>
      <c r="R150" s="5"/>
      <c r="S150" s="5"/>
      <c r="T150" s="5"/>
      <c r="U150" s="5"/>
      <c r="V150" s="5"/>
      <c r="W150" s="37"/>
      <c r="X150" s="227"/>
      <c r="Y150" s="227"/>
      <c r="Z150" s="227"/>
      <c r="AA150" s="227"/>
      <c r="AB150" s="227"/>
      <c r="AC150" s="227"/>
      <c r="AD150" s="227"/>
      <c r="AE150" s="227"/>
      <c r="AF150" s="227"/>
      <c r="AG150" s="227"/>
      <c r="AH150" s="227"/>
      <c r="AI150" s="227"/>
      <c r="AJ150" s="227"/>
      <c r="AK150" s="227"/>
      <c r="AL150" s="227"/>
      <c r="AM150" s="227"/>
      <c r="AN150" s="227"/>
      <c r="AO150" s="227"/>
      <c r="AP150" s="227"/>
      <c r="AQ150" s="227"/>
      <c r="AR150" s="227"/>
      <c r="AS150" s="227"/>
      <c r="AT150" s="227"/>
      <c r="AU150" s="227"/>
      <c r="AV150" s="227"/>
      <c r="AW150" s="227"/>
      <c r="AX150" s="227"/>
      <c r="AY150" s="227"/>
      <c r="AZ150" s="227"/>
      <c r="BA150" s="227"/>
      <c r="BB150" s="227"/>
      <c r="BC150" s="227"/>
      <c r="BD150" s="227"/>
      <c r="BE150" s="227"/>
      <c r="BF150" s="227"/>
      <c r="BG150" s="227"/>
      <c r="BH150" s="227"/>
      <c r="BI150" s="227"/>
      <c r="BJ150" s="227"/>
      <c r="BK150" s="227"/>
      <c r="BL150" s="227"/>
      <c r="BM150" s="227"/>
      <c r="BN150" s="227"/>
      <c r="BO150" s="227"/>
      <c r="BP150" s="227"/>
      <c r="BQ150" s="227"/>
      <c r="BR150" s="227"/>
      <c r="BS150" s="227"/>
      <c r="BT150" s="227"/>
      <c r="BU150" s="240"/>
      <c r="BV150" s="240"/>
      <c r="BW150" s="240"/>
      <c r="BX150" s="240"/>
    </row>
    <row r="151" spans="1:76" s="141" customFormat="1" ht="11.25" customHeight="1" x14ac:dyDescent="0.2">
      <c r="A151" s="5"/>
      <c r="B151" s="5"/>
      <c r="C151" s="5"/>
      <c r="D151" s="5"/>
      <c r="E151" s="5"/>
      <c r="F151" s="5"/>
      <c r="G151" s="5"/>
      <c r="H151" s="5"/>
      <c r="I151" s="5"/>
      <c r="J151" s="37"/>
      <c r="K151" s="227"/>
      <c r="L151" s="227"/>
      <c r="M151" s="227"/>
      <c r="N151" s="227"/>
      <c r="O151" s="239"/>
      <c r="P151" s="5"/>
      <c r="Q151" s="5"/>
      <c r="R151" s="5"/>
      <c r="S151" s="5"/>
      <c r="T151" s="5"/>
      <c r="U151" s="5"/>
      <c r="V151" s="5"/>
      <c r="W151" s="37"/>
      <c r="X151" s="227"/>
      <c r="Y151" s="227"/>
      <c r="Z151" s="227"/>
      <c r="AA151" s="227"/>
      <c r="AB151" s="227"/>
      <c r="AC151" s="227"/>
      <c r="AD151" s="227"/>
      <c r="AE151" s="227"/>
      <c r="AF151" s="227"/>
      <c r="AG151" s="227"/>
      <c r="AH151" s="227"/>
      <c r="AI151" s="227"/>
      <c r="AJ151" s="227"/>
      <c r="AK151" s="227"/>
      <c r="AL151" s="227"/>
      <c r="AM151" s="227"/>
      <c r="AN151" s="227"/>
      <c r="AO151" s="227"/>
      <c r="AP151" s="227"/>
      <c r="AQ151" s="227"/>
      <c r="AR151" s="227"/>
      <c r="AS151" s="227"/>
      <c r="AT151" s="227"/>
      <c r="AU151" s="227"/>
      <c r="AV151" s="227"/>
      <c r="AW151" s="227"/>
      <c r="AX151" s="227"/>
      <c r="AY151" s="227"/>
      <c r="AZ151" s="227"/>
      <c r="BA151" s="227"/>
      <c r="BB151" s="227"/>
      <c r="BC151" s="227"/>
      <c r="BD151" s="227"/>
      <c r="BE151" s="227"/>
      <c r="BF151" s="227"/>
      <c r="BG151" s="227"/>
      <c r="BH151" s="227"/>
      <c r="BI151" s="227"/>
      <c r="BJ151" s="227"/>
      <c r="BK151" s="227"/>
      <c r="BL151" s="227"/>
      <c r="BM151" s="227"/>
      <c r="BN151" s="227"/>
      <c r="BO151" s="227"/>
      <c r="BP151" s="227"/>
      <c r="BQ151" s="227"/>
      <c r="BR151" s="227"/>
      <c r="BS151" s="227"/>
      <c r="BT151" s="227"/>
      <c r="BU151" s="240"/>
      <c r="BV151" s="240"/>
      <c r="BW151" s="240"/>
      <c r="BX151" s="240"/>
    </row>
    <row r="152" spans="1:76" s="141" customFormat="1" ht="11.25" customHeight="1" x14ac:dyDescent="0.2">
      <c r="A152" s="5"/>
      <c r="B152" s="5"/>
      <c r="C152" s="5"/>
      <c r="D152" s="5"/>
      <c r="E152" s="5"/>
      <c r="F152" s="5"/>
      <c r="G152" s="5"/>
      <c r="H152" s="5"/>
      <c r="I152" s="5"/>
      <c r="J152" s="37"/>
      <c r="K152" s="227"/>
      <c r="L152" s="227"/>
      <c r="M152" s="227"/>
      <c r="N152" s="227"/>
      <c r="O152" s="239"/>
      <c r="P152" s="5"/>
      <c r="Q152" s="5"/>
      <c r="R152" s="5"/>
      <c r="S152" s="5"/>
      <c r="T152" s="5"/>
      <c r="U152" s="5"/>
      <c r="V152" s="5"/>
      <c r="W152" s="37"/>
      <c r="X152" s="227"/>
      <c r="Y152" s="227"/>
      <c r="Z152" s="227"/>
      <c r="AA152" s="227"/>
      <c r="AB152" s="227"/>
      <c r="AC152" s="227"/>
      <c r="AD152" s="227"/>
      <c r="AE152" s="227"/>
      <c r="AF152" s="227"/>
      <c r="AG152" s="227"/>
      <c r="AH152" s="227"/>
      <c r="AI152" s="227"/>
      <c r="AJ152" s="227"/>
      <c r="AK152" s="227"/>
      <c r="AL152" s="227"/>
      <c r="AM152" s="227"/>
      <c r="AN152" s="227"/>
      <c r="AO152" s="227"/>
      <c r="AP152" s="227"/>
      <c r="AQ152" s="227"/>
      <c r="AR152" s="227"/>
      <c r="AS152" s="227"/>
      <c r="AT152" s="227"/>
      <c r="AU152" s="227"/>
      <c r="AV152" s="227"/>
      <c r="AW152" s="227"/>
      <c r="AX152" s="227"/>
      <c r="AY152" s="227"/>
      <c r="AZ152" s="227"/>
      <c r="BA152" s="227"/>
      <c r="BB152" s="227"/>
      <c r="BC152" s="227"/>
      <c r="BD152" s="227"/>
      <c r="BE152" s="227"/>
      <c r="BF152" s="227"/>
      <c r="BG152" s="227"/>
      <c r="BH152" s="227"/>
      <c r="BI152" s="227"/>
      <c r="BJ152" s="227"/>
      <c r="BK152" s="227"/>
      <c r="BL152" s="227"/>
      <c r="BM152" s="227"/>
      <c r="BN152" s="227"/>
      <c r="BO152" s="227"/>
      <c r="BP152" s="227"/>
      <c r="BQ152" s="227"/>
      <c r="BR152" s="227"/>
      <c r="BS152" s="227"/>
      <c r="BT152" s="227"/>
      <c r="BU152" s="240"/>
      <c r="BV152" s="240"/>
      <c r="BW152" s="240"/>
      <c r="BX152" s="240"/>
    </row>
    <row r="153" spans="1:76" s="141" customFormat="1" ht="11.25" customHeight="1" x14ac:dyDescent="0.2">
      <c r="A153" s="5"/>
      <c r="B153" s="5"/>
      <c r="C153" s="5"/>
      <c r="D153" s="5"/>
      <c r="E153" s="5"/>
      <c r="F153" s="5"/>
      <c r="G153" s="5"/>
      <c r="H153" s="5"/>
      <c r="I153" s="5"/>
      <c r="J153" s="37"/>
      <c r="K153" s="227"/>
      <c r="L153" s="227"/>
      <c r="M153" s="227"/>
      <c r="N153" s="227"/>
      <c r="O153" s="239"/>
      <c r="P153" s="5"/>
      <c r="Q153" s="5"/>
      <c r="R153" s="5"/>
      <c r="S153" s="5"/>
      <c r="T153" s="5"/>
      <c r="U153" s="5"/>
      <c r="V153" s="5"/>
      <c r="W153" s="37"/>
      <c r="X153" s="227"/>
      <c r="Y153" s="227"/>
      <c r="Z153" s="227"/>
      <c r="AA153" s="227"/>
      <c r="AB153" s="227"/>
      <c r="AC153" s="227"/>
      <c r="AD153" s="227"/>
      <c r="AE153" s="227"/>
      <c r="AF153" s="227"/>
      <c r="AG153" s="227"/>
      <c r="AH153" s="227"/>
      <c r="AI153" s="227"/>
      <c r="AJ153" s="227"/>
      <c r="AK153" s="227"/>
      <c r="AL153" s="227"/>
      <c r="AM153" s="227"/>
      <c r="AN153" s="227"/>
      <c r="AO153" s="227"/>
      <c r="AP153" s="227"/>
      <c r="AQ153" s="227"/>
      <c r="AR153" s="227"/>
      <c r="AS153" s="227"/>
      <c r="AT153" s="227"/>
      <c r="AU153" s="227"/>
      <c r="AV153" s="227"/>
      <c r="AW153" s="227"/>
      <c r="AX153" s="227"/>
      <c r="AY153" s="227"/>
      <c r="AZ153" s="227"/>
      <c r="BA153" s="227"/>
      <c r="BB153" s="227"/>
      <c r="BC153" s="227"/>
      <c r="BD153" s="227"/>
      <c r="BE153" s="227"/>
      <c r="BF153" s="227"/>
      <c r="BG153" s="227"/>
      <c r="BH153" s="227"/>
      <c r="BI153" s="227"/>
      <c r="BJ153" s="227"/>
      <c r="BK153" s="227"/>
      <c r="BL153" s="227"/>
      <c r="BM153" s="227"/>
      <c r="BN153" s="227"/>
      <c r="BO153" s="227"/>
      <c r="BP153" s="227"/>
      <c r="BQ153" s="227"/>
      <c r="BR153" s="227"/>
      <c r="BS153" s="227"/>
      <c r="BT153" s="227"/>
      <c r="BU153" s="240"/>
      <c r="BV153" s="240"/>
      <c r="BW153" s="240"/>
      <c r="BX153" s="240"/>
    </row>
    <row r="154" spans="1:76" s="141" customFormat="1" ht="11.25" customHeight="1" x14ac:dyDescent="0.2">
      <c r="A154" s="5"/>
      <c r="B154" s="5"/>
      <c r="C154" s="5"/>
      <c r="D154" s="5"/>
      <c r="E154" s="5"/>
      <c r="F154" s="5"/>
      <c r="G154" s="5"/>
      <c r="H154" s="5"/>
      <c r="I154" s="5"/>
      <c r="J154" s="37"/>
      <c r="K154" s="227"/>
      <c r="L154" s="227"/>
      <c r="M154" s="227"/>
      <c r="N154" s="227"/>
      <c r="O154" s="239"/>
      <c r="P154" s="5"/>
      <c r="Q154" s="5"/>
      <c r="R154" s="5"/>
      <c r="S154" s="5"/>
      <c r="T154" s="5"/>
      <c r="U154" s="5"/>
      <c r="V154" s="5"/>
      <c r="W154" s="37"/>
      <c r="X154" s="227"/>
      <c r="Y154" s="227"/>
      <c r="Z154" s="227"/>
      <c r="AA154" s="227"/>
      <c r="AB154" s="227"/>
      <c r="AC154" s="227"/>
      <c r="AD154" s="227"/>
      <c r="AE154" s="227"/>
      <c r="AF154" s="227"/>
      <c r="AG154" s="227"/>
      <c r="AH154" s="227"/>
      <c r="AI154" s="227"/>
      <c r="AJ154" s="227"/>
      <c r="AK154" s="227"/>
      <c r="AL154" s="227"/>
      <c r="AM154" s="227"/>
      <c r="AN154" s="227"/>
      <c r="AO154" s="227"/>
      <c r="AP154" s="227"/>
      <c r="AQ154" s="227"/>
      <c r="AR154" s="227"/>
      <c r="AS154" s="227"/>
      <c r="AT154" s="227"/>
      <c r="AU154" s="227"/>
      <c r="AV154" s="227"/>
      <c r="AW154" s="227"/>
      <c r="AX154" s="227"/>
      <c r="AY154" s="227"/>
      <c r="AZ154" s="227"/>
      <c r="BA154" s="227"/>
      <c r="BB154" s="227"/>
      <c r="BC154" s="227"/>
      <c r="BD154" s="227"/>
      <c r="BE154" s="227"/>
      <c r="BF154" s="227"/>
      <c r="BG154" s="227"/>
      <c r="BH154" s="227"/>
      <c r="BI154" s="227"/>
      <c r="BJ154" s="227"/>
      <c r="BK154" s="227"/>
      <c r="BL154" s="227"/>
      <c r="BM154" s="227"/>
      <c r="BN154" s="227"/>
      <c r="BO154" s="227"/>
      <c r="BP154" s="227"/>
      <c r="BQ154" s="227"/>
      <c r="BR154" s="227"/>
      <c r="BS154" s="227"/>
      <c r="BT154" s="227"/>
      <c r="BU154" s="240"/>
      <c r="BV154" s="240"/>
      <c r="BW154" s="240"/>
      <c r="BX154" s="240"/>
    </row>
    <row r="155" spans="1:76" s="141" customFormat="1" ht="11.25" customHeight="1" x14ac:dyDescent="0.2">
      <c r="A155" s="5"/>
      <c r="B155" s="5"/>
      <c r="C155" s="5"/>
      <c r="D155" s="5"/>
      <c r="E155" s="5"/>
      <c r="F155" s="5"/>
      <c r="G155" s="5"/>
      <c r="H155" s="5"/>
      <c r="I155" s="5"/>
      <c r="J155" s="37"/>
      <c r="K155" s="227"/>
      <c r="L155" s="227"/>
      <c r="M155" s="227"/>
      <c r="N155" s="227"/>
      <c r="O155" s="239"/>
      <c r="P155" s="5"/>
      <c r="Q155" s="5"/>
      <c r="R155" s="5"/>
      <c r="S155" s="5"/>
      <c r="T155" s="5"/>
      <c r="U155" s="5"/>
      <c r="V155" s="5"/>
      <c r="W155" s="37"/>
      <c r="X155" s="227"/>
      <c r="Y155" s="227"/>
      <c r="Z155" s="227"/>
      <c r="AA155" s="227"/>
      <c r="AB155" s="227"/>
      <c r="AC155" s="227"/>
      <c r="AD155" s="227"/>
      <c r="AE155" s="227"/>
      <c r="AF155" s="227"/>
      <c r="AG155" s="227"/>
      <c r="AH155" s="227"/>
      <c r="AI155" s="227"/>
      <c r="AJ155" s="227"/>
      <c r="AK155" s="227"/>
      <c r="AL155" s="227"/>
      <c r="AM155" s="227"/>
      <c r="AN155" s="227"/>
      <c r="AO155" s="227"/>
      <c r="AP155" s="227"/>
      <c r="AQ155" s="227"/>
      <c r="AR155" s="227"/>
      <c r="AS155" s="227"/>
      <c r="AT155" s="227"/>
      <c r="AU155" s="227"/>
      <c r="AV155" s="227"/>
      <c r="AW155" s="227"/>
      <c r="AX155" s="227"/>
      <c r="AY155" s="227"/>
      <c r="AZ155" s="227"/>
      <c r="BA155" s="227"/>
      <c r="BB155" s="227"/>
      <c r="BC155" s="227"/>
      <c r="BD155" s="227"/>
      <c r="BE155" s="227"/>
      <c r="BF155" s="227"/>
      <c r="BG155" s="227"/>
      <c r="BH155" s="227"/>
      <c r="BI155" s="227"/>
      <c r="BJ155" s="227"/>
      <c r="BK155" s="227"/>
      <c r="BL155" s="227"/>
      <c r="BM155" s="227"/>
      <c r="BN155" s="227"/>
      <c r="BO155" s="227"/>
      <c r="BP155" s="227"/>
      <c r="BQ155" s="227"/>
      <c r="BR155" s="227"/>
      <c r="BS155" s="227"/>
      <c r="BT155" s="227"/>
      <c r="BU155" s="240"/>
      <c r="BV155" s="240"/>
      <c r="BW155" s="240"/>
      <c r="BX155" s="240"/>
    </row>
    <row r="156" spans="1:76" s="141" customFormat="1" ht="11.25" customHeight="1" x14ac:dyDescent="0.2">
      <c r="A156" s="5"/>
      <c r="B156" s="5"/>
      <c r="C156" s="5"/>
      <c r="D156" s="5"/>
      <c r="E156" s="5"/>
      <c r="F156" s="5"/>
      <c r="G156" s="5"/>
      <c r="H156" s="5"/>
      <c r="I156" s="5"/>
      <c r="J156" s="37"/>
      <c r="K156" s="227"/>
      <c r="L156" s="227"/>
      <c r="M156" s="227"/>
      <c r="N156" s="227"/>
      <c r="O156" s="239"/>
      <c r="P156" s="5"/>
      <c r="Q156" s="5"/>
      <c r="R156" s="5"/>
      <c r="S156" s="5"/>
      <c r="T156" s="5"/>
      <c r="U156" s="5"/>
      <c r="V156" s="5"/>
      <c r="W156" s="37"/>
      <c r="X156" s="227"/>
      <c r="Y156" s="227"/>
      <c r="Z156" s="227"/>
      <c r="AA156" s="227"/>
      <c r="AB156" s="227"/>
      <c r="AC156" s="227"/>
      <c r="AD156" s="227"/>
      <c r="AE156" s="227"/>
      <c r="AF156" s="227"/>
      <c r="AG156" s="227"/>
      <c r="AH156" s="227"/>
      <c r="AI156" s="227"/>
      <c r="AJ156" s="227"/>
      <c r="AK156" s="227"/>
      <c r="AL156" s="227"/>
      <c r="AM156" s="227"/>
      <c r="AN156" s="227"/>
      <c r="AO156" s="227"/>
      <c r="AP156" s="227"/>
      <c r="AQ156" s="227"/>
      <c r="AR156" s="227"/>
      <c r="AS156" s="227"/>
      <c r="AT156" s="227"/>
      <c r="AU156" s="227"/>
      <c r="AV156" s="227"/>
      <c r="AW156" s="227"/>
      <c r="AX156" s="227"/>
      <c r="AY156" s="227"/>
      <c r="AZ156" s="227"/>
      <c r="BA156" s="227"/>
      <c r="BB156" s="227"/>
      <c r="BC156" s="227"/>
      <c r="BD156" s="227"/>
      <c r="BE156" s="227"/>
      <c r="BF156" s="227"/>
      <c r="BG156" s="227"/>
      <c r="BH156" s="227"/>
      <c r="BI156" s="227"/>
      <c r="BJ156" s="227"/>
      <c r="BK156" s="227"/>
      <c r="BL156" s="227"/>
      <c r="BM156" s="227"/>
      <c r="BN156" s="227"/>
      <c r="BO156" s="227"/>
      <c r="BP156" s="227"/>
      <c r="BQ156" s="227"/>
      <c r="BR156" s="227"/>
      <c r="BS156" s="227"/>
      <c r="BT156" s="227"/>
      <c r="BU156" s="240"/>
      <c r="BV156" s="240"/>
      <c r="BW156" s="240"/>
      <c r="BX156" s="240"/>
    </row>
    <row r="157" spans="1:76" s="141" customFormat="1" ht="11.25" customHeight="1" x14ac:dyDescent="0.2">
      <c r="A157" s="5"/>
      <c r="B157" s="5"/>
      <c r="C157" s="5"/>
      <c r="D157" s="5"/>
      <c r="E157" s="5"/>
      <c r="F157" s="5"/>
      <c r="G157" s="5"/>
      <c r="H157" s="5"/>
      <c r="I157" s="5"/>
      <c r="J157" s="37"/>
      <c r="K157" s="227"/>
      <c r="L157" s="227"/>
      <c r="M157" s="227"/>
      <c r="N157" s="227"/>
      <c r="O157" s="239"/>
      <c r="P157" s="5"/>
      <c r="Q157" s="5"/>
      <c r="R157" s="5"/>
      <c r="S157" s="5"/>
      <c r="T157" s="5"/>
      <c r="U157" s="5"/>
      <c r="V157" s="5"/>
      <c r="W157" s="37"/>
      <c r="X157" s="227"/>
      <c r="Y157" s="227"/>
      <c r="Z157" s="227"/>
      <c r="AA157" s="227"/>
      <c r="AB157" s="227"/>
      <c r="AC157" s="227"/>
      <c r="AD157" s="227"/>
      <c r="AE157" s="227"/>
      <c r="AF157" s="227"/>
      <c r="AG157" s="227"/>
      <c r="AH157" s="227"/>
      <c r="AI157" s="227"/>
      <c r="AJ157" s="227"/>
      <c r="AK157" s="227"/>
      <c r="AL157" s="227"/>
      <c r="AM157" s="227"/>
      <c r="AN157" s="227"/>
      <c r="AO157" s="227"/>
      <c r="AP157" s="227"/>
      <c r="AQ157" s="227"/>
      <c r="AR157" s="227"/>
      <c r="AS157" s="227"/>
      <c r="AT157" s="227"/>
      <c r="AU157" s="227"/>
      <c r="AV157" s="227"/>
      <c r="AW157" s="227"/>
      <c r="AX157" s="227"/>
      <c r="AY157" s="227"/>
      <c r="AZ157" s="227"/>
      <c r="BA157" s="227"/>
      <c r="BB157" s="227"/>
      <c r="BC157" s="227"/>
      <c r="BD157" s="227"/>
      <c r="BE157" s="227"/>
      <c r="BF157" s="227"/>
      <c r="BG157" s="227"/>
      <c r="BH157" s="227"/>
      <c r="BI157" s="227"/>
      <c r="BJ157" s="227"/>
      <c r="BK157" s="227"/>
      <c r="BL157" s="227"/>
      <c r="BM157" s="227"/>
      <c r="BN157" s="227"/>
      <c r="BO157" s="227"/>
      <c r="BP157" s="227"/>
      <c r="BQ157" s="227"/>
      <c r="BR157" s="227"/>
      <c r="BS157" s="227"/>
      <c r="BT157" s="227"/>
      <c r="BU157" s="240"/>
      <c r="BV157" s="240"/>
      <c r="BW157" s="240"/>
      <c r="BX157" s="240"/>
    </row>
    <row r="158" spans="1:76" s="141" customFormat="1" ht="11.25" customHeight="1" x14ac:dyDescent="0.2">
      <c r="A158" s="5"/>
      <c r="B158" s="5"/>
      <c r="C158" s="5"/>
      <c r="D158" s="5"/>
      <c r="E158" s="5"/>
      <c r="F158" s="5"/>
      <c r="G158" s="5"/>
      <c r="H158" s="5"/>
      <c r="I158" s="5"/>
      <c r="J158" s="37"/>
      <c r="K158" s="227"/>
      <c r="L158" s="227"/>
      <c r="M158" s="227"/>
      <c r="N158" s="227"/>
      <c r="O158" s="239"/>
      <c r="P158" s="5"/>
      <c r="Q158" s="5"/>
      <c r="R158" s="5"/>
      <c r="S158" s="5"/>
      <c r="T158" s="5"/>
      <c r="U158" s="5"/>
      <c r="V158" s="5"/>
      <c r="W158" s="37"/>
      <c r="X158" s="227"/>
      <c r="Y158" s="227"/>
      <c r="Z158" s="227"/>
      <c r="AA158" s="227"/>
      <c r="AB158" s="227"/>
      <c r="AC158" s="227"/>
      <c r="AD158" s="227"/>
      <c r="AE158" s="227"/>
      <c r="AF158" s="227"/>
      <c r="AG158" s="227"/>
      <c r="AH158" s="227"/>
      <c r="AI158" s="227"/>
      <c r="AJ158" s="227"/>
      <c r="AK158" s="227"/>
      <c r="AL158" s="227"/>
      <c r="AM158" s="227"/>
      <c r="AN158" s="227"/>
      <c r="AO158" s="227"/>
      <c r="AP158" s="227"/>
      <c r="AQ158" s="227"/>
      <c r="AR158" s="227"/>
      <c r="AS158" s="227"/>
      <c r="AT158" s="227"/>
      <c r="AU158" s="227"/>
      <c r="AV158" s="227"/>
      <c r="AW158" s="227"/>
      <c r="AX158" s="227"/>
      <c r="AY158" s="227"/>
      <c r="AZ158" s="227"/>
      <c r="BA158" s="227"/>
      <c r="BB158" s="227"/>
      <c r="BC158" s="227"/>
      <c r="BD158" s="227"/>
      <c r="BE158" s="227"/>
      <c r="BF158" s="227"/>
      <c r="BG158" s="227"/>
      <c r="BH158" s="227"/>
      <c r="BI158" s="227"/>
      <c r="BJ158" s="227"/>
      <c r="BK158" s="227"/>
      <c r="BL158" s="227"/>
      <c r="BM158" s="227"/>
      <c r="BN158" s="227"/>
      <c r="BO158" s="227"/>
      <c r="BP158" s="227"/>
      <c r="BQ158" s="227"/>
      <c r="BR158" s="227"/>
      <c r="BS158" s="227"/>
      <c r="BT158" s="227"/>
      <c r="BU158" s="240"/>
      <c r="BV158" s="240"/>
      <c r="BW158" s="240"/>
      <c r="BX158" s="240"/>
    </row>
    <row r="159" spans="1:76" s="141" customFormat="1" ht="11.25" customHeight="1" x14ac:dyDescent="0.2">
      <c r="A159" s="5"/>
      <c r="B159" s="5"/>
      <c r="C159" s="5"/>
      <c r="D159" s="5"/>
      <c r="E159" s="5"/>
      <c r="F159" s="5"/>
      <c r="G159" s="5"/>
      <c r="H159" s="5"/>
      <c r="I159" s="5"/>
      <c r="J159" s="37"/>
      <c r="K159" s="227"/>
      <c r="L159" s="227"/>
      <c r="M159" s="227"/>
      <c r="N159" s="227"/>
      <c r="O159" s="239"/>
      <c r="P159" s="5"/>
      <c r="Q159" s="5"/>
      <c r="R159" s="5"/>
      <c r="S159" s="5"/>
      <c r="T159" s="5"/>
      <c r="U159" s="5"/>
      <c r="V159" s="5"/>
      <c r="W159" s="37"/>
      <c r="X159" s="227"/>
      <c r="Y159" s="227"/>
      <c r="Z159" s="227"/>
      <c r="AA159" s="227"/>
      <c r="AB159" s="227"/>
      <c r="AC159" s="227"/>
      <c r="AD159" s="227"/>
      <c r="AE159" s="227"/>
      <c r="AF159" s="227"/>
      <c r="AG159" s="227"/>
      <c r="AH159" s="227"/>
      <c r="AI159" s="227"/>
      <c r="AJ159" s="227"/>
      <c r="AK159" s="227"/>
      <c r="AL159" s="227"/>
      <c r="AM159" s="227"/>
      <c r="AN159" s="227"/>
      <c r="AO159" s="227"/>
      <c r="AP159" s="227"/>
      <c r="AQ159" s="227"/>
      <c r="AR159" s="227"/>
      <c r="AS159" s="227"/>
      <c r="AT159" s="227"/>
      <c r="AU159" s="227"/>
      <c r="AV159" s="227"/>
      <c r="AW159" s="227"/>
      <c r="AX159" s="227"/>
      <c r="AY159" s="227"/>
      <c r="AZ159" s="227"/>
      <c r="BA159" s="227"/>
      <c r="BB159" s="227"/>
      <c r="BC159" s="227"/>
      <c r="BD159" s="227"/>
      <c r="BE159" s="227"/>
      <c r="BF159" s="227"/>
      <c r="BG159" s="227"/>
      <c r="BH159" s="227"/>
      <c r="BI159" s="227"/>
      <c r="BJ159" s="227"/>
      <c r="BK159" s="227"/>
      <c r="BL159" s="227"/>
      <c r="BM159" s="227"/>
      <c r="BN159" s="227"/>
      <c r="BO159" s="227"/>
      <c r="BP159" s="227"/>
      <c r="BQ159" s="227"/>
      <c r="BR159" s="227"/>
      <c r="BS159" s="227"/>
      <c r="BT159" s="227"/>
      <c r="BU159" s="240"/>
      <c r="BV159" s="240"/>
      <c r="BW159" s="240"/>
      <c r="BX159" s="240"/>
    </row>
    <row r="160" spans="1:76" s="141" customFormat="1" ht="11.25" customHeight="1" x14ac:dyDescent="0.2">
      <c r="A160" s="5"/>
      <c r="B160" s="5"/>
      <c r="C160" s="5"/>
      <c r="D160" s="5"/>
      <c r="E160" s="5"/>
      <c r="F160" s="5"/>
      <c r="G160" s="5"/>
      <c r="H160" s="5"/>
      <c r="I160" s="5"/>
      <c r="J160" s="37"/>
      <c r="K160" s="227"/>
      <c r="L160" s="227"/>
      <c r="M160" s="227"/>
      <c r="N160" s="227"/>
      <c r="O160" s="239"/>
      <c r="P160" s="5"/>
      <c r="Q160" s="5"/>
      <c r="R160" s="5"/>
      <c r="S160" s="5"/>
      <c r="T160" s="5"/>
      <c r="U160" s="5"/>
      <c r="V160" s="5"/>
      <c r="W160" s="37"/>
      <c r="X160" s="227"/>
      <c r="Y160" s="227"/>
      <c r="Z160" s="227"/>
      <c r="AA160" s="227"/>
      <c r="AB160" s="227"/>
      <c r="AC160" s="227"/>
      <c r="AD160" s="227"/>
      <c r="AE160" s="227"/>
      <c r="AF160" s="227"/>
      <c r="AG160" s="227"/>
      <c r="AH160" s="227"/>
      <c r="AI160" s="227"/>
      <c r="AJ160" s="227"/>
      <c r="AK160" s="227"/>
      <c r="AL160" s="227"/>
      <c r="AM160" s="227"/>
      <c r="AN160" s="227"/>
      <c r="AO160" s="227"/>
      <c r="AP160" s="227"/>
      <c r="AQ160" s="227"/>
      <c r="AR160" s="227"/>
      <c r="AS160" s="227"/>
      <c r="AT160" s="227"/>
      <c r="AU160" s="227"/>
      <c r="AV160" s="227"/>
      <c r="AW160" s="227"/>
      <c r="AX160" s="227"/>
      <c r="AY160" s="227"/>
      <c r="AZ160" s="227"/>
      <c r="BA160" s="227"/>
      <c r="BB160" s="227"/>
      <c r="BC160" s="227"/>
      <c r="BD160" s="227"/>
      <c r="BE160" s="227"/>
      <c r="BF160" s="227"/>
      <c r="BG160" s="227"/>
      <c r="BH160" s="227"/>
      <c r="BI160" s="227"/>
      <c r="BJ160" s="227"/>
      <c r="BK160" s="227"/>
      <c r="BL160" s="227"/>
      <c r="BM160" s="227"/>
      <c r="BN160" s="227"/>
      <c r="BO160" s="227"/>
      <c r="BP160" s="227"/>
      <c r="BQ160" s="227"/>
      <c r="BR160" s="227"/>
      <c r="BS160" s="227"/>
      <c r="BT160" s="227"/>
      <c r="BU160" s="240"/>
      <c r="BV160" s="240"/>
      <c r="BW160" s="240"/>
      <c r="BX160" s="240"/>
    </row>
    <row r="161" spans="1:76" s="141" customFormat="1" ht="11.25" customHeight="1" x14ac:dyDescent="0.2">
      <c r="A161" s="5"/>
      <c r="B161" s="5"/>
      <c r="C161" s="5"/>
      <c r="D161" s="5"/>
      <c r="E161" s="5"/>
      <c r="F161" s="5"/>
      <c r="G161" s="5"/>
      <c r="H161" s="5"/>
      <c r="I161" s="5"/>
      <c r="J161" s="37"/>
      <c r="K161" s="227"/>
      <c r="L161" s="227"/>
      <c r="M161" s="227"/>
      <c r="N161" s="227"/>
      <c r="O161" s="239"/>
      <c r="P161" s="5"/>
      <c r="Q161" s="5"/>
      <c r="R161" s="5"/>
      <c r="S161" s="5"/>
      <c r="T161" s="5"/>
      <c r="U161" s="5"/>
      <c r="V161" s="5"/>
      <c r="W161" s="37"/>
      <c r="X161" s="227"/>
      <c r="Y161" s="227"/>
      <c r="Z161" s="227"/>
      <c r="AA161" s="227"/>
      <c r="AB161" s="227"/>
      <c r="AC161" s="227"/>
      <c r="AD161" s="227"/>
      <c r="AE161" s="227"/>
      <c r="AF161" s="227"/>
      <c r="AG161" s="227"/>
      <c r="AH161" s="227"/>
      <c r="AI161" s="227"/>
      <c r="AJ161" s="227"/>
      <c r="AK161" s="227"/>
      <c r="AL161" s="227"/>
      <c r="AM161" s="227"/>
      <c r="AN161" s="227"/>
      <c r="AO161" s="227"/>
      <c r="AP161" s="227"/>
      <c r="AQ161" s="227"/>
      <c r="AR161" s="227"/>
      <c r="AS161" s="227"/>
      <c r="AT161" s="227"/>
      <c r="AU161" s="227"/>
      <c r="AV161" s="227"/>
      <c r="AW161" s="227"/>
      <c r="AX161" s="227"/>
      <c r="AY161" s="227"/>
      <c r="AZ161" s="227"/>
      <c r="BA161" s="227"/>
      <c r="BB161" s="227"/>
      <c r="BC161" s="227"/>
      <c r="BD161" s="227"/>
      <c r="BE161" s="227"/>
      <c r="BF161" s="227"/>
      <c r="BG161" s="227"/>
      <c r="BH161" s="227"/>
      <c r="BI161" s="227"/>
      <c r="BJ161" s="227"/>
      <c r="BK161" s="227"/>
      <c r="BL161" s="227"/>
      <c r="BM161" s="227"/>
      <c r="BN161" s="227"/>
      <c r="BO161" s="227"/>
      <c r="BP161" s="227"/>
      <c r="BQ161" s="227"/>
      <c r="BR161" s="227"/>
      <c r="BS161" s="227"/>
      <c r="BT161" s="227"/>
      <c r="BU161" s="240"/>
      <c r="BV161" s="240"/>
      <c r="BW161" s="240"/>
      <c r="BX161" s="240"/>
    </row>
    <row r="162" spans="1:76" s="141" customFormat="1" ht="11.25" customHeight="1" x14ac:dyDescent="0.2">
      <c r="A162" s="5"/>
      <c r="B162" s="5"/>
      <c r="C162" s="5"/>
      <c r="D162" s="5"/>
      <c r="E162" s="5"/>
      <c r="F162" s="5"/>
      <c r="G162" s="5"/>
      <c r="H162" s="5"/>
      <c r="I162" s="5"/>
      <c r="J162" s="37"/>
      <c r="K162" s="227"/>
      <c r="L162" s="227"/>
      <c r="M162" s="227"/>
      <c r="N162" s="227"/>
      <c r="O162" s="239"/>
      <c r="P162" s="5"/>
      <c r="Q162" s="5"/>
      <c r="R162" s="5"/>
      <c r="S162" s="5"/>
      <c r="T162" s="5"/>
      <c r="U162" s="5"/>
      <c r="V162" s="5"/>
      <c r="W162" s="37"/>
      <c r="X162" s="227"/>
      <c r="Y162" s="227"/>
      <c r="Z162" s="227"/>
      <c r="AA162" s="227"/>
      <c r="AB162" s="227"/>
      <c r="AC162" s="227"/>
      <c r="AD162" s="227"/>
      <c r="AE162" s="227"/>
      <c r="AF162" s="227"/>
      <c r="AG162" s="227"/>
      <c r="AH162" s="227"/>
      <c r="AI162" s="227"/>
      <c r="AJ162" s="227"/>
      <c r="AK162" s="227"/>
      <c r="AL162" s="227"/>
      <c r="AM162" s="227"/>
      <c r="AN162" s="227"/>
      <c r="AO162" s="227"/>
      <c r="AP162" s="227"/>
      <c r="AQ162" s="227"/>
      <c r="AR162" s="227"/>
      <c r="AS162" s="227"/>
      <c r="AT162" s="227"/>
      <c r="AU162" s="227"/>
      <c r="AV162" s="227"/>
      <c r="AW162" s="227"/>
      <c r="AX162" s="227"/>
      <c r="AY162" s="227"/>
      <c r="AZ162" s="227"/>
      <c r="BA162" s="227"/>
      <c r="BB162" s="227"/>
      <c r="BC162" s="227"/>
      <c r="BD162" s="227"/>
      <c r="BE162" s="227"/>
      <c r="BF162" s="227"/>
      <c r="BG162" s="227"/>
      <c r="BH162" s="227"/>
      <c r="BI162" s="227"/>
      <c r="BJ162" s="227"/>
      <c r="BK162" s="227"/>
      <c r="BL162" s="227"/>
      <c r="BM162" s="227"/>
      <c r="BN162" s="227"/>
      <c r="BO162" s="227"/>
      <c r="BP162" s="227"/>
      <c r="BQ162" s="227"/>
      <c r="BR162" s="227"/>
      <c r="BS162" s="227"/>
      <c r="BT162" s="227"/>
      <c r="BU162" s="240"/>
      <c r="BV162" s="240"/>
      <c r="BW162" s="240"/>
      <c r="BX162" s="240"/>
    </row>
    <row r="163" spans="1:76" s="141" customFormat="1" ht="11.25" customHeight="1" x14ac:dyDescent="0.2">
      <c r="A163" s="5"/>
      <c r="B163" s="5"/>
      <c r="C163" s="5"/>
      <c r="D163" s="5"/>
      <c r="E163" s="5"/>
      <c r="F163" s="5"/>
      <c r="G163" s="5"/>
      <c r="H163" s="5"/>
      <c r="I163" s="5"/>
      <c r="J163" s="37"/>
      <c r="K163" s="227"/>
      <c r="L163" s="227"/>
      <c r="M163" s="227"/>
      <c r="N163" s="227"/>
      <c r="O163" s="239"/>
      <c r="P163" s="5"/>
      <c r="Q163" s="5"/>
      <c r="R163" s="5"/>
      <c r="S163" s="5"/>
      <c r="T163" s="5"/>
      <c r="U163" s="5"/>
      <c r="V163" s="5"/>
      <c r="W163" s="37"/>
      <c r="X163" s="227"/>
      <c r="Y163" s="227"/>
      <c r="Z163" s="227"/>
      <c r="AA163" s="227"/>
      <c r="AB163" s="227"/>
      <c r="AC163" s="227"/>
      <c r="AD163" s="227"/>
      <c r="AE163" s="227"/>
      <c r="AF163" s="227"/>
      <c r="AG163" s="227"/>
      <c r="AH163" s="227"/>
      <c r="AI163" s="227"/>
      <c r="AJ163" s="227"/>
      <c r="AK163" s="227"/>
      <c r="AL163" s="227"/>
      <c r="AM163" s="227"/>
      <c r="AN163" s="227"/>
      <c r="AO163" s="227"/>
      <c r="AP163" s="227"/>
      <c r="AQ163" s="227"/>
      <c r="AR163" s="227"/>
      <c r="AS163" s="227"/>
      <c r="AT163" s="227"/>
      <c r="AU163" s="227"/>
      <c r="AV163" s="227"/>
      <c r="AW163" s="227"/>
      <c r="AX163" s="227"/>
      <c r="AY163" s="227"/>
      <c r="AZ163" s="227"/>
      <c r="BA163" s="227"/>
      <c r="BB163" s="227"/>
      <c r="BC163" s="227"/>
      <c r="BD163" s="227"/>
      <c r="BE163" s="227"/>
      <c r="BF163" s="227"/>
      <c r="BG163" s="227"/>
      <c r="BH163" s="227"/>
      <c r="BI163" s="227"/>
      <c r="BJ163" s="227"/>
      <c r="BK163" s="227"/>
      <c r="BL163" s="227"/>
      <c r="BM163" s="227"/>
      <c r="BN163" s="227"/>
      <c r="BO163" s="227"/>
      <c r="BP163" s="227"/>
      <c r="BQ163" s="227"/>
      <c r="BR163" s="227"/>
      <c r="BS163" s="227"/>
      <c r="BT163" s="227"/>
      <c r="BU163" s="240"/>
      <c r="BV163" s="240"/>
      <c r="BW163" s="240"/>
      <c r="BX163" s="240"/>
    </row>
    <row r="164" spans="1:76" s="141" customFormat="1" ht="11.25" customHeight="1" x14ac:dyDescent="0.2">
      <c r="A164" s="5"/>
      <c r="B164" s="5"/>
      <c r="C164" s="5"/>
      <c r="D164" s="5"/>
      <c r="E164" s="5"/>
      <c r="F164" s="5"/>
      <c r="G164" s="5"/>
      <c r="H164" s="5"/>
      <c r="I164" s="5"/>
      <c r="J164" s="37"/>
      <c r="K164" s="227"/>
      <c r="L164" s="227"/>
      <c r="M164" s="227"/>
      <c r="N164" s="227"/>
      <c r="O164" s="239"/>
      <c r="P164" s="5"/>
      <c r="Q164" s="5"/>
      <c r="R164" s="5"/>
      <c r="S164" s="5"/>
      <c r="T164" s="5"/>
      <c r="U164" s="5"/>
      <c r="V164" s="5"/>
      <c r="W164" s="37"/>
      <c r="X164" s="227"/>
      <c r="Y164" s="227"/>
      <c r="Z164" s="227"/>
      <c r="AA164" s="227"/>
      <c r="AB164" s="227"/>
      <c r="AC164" s="227"/>
      <c r="AD164" s="227"/>
      <c r="AE164" s="227"/>
      <c r="AF164" s="227"/>
      <c r="AG164" s="227"/>
      <c r="AH164" s="227"/>
      <c r="AI164" s="227"/>
      <c r="AJ164" s="227"/>
      <c r="AK164" s="227"/>
      <c r="AL164" s="227"/>
      <c r="AM164" s="227"/>
      <c r="AN164" s="227"/>
      <c r="AO164" s="227"/>
      <c r="AP164" s="227"/>
      <c r="AQ164" s="227"/>
      <c r="AR164" s="227"/>
      <c r="AS164" s="227"/>
      <c r="AT164" s="227"/>
      <c r="AU164" s="227"/>
      <c r="AV164" s="227"/>
      <c r="AW164" s="227"/>
      <c r="AX164" s="227"/>
      <c r="AY164" s="227"/>
      <c r="AZ164" s="227"/>
      <c r="BA164" s="227"/>
      <c r="BB164" s="227"/>
      <c r="BC164" s="227"/>
      <c r="BD164" s="227"/>
      <c r="BE164" s="227"/>
      <c r="BF164" s="227"/>
      <c r="BG164" s="227"/>
      <c r="BH164" s="227"/>
      <c r="BI164" s="227"/>
      <c r="BJ164" s="227"/>
      <c r="BK164" s="227"/>
      <c r="BL164" s="227"/>
      <c r="BM164" s="227"/>
      <c r="BN164" s="227"/>
      <c r="BO164" s="227"/>
      <c r="BP164" s="227"/>
      <c r="BQ164" s="227"/>
      <c r="BR164" s="227"/>
      <c r="BS164" s="227"/>
      <c r="BT164" s="227"/>
      <c r="BU164" s="240"/>
      <c r="BV164" s="240"/>
      <c r="BW164" s="240"/>
      <c r="BX164" s="240"/>
    </row>
    <row r="165" spans="1:76" s="141" customFormat="1" ht="11.25" customHeight="1" x14ac:dyDescent="0.2">
      <c r="A165" s="5"/>
      <c r="B165" s="5"/>
      <c r="C165" s="5"/>
      <c r="D165" s="5"/>
      <c r="E165" s="5"/>
      <c r="F165" s="5"/>
      <c r="G165" s="5"/>
      <c r="H165" s="5"/>
      <c r="I165" s="5"/>
      <c r="J165" s="37"/>
      <c r="K165" s="227"/>
      <c r="L165" s="227"/>
      <c r="M165" s="227"/>
      <c r="N165" s="227"/>
      <c r="O165" s="239"/>
      <c r="P165" s="5"/>
      <c r="Q165" s="5"/>
      <c r="R165" s="5"/>
      <c r="S165" s="5"/>
      <c r="T165" s="5"/>
      <c r="U165" s="5"/>
      <c r="V165" s="5"/>
      <c r="W165" s="37"/>
      <c r="X165" s="227"/>
      <c r="Y165" s="227"/>
      <c r="Z165" s="227"/>
      <c r="AA165" s="227"/>
      <c r="AB165" s="227"/>
      <c r="AC165" s="227"/>
      <c r="AD165" s="227"/>
      <c r="AE165" s="227"/>
      <c r="AF165" s="227"/>
      <c r="AG165" s="227"/>
      <c r="AH165" s="227"/>
      <c r="AI165" s="227"/>
      <c r="AJ165" s="227"/>
      <c r="AK165" s="227"/>
      <c r="AL165" s="227"/>
      <c r="AM165" s="227"/>
      <c r="AN165" s="227"/>
      <c r="AO165" s="227"/>
      <c r="AP165" s="227"/>
      <c r="AQ165" s="227"/>
      <c r="AR165" s="227"/>
      <c r="AS165" s="227"/>
      <c r="AT165" s="227"/>
      <c r="AU165" s="227"/>
      <c r="AV165" s="227"/>
      <c r="AW165" s="227"/>
      <c r="AX165" s="227"/>
      <c r="AY165" s="227"/>
      <c r="AZ165" s="227"/>
      <c r="BA165" s="227"/>
      <c r="BB165" s="227"/>
      <c r="BC165" s="227"/>
      <c r="BD165" s="227"/>
      <c r="BE165" s="227"/>
      <c r="BF165" s="227"/>
      <c r="BG165" s="227"/>
      <c r="BH165" s="227"/>
      <c r="BI165" s="227"/>
      <c r="BJ165" s="227"/>
      <c r="BK165" s="227"/>
      <c r="BL165" s="227"/>
      <c r="BM165" s="227"/>
      <c r="BN165" s="227"/>
      <c r="BO165" s="227"/>
      <c r="BP165" s="227"/>
      <c r="BQ165" s="227"/>
      <c r="BR165" s="227"/>
      <c r="BS165" s="227"/>
      <c r="BT165" s="227"/>
      <c r="BU165" s="240"/>
      <c r="BV165" s="240"/>
      <c r="BW165" s="240"/>
      <c r="BX165" s="240"/>
    </row>
    <row r="166" spans="1:76" s="141" customFormat="1" ht="11.25" customHeight="1" x14ac:dyDescent="0.2">
      <c r="A166" s="5"/>
      <c r="B166" s="5"/>
      <c r="C166" s="5"/>
      <c r="D166" s="5"/>
      <c r="E166" s="5"/>
      <c r="F166" s="5"/>
      <c r="G166" s="5"/>
      <c r="H166" s="5"/>
      <c r="I166" s="5"/>
      <c r="J166" s="37"/>
      <c r="K166" s="227"/>
      <c r="L166" s="227"/>
      <c r="M166" s="227"/>
      <c r="N166" s="227"/>
      <c r="O166" s="239"/>
      <c r="P166" s="5"/>
      <c r="Q166" s="5"/>
      <c r="R166" s="5"/>
      <c r="S166" s="5"/>
      <c r="T166" s="5"/>
      <c r="U166" s="5"/>
      <c r="V166" s="5"/>
      <c r="W166" s="37"/>
      <c r="X166" s="227"/>
      <c r="Y166" s="227"/>
      <c r="Z166" s="227"/>
      <c r="AA166" s="227"/>
      <c r="AB166" s="227"/>
      <c r="AC166" s="227"/>
      <c r="AD166" s="227"/>
      <c r="AE166" s="227"/>
      <c r="AF166" s="227"/>
      <c r="AG166" s="227"/>
      <c r="AH166" s="227"/>
      <c r="AI166" s="227"/>
      <c r="AJ166" s="227"/>
      <c r="AK166" s="227"/>
      <c r="AL166" s="227"/>
      <c r="AM166" s="227"/>
      <c r="AN166" s="227"/>
      <c r="AO166" s="227"/>
      <c r="AP166" s="227"/>
      <c r="AQ166" s="227"/>
      <c r="AR166" s="227"/>
      <c r="AS166" s="227"/>
      <c r="AT166" s="227"/>
      <c r="AU166" s="227"/>
      <c r="AV166" s="227"/>
      <c r="AW166" s="227"/>
      <c r="AX166" s="227"/>
      <c r="AY166" s="227"/>
      <c r="AZ166" s="227"/>
      <c r="BA166" s="227"/>
      <c r="BB166" s="227"/>
      <c r="BC166" s="227"/>
      <c r="BD166" s="227"/>
      <c r="BE166" s="227"/>
      <c r="BF166" s="227"/>
      <c r="BG166" s="227"/>
      <c r="BH166" s="227"/>
      <c r="BI166" s="227"/>
      <c r="BJ166" s="227"/>
      <c r="BK166" s="227"/>
      <c r="BL166" s="227"/>
      <c r="BM166" s="227"/>
      <c r="BN166" s="227"/>
      <c r="BO166" s="227"/>
      <c r="BP166" s="227"/>
      <c r="BQ166" s="227"/>
      <c r="BR166" s="227"/>
      <c r="BS166" s="227"/>
      <c r="BT166" s="227"/>
      <c r="BU166" s="240"/>
      <c r="BV166" s="240"/>
      <c r="BW166" s="240"/>
      <c r="BX166" s="240"/>
    </row>
    <row r="167" spans="1:76" s="141" customFormat="1" ht="11.25" customHeight="1" x14ac:dyDescent="0.2">
      <c r="A167" s="5"/>
      <c r="B167" s="5"/>
      <c r="C167" s="5"/>
      <c r="D167" s="5"/>
      <c r="E167" s="5"/>
      <c r="F167" s="5"/>
      <c r="G167" s="5"/>
      <c r="H167" s="5"/>
      <c r="I167" s="5"/>
      <c r="J167" s="37"/>
      <c r="K167" s="227"/>
      <c r="L167" s="227"/>
      <c r="M167" s="227"/>
      <c r="N167" s="227"/>
      <c r="O167" s="239"/>
      <c r="P167" s="5"/>
      <c r="Q167" s="5"/>
      <c r="R167" s="5"/>
      <c r="S167" s="5"/>
      <c r="T167" s="5"/>
      <c r="U167" s="5"/>
      <c r="V167" s="5"/>
      <c r="W167" s="37"/>
      <c r="X167" s="227"/>
      <c r="Y167" s="227"/>
      <c r="Z167" s="227"/>
      <c r="AA167" s="227"/>
      <c r="AB167" s="227"/>
      <c r="AC167" s="227"/>
      <c r="AD167" s="227"/>
      <c r="AE167" s="227"/>
      <c r="AF167" s="227"/>
      <c r="AG167" s="227"/>
      <c r="AH167" s="227"/>
      <c r="AI167" s="227"/>
      <c r="AJ167" s="227"/>
      <c r="AK167" s="227"/>
      <c r="AL167" s="227"/>
      <c r="AM167" s="227"/>
      <c r="AN167" s="227"/>
      <c r="AO167" s="227"/>
      <c r="AP167" s="227"/>
      <c r="AQ167" s="227"/>
      <c r="AR167" s="227"/>
      <c r="AS167" s="227"/>
      <c r="AT167" s="227"/>
      <c r="AU167" s="227"/>
      <c r="AV167" s="227"/>
      <c r="AW167" s="227"/>
      <c r="AX167" s="227"/>
      <c r="AY167" s="227"/>
      <c r="AZ167" s="227"/>
      <c r="BA167" s="227"/>
      <c r="BB167" s="227"/>
      <c r="BC167" s="227"/>
      <c r="BD167" s="227"/>
      <c r="BE167" s="227"/>
      <c r="BF167" s="227"/>
      <c r="BG167" s="227"/>
      <c r="BH167" s="227"/>
      <c r="BI167" s="227"/>
      <c r="BJ167" s="227"/>
      <c r="BK167" s="227"/>
      <c r="BL167" s="227"/>
      <c r="BM167" s="227"/>
      <c r="BN167" s="227"/>
      <c r="BO167" s="227"/>
      <c r="BP167" s="227"/>
      <c r="BQ167" s="227"/>
      <c r="BR167" s="227"/>
      <c r="BS167" s="227"/>
      <c r="BT167" s="227"/>
      <c r="BU167" s="240"/>
      <c r="BV167" s="240"/>
      <c r="BW167" s="240"/>
      <c r="BX167" s="240"/>
    </row>
    <row r="168" spans="1:76" s="141" customFormat="1" ht="11.25" customHeight="1" x14ac:dyDescent="0.2">
      <c r="A168" s="5"/>
      <c r="B168" s="5"/>
      <c r="C168" s="5"/>
      <c r="D168" s="5"/>
      <c r="E168" s="5"/>
      <c r="F168" s="5"/>
      <c r="G168" s="5"/>
      <c r="H168" s="5"/>
      <c r="I168" s="5"/>
      <c r="J168" s="37"/>
      <c r="K168" s="227"/>
      <c r="L168" s="227"/>
      <c r="M168" s="227"/>
      <c r="N168" s="227"/>
      <c r="O168" s="239"/>
      <c r="P168" s="5"/>
      <c r="Q168" s="5"/>
      <c r="R168" s="5"/>
      <c r="S168" s="5"/>
      <c r="T168" s="5"/>
      <c r="U168" s="5"/>
      <c r="V168" s="5"/>
      <c r="W168" s="37"/>
      <c r="X168" s="227"/>
      <c r="Y168" s="227"/>
      <c r="Z168" s="227"/>
      <c r="AA168" s="227"/>
      <c r="AB168" s="227"/>
      <c r="AC168" s="227"/>
      <c r="AD168" s="227"/>
      <c r="AE168" s="227"/>
      <c r="AF168" s="227"/>
      <c r="AG168" s="227"/>
      <c r="AH168" s="227"/>
      <c r="AI168" s="227"/>
      <c r="AJ168" s="227"/>
      <c r="AK168" s="227"/>
      <c r="AL168" s="227"/>
      <c r="AM168" s="227"/>
      <c r="AN168" s="227"/>
      <c r="AO168" s="227"/>
      <c r="AP168" s="227"/>
      <c r="AQ168" s="227"/>
      <c r="AR168" s="227"/>
      <c r="AS168" s="227"/>
      <c r="AT168" s="227"/>
      <c r="AU168" s="227"/>
      <c r="AV168" s="227"/>
      <c r="AW168" s="227"/>
      <c r="AX168" s="227"/>
      <c r="AY168" s="227"/>
      <c r="AZ168" s="227"/>
      <c r="BA168" s="227"/>
      <c r="BB168" s="227"/>
      <c r="BC168" s="227"/>
      <c r="BD168" s="227"/>
      <c r="BE168" s="227"/>
      <c r="BF168" s="227"/>
      <c r="BG168" s="227"/>
      <c r="BH168" s="227"/>
      <c r="BI168" s="227"/>
      <c r="BJ168" s="227"/>
      <c r="BK168" s="227"/>
      <c r="BL168" s="227"/>
      <c r="BM168" s="227"/>
      <c r="BN168" s="227"/>
      <c r="BO168" s="227"/>
      <c r="BP168" s="227"/>
      <c r="BQ168" s="227"/>
      <c r="BR168" s="227"/>
      <c r="BS168" s="227"/>
      <c r="BT168" s="227"/>
      <c r="BU168" s="240"/>
      <c r="BV168" s="240"/>
      <c r="BW168" s="240"/>
      <c r="BX168" s="240"/>
    </row>
    <row r="169" spans="1:76" s="141" customFormat="1" ht="11.25" customHeight="1" x14ac:dyDescent="0.2">
      <c r="A169" s="5"/>
      <c r="B169" s="5"/>
      <c r="C169" s="5"/>
      <c r="D169" s="5"/>
      <c r="E169" s="5"/>
      <c r="F169" s="5"/>
      <c r="G169" s="5"/>
      <c r="H169" s="5"/>
      <c r="I169" s="5"/>
      <c r="J169" s="37"/>
      <c r="K169" s="227"/>
      <c r="L169" s="227"/>
      <c r="M169" s="227"/>
      <c r="N169" s="227"/>
      <c r="O169" s="239"/>
      <c r="P169" s="5"/>
      <c r="Q169" s="5"/>
      <c r="R169" s="5"/>
      <c r="S169" s="5"/>
      <c r="T169" s="5"/>
      <c r="U169" s="5"/>
      <c r="V169" s="5"/>
      <c r="W169" s="37"/>
      <c r="X169" s="227"/>
      <c r="Y169" s="227"/>
      <c r="Z169" s="227"/>
      <c r="AA169" s="227"/>
      <c r="AB169" s="227"/>
      <c r="AC169" s="227"/>
      <c r="AD169" s="227"/>
      <c r="AE169" s="227"/>
      <c r="AF169" s="227"/>
      <c r="AG169" s="227"/>
      <c r="AH169" s="227"/>
      <c r="AI169" s="227"/>
      <c r="AJ169" s="227"/>
      <c r="AK169" s="227"/>
      <c r="AL169" s="227"/>
      <c r="AM169" s="227"/>
      <c r="AN169" s="227"/>
      <c r="AO169" s="227"/>
      <c r="AP169" s="227"/>
      <c r="AQ169" s="227"/>
      <c r="AR169" s="227"/>
      <c r="AS169" s="227"/>
      <c r="AT169" s="227"/>
      <c r="AU169" s="227"/>
      <c r="AV169" s="227"/>
      <c r="AW169" s="227"/>
      <c r="AX169" s="227"/>
      <c r="AY169" s="227"/>
      <c r="AZ169" s="227"/>
      <c r="BA169" s="227"/>
      <c r="BB169" s="227"/>
      <c r="BC169" s="227"/>
      <c r="BD169" s="227"/>
      <c r="BE169" s="227"/>
      <c r="BF169" s="227"/>
      <c r="BG169" s="227"/>
      <c r="BH169" s="227"/>
      <c r="BI169" s="227"/>
      <c r="BJ169" s="227"/>
      <c r="BK169" s="227"/>
      <c r="BL169" s="227"/>
      <c r="BM169" s="227"/>
      <c r="BN169" s="227"/>
      <c r="BO169" s="227"/>
      <c r="BP169" s="227"/>
      <c r="BQ169" s="227"/>
      <c r="BR169" s="227"/>
      <c r="BS169" s="227"/>
      <c r="BT169" s="227"/>
      <c r="BU169" s="240"/>
      <c r="BV169" s="240"/>
      <c r="BW169" s="240"/>
      <c r="BX169" s="240"/>
    </row>
    <row r="170" spans="1:76" s="141" customFormat="1" ht="11.25" customHeight="1" x14ac:dyDescent="0.2">
      <c r="A170" s="5"/>
      <c r="B170" s="5"/>
      <c r="C170" s="5"/>
      <c r="D170" s="5"/>
      <c r="E170" s="5"/>
      <c r="F170" s="5"/>
      <c r="G170" s="5"/>
      <c r="H170" s="5"/>
      <c r="I170" s="5"/>
      <c r="J170" s="37"/>
      <c r="K170" s="227"/>
      <c r="L170" s="227"/>
      <c r="M170" s="227"/>
      <c r="N170" s="227"/>
      <c r="O170" s="239"/>
      <c r="P170" s="5"/>
      <c r="Q170" s="5"/>
      <c r="R170" s="5"/>
      <c r="S170" s="5"/>
      <c r="T170" s="5"/>
      <c r="U170" s="5"/>
      <c r="V170" s="5"/>
      <c r="W170" s="37"/>
      <c r="X170" s="227"/>
      <c r="Y170" s="227"/>
      <c r="Z170" s="227"/>
      <c r="AA170" s="227"/>
      <c r="AB170" s="227"/>
      <c r="AC170" s="227"/>
      <c r="AD170" s="227"/>
      <c r="AE170" s="227"/>
      <c r="AF170" s="227"/>
      <c r="AG170" s="227"/>
      <c r="AH170" s="227"/>
      <c r="AI170" s="227"/>
      <c r="AJ170" s="227"/>
      <c r="AK170" s="227"/>
      <c r="AL170" s="227"/>
      <c r="AM170" s="227"/>
      <c r="AN170" s="227"/>
      <c r="AO170" s="227"/>
      <c r="AP170" s="227"/>
      <c r="AQ170" s="227"/>
      <c r="AR170" s="227"/>
      <c r="AS170" s="227"/>
      <c r="AT170" s="227"/>
      <c r="AU170" s="227"/>
      <c r="AV170" s="227"/>
      <c r="AW170" s="227"/>
      <c r="AX170" s="227"/>
      <c r="AY170" s="227"/>
      <c r="AZ170" s="227"/>
      <c r="BA170" s="227"/>
      <c r="BB170" s="227"/>
      <c r="BC170" s="227"/>
      <c r="BD170" s="227"/>
      <c r="BE170" s="227"/>
      <c r="BF170" s="227"/>
      <c r="BG170" s="227"/>
      <c r="BH170" s="227"/>
      <c r="BI170" s="227"/>
      <c r="BJ170" s="227"/>
      <c r="BK170" s="227"/>
      <c r="BL170" s="227"/>
      <c r="BM170" s="227"/>
      <c r="BN170" s="227"/>
      <c r="BO170" s="227"/>
      <c r="BP170" s="227"/>
      <c r="BQ170" s="227"/>
      <c r="BR170" s="227"/>
      <c r="BS170" s="227"/>
      <c r="BT170" s="227"/>
      <c r="BU170" s="240"/>
      <c r="BV170" s="240"/>
      <c r="BW170" s="240"/>
      <c r="BX170" s="240"/>
    </row>
    <row r="171" spans="1:76" s="141" customFormat="1" ht="11.25" customHeight="1" x14ac:dyDescent="0.2">
      <c r="A171" s="5"/>
      <c r="B171" s="5"/>
      <c r="C171" s="5"/>
      <c r="D171" s="5"/>
      <c r="E171" s="5"/>
      <c r="F171" s="5"/>
      <c r="G171" s="5"/>
      <c r="H171" s="5"/>
      <c r="I171" s="5"/>
      <c r="J171" s="37"/>
      <c r="K171" s="227"/>
      <c r="L171" s="227"/>
      <c r="M171" s="227"/>
      <c r="N171" s="227"/>
      <c r="O171" s="239"/>
      <c r="P171" s="5"/>
      <c r="Q171" s="5"/>
      <c r="R171" s="5"/>
      <c r="S171" s="5"/>
      <c r="T171" s="5"/>
      <c r="U171" s="5"/>
      <c r="V171" s="5"/>
      <c r="W171" s="37"/>
      <c r="X171" s="227"/>
      <c r="Y171" s="227"/>
      <c r="Z171" s="227"/>
      <c r="AA171" s="227"/>
      <c r="AB171" s="227"/>
      <c r="AC171" s="227"/>
      <c r="AD171" s="227"/>
      <c r="AE171" s="227"/>
      <c r="AF171" s="227"/>
      <c r="AG171" s="227"/>
      <c r="AH171" s="227"/>
      <c r="AI171" s="227"/>
      <c r="AJ171" s="227"/>
      <c r="AK171" s="227"/>
      <c r="AL171" s="227"/>
      <c r="AM171" s="227"/>
      <c r="AN171" s="227"/>
      <c r="AO171" s="227"/>
      <c r="AP171" s="227"/>
      <c r="AQ171" s="227"/>
      <c r="AR171" s="227"/>
      <c r="AS171" s="227"/>
      <c r="AT171" s="227"/>
      <c r="AU171" s="227"/>
      <c r="AV171" s="227"/>
      <c r="AW171" s="227"/>
      <c r="AX171" s="227"/>
      <c r="AY171" s="227"/>
      <c r="AZ171" s="227"/>
      <c r="BA171" s="227"/>
      <c r="BB171" s="227"/>
      <c r="BC171" s="227"/>
      <c r="BD171" s="227"/>
      <c r="BE171" s="227"/>
      <c r="BF171" s="227"/>
      <c r="BG171" s="227"/>
      <c r="BH171" s="227"/>
      <c r="BI171" s="227"/>
      <c r="BJ171" s="227"/>
      <c r="BK171" s="227"/>
      <c r="BL171" s="227"/>
      <c r="BM171" s="227"/>
      <c r="BN171" s="227"/>
      <c r="BO171" s="227"/>
      <c r="BP171" s="227"/>
      <c r="BQ171" s="227"/>
      <c r="BR171" s="227"/>
      <c r="BS171" s="227"/>
      <c r="BT171" s="227"/>
      <c r="BU171" s="240"/>
      <c r="BV171" s="240"/>
      <c r="BW171" s="240"/>
      <c r="BX171" s="240"/>
    </row>
    <row r="172" spans="1:76" s="141" customFormat="1" ht="11.25" customHeight="1" x14ac:dyDescent="0.2">
      <c r="A172" s="5"/>
      <c r="B172" s="5"/>
      <c r="C172" s="5"/>
      <c r="D172" s="5"/>
      <c r="E172" s="5"/>
      <c r="F172" s="5"/>
      <c r="G172" s="5"/>
      <c r="H172" s="5"/>
      <c r="I172" s="5"/>
      <c r="J172" s="37"/>
      <c r="K172" s="227"/>
      <c r="L172" s="227"/>
      <c r="M172" s="227"/>
      <c r="N172" s="227"/>
      <c r="O172" s="239"/>
      <c r="P172" s="5"/>
      <c r="Q172" s="5"/>
      <c r="R172" s="5"/>
      <c r="S172" s="5"/>
      <c r="T172" s="5"/>
      <c r="U172" s="5"/>
      <c r="V172" s="5"/>
      <c r="W172" s="37"/>
      <c r="X172" s="227"/>
      <c r="Y172" s="227"/>
      <c r="Z172" s="227"/>
      <c r="AA172" s="227"/>
      <c r="AB172" s="227"/>
      <c r="AC172" s="227"/>
      <c r="AD172" s="227"/>
      <c r="AE172" s="227"/>
      <c r="AF172" s="227"/>
      <c r="AG172" s="227"/>
      <c r="AH172" s="227"/>
      <c r="AI172" s="227"/>
      <c r="AJ172" s="227"/>
      <c r="AK172" s="227"/>
      <c r="AL172" s="227"/>
      <c r="AM172" s="227"/>
      <c r="AN172" s="227"/>
      <c r="AO172" s="227"/>
      <c r="AP172" s="227"/>
      <c r="AQ172" s="227"/>
      <c r="AR172" s="227"/>
      <c r="AS172" s="227"/>
      <c r="AT172" s="227"/>
      <c r="AU172" s="227"/>
      <c r="AV172" s="227"/>
      <c r="AW172" s="227"/>
      <c r="AX172" s="227"/>
      <c r="AY172" s="227"/>
      <c r="AZ172" s="227"/>
      <c r="BA172" s="227"/>
      <c r="BB172" s="227"/>
      <c r="BC172" s="227"/>
      <c r="BD172" s="227"/>
      <c r="BE172" s="227"/>
      <c r="BF172" s="227"/>
      <c r="BG172" s="227"/>
      <c r="BH172" s="227"/>
      <c r="BI172" s="227"/>
      <c r="BJ172" s="227"/>
      <c r="BK172" s="227"/>
      <c r="BL172" s="227"/>
      <c r="BM172" s="227"/>
      <c r="BN172" s="227"/>
      <c r="BO172" s="227"/>
      <c r="BP172" s="227"/>
      <c r="BQ172" s="227"/>
      <c r="BR172" s="227"/>
      <c r="BS172" s="227"/>
      <c r="BT172" s="227"/>
      <c r="BU172" s="240"/>
      <c r="BV172" s="240"/>
      <c r="BW172" s="240"/>
      <c r="BX172" s="240"/>
    </row>
    <row r="173" spans="1:76" s="141" customFormat="1" ht="11.25" customHeight="1" x14ac:dyDescent="0.2">
      <c r="A173" s="5"/>
      <c r="B173" s="5"/>
      <c r="C173" s="5"/>
      <c r="D173" s="5"/>
      <c r="E173" s="5"/>
      <c r="F173" s="5"/>
      <c r="G173" s="5"/>
      <c r="H173" s="5"/>
      <c r="I173" s="5"/>
      <c r="J173" s="37"/>
      <c r="K173" s="227"/>
      <c r="L173" s="227"/>
      <c r="M173" s="227"/>
      <c r="N173" s="227"/>
      <c r="O173" s="239"/>
      <c r="P173" s="5"/>
      <c r="Q173" s="5"/>
      <c r="R173" s="5"/>
      <c r="S173" s="5"/>
      <c r="T173" s="5"/>
      <c r="U173" s="5"/>
      <c r="V173" s="5"/>
      <c r="W173" s="37"/>
      <c r="X173" s="227"/>
      <c r="Y173" s="227"/>
      <c r="Z173" s="227"/>
      <c r="AA173" s="227"/>
      <c r="AB173" s="227"/>
      <c r="AC173" s="227"/>
      <c r="AD173" s="227"/>
      <c r="AE173" s="227"/>
      <c r="AF173" s="227"/>
      <c r="AG173" s="227"/>
      <c r="AH173" s="227"/>
      <c r="AI173" s="227"/>
      <c r="AJ173" s="227"/>
      <c r="AK173" s="227"/>
      <c r="AL173" s="227"/>
      <c r="AM173" s="227"/>
      <c r="AN173" s="227"/>
      <c r="AO173" s="227"/>
      <c r="AP173" s="227"/>
      <c r="AQ173" s="227"/>
      <c r="AR173" s="227"/>
      <c r="AS173" s="227"/>
      <c r="AT173" s="227"/>
      <c r="AU173" s="227"/>
      <c r="AV173" s="227"/>
      <c r="AW173" s="227"/>
      <c r="AX173" s="227"/>
      <c r="AY173" s="227"/>
      <c r="AZ173" s="227"/>
      <c r="BA173" s="227"/>
      <c r="BB173" s="227"/>
      <c r="BC173" s="227"/>
      <c r="BD173" s="227"/>
      <c r="BE173" s="227"/>
      <c r="BF173" s="227"/>
      <c r="BG173" s="227"/>
      <c r="BH173" s="227"/>
      <c r="BI173" s="227"/>
      <c r="BJ173" s="227"/>
      <c r="BK173" s="227"/>
      <c r="BL173" s="227"/>
      <c r="BM173" s="227"/>
      <c r="BN173" s="227"/>
      <c r="BO173" s="227"/>
      <c r="BP173" s="227"/>
      <c r="BQ173" s="227"/>
      <c r="BR173" s="227"/>
      <c r="BS173" s="227"/>
      <c r="BT173" s="227"/>
      <c r="BU173" s="240"/>
      <c r="BV173" s="240"/>
      <c r="BW173" s="240"/>
      <c r="BX173" s="240"/>
    </row>
    <row r="174" spans="1:76" s="141" customFormat="1" ht="11.25" customHeight="1" x14ac:dyDescent="0.2">
      <c r="A174" s="5"/>
      <c r="B174" s="5"/>
      <c r="C174" s="5"/>
      <c r="D174" s="5"/>
      <c r="E174" s="5"/>
      <c r="F174" s="5"/>
      <c r="G174" s="5"/>
      <c r="H174" s="5"/>
      <c r="I174" s="5"/>
      <c r="J174" s="37"/>
      <c r="K174" s="227"/>
      <c r="L174" s="227"/>
      <c r="M174" s="227"/>
      <c r="N174" s="227"/>
      <c r="O174" s="239"/>
      <c r="P174" s="5"/>
      <c r="Q174" s="5"/>
      <c r="R174" s="5"/>
      <c r="S174" s="5"/>
      <c r="T174" s="5"/>
      <c r="U174" s="5"/>
      <c r="V174" s="5"/>
      <c r="W174" s="37"/>
      <c r="X174" s="227"/>
      <c r="Y174" s="227"/>
      <c r="Z174" s="227"/>
      <c r="AA174" s="227"/>
      <c r="AB174" s="227"/>
      <c r="AC174" s="227"/>
      <c r="AD174" s="227"/>
      <c r="AE174" s="227"/>
      <c r="AF174" s="227"/>
      <c r="AG174" s="227"/>
      <c r="AH174" s="227"/>
      <c r="AI174" s="227"/>
      <c r="AJ174" s="227"/>
      <c r="AK174" s="227"/>
      <c r="AL174" s="227"/>
      <c r="AM174" s="227"/>
      <c r="AN174" s="227"/>
      <c r="AO174" s="227"/>
      <c r="AP174" s="227"/>
      <c r="AQ174" s="227"/>
      <c r="AR174" s="227"/>
      <c r="AS174" s="227"/>
      <c r="AT174" s="227"/>
      <c r="AU174" s="227"/>
      <c r="AV174" s="227"/>
      <c r="AW174" s="227"/>
      <c r="AX174" s="227"/>
      <c r="AY174" s="227"/>
      <c r="AZ174" s="227"/>
      <c r="BA174" s="227"/>
      <c r="BB174" s="227"/>
      <c r="BC174" s="227"/>
      <c r="BD174" s="227"/>
      <c r="BE174" s="227"/>
      <c r="BF174" s="227"/>
      <c r="BG174" s="227"/>
      <c r="BH174" s="227"/>
      <c r="BI174" s="227"/>
      <c r="BJ174" s="227"/>
      <c r="BK174" s="227"/>
      <c r="BL174" s="227"/>
      <c r="BM174" s="227"/>
      <c r="BN174" s="227"/>
      <c r="BO174" s="227"/>
      <c r="BP174" s="227"/>
      <c r="BQ174" s="227"/>
      <c r="BR174" s="227"/>
      <c r="BS174" s="227"/>
      <c r="BT174" s="227"/>
      <c r="BU174" s="240"/>
      <c r="BV174" s="240"/>
      <c r="BW174" s="240"/>
      <c r="BX174" s="240"/>
    </row>
    <row r="175" spans="1:76" s="141" customFormat="1" ht="11.25" customHeight="1" x14ac:dyDescent="0.2">
      <c r="A175" s="5"/>
      <c r="B175" s="5"/>
      <c r="C175" s="5"/>
      <c r="D175" s="5"/>
      <c r="E175" s="5"/>
      <c r="F175" s="5"/>
      <c r="G175" s="5"/>
      <c r="H175" s="5"/>
      <c r="I175" s="5"/>
      <c r="J175" s="37"/>
      <c r="K175" s="227"/>
      <c r="L175" s="227"/>
      <c r="M175" s="227"/>
      <c r="N175" s="227"/>
      <c r="O175" s="239"/>
      <c r="P175" s="5"/>
      <c r="Q175" s="5"/>
      <c r="R175" s="5"/>
      <c r="S175" s="5"/>
      <c r="T175" s="5"/>
      <c r="U175" s="5"/>
      <c r="V175" s="5"/>
      <c r="W175" s="37"/>
      <c r="X175" s="227"/>
      <c r="Y175" s="227"/>
      <c r="Z175" s="227"/>
      <c r="AA175" s="227"/>
      <c r="AB175" s="227"/>
      <c r="AC175" s="227"/>
      <c r="AD175" s="227"/>
      <c r="AE175" s="227"/>
      <c r="AF175" s="227"/>
      <c r="AG175" s="227"/>
      <c r="AH175" s="227"/>
      <c r="AI175" s="227"/>
      <c r="AJ175" s="227"/>
      <c r="AK175" s="227"/>
      <c r="AL175" s="227"/>
      <c r="AM175" s="227"/>
      <c r="AN175" s="227"/>
      <c r="AO175" s="227"/>
      <c r="AP175" s="227"/>
      <c r="AQ175" s="227"/>
      <c r="AR175" s="227"/>
      <c r="AS175" s="227"/>
      <c r="AT175" s="227"/>
      <c r="AU175" s="227"/>
      <c r="AV175" s="227"/>
      <c r="AW175" s="227"/>
      <c r="AX175" s="227"/>
      <c r="AY175" s="227"/>
      <c r="AZ175" s="227"/>
      <c r="BA175" s="227"/>
      <c r="BB175" s="227"/>
      <c r="BC175" s="227"/>
      <c r="BD175" s="227"/>
      <c r="BE175" s="227"/>
      <c r="BF175" s="227"/>
      <c r="BG175" s="227"/>
      <c r="BH175" s="227"/>
      <c r="BI175" s="227"/>
      <c r="BJ175" s="227"/>
      <c r="BK175" s="227"/>
      <c r="BL175" s="227"/>
      <c r="BM175" s="227"/>
      <c r="BN175" s="227"/>
      <c r="BO175" s="227"/>
      <c r="BP175" s="227"/>
      <c r="BQ175" s="227"/>
      <c r="BR175" s="227"/>
      <c r="BS175" s="227"/>
      <c r="BT175" s="227"/>
      <c r="BU175" s="240"/>
      <c r="BV175" s="240"/>
      <c r="BW175" s="240"/>
      <c r="BX175" s="240"/>
    </row>
    <row r="176" spans="1:76" s="141" customFormat="1" ht="11.25" customHeight="1" x14ac:dyDescent="0.2">
      <c r="A176" s="5"/>
      <c r="B176" s="5"/>
      <c r="C176" s="5"/>
      <c r="D176" s="5"/>
      <c r="E176" s="5"/>
      <c r="F176" s="5"/>
      <c r="G176" s="5"/>
      <c r="H176" s="5"/>
      <c r="I176" s="5"/>
      <c r="J176" s="37"/>
      <c r="K176" s="227"/>
      <c r="L176" s="227"/>
      <c r="M176" s="227"/>
      <c r="N176" s="227"/>
      <c r="O176" s="239"/>
      <c r="P176" s="5"/>
      <c r="Q176" s="5"/>
      <c r="R176" s="5"/>
      <c r="S176" s="5"/>
      <c r="T176" s="5"/>
      <c r="U176" s="5"/>
      <c r="V176" s="5"/>
      <c r="W176" s="37"/>
      <c r="X176" s="227"/>
      <c r="Y176" s="227"/>
      <c r="Z176" s="227"/>
      <c r="AA176" s="227"/>
      <c r="AB176" s="227"/>
      <c r="AC176" s="227"/>
      <c r="AD176" s="227"/>
      <c r="AE176" s="227"/>
      <c r="AF176" s="227"/>
      <c r="AG176" s="227"/>
      <c r="AH176" s="227"/>
      <c r="AI176" s="227"/>
      <c r="AJ176" s="227"/>
      <c r="AK176" s="227"/>
      <c r="AL176" s="227"/>
      <c r="AM176" s="227"/>
      <c r="AN176" s="227"/>
      <c r="AO176" s="227"/>
      <c r="AP176" s="227"/>
      <c r="AQ176" s="227"/>
      <c r="AR176" s="227"/>
      <c r="AS176" s="227"/>
      <c r="AT176" s="227"/>
      <c r="AU176" s="227"/>
      <c r="AV176" s="227"/>
      <c r="AW176" s="227"/>
      <c r="AX176" s="227"/>
      <c r="AY176" s="227"/>
      <c r="AZ176" s="227"/>
      <c r="BA176" s="227"/>
      <c r="BB176" s="227"/>
      <c r="BC176" s="227"/>
      <c r="BD176" s="227"/>
      <c r="BE176" s="227"/>
      <c r="BF176" s="227"/>
      <c r="BG176" s="227"/>
      <c r="BH176" s="227"/>
      <c r="BI176" s="227"/>
      <c r="BJ176" s="227"/>
      <c r="BK176" s="227"/>
      <c r="BL176" s="227"/>
      <c r="BM176" s="227"/>
      <c r="BN176" s="227"/>
      <c r="BO176" s="227"/>
      <c r="BP176" s="227"/>
      <c r="BQ176" s="227"/>
      <c r="BR176" s="227"/>
      <c r="BS176" s="227"/>
      <c r="BT176" s="227"/>
      <c r="BU176" s="240"/>
      <c r="BV176" s="240"/>
      <c r="BW176" s="240"/>
      <c r="BX176" s="240"/>
    </row>
    <row r="177" spans="1:76" s="141" customFormat="1" ht="11.25" customHeight="1" x14ac:dyDescent="0.2">
      <c r="A177" s="5"/>
      <c r="B177" s="5"/>
      <c r="C177" s="5"/>
      <c r="D177" s="5"/>
      <c r="E177" s="5"/>
      <c r="F177" s="5"/>
      <c r="G177" s="5"/>
      <c r="H177" s="5"/>
      <c r="I177" s="5"/>
      <c r="J177" s="37"/>
      <c r="K177" s="227"/>
      <c r="L177" s="227"/>
      <c r="M177" s="227"/>
      <c r="N177" s="227"/>
      <c r="O177" s="239"/>
      <c r="P177" s="5"/>
      <c r="Q177" s="5"/>
      <c r="R177" s="5"/>
      <c r="S177" s="5"/>
      <c r="T177" s="5"/>
      <c r="U177" s="5"/>
      <c r="V177" s="5"/>
      <c r="W177" s="37"/>
      <c r="X177" s="227"/>
      <c r="Y177" s="227"/>
      <c r="Z177" s="227"/>
      <c r="AA177" s="227"/>
      <c r="AB177" s="227"/>
      <c r="AC177" s="227"/>
      <c r="AD177" s="227"/>
      <c r="AE177" s="227"/>
      <c r="AF177" s="227"/>
      <c r="AG177" s="227"/>
      <c r="AH177" s="227"/>
      <c r="AI177" s="227"/>
      <c r="AJ177" s="227"/>
      <c r="AK177" s="227"/>
      <c r="AL177" s="227"/>
      <c r="AM177" s="227"/>
      <c r="AN177" s="227"/>
      <c r="AO177" s="227"/>
      <c r="AP177" s="227"/>
      <c r="AQ177" s="227"/>
      <c r="AR177" s="227"/>
      <c r="AS177" s="227"/>
      <c r="AT177" s="227"/>
      <c r="AU177" s="227"/>
      <c r="AV177" s="227"/>
      <c r="AW177" s="227"/>
      <c r="AX177" s="227"/>
      <c r="AY177" s="227"/>
      <c r="AZ177" s="227"/>
      <c r="BA177" s="227"/>
      <c r="BB177" s="227"/>
      <c r="BC177" s="227"/>
      <c r="BD177" s="227"/>
      <c r="BE177" s="227"/>
      <c r="BF177" s="227"/>
      <c r="BG177" s="227"/>
      <c r="BH177" s="227"/>
      <c r="BI177" s="227"/>
      <c r="BJ177" s="227"/>
      <c r="BK177" s="227"/>
      <c r="BL177" s="227"/>
      <c r="BM177" s="227"/>
      <c r="BN177" s="227"/>
      <c r="BO177" s="227"/>
      <c r="BP177" s="227"/>
      <c r="BQ177" s="227"/>
      <c r="BR177" s="227"/>
      <c r="BS177" s="227"/>
      <c r="BT177" s="227"/>
      <c r="BU177" s="240"/>
      <c r="BV177" s="240"/>
      <c r="BW177" s="240"/>
      <c r="BX177" s="240"/>
    </row>
    <row r="178" spans="1:76" s="141" customFormat="1" ht="11.25" customHeight="1" x14ac:dyDescent="0.2">
      <c r="A178" s="5"/>
      <c r="B178" s="5"/>
      <c r="C178" s="5"/>
      <c r="D178" s="5"/>
      <c r="E178" s="5"/>
      <c r="F178" s="5"/>
      <c r="G178" s="5"/>
      <c r="H178" s="5"/>
      <c r="I178" s="5"/>
      <c r="J178" s="37"/>
      <c r="K178" s="227"/>
      <c r="L178" s="227"/>
      <c r="M178" s="227"/>
      <c r="N178" s="227"/>
      <c r="O178" s="239"/>
      <c r="P178" s="5"/>
      <c r="Q178" s="5"/>
      <c r="R178" s="5"/>
      <c r="S178" s="5"/>
      <c r="T178" s="5"/>
      <c r="U178" s="5"/>
      <c r="V178" s="5"/>
      <c r="W178" s="37"/>
      <c r="X178" s="227"/>
      <c r="Y178" s="227"/>
      <c r="Z178" s="227"/>
      <c r="AA178" s="227"/>
      <c r="AB178" s="227"/>
      <c r="AC178" s="227"/>
      <c r="AD178" s="227"/>
      <c r="AE178" s="227"/>
      <c r="AF178" s="227"/>
      <c r="AG178" s="227"/>
      <c r="AH178" s="227"/>
      <c r="AI178" s="227"/>
      <c r="AJ178" s="227"/>
      <c r="AK178" s="227"/>
      <c r="AL178" s="227"/>
      <c r="AM178" s="227"/>
      <c r="AN178" s="227"/>
      <c r="AO178" s="227"/>
      <c r="AP178" s="227"/>
      <c r="AQ178" s="227"/>
      <c r="AR178" s="227"/>
      <c r="AS178" s="227"/>
      <c r="AT178" s="227"/>
      <c r="AU178" s="227"/>
      <c r="AV178" s="227"/>
      <c r="AW178" s="227"/>
      <c r="AX178" s="227"/>
      <c r="AY178" s="227"/>
      <c r="AZ178" s="227"/>
      <c r="BA178" s="227"/>
      <c r="BB178" s="227"/>
      <c r="BC178" s="227"/>
      <c r="BD178" s="227"/>
      <c r="BE178" s="227"/>
      <c r="BF178" s="227"/>
      <c r="BG178" s="227"/>
      <c r="BH178" s="227"/>
      <c r="BI178" s="227"/>
      <c r="BJ178" s="227"/>
      <c r="BK178" s="227"/>
      <c r="BL178" s="227"/>
      <c r="BM178" s="227"/>
      <c r="BN178" s="227"/>
      <c r="BO178" s="227"/>
      <c r="BP178" s="227"/>
      <c r="BQ178" s="227"/>
      <c r="BR178" s="227"/>
      <c r="BS178" s="227"/>
      <c r="BT178" s="227"/>
      <c r="BU178" s="240"/>
      <c r="BV178" s="240"/>
      <c r="BW178" s="240"/>
      <c r="BX178" s="240"/>
    </row>
    <row r="179" spans="1:76" s="141" customFormat="1" ht="11.25" customHeight="1" x14ac:dyDescent="0.2">
      <c r="A179" s="5"/>
      <c r="B179" s="5"/>
      <c r="C179" s="5"/>
      <c r="D179" s="5"/>
      <c r="E179" s="5"/>
      <c r="F179" s="5"/>
      <c r="G179" s="5"/>
      <c r="H179" s="5"/>
      <c r="I179" s="5"/>
      <c r="J179" s="37"/>
      <c r="K179" s="227"/>
      <c r="L179" s="227"/>
      <c r="M179" s="227"/>
      <c r="N179" s="227"/>
      <c r="O179" s="239"/>
      <c r="P179" s="5"/>
      <c r="Q179" s="5"/>
      <c r="R179" s="5"/>
      <c r="S179" s="5"/>
      <c r="T179" s="5"/>
      <c r="U179" s="5"/>
      <c r="V179" s="5"/>
      <c r="W179" s="37"/>
      <c r="X179" s="227"/>
      <c r="Y179" s="227"/>
      <c r="Z179" s="227"/>
      <c r="AA179" s="227"/>
      <c r="AB179" s="227"/>
      <c r="AC179" s="227"/>
      <c r="AD179" s="227"/>
      <c r="AE179" s="227"/>
      <c r="AF179" s="227"/>
      <c r="AG179" s="227"/>
      <c r="AH179" s="227"/>
      <c r="AI179" s="227"/>
      <c r="AJ179" s="227"/>
      <c r="AK179" s="227"/>
      <c r="AL179" s="227"/>
      <c r="AM179" s="227"/>
      <c r="AN179" s="227"/>
      <c r="AO179" s="227"/>
      <c r="AP179" s="227"/>
      <c r="AQ179" s="227"/>
      <c r="AR179" s="227"/>
      <c r="AS179" s="227"/>
      <c r="AT179" s="227"/>
      <c r="AU179" s="227"/>
      <c r="AV179" s="227"/>
      <c r="AW179" s="227"/>
      <c r="AX179" s="227"/>
      <c r="AY179" s="227"/>
      <c r="AZ179" s="227"/>
      <c r="BA179" s="227"/>
      <c r="BB179" s="227"/>
      <c r="BC179" s="227"/>
      <c r="BD179" s="227"/>
      <c r="BE179" s="227"/>
      <c r="BF179" s="227"/>
      <c r="BG179" s="227"/>
      <c r="BH179" s="227"/>
      <c r="BI179" s="227"/>
      <c r="BJ179" s="227"/>
      <c r="BK179" s="227"/>
      <c r="BL179" s="227"/>
      <c r="BM179" s="227"/>
      <c r="BN179" s="227"/>
      <c r="BO179" s="227"/>
      <c r="BP179" s="227"/>
      <c r="BQ179" s="227"/>
      <c r="BR179" s="227"/>
      <c r="BS179" s="227"/>
      <c r="BT179" s="227"/>
      <c r="BU179" s="240"/>
      <c r="BV179" s="240"/>
      <c r="BW179" s="240"/>
      <c r="BX179" s="240"/>
    </row>
    <row r="180" spans="1:76" s="141" customFormat="1" ht="11.25" customHeight="1" x14ac:dyDescent="0.2">
      <c r="A180" s="5"/>
      <c r="B180" s="5"/>
      <c r="C180" s="5"/>
      <c r="D180" s="5"/>
      <c r="E180" s="5"/>
      <c r="F180" s="5"/>
      <c r="G180" s="5"/>
      <c r="H180" s="5"/>
      <c r="I180" s="5"/>
      <c r="J180" s="37"/>
      <c r="K180" s="227"/>
      <c r="L180" s="227"/>
      <c r="M180" s="227"/>
      <c r="N180" s="227"/>
      <c r="O180" s="239"/>
      <c r="P180" s="5"/>
      <c r="Q180" s="5"/>
      <c r="R180" s="5"/>
      <c r="S180" s="5"/>
      <c r="T180" s="5"/>
      <c r="U180" s="5"/>
      <c r="V180" s="5"/>
      <c r="W180" s="37"/>
      <c r="X180" s="227"/>
      <c r="Y180" s="227"/>
      <c r="Z180" s="227"/>
      <c r="AA180" s="227"/>
      <c r="AB180" s="227"/>
      <c r="AC180" s="227"/>
      <c r="AD180" s="227"/>
      <c r="AE180" s="227"/>
      <c r="AF180" s="227"/>
      <c r="AG180" s="227"/>
      <c r="AH180" s="227"/>
      <c r="AI180" s="227"/>
      <c r="AJ180" s="227"/>
      <c r="AK180" s="227"/>
      <c r="AL180" s="227"/>
      <c r="AM180" s="227"/>
      <c r="AN180" s="227"/>
      <c r="AO180" s="227"/>
      <c r="AP180" s="227"/>
      <c r="AQ180" s="227"/>
      <c r="AR180" s="227"/>
      <c r="AS180" s="227"/>
      <c r="AT180" s="227"/>
      <c r="AU180" s="227"/>
      <c r="AV180" s="227"/>
      <c r="AW180" s="227"/>
      <c r="AX180" s="227"/>
      <c r="AY180" s="227"/>
      <c r="AZ180" s="227"/>
      <c r="BA180" s="227"/>
      <c r="BB180" s="227"/>
      <c r="BC180" s="227"/>
      <c r="BD180" s="227"/>
      <c r="BE180" s="227"/>
      <c r="BF180" s="227"/>
      <c r="BG180" s="227"/>
      <c r="BH180" s="227"/>
      <c r="BI180" s="227"/>
      <c r="BJ180" s="227"/>
      <c r="BK180" s="227"/>
      <c r="BL180" s="227"/>
      <c r="BM180" s="227"/>
      <c r="BN180" s="227"/>
      <c r="BO180" s="227"/>
      <c r="BP180" s="227"/>
      <c r="BQ180" s="227"/>
      <c r="BR180" s="227"/>
      <c r="BS180" s="227"/>
      <c r="BT180" s="227"/>
      <c r="BU180" s="240"/>
      <c r="BV180" s="240"/>
      <c r="BW180" s="240"/>
      <c r="BX180" s="240"/>
    </row>
    <row r="181" spans="1:76" s="141" customFormat="1" ht="11.25" customHeight="1" x14ac:dyDescent="0.2">
      <c r="A181" s="5"/>
      <c r="B181" s="5"/>
      <c r="C181" s="5"/>
      <c r="D181" s="5"/>
      <c r="E181" s="5"/>
      <c r="F181" s="5"/>
      <c r="G181" s="5"/>
      <c r="H181" s="5"/>
      <c r="I181" s="5"/>
      <c r="J181" s="37"/>
      <c r="K181" s="227"/>
      <c r="L181" s="227"/>
      <c r="M181" s="227"/>
      <c r="N181" s="227"/>
      <c r="O181" s="239"/>
      <c r="P181" s="5"/>
      <c r="Q181" s="5"/>
      <c r="R181" s="5"/>
      <c r="S181" s="5"/>
      <c r="T181" s="5"/>
      <c r="U181" s="5"/>
      <c r="V181" s="5"/>
      <c r="W181" s="37"/>
      <c r="X181" s="227"/>
      <c r="Y181" s="227"/>
      <c r="Z181" s="227"/>
      <c r="AA181" s="227"/>
      <c r="AB181" s="227"/>
      <c r="AC181" s="227"/>
      <c r="AD181" s="227"/>
      <c r="AE181" s="227"/>
      <c r="AF181" s="227"/>
      <c r="AG181" s="227"/>
      <c r="AH181" s="227"/>
      <c r="AI181" s="227"/>
      <c r="AJ181" s="227"/>
      <c r="AK181" s="227"/>
      <c r="AL181" s="227"/>
      <c r="AM181" s="227"/>
      <c r="AN181" s="227"/>
      <c r="AO181" s="227"/>
      <c r="AP181" s="227"/>
      <c r="AQ181" s="227"/>
      <c r="AR181" s="227"/>
      <c r="AS181" s="227"/>
      <c r="AT181" s="227"/>
      <c r="AU181" s="227"/>
      <c r="AV181" s="227"/>
      <c r="AW181" s="227"/>
      <c r="AX181" s="227"/>
      <c r="AY181" s="227"/>
      <c r="AZ181" s="227"/>
      <c r="BA181" s="227"/>
      <c r="BB181" s="227"/>
      <c r="BC181" s="227"/>
      <c r="BD181" s="227"/>
      <c r="BE181" s="227"/>
      <c r="BF181" s="227"/>
      <c r="BG181" s="227"/>
      <c r="BH181" s="227"/>
      <c r="BI181" s="227"/>
      <c r="BJ181" s="227"/>
      <c r="BK181" s="227"/>
      <c r="BL181" s="227"/>
      <c r="BM181" s="227"/>
      <c r="BN181" s="227"/>
      <c r="BO181" s="227"/>
      <c r="BP181" s="227"/>
      <c r="BQ181" s="227"/>
      <c r="BR181" s="227"/>
      <c r="BS181" s="227"/>
      <c r="BT181" s="227"/>
      <c r="BU181" s="240"/>
      <c r="BV181" s="240"/>
      <c r="BW181" s="240"/>
      <c r="BX181" s="240"/>
    </row>
    <row r="182" spans="1:76" s="141" customFormat="1" ht="11.25" customHeight="1" x14ac:dyDescent="0.2">
      <c r="A182" s="5"/>
      <c r="B182" s="5"/>
      <c r="C182" s="5"/>
      <c r="D182" s="5"/>
      <c r="E182" s="5"/>
      <c r="F182" s="5"/>
      <c r="G182" s="5"/>
      <c r="H182" s="5"/>
      <c r="I182" s="5"/>
      <c r="J182" s="37"/>
      <c r="K182" s="227"/>
      <c r="L182" s="227"/>
      <c r="M182" s="227"/>
      <c r="N182" s="227"/>
      <c r="O182" s="239"/>
      <c r="P182" s="5"/>
      <c r="Q182" s="5"/>
      <c r="R182" s="5"/>
      <c r="S182" s="5"/>
      <c r="T182" s="5"/>
      <c r="U182" s="5"/>
      <c r="V182" s="5"/>
      <c r="W182" s="37"/>
      <c r="X182" s="227"/>
      <c r="Y182" s="227"/>
      <c r="Z182" s="227"/>
      <c r="AA182" s="227"/>
      <c r="AB182" s="227"/>
      <c r="AC182" s="227"/>
      <c r="AD182" s="227"/>
      <c r="AE182" s="227"/>
      <c r="AF182" s="227"/>
      <c r="AG182" s="227"/>
      <c r="AH182" s="227"/>
      <c r="AI182" s="227"/>
      <c r="AJ182" s="227"/>
      <c r="AK182" s="227"/>
      <c r="AL182" s="227"/>
      <c r="AM182" s="227"/>
      <c r="AN182" s="227"/>
      <c r="AO182" s="227"/>
      <c r="AP182" s="227"/>
      <c r="AQ182" s="227"/>
      <c r="AR182" s="227"/>
      <c r="AS182" s="227"/>
      <c r="AT182" s="227"/>
      <c r="AU182" s="227"/>
      <c r="AV182" s="227"/>
      <c r="AW182" s="227"/>
      <c r="AX182" s="227"/>
      <c r="AY182" s="227"/>
      <c r="AZ182" s="227"/>
      <c r="BA182" s="227"/>
      <c r="BB182" s="227"/>
      <c r="BC182" s="227"/>
      <c r="BD182" s="227"/>
      <c r="BE182" s="227"/>
      <c r="BF182" s="227"/>
      <c r="BG182" s="227"/>
      <c r="BH182" s="227"/>
      <c r="BI182" s="227"/>
      <c r="BJ182" s="227"/>
      <c r="BK182" s="227"/>
      <c r="BL182" s="227"/>
      <c r="BM182" s="227"/>
      <c r="BN182" s="227"/>
      <c r="BO182" s="227"/>
      <c r="BP182" s="227"/>
      <c r="BQ182" s="227"/>
      <c r="BR182" s="227"/>
      <c r="BS182" s="227"/>
      <c r="BT182" s="227"/>
      <c r="BU182" s="240"/>
      <c r="BV182" s="240"/>
      <c r="BW182" s="240"/>
      <c r="BX182" s="240"/>
    </row>
    <row r="183" spans="1:76" s="141" customFormat="1" ht="11.25" customHeight="1" x14ac:dyDescent="0.2">
      <c r="A183" s="5"/>
      <c r="B183" s="5"/>
      <c r="C183" s="5"/>
      <c r="D183" s="5"/>
      <c r="E183" s="5"/>
      <c r="F183" s="5"/>
      <c r="G183" s="5"/>
      <c r="H183" s="5"/>
      <c r="I183" s="5"/>
      <c r="J183" s="37"/>
      <c r="K183" s="227"/>
      <c r="L183" s="227"/>
      <c r="M183" s="227"/>
      <c r="N183" s="227"/>
      <c r="O183" s="239"/>
      <c r="P183" s="5"/>
      <c r="Q183" s="5"/>
      <c r="R183" s="5"/>
      <c r="S183" s="5"/>
      <c r="T183" s="5"/>
      <c r="U183" s="5"/>
      <c r="V183" s="5"/>
      <c r="W183" s="37"/>
      <c r="X183" s="227"/>
      <c r="Y183" s="227"/>
      <c r="Z183" s="227"/>
      <c r="AA183" s="227"/>
      <c r="AB183" s="227"/>
      <c r="AC183" s="227"/>
      <c r="AD183" s="227"/>
      <c r="AE183" s="227"/>
      <c r="AF183" s="227"/>
      <c r="AG183" s="227"/>
      <c r="AH183" s="227"/>
      <c r="AI183" s="227"/>
      <c r="AJ183" s="227"/>
      <c r="AK183" s="227"/>
      <c r="AL183" s="227"/>
      <c r="AM183" s="227"/>
      <c r="AN183" s="227"/>
      <c r="AO183" s="227"/>
      <c r="AP183" s="227"/>
      <c r="AQ183" s="227"/>
      <c r="AR183" s="227"/>
      <c r="AS183" s="227"/>
      <c r="AT183" s="227"/>
      <c r="AU183" s="227"/>
      <c r="AV183" s="227"/>
      <c r="AW183" s="227"/>
      <c r="AX183" s="227"/>
      <c r="AY183" s="227"/>
      <c r="AZ183" s="227"/>
      <c r="BA183" s="227"/>
      <c r="BB183" s="227"/>
      <c r="BC183" s="227"/>
      <c r="BD183" s="227"/>
      <c r="BE183" s="227"/>
      <c r="BF183" s="227"/>
      <c r="BG183" s="227"/>
      <c r="BH183" s="227"/>
      <c r="BI183" s="227"/>
      <c r="BJ183" s="227"/>
      <c r="BK183" s="227"/>
      <c r="BL183" s="227"/>
      <c r="BM183" s="227"/>
      <c r="BN183" s="227"/>
      <c r="BO183" s="227"/>
      <c r="BP183" s="227"/>
      <c r="BQ183" s="227"/>
      <c r="BR183" s="227"/>
      <c r="BS183" s="227"/>
      <c r="BT183" s="227"/>
      <c r="BU183" s="240"/>
      <c r="BV183" s="240"/>
      <c r="BW183" s="240"/>
      <c r="BX183" s="240"/>
    </row>
    <row r="184" spans="1:76" s="141" customFormat="1" ht="11.25" customHeight="1" x14ac:dyDescent="0.2">
      <c r="A184" s="5"/>
      <c r="B184" s="5"/>
      <c r="C184" s="5"/>
      <c r="D184" s="5"/>
      <c r="E184" s="5"/>
      <c r="F184" s="5"/>
      <c r="G184" s="5"/>
      <c r="H184" s="5"/>
      <c r="I184" s="5"/>
      <c r="J184" s="37"/>
      <c r="K184" s="227"/>
      <c r="L184" s="227"/>
      <c r="M184" s="227"/>
      <c r="N184" s="227"/>
      <c r="O184" s="239"/>
      <c r="P184" s="5"/>
      <c r="Q184" s="5"/>
      <c r="R184" s="5"/>
      <c r="S184" s="5"/>
      <c r="T184" s="5"/>
      <c r="U184" s="5"/>
      <c r="V184" s="5"/>
      <c r="W184" s="37"/>
      <c r="X184" s="227"/>
      <c r="Y184" s="227"/>
      <c r="Z184" s="227"/>
      <c r="AA184" s="227"/>
      <c r="AB184" s="227"/>
      <c r="AC184" s="227"/>
      <c r="AD184" s="227"/>
      <c r="AE184" s="227"/>
      <c r="AF184" s="227"/>
      <c r="AG184" s="227"/>
      <c r="AH184" s="227"/>
      <c r="AI184" s="227"/>
      <c r="AJ184" s="227"/>
      <c r="AK184" s="227"/>
      <c r="AL184" s="227"/>
      <c r="AM184" s="227"/>
      <c r="AN184" s="227"/>
      <c r="AO184" s="227"/>
      <c r="AP184" s="227"/>
      <c r="AQ184" s="227"/>
      <c r="AR184" s="227"/>
      <c r="AS184" s="227"/>
      <c r="AT184" s="227"/>
      <c r="AU184" s="227"/>
      <c r="AV184" s="227"/>
      <c r="AW184" s="227"/>
      <c r="AX184" s="227"/>
      <c r="AY184" s="227"/>
      <c r="AZ184" s="227"/>
      <c r="BA184" s="227"/>
      <c r="BB184" s="227"/>
      <c r="BC184" s="227"/>
      <c r="BD184" s="227"/>
      <c r="BE184" s="227"/>
      <c r="BF184" s="227"/>
      <c r="BG184" s="227"/>
      <c r="BH184" s="227"/>
      <c r="BI184" s="227"/>
      <c r="BJ184" s="227"/>
      <c r="BK184" s="227"/>
      <c r="BL184" s="227"/>
      <c r="BM184" s="227"/>
      <c r="BN184" s="227"/>
      <c r="BO184" s="227"/>
      <c r="BP184" s="227"/>
      <c r="BQ184" s="227"/>
      <c r="BR184" s="227"/>
      <c r="BS184" s="227"/>
      <c r="BT184" s="227"/>
      <c r="BU184" s="240"/>
      <c r="BV184" s="240"/>
      <c r="BW184" s="240"/>
      <c r="BX184" s="240"/>
    </row>
    <row r="185" spans="1:76" s="141" customFormat="1" ht="11.25" customHeight="1" x14ac:dyDescent="0.2">
      <c r="A185" s="5"/>
      <c r="B185" s="5"/>
      <c r="C185" s="5"/>
      <c r="D185" s="5"/>
      <c r="E185" s="5"/>
      <c r="F185" s="5"/>
      <c r="G185" s="5"/>
      <c r="H185" s="5"/>
      <c r="I185" s="5"/>
      <c r="J185" s="37"/>
      <c r="K185" s="227"/>
      <c r="L185" s="227"/>
      <c r="M185" s="227"/>
      <c r="N185" s="227"/>
      <c r="O185" s="239"/>
      <c r="P185" s="5"/>
      <c r="Q185" s="5"/>
      <c r="R185" s="5"/>
      <c r="S185" s="5"/>
      <c r="T185" s="5"/>
      <c r="U185" s="5"/>
      <c r="V185" s="5"/>
      <c r="W185" s="37"/>
      <c r="X185" s="227"/>
      <c r="Y185" s="227"/>
      <c r="Z185" s="227"/>
      <c r="AA185" s="227"/>
      <c r="AB185" s="227"/>
      <c r="AC185" s="227"/>
      <c r="AD185" s="227"/>
      <c r="AE185" s="227"/>
      <c r="AF185" s="227"/>
      <c r="AG185" s="227"/>
      <c r="AH185" s="227"/>
      <c r="AI185" s="227"/>
      <c r="AJ185" s="227"/>
      <c r="AK185" s="227"/>
      <c r="AL185" s="227"/>
      <c r="AM185" s="227"/>
      <c r="AN185" s="227"/>
      <c r="AO185" s="227"/>
      <c r="AP185" s="227"/>
      <c r="AQ185" s="227"/>
      <c r="AR185" s="227"/>
      <c r="AS185" s="227"/>
      <c r="AT185" s="227"/>
      <c r="AU185" s="227"/>
      <c r="AV185" s="227"/>
      <c r="AW185" s="227"/>
      <c r="AX185" s="227"/>
      <c r="AY185" s="227"/>
      <c r="AZ185" s="227"/>
      <c r="BA185" s="227"/>
      <c r="BB185" s="227"/>
      <c r="BC185" s="227"/>
      <c r="BD185" s="227"/>
      <c r="BE185" s="227"/>
      <c r="BF185" s="227"/>
      <c r="BG185" s="227"/>
      <c r="BH185" s="227"/>
      <c r="BI185" s="227"/>
      <c r="BJ185" s="227"/>
      <c r="BK185" s="227"/>
      <c r="BL185" s="227"/>
      <c r="BM185" s="227"/>
      <c r="BN185" s="227"/>
      <c r="BO185" s="227"/>
      <c r="BP185" s="227"/>
      <c r="BQ185" s="227"/>
      <c r="BR185" s="227"/>
      <c r="BS185" s="227"/>
      <c r="BT185" s="227"/>
      <c r="BU185" s="240"/>
      <c r="BV185" s="240"/>
      <c r="BW185" s="240"/>
      <c r="BX185" s="240"/>
    </row>
    <row r="186" spans="1:76" s="141" customFormat="1" ht="11.25" customHeight="1" x14ac:dyDescent="0.2">
      <c r="A186" s="5"/>
      <c r="B186" s="5"/>
      <c r="C186" s="5"/>
      <c r="D186" s="5"/>
      <c r="E186" s="5"/>
      <c r="F186" s="5"/>
      <c r="G186" s="5"/>
      <c r="H186" s="5"/>
      <c r="I186" s="5"/>
      <c r="J186" s="37"/>
      <c r="K186" s="227"/>
      <c r="L186" s="227"/>
      <c r="M186" s="227"/>
      <c r="N186" s="227"/>
      <c r="O186" s="239"/>
      <c r="P186" s="5"/>
      <c r="Q186" s="5"/>
      <c r="R186" s="5"/>
      <c r="S186" s="5"/>
      <c r="T186" s="5"/>
      <c r="U186" s="5"/>
      <c r="V186" s="5"/>
      <c r="W186" s="37"/>
      <c r="X186" s="227"/>
      <c r="Y186" s="227"/>
      <c r="Z186" s="227"/>
      <c r="AA186" s="227"/>
      <c r="AB186" s="227"/>
      <c r="AC186" s="227"/>
      <c r="AD186" s="227"/>
      <c r="AE186" s="227"/>
      <c r="AF186" s="227"/>
      <c r="AG186" s="227"/>
      <c r="AH186" s="227"/>
      <c r="AI186" s="227"/>
      <c r="AJ186" s="227"/>
      <c r="AK186" s="227"/>
      <c r="AL186" s="227"/>
      <c r="AM186" s="227"/>
      <c r="AN186" s="227"/>
      <c r="AO186" s="227"/>
      <c r="AP186" s="227"/>
      <c r="AQ186" s="227"/>
      <c r="AR186" s="227"/>
      <c r="AS186" s="227"/>
      <c r="AT186" s="227"/>
      <c r="AU186" s="227"/>
      <c r="AV186" s="227"/>
      <c r="AW186" s="227"/>
      <c r="AX186" s="227"/>
      <c r="AY186" s="227"/>
      <c r="AZ186" s="227"/>
      <c r="BA186" s="227"/>
      <c r="BB186" s="227"/>
      <c r="BC186" s="227"/>
      <c r="BD186" s="227"/>
      <c r="BE186" s="227"/>
      <c r="BF186" s="227"/>
      <c r="BG186" s="227"/>
      <c r="BH186" s="227"/>
      <c r="BI186" s="227"/>
      <c r="BJ186" s="227"/>
      <c r="BK186" s="227"/>
      <c r="BL186" s="227"/>
      <c r="BM186" s="227"/>
      <c r="BN186" s="227"/>
      <c r="BO186" s="227"/>
      <c r="BP186" s="227"/>
      <c r="BQ186" s="227"/>
      <c r="BR186" s="227"/>
      <c r="BS186" s="227"/>
      <c r="BT186" s="227"/>
      <c r="BU186" s="240"/>
      <c r="BV186" s="240"/>
      <c r="BW186" s="240"/>
      <c r="BX186" s="240"/>
    </row>
    <row r="187" spans="1:76" s="141" customFormat="1" ht="11.25" customHeight="1" x14ac:dyDescent="0.2">
      <c r="A187" s="5"/>
      <c r="B187" s="5"/>
      <c r="C187" s="5"/>
      <c r="D187" s="5"/>
      <c r="E187" s="5"/>
      <c r="F187" s="5"/>
      <c r="G187" s="5"/>
      <c r="H187" s="5"/>
      <c r="I187" s="5"/>
      <c r="J187" s="37"/>
      <c r="K187" s="227"/>
      <c r="L187" s="227"/>
      <c r="M187" s="227"/>
      <c r="N187" s="227"/>
      <c r="O187" s="239"/>
      <c r="P187" s="5"/>
      <c r="Q187" s="5"/>
      <c r="R187" s="5"/>
      <c r="S187" s="5"/>
      <c r="T187" s="5"/>
      <c r="U187" s="5"/>
      <c r="V187" s="5"/>
      <c r="W187" s="37"/>
      <c r="X187" s="227"/>
      <c r="Y187" s="227"/>
      <c r="Z187" s="227"/>
      <c r="AA187" s="227"/>
      <c r="AB187" s="227"/>
      <c r="AC187" s="227"/>
      <c r="AD187" s="227"/>
      <c r="AE187" s="227"/>
      <c r="AF187" s="227"/>
      <c r="AG187" s="227"/>
      <c r="AH187" s="227"/>
      <c r="AI187" s="227"/>
      <c r="AJ187" s="227"/>
      <c r="AK187" s="227"/>
      <c r="AL187" s="227"/>
      <c r="AM187" s="227"/>
      <c r="AN187" s="227"/>
      <c r="AO187" s="227"/>
      <c r="AP187" s="227"/>
      <c r="AQ187" s="227"/>
      <c r="AR187" s="227"/>
      <c r="AS187" s="227"/>
      <c r="AT187" s="227"/>
      <c r="AU187" s="227"/>
      <c r="AV187" s="227"/>
      <c r="AW187" s="227"/>
      <c r="AX187" s="227"/>
      <c r="AY187" s="227"/>
      <c r="AZ187" s="227"/>
      <c r="BA187" s="227"/>
      <c r="BB187" s="227"/>
      <c r="BC187" s="227"/>
      <c r="BD187" s="227"/>
      <c r="BE187" s="227"/>
      <c r="BF187" s="227"/>
      <c r="BG187" s="227"/>
      <c r="BH187" s="227"/>
      <c r="BI187" s="227"/>
      <c r="BJ187" s="227"/>
      <c r="BK187" s="227"/>
      <c r="BL187" s="227"/>
      <c r="BM187" s="227"/>
      <c r="BN187" s="227"/>
      <c r="BO187" s="227"/>
      <c r="BP187" s="227"/>
      <c r="BQ187" s="227"/>
      <c r="BR187" s="227"/>
      <c r="BS187" s="227"/>
      <c r="BT187" s="227"/>
      <c r="BU187" s="240"/>
      <c r="BV187" s="240"/>
      <c r="BW187" s="240"/>
      <c r="BX187" s="240"/>
    </row>
    <row r="188" spans="1:76" s="141" customFormat="1" ht="11.25" customHeight="1" x14ac:dyDescent="0.2">
      <c r="A188" s="5"/>
      <c r="B188" s="5"/>
      <c r="C188" s="5"/>
      <c r="D188" s="5"/>
      <c r="E188" s="5"/>
      <c r="F188" s="5"/>
      <c r="G188" s="5"/>
      <c r="H188" s="5"/>
      <c r="I188" s="5"/>
      <c r="J188" s="37"/>
      <c r="K188" s="227"/>
      <c r="L188" s="227"/>
      <c r="M188" s="227"/>
      <c r="N188" s="227"/>
      <c r="O188" s="239"/>
      <c r="P188" s="5"/>
      <c r="Q188" s="5"/>
      <c r="R188" s="5"/>
      <c r="S188" s="5"/>
      <c r="T188" s="5"/>
      <c r="U188" s="5"/>
      <c r="V188" s="5"/>
      <c r="W188" s="37"/>
      <c r="X188" s="227"/>
      <c r="Y188" s="227"/>
      <c r="Z188" s="227"/>
      <c r="AA188" s="227"/>
      <c r="AB188" s="227"/>
      <c r="AC188" s="227"/>
      <c r="AD188" s="227"/>
      <c r="AE188" s="227"/>
      <c r="AF188" s="227"/>
      <c r="AG188" s="227"/>
      <c r="AH188" s="227"/>
      <c r="AI188" s="227"/>
      <c r="AJ188" s="227"/>
      <c r="AK188" s="227"/>
      <c r="AL188" s="227"/>
      <c r="AM188" s="227"/>
      <c r="AN188" s="227"/>
      <c r="AO188" s="227"/>
      <c r="AP188" s="227"/>
      <c r="AQ188" s="227"/>
      <c r="AR188" s="227"/>
      <c r="AS188" s="227"/>
      <c r="AT188" s="227"/>
      <c r="AU188" s="227"/>
      <c r="AV188" s="227"/>
      <c r="AW188" s="227"/>
      <c r="AX188" s="227"/>
      <c r="AY188" s="227"/>
      <c r="AZ188" s="227"/>
      <c r="BA188" s="227"/>
      <c r="BB188" s="227"/>
      <c r="BC188" s="227"/>
      <c r="BD188" s="227"/>
      <c r="BE188" s="227"/>
      <c r="BF188" s="227"/>
      <c r="BG188" s="227"/>
      <c r="BH188" s="227"/>
      <c r="BI188" s="227"/>
      <c r="BJ188" s="227"/>
      <c r="BK188" s="227"/>
      <c r="BL188" s="227"/>
      <c r="BM188" s="227"/>
      <c r="BN188" s="227"/>
      <c r="BO188" s="227"/>
      <c r="BP188" s="227"/>
      <c r="BQ188" s="227"/>
      <c r="BR188" s="227"/>
      <c r="BS188" s="227"/>
      <c r="BT188" s="227"/>
      <c r="BU188" s="240"/>
      <c r="BV188" s="240"/>
      <c r="BW188" s="240"/>
      <c r="BX188" s="240"/>
    </row>
    <row r="189" spans="1:76" s="141" customFormat="1" ht="11.25" customHeight="1" x14ac:dyDescent="0.2">
      <c r="A189" s="5"/>
      <c r="B189" s="5"/>
      <c r="C189" s="5"/>
      <c r="D189" s="5"/>
      <c r="E189" s="5"/>
      <c r="F189" s="5"/>
      <c r="G189" s="5"/>
      <c r="H189" s="5"/>
      <c r="I189" s="5"/>
      <c r="J189" s="37"/>
      <c r="K189" s="227"/>
      <c r="L189" s="227"/>
      <c r="M189" s="227"/>
      <c r="N189" s="227"/>
      <c r="O189" s="239"/>
      <c r="P189" s="5"/>
      <c r="Q189" s="5"/>
      <c r="R189" s="5"/>
      <c r="S189" s="5"/>
      <c r="T189" s="5"/>
      <c r="U189" s="5"/>
      <c r="V189" s="5"/>
      <c r="W189" s="37"/>
      <c r="X189" s="227"/>
      <c r="Y189" s="227"/>
      <c r="Z189" s="227"/>
      <c r="AA189" s="227"/>
      <c r="AB189" s="227"/>
      <c r="AC189" s="227"/>
      <c r="AD189" s="227"/>
      <c r="AE189" s="227"/>
      <c r="AF189" s="227"/>
      <c r="AG189" s="227"/>
      <c r="AH189" s="227"/>
      <c r="AI189" s="227"/>
      <c r="AJ189" s="227"/>
      <c r="AK189" s="227"/>
      <c r="AL189" s="227"/>
      <c r="AM189" s="227"/>
      <c r="AN189" s="227"/>
      <c r="AO189" s="227"/>
      <c r="AP189" s="227"/>
      <c r="AQ189" s="227"/>
      <c r="AR189" s="227"/>
      <c r="AS189" s="227"/>
      <c r="AT189" s="227"/>
      <c r="AU189" s="227"/>
      <c r="AV189" s="227"/>
      <c r="AW189" s="227"/>
      <c r="AX189" s="227"/>
      <c r="AY189" s="227"/>
      <c r="AZ189" s="227"/>
      <c r="BA189" s="227"/>
      <c r="BB189" s="227"/>
      <c r="BC189" s="227"/>
      <c r="BD189" s="227"/>
      <c r="BE189" s="227"/>
      <c r="BF189" s="227"/>
      <c r="BG189" s="227"/>
      <c r="BH189" s="227"/>
      <c r="BI189" s="227"/>
      <c r="BJ189" s="227"/>
      <c r="BK189" s="227"/>
      <c r="BL189" s="227"/>
      <c r="BM189" s="227"/>
      <c r="BN189" s="227"/>
      <c r="BO189" s="227"/>
      <c r="BP189" s="227"/>
      <c r="BQ189" s="227"/>
      <c r="BR189" s="227"/>
      <c r="BS189" s="227"/>
      <c r="BT189" s="227"/>
      <c r="BU189" s="240"/>
      <c r="BV189" s="240"/>
      <c r="BW189" s="240"/>
      <c r="BX189" s="240"/>
    </row>
    <row r="190" spans="1:76" s="141" customFormat="1" ht="11.25" customHeight="1" x14ac:dyDescent="0.2">
      <c r="A190" s="5"/>
      <c r="B190" s="5"/>
      <c r="C190" s="5"/>
      <c r="D190" s="5"/>
      <c r="E190" s="5"/>
      <c r="F190" s="5"/>
      <c r="G190" s="5"/>
      <c r="H190" s="5"/>
      <c r="I190" s="5"/>
      <c r="J190" s="37"/>
      <c r="K190" s="227"/>
      <c r="L190" s="227"/>
      <c r="M190" s="227"/>
      <c r="N190" s="227"/>
      <c r="O190" s="239"/>
      <c r="P190" s="5"/>
      <c r="Q190" s="5"/>
      <c r="R190" s="5"/>
      <c r="S190" s="5"/>
      <c r="T190" s="5"/>
      <c r="U190" s="5"/>
      <c r="V190" s="5"/>
      <c r="W190" s="37"/>
      <c r="X190" s="227"/>
      <c r="Y190" s="227"/>
      <c r="Z190" s="227"/>
      <c r="AA190" s="227"/>
      <c r="AB190" s="227"/>
      <c r="AC190" s="227"/>
      <c r="AD190" s="227"/>
      <c r="AE190" s="227"/>
      <c r="AF190" s="227"/>
      <c r="AG190" s="227"/>
      <c r="AH190" s="227"/>
      <c r="AI190" s="227"/>
      <c r="AJ190" s="227"/>
      <c r="AK190" s="227"/>
      <c r="AL190" s="227"/>
      <c r="AM190" s="227"/>
      <c r="AN190" s="227"/>
      <c r="AO190" s="227"/>
      <c r="AP190" s="227"/>
      <c r="AQ190" s="227"/>
      <c r="AR190" s="227"/>
      <c r="AS190" s="227"/>
      <c r="AT190" s="227"/>
      <c r="AU190" s="227"/>
      <c r="AV190" s="227"/>
      <c r="AW190" s="227"/>
      <c r="AX190" s="227"/>
      <c r="AY190" s="227"/>
      <c r="AZ190" s="227"/>
      <c r="BA190" s="227"/>
      <c r="BB190" s="227"/>
      <c r="BC190" s="227"/>
      <c r="BD190" s="227"/>
      <c r="BE190" s="227"/>
      <c r="BF190" s="227"/>
      <c r="BG190" s="227"/>
      <c r="BH190" s="227"/>
      <c r="BI190" s="227"/>
      <c r="BJ190" s="227"/>
      <c r="BK190" s="227"/>
      <c r="BL190" s="227"/>
      <c r="BM190" s="227"/>
      <c r="BN190" s="227"/>
      <c r="BO190" s="227"/>
      <c r="BP190" s="227"/>
      <c r="BQ190" s="227"/>
      <c r="BR190" s="227"/>
      <c r="BS190" s="227"/>
      <c r="BT190" s="227"/>
      <c r="BU190" s="240"/>
      <c r="BV190" s="240"/>
      <c r="BW190" s="240"/>
      <c r="BX190" s="240"/>
    </row>
    <row r="191" spans="1:76" s="141" customFormat="1" ht="11.25" customHeight="1" x14ac:dyDescent="0.2">
      <c r="A191" s="5"/>
      <c r="B191" s="5"/>
      <c r="C191" s="5"/>
      <c r="D191" s="5"/>
      <c r="E191" s="5"/>
      <c r="F191" s="5"/>
      <c r="G191" s="5"/>
      <c r="H191" s="5"/>
      <c r="I191" s="5"/>
      <c r="J191" s="37"/>
      <c r="K191" s="227"/>
      <c r="L191" s="227"/>
      <c r="M191" s="227"/>
      <c r="N191" s="227"/>
      <c r="O191" s="239"/>
      <c r="P191" s="5"/>
      <c r="Q191" s="5"/>
      <c r="R191" s="5"/>
      <c r="S191" s="5"/>
      <c r="T191" s="5"/>
      <c r="U191" s="5"/>
      <c r="V191" s="5"/>
      <c r="W191" s="37"/>
      <c r="X191" s="227"/>
      <c r="Y191" s="227"/>
      <c r="Z191" s="227"/>
      <c r="AA191" s="227"/>
      <c r="AB191" s="227"/>
      <c r="AC191" s="227"/>
      <c r="AD191" s="227"/>
      <c r="AE191" s="227"/>
      <c r="AF191" s="227"/>
      <c r="AG191" s="227"/>
      <c r="AH191" s="227"/>
      <c r="AI191" s="227"/>
      <c r="AJ191" s="227"/>
      <c r="AK191" s="227"/>
      <c r="AL191" s="227"/>
      <c r="AM191" s="227"/>
      <c r="AN191" s="227"/>
      <c r="AO191" s="227"/>
      <c r="AP191" s="227"/>
      <c r="AQ191" s="227"/>
      <c r="AR191" s="227"/>
      <c r="AS191" s="227"/>
      <c r="AT191" s="227"/>
      <c r="AU191" s="227"/>
      <c r="AV191" s="227"/>
      <c r="AW191" s="227"/>
      <c r="AX191" s="227"/>
      <c r="AY191" s="227"/>
      <c r="AZ191" s="227"/>
      <c r="BA191" s="227"/>
      <c r="BB191" s="227"/>
      <c r="BC191" s="227"/>
      <c r="BD191" s="227"/>
      <c r="BE191" s="227"/>
      <c r="BF191" s="227"/>
      <c r="BG191" s="227"/>
      <c r="BH191" s="227"/>
      <c r="BI191" s="227"/>
      <c r="BJ191" s="227"/>
      <c r="BK191" s="227"/>
      <c r="BL191" s="227"/>
      <c r="BM191" s="227"/>
      <c r="BN191" s="227"/>
      <c r="BO191" s="227"/>
      <c r="BP191" s="227"/>
      <c r="BQ191" s="227"/>
      <c r="BR191" s="227"/>
      <c r="BS191" s="227"/>
      <c r="BT191" s="227"/>
      <c r="BU191" s="240"/>
      <c r="BV191" s="240"/>
      <c r="BW191" s="240"/>
      <c r="BX191" s="240"/>
    </row>
    <row r="192" spans="1:76" s="141" customFormat="1" ht="11.25" customHeight="1" x14ac:dyDescent="0.2">
      <c r="A192" s="5"/>
      <c r="B192" s="5"/>
      <c r="C192" s="5"/>
      <c r="D192" s="5"/>
      <c r="E192" s="5"/>
      <c r="F192" s="5"/>
      <c r="G192" s="5"/>
      <c r="H192" s="5"/>
      <c r="I192" s="5"/>
      <c r="J192" s="37"/>
      <c r="K192" s="227"/>
      <c r="L192" s="227"/>
      <c r="M192" s="227"/>
      <c r="N192" s="227"/>
      <c r="O192" s="239"/>
      <c r="P192" s="5"/>
      <c r="Q192" s="5"/>
      <c r="R192" s="5"/>
      <c r="S192" s="5"/>
      <c r="T192" s="5"/>
      <c r="U192" s="5"/>
      <c r="V192" s="5"/>
      <c r="W192" s="37"/>
      <c r="X192" s="227"/>
      <c r="Y192" s="227"/>
      <c r="Z192" s="227"/>
      <c r="AA192" s="227"/>
      <c r="AB192" s="227"/>
      <c r="AC192" s="227"/>
      <c r="AD192" s="227"/>
      <c r="AE192" s="227"/>
      <c r="AF192" s="227"/>
      <c r="AG192" s="227"/>
      <c r="AH192" s="227"/>
      <c r="AI192" s="227"/>
      <c r="AJ192" s="227"/>
      <c r="AK192" s="227"/>
      <c r="AL192" s="227"/>
      <c r="AM192" s="227"/>
      <c r="AN192" s="227"/>
      <c r="AO192" s="227"/>
      <c r="AP192" s="227"/>
      <c r="AQ192" s="227"/>
      <c r="AR192" s="227"/>
      <c r="AS192" s="227"/>
      <c r="AT192" s="227"/>
      <c r="AU192" s="227"/>
      <c r="AV192" s="227"/>
      <c r="AW192" s="227"/>
      <c r="AX192" s="227"/>
      <c r="AY192" s="227"/>
      <c r="AZ192" s="227"/>
      <c r="BA192" s="227"/>
      <c r="BB192" s="227"/>
      <c r="BC192" s="227"/>
      <c r="BD192" s="227"/>
      <c r="BE192" s="227"/>
      <c r="BF192" s="227"/>
      <c r="BG192" s="227"/>
      <c r="BH192" s="227"/>
      <c r="BI192" s="227"/>
      <c r="BJ192" s="227"/>
      <c r="BK192" s="227"/>
      <c r="BL192" s="227"/>
      <c r="BM192" s="227"/>
      <c r="BN192" s="227"/>
      <c r="BO192" s="227"/>
      <c r="BP192" s="227"/>
      <c r="BQ192" s="227"/>
      <c r="BR192" s="227"/>
      <c r="BS192" s="227"/>
      <c r="BT192" s="227"/>
      <c r="BU192" s="240"/>
      <c r="BV192" s="240"/>
      <c r="BW192" s="240"/>
      <c r="BX192" s="240"/>
    </row>
    <row r="193" spans="1:76" s="141" customFormat="1" ht="11.25" customHeight="1" x14ac:dyDescent="0.2">
      <c r="A193" s="5"/>
      <c r="B193" s="5"/>
      <c r="C193" s="5"/>
      <c r="D193" s="5"/>
      <c r="E193" s="5"/>
      <c r="F193" s="5"/>
      <c r="G193" s="5"/>
      <c r="H193" s="5"/>
      <c r="I193" s="5"/>
      <c r="J193" s="37"/>
      <c r="K193" s="227"/>
      <c r="L193" s="227"/>
      <c r="M193" s="227"/>
      <c r="N193" s="227"/>
      <c r="O193" s="239"/>
      <c r="P193" s="5"/>
      <c r="Q193" s="5"/>
      <c r="R193" s="5"/>
      <c r="S193" s="5"/>
      <c r="T193" s="5"/>
      <c r="U193" s="5"/>
      <c r="V193" s="5"/>
      <c r="W193" s="37"/>
      <c r="X193" s="227"/>
      <c r="Y193" s="227"/>
      <c r="Z193" s="227"/>
      <c r="AA193" s="227"/>
      <c r="AB193" s="227"/>
      <c r="AC193" s="227"/>
      <c r="AD193" s="227"/>
      <c r="AE193" s="227"/>
      <c r="AF193" s="227"/>
      <c r="AG193" s="227"/>
      <c r="AH193" s="227"/>
      <c r="AI193" s="227"/>
      <c r="AJ193" s="227"/>
      <c r="AK193" s="227"/>
      <c r="AL193" s="227"/>
      <c r="AM193" s="227"/>
      <c r="AN193" s="227"/>
      <c r="AO193" s="227"/>
      <c r="AP193" s="227"/>
      <c r="AQ193" s="227"/>
      <c r="AR193" s="227"/>
      <c r="AS193" s="227"/>
      <c r="AT193" s="227"/>
      <c r="AU193" s="227"/>
      <c r="AV193" s="227"/>
      <c r="AW193" s="227"/>
      <c r="AX193" s="227"/>
      <c r="AY193" s="227"/>
      <c r="AZ193" s="227"/>
      <c r="BA193" s="227"/>
      <c r="BB193" s="227"/>
      <c r="BC193" s="227"/>
      <c r="BD193" s="227"/>
      <c r="BE193" s="227"/>
      <c r="BF193" s="227"/>
      <c r="BG193" s="227"/>
      <c r="BH193" s="227"/>
      <c r="BI193" s="227"/>
      <c r="BJ193" s="227"/>
      <c r="BK193" s="227"/>
      <c r="BL193" s="227"/>
      <c r="BM193" s="227"/>
      <c r="BN193" s="227"/>
      <c r="BO193" s="227"/>
      <c r="BP193" s="227"/>
      <c r="BQ193" s="227"/>
      <c r="BR193" s="227"/>
      <c r="BS193" s="227"/>
      <c r="BT193" s="227"/>
      <c r="BU193" s="240"/>
      <c r="BV193" s="240"/>
      <c r="BW193" s="240"/>
      <c r="BX193" s="240"/>
    </row>
    <row r="194" spans="1:76" s="141" customFormat="1" ht="11.25" customHeight="1" x14ac:dyDescent="0.2">
      <c r="A194" s="5"/>
      <c r="B194" s="5"/>
      <c r="C194" s="5"/>
      <c r="D194" s="5"/>
      <c r="E194" s="5"/>
      <c r="F194" s="5"/>
      <c r="G194" s="5"/>
      <c r="H194" s="5"/>
      <c r="I194" s="5"/>
      <c r="J194" s="37"/>
      <c r="K194" s="227"/>
      <c r="L194" s="227"/>
      <c r="M194" s="227"/>
      <c r="N194" s="227"/>
      <c r="O194" s="239"/>
      <c r="P194" s="5"/>
      <c r="Q194" s="5"/>
      <c r="R194" s="5"/>
      <c r="S194" s="5"/>
      <c r="T194" s="5"/>
      <c r="U194" s="5"/>
      <c r="V194" s="5"/>
      <c r="W194" s="37"/>
      <c r="X194" s="227"/>
      <c r="Y194" s="227"/>
      <c r="Z194" s="227"/>
      <c r="AA194" s="227"/>
      <c r="AB194" s="227"/>
      <c r="AC194" s="227"/>
      <c r="AD194" s="227"/>
      <c r="AE194" s="227"/>
      <c r="AF194" s="227"/>
      <c r="AG194" s="227"/>
      <c r="AH194" s="227"/>
      <c r="AI194" s="227"/>
      <c r="AJ194" s="227"/>
      <c r="AK194" s="227"/>
      <c r="AL194" s="227"/>
      <c r="AM194" s="227"/>
      <c r="AN194" s="227"/>
      <c r="AO194" s="227"/>
      <c r="AP194" s="227"/>
      <c r="AQ194" s="227"/>
      <c r="AR194" s="227"/>
      <c r="AS194" s="227"/>
      <c r="AT194" s="227"/>
      <c r="AU194" s="227"/>
      <c r="AV194" s="227"/>
      <c r="AW194" s="227"/>
      <c r="AX194" s="227"/>
      <c r="AY194" s="227"/>
      <c r="AZ194" s="227"/>
      <c r="BA194" s="227"/>
      <c r="BB194" s="227"/>
      <c r="BC194" s="227"/>
      <c r="BD194" s="227"/>
      <c r="BE194" s="227"/>
      <c r="BF194" s="227"/>
      <c r="BG194" s="227"/>
      <c r="BH194" s="227"/>
      <c r="BI194" s="227"/>
      <c r="BJ194" s="227"/>
      <c r="BK194" s="227"/>
      <c r="BL194" s="227"/>
      <c r="BM194" s="227"/>
      <c r="BN194" s="227"/>
      <c r="BO194" s="227"/>
      <c r="BP194" s="227"/>
      <c r="BQ194" s="227"/>
      <c r="BR194" s="227"/>
      <c r="BS194" s="227"/>
      <c r="BT194" s="227"/>
      <c r="BU194" s="240"/>
      <c r="BV194" s="240"/>
      <c r="BW194" s="240"/>
      <c r="BX194" s="240"/>
    </row>
    <row r="195" spans="1:76" s="141" customFormat="1" ht="11.25" customHeight="1" x14ac:dyDescent="0.2">
      <c r="A195" s="5"/>
      <c r="B195" s="5"/>
      <c r="C195" s="5"/>
      <c r="D195" s="5"/>
      <c r="E195" s="5"/>
      <c r="F195" s="5"/>
      <c r="G195" s="5"/>
      <c r="H195" s="5"/>
      <c r="I195" s="5"/>
      <c r="J195" s="37"/>
      <c r="K195" s="227"/>
      <c r="L195" s="227"/>
      <c r="M195" s="227"/>
      <c r="N195" s="227"/>
      <c r="O195" s="239"/>
      <c r="P195" s="5"/>
      <c r="Q195" s="5"/>
      <c r="R195" s="5"/>
      <c r="S195" s="5"/>
      <c r="T195" s="5"/>
      <c r="U195" s="5"/>
      <c r="V195" s="5"/>
      <c r="W195" s="37"/>
      <c r="X195" s="227"/>
      <c r="Y195" s="227"/>
      <c r="Z195" s="227"/>
      <c r="AA195" s="227"/>
      <c r="AB195" s="227"/>
      <c r="AC195" s="227"/>
      <c r="AD195" s="227"/>
      <c r="AE195" s="227"/>
      <c r="AF195" s="227"/>
      <c r="AG195" s="227"/>
      <c r="AH195" s="227"/>
      <c r="AI195" s="227"/>
      <c r="AJ195" s="227"/>
      <c r="AK195" s="227"/>
      <c r="AL195" s="227"/>
      <c r="AM195" s="227"/>
      <c r="AN195" s="227"/>
      <c r="AO195" s="227"/>
      <c r="AP195" s="227"/>
      <c r="AQ195" s="227"/>
      <c r="AR195" s="227"/>
      <c r="AS195" s="227"/>
      <c r="AT195" s="227"/>
      <c r="AU195" s="227"/>
      <c r="AV195" s="227"/>
      <c r="AW195" s="227"/>
      <c r="AX195" s="227"/>
      <c r="AY195" s="227"/>
      <c r="AZ195" s="227"/>
      <c r="BA195" s="227"/>
      <c r="BB195" s="227"/>
      <c r="BC195" s="227"/>
      <c r="BD195" s="227"/>
      <c r="BE195" s="227"/>
      <c r="BF195" s="227"/>
      <c r="BG195" s="227"/>
      <c r="BH195" s="227"/>
      <c r="BI195" s="227"/>
      <c r="BJ195" s="227"/>
      <c r="BK195" s="227"/>
      <c r="BL195" s="227"/>
      <c r="BM195" s="227"/>
      <c r="BN195" s="227"/>
      <c r="BO195" s="227"/>
      <c r="BP195" s="227"/>
      <c r="BQ195" s="227"/>
      <c r="BR195" s="227"/>
      <c r="BS195" s="227"/>
      <c r="BT195" s="227"/>
      <c r="BU195" s="240"/>
      <c r="BV195" s="240"/>
      <c r="BW195" s="240"/>
      <c r="BX195" s="240"/>
    </row>
    <row r="196" spans="1:76" s="141" customFormat="1" ht="11.25" customHeight="1" x14ac:dyDescent="0.2">
      <c r="A196" s="5"/>
      <c r="B196" s="5"/>
      <c r="C196" s="5"/>
      <c r="D196" s="5"/>
      <c r="E196" s="5"/>
      <c r="F196" s="5"/>
      <c r="G196" s="5"/>
      <c r="H196" s="5"/>
      <c r="I196" s="5"/>
      <c r="J196" s="37"/>
      <c r="K196" s="227"/>
      <c r="L196" s="227"/>
      <c r="M196" s="227"/>
      <c r="N196" s="227"/>
      <c r="O196" s="239"/>
      <c r="P196" s="5"/>
      <c r="Q196" s="5"/>
      <c r="R196" s="5"/>
      <c r="S196" s="5"/>
      <c r="T196" s="5"/>
      <c r="U196" s="5"/>
      <c r="V196" s="5"/>
      <c r="W196" s="37"/>
      <c r="X196" s="227"/>
      <c r="Y196" s="227"/>
      <c r="Z196" s="227"/>
      <c r="AA196" s="227"/>
      <c r="AB196" s="227"/>
      <c r="AC196" s="227"/>
      <c r="AD196" s="227"/>
      <c r="AE196" s="227"/>
      <c r="AF196" s="227"/>
      <c r="AG196" s="227"/>
      <c r="AH196" s="227"/>
      <c r="AI196" s="227"/>
      <c r="AJ196" s="227"/>
      <c r="AK196" s="227"/>
      <c r="AL196" s="227"/>
      <c r="AM196" s="227"/>
      <c r="AN196" s="227"/>
      <c r="AO196" s="227"/>
      <c r="AP196" s="227"/>
      <c r="AQ196" s="227"/>
      <c r="AR196" s="227"/>
      <c r="AS196" s="227"/>
      <c r="AT196" s="227"/>
      <c r="AU196" s="227"/>
      <c r="AV196" s="227"/>
      <c r="AW196" s="227"/>
      <c r="AX196" s="227"/>
      <c r="AY196" s="227"/>
      <c r="AZ196" s="227"/>
      <c r="BA196" s="227"/>
      <c r="BB196" s="227"/>
      <c r="BC196" s="227"/>
      <c r="BD196" s="227"/>
      <c r="BE196" s="227"/>
      <c r="BF196" s="227"/>
      <c r="BG196" s="227"/>
      <c r="BH196" s="227"/>
      <c r="BI196" s="227"/>
      <c r="BJ196" s="227"/>
      <c r="BK196" s="227"/>
      <c r="BL196" s="227"/>
      <c r="BM196" s="227"/>
      <c r="BN196" s="227"/>
      <c r="BO196" s="227"/>
      <c r="BP196" s="227"/>
      <c r="BQ196" s="227"/>
      <c r="BR196" s="227"/>
      <c r="BS196" s="227"/>
      <c r="BT196" s="227"/>
      <c r="BU196" s="240"/>
      <c r="BV196" s="240"/>
      <c r="BW196" s="240"/>
      <c r="BX196" s="240"/>
    </row>
    <row r="197" spans="1:76" s="141" customFormat="1" ht="11.25" customHeight="1" x14ac:dyDescent="0.2">
      <c r="A197" s="5"/>
      <c r="B197" s="5"/>
      <c r="C197" s="5"/>
      <c r="D197" s="5"/>
      <c r="E197" s="5"/>
      <c r="F197" s="5"/>
      <c r="G197" s="5"/>
      <c r="H197" s="5"/>
      <c r="I197" s="5"/>
      <c r="J197" s="37"/>
      <c r="K197" s="227"/>
      <c r="L197" s="227"/>
      <c r="M197" s="227"/>
      <c r="N197" s="227"/>
      <c r="O197" s="239"/>
      <c r="P197" s="5"/>
      <c r="Q197" s="5"/>
      <c r="R197" s="5"/>
      <c r="S197" s="5"/>
      <c r="T197" s="5"/>
      <c r="U197" s="5"/>
      <c r="V197" s="5"/>
      <c r="W197" s="37"/>
      <c r="X197" s="227"/>
      <c r="Y197" s="227"/>
      <c r="Z197" s="227"/>
      <c r="AA197" s="227"/>
      <c r="AB197" s="227"/>
      <c r="AC197" s="227"/>
      <c r="AD197" s="227"/>
      <c r="AE197" s="227"/>
      <c r="AF197" s="227"/>
      <c r="AG197" s="227"/>
      <c r="AH197" s="227"/>
      <c r="AI197" s="227"/>
      <c r="AJ197" s="227"/>
      <c r="AK197" s="227"/>
      <c r="AL197" s="227"/>
      <c r="AM197" s="227"/>
      <c r="AN197" s="227"/>
      <c r="AO197" s="227"/>
      <c r="AP197" s="227"/>
      <c r="AQ197" s="227"/>
      <c r="AR197" s="227"/>
      <c r="AS197" s="227"/>
      <c r="AT197" s="227"/>
      <c r="AU197" s="227"/>
      <c r="AV197" s="227"/>
      <c r="AW197" s="227"/>
      <c r="AX197" s="227"/>
      <c r="AY197" s="227"/>
      <c r="AZ197" s="227"/>
      <c r="BA197" s="227"/>
      <c r="BB197" s="227"/>
      <c r="BC197" s="227"/>
      <c r="BD197" s="227"/>
      <c r="BE197" s="227"/>
      <c r="BF197" s="227"/>
      <c r="BG197" s="227"/>
      <c r="BH197" s="227"/>
      <c r="BI197" s="227"/>
      <c r="BJ197" s="227"/>
      <c r="BK197" s="227"/>
      <c r="BL197" s="227"/>
      <c r="BM197" s="227"/>
      <c r="BN197" s="227"/>
      <c r="BO197" s="227"/>
      <c r="BP197" s="227"/>
      <c r="BQ197" s="227"/>
      <c r="BR197" s="227"/>
      <c r="BS197" s="227"/>
      <c r="BT197" s="227"/>
      <c r="BU197" s="240"/>
      <c r="BV197" s="240"/>
      <c r="BW197" s="240"/>
      <c r="BX197" s="240"/>
    </row>
    <row r="198" spans="1:76" s="141" customFormat="1" ht="11.25" customHeight="1" x14ac:dyDescent="0.2">
      <c r="A198" s="5"/>
      <c r="B198" s="5"/>
      <c r="C198" s="5"/>
      <c r="D198" s="5"/>
      <c r="E198" s="5"/>
      <c r="F198" s="5"/>
      <c r="G198" s="5"/>
      <c r="H198" s="5"/>
      <c r="I198" s="5"/>
      <c r="J198" s="37"/>
      <c r="K198" s="227"/>
      <c r="L198" s="227"/>
      <c r="M198" s="227"/>
      <c r="N198" s="227"/>
      <c r="O198" s="239"/>
      <c r="P198" s="5"/>
      <c r="Q198" s="5"/>
      <c r="R198" s="5"/>
      <c r="S198" s="5"/>
      <c r="T198" s="5"/>
      <c r="U198" s="5"/>
      <c r="V198" s="5"/>
      <c r="W198" s="37"/>
      <c r="X198" s="227"/>
      <c r="Y198" s="227"/>
      <c r="Z198" s="227"/>
      <c r="AA198" s="227"/>
      <c r="AB198" s="227"/>
      <c r="AC198" s="227"/>
      <c r="AD198" s="227"/>
      <c r="AE198" s="227"/>
      <c r="AF198" s="227"/>
      <c r="AG198" s="227"/>
      <c r="AH198" s="227"/>
      <c r="AI198" s="227"/>
      <c r="AJ198" s="227"/>
      <c r="AK198" s="227"/>
      <c r="AL198" s="227"/>
      <c r="AM198" s="227"/>
      <c r="AN198" s="227"/>
      <c r="AO198" s="227"/>
      <c r="AP198" s="227"/>
      <c r="AQ198" s="227"/>
      <c r="AR198" s="227"/>
      <c r="AS198" s="227"/>
      <c r="AT198" s="227"/>
      <c r="AU198" s="227"/>
      <c r="AV198" s="227"/>
      <c r="AW198" s="227"/>
      <c r="AX198" s="227"/>
      <c r="AY198" s="227"/>
      <c r="AZ198" s="227"/>
      <c r="BA198" s="227"/>
      <c r="BB198" s="227"/>
      <c r="BC198" s="227"/>
      <c r="BD198" s="227"/>
      <c r="BE198" s="227"/>
      <c r="BF198" s="227"/>
      <c r="BG198" s="227"/>
      <c r="BH198" s="227"/>
      <c r="BI198" s="227"/>
      <c r="BJ198" s="227"/>
      <c r="BK198" s="227"/>
      <c r="BL198" s="227"/>
      <c r="BM198" s="227"/>
      <c r="BN198" s="227"/>
      <c r="BO198" s="227"/>
      <c r="BP198" s="227"/>
      <c r="BQ198" s="227"/>
      <c r="BR198" s="227"/>
      <c r="BS198" s="227"/>
      <c r="BT198" s="227"/>
      <c r="BU198" s="240"/>
      <c r="BV198" s="240"/>
      <c r="BW198" s="240"/>
      <c r="BX198" s="240"/>
    </row>
    <row r="199" spans="1:76" s="141" customFormat="1" ht="11.25" customHeight="1" x14ac:dyDescent="0.2">
      <c r="A199" s="5"/>
      <c r="B199" s="5"/>
      <c r="C199" s="5"/>
      <c r="D199" s="5"/>
      <c r="E199" s="5"/>
      <c r="F199" s="5"/>
      <c r="G199" s="5"/>
      <c r="H199" s="5"/>
      <c r="I199" s="5"/>
      <c r="J199" s="37"/>
      <c r="K199" s="227"/>
      <c r="L199" s="227"/>
      <c r="M199" s="227"/>
      <c r="N199" s="227"/>
      <c r="O199" s="239"/>
      <c r="P199" s="5"/>
      <c r="Q199" s="5"/>
      <c r="R199" s="5"/>
      <c r="S199" s="5"/>
      <c r="T199" s="5"/>
      <c r="U199" s="5"/>
      <c r="V199" s="5"/>
      <c r="W199" s="37"/>
      <c r="X199" s="227"/>
      <c r="Y199" s="227"/>
      <c r="Z199" s="227"/>
      <c r="AA199" s="227"/>
      <c r="AB199" s="227"/>
      <c r="AC199" s="227"/>
      <c r="AD199" s="227"/>
      <c r="AE199" s="227"/>
      <c r="AF199" s="227"/>
      <c r="AG199" s="227"/>
      <c r="AH199" s="227"/>
      <c r="AI199" s="227"/>
      <c r="AJ199" s="227"/>
      <c r="AK199" s="227"/>
      <c r="AL199" s="227"/>
      <c r="AM199" s="227"/>
      <c r="AN199" s="227"/>
      <c r="AO199" s="227"/>
      <c r="AP199" s="227"/>
      <c r="AQ199" s="227"/>
      <c r="AR199" s="227"/>
      <c r="AS199" s="227"/>
      <c r="AT199" s="227"/>
      <c r="AU199" s="227"/>
      <c r="AV199" s="227"/>
      <c r="AW199" s="227"/>
      <c r="AX199" s="227"/>
      <c r="AY199" s="227"/>
      <c r="AZ199" s="227"/>
      <c r="BA199" s="227"/>
      <c r="BB199" s="227"/>
      <c r="BC199" s="227"/>
      <c r="BD199" s="227"/>
      <c r="BE199" s="227"/>
      <c r="BF199" s="227"/>
      <c r="BG199" s="227"/>
      <c r="BH199" s="227"/>
      <c r="BI199" s="227"/>
      <c r="BJ199" s="227"/>
      <c r="BK199" s="227"/>
      <c r="BL199" s="227"/>
      <c r="BM199" s="227"/>
      <c r="BN199" s="227"/>
      <c r="BO199" s="227"/>
      <c r="BP199" s="227"/>
      <c r="BQ199" s="227"/>
      <c r="BR199" s="227"/>
      <c r="BS199" s="227"/>
      <c r="BT199" s="227"/>
      <c r="BU199" s="240"/>
      <c r="BV199" s="240"/>
      <c r="BW199" s="240"/>
      <c r="BX199" s="240"/>
    </row>
    <row r="200" spans="1:76" ht="11.25" customHeight="1" x14ac:dyDescent="0.2"/>
    <row r="201" spans="1:76" ht="11.25" customHeight="1" x14ac:dyDescent="0.2"/>
    <row r="202" spans="1:76" ht="11.25" customHeight="1" x14ac:dyDescent="0.2"/>
    <row r="203" spans="1:76" ht="11.25" customHeight="1" x14ac:dyDescent="0.2"/>
    <row r="204" spans="1:76" ht="11.25" customHeight="1" x14ac:dyDescent="0.2"/>
    <row r="205" spans="1:76" ht="11.25" customHeight="1" x14ac:dyDescent="0.2"/>
    <row r="206" spans="1:76" ht="11.25" customHeight="1" x14ac:dyDescent="0.2"/>
    <row r="207" spans="1:76" ht="11.25" customHeight="1" x14ac:dyDescent="0.2"/>
    <row r="208" spans="1:76" ht="11.25" customHeight="1" x14ac:dyDescent="0.2"/>
    <row r="209" ht="11.25" customHeight="1" x14ac:dyDescent="0.2"/>
    <row r="210" ht="11.25" customHeight="1" x14ac:dyDescent="0.2"/>
    <row r="211" ht="11.25" customHeight="1" x14ac:dyDescent="0.2"/>
    <row r="212" ht="11.25" customHeight="1" x14ac:dyDescent="0.2"/>
    <row r="213" ht="11.25" customHeight="1" x14ac:dyDescent="0.2"/>
    <row r="214" ht="11.25" customHeight="1" x14ac:dyDescent="0.2"/>
    <row r="215" ht="11.25" customHeight="1" x14ac:dyDescent="0.2"/>
    <row r="216" ht="11.25" customHeight="1" x14ac:dyDescent="0.2"/>
    <row r="217" ht="11.25" customHeight="1" x14ac:dyDescent="0.2"/>
    <row r="218" ht="11.25" customHeight="1" x14ac:dyDescent="0.2"/>
    <row r="219" ht="11.25" customHeight="1" x14ac:dyDescent="0.2"/>
    <row r="220" ht="11.25" customHeight="1" x14ac:dyDescent="0.2"/>
    <row r="221" ht="11.25" customHeight="1" x14ac:dyDescent="0.2"/>
    <row r="222" ht="11.25" customHeight="1" x14ac:dyDescent="0.2"/>
    <row r="223" ht="11.25" customHeight="1" x14ac:dyDescent="0.2"/>
    <row r="224" ht="11.25" customHeight="1" x14ac:dyDescent="0.2"/>
    <row r="225" ht="11.25" customHeight="1" x14ac:dyDescent="0.2"/>
    <row r="226" ht="11.25" customHeight="1" x14ac:dyDescent="0.2"/>
    <row r="227" ht="11.25" customHeight="1" x14ac:dyDescent="0.2"/>
    <row r="228" ht="11.25" customHeight="1" x14ac:dyDescent="0.2"/>
    <row r="229" ht="11.25" customHeight="1" x14ac:dyDescent="0.2"/>
    <row r="230" ht="11.25" customHeight="1" x14ac:dyDescent="0.2"/>
    <row r="231" ht="11.25" customHeight="1" x14ac:dyDescent="0.2"/>
    <row r="232" ht="11.25" customHeight="1" x14ac:dyDescent="0.2"/>
    <row r="233" ht="11.25" customHeight="1" x14ac:dyDescent="0.2"/>
    <row r="234" ht="11.25" customHeight="1" x14ac:dyDescent="0.2"/>
    <row r="235" ht="11.25" customHeight="1" x14ac:dyDescent="0.2"/>
    <row r="236" ht="11.25" customHeight="1" x14ac:dyDescent="0.2"/>
    <row r="237" ht="11.25" customHeight="1" x14ac:dyDescent="0.2"/>
    <row r="238" ht="11.25" customHeight="1" x14ac:dyDescent="0.2"/>
    <row r="239" ht="11.25" customHeight="1" x14ac:dyDescent="0.2"/>
    <row r="240" ht="11.25" customHeight="1" x14ac:dyDescent="0.2"/>
    <row r="241" ht="11.25" customHeight="1" x14ac:dyDescent="0.2"/>
    <row r="242" ht="11.25" customHeight="1" x14ac:dyDescent="0.2"/>
    <row r="243" ht="11.25" customHeight="1" x14ac:dyDescent="0.2"/>
    <row r="244" ht="11.25" customHeight="1" x14ac:dyDescent="0.2"/>
    <row r="245" ht="11.25" customHeight="1" x14ac:dyDescent="0.2"/>
    <row r="246" ht="11.25" customHeight="1" x14ac:dyDescent="0.2"/>
    <row r="247" ht="11.25" customHeight="1" x14ac:dyDescent="0.2"/>
    <row r="248" ht="11.25" customHeight="1" x14ac:dyDescent="0.2"/>
    <row r="249" ht="11.25" customHeight="1" x14ac:dyDescent="0.2"/>
    <row r="250" ht="11.25" customHeight="1" x14ac:dyDescent="0.2"/>
    <row r="251" ht="11.25" customHeight="1" x14ac:dyDescent="0.2"/>
    <row r="252" ht="11.25" customHeight="1" x14ac:dyDescent="0.2"/>
    <row r="253" ht="11.25" customHeight="1" x14ac:dyDescent="0.2"/>
    <row r="254" ht="11.25" customHeight="1" x14ac:dyDescent="0.2"/>
    <row r="255" ht="11.25" customHeight="1" x14ac:dyDescent="0.2"/>
    <row r="256"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sheetData>
  <mergeCells count="71">
    <mergeCell ref="BW8:BW9"/>
    <mergeCell ref="BX8:BX9"/>
    <mergeCell ref="AO7:AR7"/>
    <mergeCell ref="AE8:AE9"/>
    <mergeCell ref="AF8:AF9"/>
    <mergeCell ref="AG8:AG9"/>
    <mergeCell ref="AJ8:AJ9"/>
    <mergeCell ref="AH8:AH9"/>
    <mergeCell ref="BJ8:BJ9"/>
    <mergeCell ref="BB8:BB9"/>
    <mergeCell ref="AN8:AN9"/>
    <mergeCell ref="AW8:AW9"/>
    <mergeCell ref="AU8:AU9"/>
    <mergeCell ref="BD8:BD9"/>
    <mergeCell ref="AT8:AT9"/>
    <mergeCell ref="AV8:AV9"/>
    <mergeCell ref="BC8:BC9"/>
    <mergeCell ref="AY8:AY9"/>
    <mergeCell ref="AI8:AI9"/>
    <mergeCell ref="AL8:AL9"/>
    <mergeCell ref="AZ8:AZ9"/>
    <mergeCell ref="BA8:BA9"/>
    <mergeCell ref="AS8:AS9"/>
    <mergeCell ref="AX8:AX9"/>
    <mergeCell ref="AK8:AK9"/>
    <mergeCell ref="Q8:X8"/>
    <mergeCell ref="Z8:Z9"/>
    <mergeCell ref="Y8:Y9"/>
    <mergeCell ref="AA8:AA9"/>
    <mergeCell ref="AB8:AB9"/>
    <mergeCell ref="A1:K1"/>
    <mergeCell ref="A2:K2"/>
    <mergeCell ref="A5:C5"/>
    <mergeCell ref="D5:E5"/>
    <mergeCell ref="I4:J4"/>
    <mergeCell ref="A4:G4"/>
    <mergeCell ref="BF8:BF9"/>
    <mergeCell ref="BE8:BE9"/>
    <mergeCell ref="AV7:AW7"/>
    <mergeCell ref="AX7:BC7"/>
    <mergeCell ref="A7:X7"/>
    <mergeCell ref="A8:K8"/>
    <mergeCell ref="AO8:AO9"/>
    <mergeCell ref="AP8:AP9"/>
    <mergeCell ref="BD7:BE7"/>
    <mergeCell ref="AR8:AR9"/>
    <mergeCell ref="AS7:AU7"/>
    <mergeCell ref="AC8:AC9"/>
    <mergeCell ref="AM8:AM9"/>
    <mergeCell ref="AD8:AD9"/>
    <mergeCell ref="AQ8:AQ9"/>
    <mergeCell ref="L8:P8"/>
    <mergeCell ref="BP7:BQ7"/>
    <mergeCell ref="BP8:BP9"/>
    <mergeCell ref="BQ8:BQ9"/>
    <mergeCell ref="BR8:BR9"/>
    <mergeCell ref="BG7:BJ7"/>
    <mergeCell ref="BH8:BH9"/>
    <mergeCell ref="BI8:BI9"/>
    <mergeCell ref="BK7:BO7"/>
    <mergeCell ref="BN8:BN9"/>
    <mergeCell ref="BO8:BO9"/>
    <mergeCell ref="BK8:BK9"/>
    <mergeCell ref="BL8:BL9"/>
    <mergeCell ref="BM8:BM9"/>
    <mergeCell ref="BG8:BG9"/>
    <mergeCell ref="BV8:BV9"/>
    <mergeCell ref="BU8:BU9"/>
    <mergeCell ref="BS7:BT7"/>
    <mergeCell ref="BS8:BS9"/>
    <mergeCell ref="BT8:BT9"/>
  </mergeCells>
  <phoneticPr fontId="11"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Sheet10.subscribeToOpenOrders">
                <anchor moveWithCells="1">
                  <from>
                    <xdr:col>0</xdr:col>
                    <xdr:colOff>76200</xdr:colOff>
                    <xdr:row>1</xdr:row>
                    <xdr:rowOff>57150</xdr:rowOff>
                  </from>
                  <to>
                    <xdr:col>2</xdr:col>
                    <xdr:colOff>695325</xdr:colOff>
                    <xdr:row>1</xdr:row>
                    <xdr:rowOff>257175</xdr:rowOff>
                  </to>
                </anchor>
              </controlPr>
            </control>
          </mc:Choice>
        </mc:AlternateContent>
        <mc:AlternateContent xmlns:mc="http://schemas.openxmlformats.org/markup-compatibility/2006">
          <mc:Choice Requires="x14">
            <control shapeId="24578" r:id="rId5" name="Button 2">
              <controlPr defaultSize="0" print="0" autoFill="0" autoPict="0" macro="[0]!Sheet10.onShowError">
                <anchor moveWithCells="1">
                  <from>
                    <xdr:col>9</xdr:col>
                    <xdr:colOff>228600</xdr:colOff>
                    <xdr:row>1</xdr:row>
                    <xdr:rowOff>57150</xdr:rowOff>
                  </from>
                  <to>
                    <xdr:col>10</xdr:col>
                    <xdr:colOff>171450</xdr:colOff>
                    <xdr:row>1</xdr:row>
                    <xdr:rowOff>257175</xdr:rowOff>
                  </to>
                </anchor>
              </controlPr>
            </control>
          </mc:Choice>
        </mc:AlternateContent>
        <mc:AlternateContent xmlns:mc="http://schemas.openxmlformats.org/markup-compatibility/2006">
          <mc:Choice Requires="x14">
            <control shapeId="24579" r:id="rId6" name="Button 3">
              <controlPr defaultSize="0" print="0" autoFill="0" autoPict="0" macro="[0]!Sheet10.cancelOpenOrderSubscription">
                <anchor moveWithCells="1">
                  <from>
                    <xdr:col>3</xdr:col>
                    <xdr:colOff>266700</xdr:colOff>
                    <xdr:row>1</xdr:row>
                    <xdr:rowOff>57150</xdr:rowOff>
                  </from>
                  <to>
                    <xdr:col>7</xdr:col>
                    <xdr:colOff>47625</xdr:colOff>
                    <xdr:row>1</xdr:row>
                    <xdr:rowOff>257175</xdr:rowOff>
                  </to>
                </anchor>
              </controlPr>
            </control>
          </mc:Choice>
        </mc:AlternateContent>
        <mc:AlternateContent xmlns:mc="http://schemas.openxmlformats.org/markup-compatibility/2006">
          <mc:Choice Requires="x14">
            <control shapeId="24580" r:id="rId7" name="Button 4">
              <controlPr defaultSize="0" print="0" autoFill="0" autoPict="0" macro="[0]!Sheet10.clearOpenOrders">
                <anchor moveWithCells="1">
                  <from>
                    <xdr:col>7</xdr:col>
                    <xdr:colOff>523875</xdr:colOff>
                    <xdr:row>1</xdr:row>
                    <xdr:rowOff>57150</xdr:rowOff>
                  </from>
                  <to>
                    <xdr:col>8</xdr:col>
                    <xdr:colOff>981075</xdr:colOff>
                    <xdr:row>1</xdr:row>
                    <xdr:rowOff>257175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T209"/>
  <sheetViews>
    <sheetView zoomScale="80" zoomScaleNormal="80" workbookViewId="0">
      <selection activeCell="Q35" sqref="Q35"/>
    </sheetView>
  </sheetViews>
  <sheetFormatPr defaultRowHeight="12.75" x14ac:dyDescent="0.2"/>
  <cols>
    <col min="3" max="3" width="15.7109375" customWidth="1"/>
    <col min="6" max="6" width="13.42578125" customWidth="1"/>
    <col min="7" max="7" width="15.140625" customWidth="1"/>
    <col min="8" max="8" width="12.42578125" customWidth="1"/>
    <col min="9" max="9" width="33.85546875" customWidth="1"/>
    <col min="10" max="10" width="25.28515625" customWidth="1"/>
    <col min="11" max="11" width="23.85546875" customWidth="1"/>
    <col min="12" max="12" width="12.28515625" customWidth="1"/>
    <col min="13" max="13" width="9" customWidth="1"/>
    <col min="15" max="15" width="9.85546875" customWidth="1"/>
    <col min="16" max="16" width="10.28515625" customWidth="1"/>
    <col min="17" max="17" width="16" customWidth="1"/>
    <col min="18" max="18" width="16.5703125" customWidth="1"/>
    <col min="19" max="19" width="12.42578125" customWidth="1"/>
    <col min="20" max="20" width="15.5703125" customWidth="1"/>
  </cols>
  <sheetData>
    <row r="1" spans="1:20" x14ac:dyDescent="0.2">
      <c r="A1" s="264" t="s">
        <v>48</v>
      </c>
      <c r="B1" s="265"/>
      <c r="C1" s="265"/>
      <c r="D1" s="265"/>
      <c r="E1" s="265"/>
      <c r="F1" s="265"/>
      <c r="G1" s="265"/>
      <c r="H1" s="265"/>
      <c r="I1" s="266"/>
    </row>
    <row r="2" spans="1:20" ht="28.5" customHeight="1" x14ac:dyDescent="0.2">
      <c r="A2" s="267"/>
      <c r="B2" s="265"/>
      <c r="C2" s="265"/>
      <c r="D2" s="265"/>
      <c r="E2" s="265"/>
      <c r="F2" s="265"/>
      <c r="G2" s="265"/>
      <c r="H2" s="265"/>
      <c r="I2" s="266"/>
    </row>
    <row r="3" spans="1:20" x14ac:dyDescent="0.2">
      <c r="I3" s="27"/>
    </row>
    <row r="4" spans="1:20" x14ac:dyDescent="0.2">
      <c r="A4" s="408" t="s">
        <v>52</v>
      </c>
      <c r="B4" s="424"/>
      <c r="C4" s="424"/>
      <c r="D4" s="424"/>
      <c r="E4" s="424"/>
      <c r="F4" s="424"/>
      <c r="G4" s="425"/>
      <c r="I4" s="418" t="s">
        <v>314</v>
      </c>
      <c r="J4" s="413"/>
    </row>
    <row r="5" spans="1:20" x14ac:dyDescent="0.2">
      <c r="A5" s="323" t="s">
        <v>59</v>
      </c>
      <c r="B5" s="426"/>
      <c r="C5" s="350"/>
      <c r="D5" s="427"/>
      <c r="E5" s="428"/>
      <c r="F5" s="17"/>
      <c r="G5" s="18"/>
      <c r="I5" s="140"/>
      <c r="J5" s="143"/>
    </row>
    <row r="6" spans="1:20" x14ac:dyDescent="0.2">
      <c r="B6" s="50"/>
      <c r="C6" s="50"/>
      <c r="D6" s="50"/>
      <c r="E6" s="50"/>
      <c r="F6" s="50"/>
      <c r="G6" s="50"/>
      <c r="H6" s="50"/>
      <c r="I6" s="50"/>
      <c r="J6" s="50"/>
      <c r="K6" s="50"/>
      <c r="O6" s="50"/>
      <c r="P6" s="50"/>
      <c r="Q6" s="50"/>
      <c r="R6" s="165"/>
    </row>
    <row r="7" spans="1:20" x14ac:dyDescent="0.2">
      <c r="A7" s="429" t="s">
        <v>318</v>
      </c>
      <c r="B7" s="266"/>
      <c r="C7" s="266"/>
      <c r="D7" s="266"/>
      <c r="E7" s="266"/>
      <c r="F7" s="266"/>
      <c r="G7" s="266"/>
      <c r="H7" s="266"/>
      <c r="I7" s="266"/>
      <c r="J7" s="266"/>
      <c r="K7" s="266"/>
      <c r="L7" s="266"/>
      <c r="M7" s="266"/>
      <c r="N7" s="266"/>
      <c r="O7" s="266"/>
      <c r="P7" s="266"/>
      <c r="Q7" s="266"/>
      <c r="R7" s="266"/>
      <c r="S7" s="266"/>
      <c r="T7" s="266"/>
    </row>
    <row r="8" spans="1:20" x14ac:dyDescent="0.2">
      <c r="A8" s="279" t="s">
        <v>28</v>
      </c>
      <c r="B8" s="282"/>
      <c r="C8" s="282"/>
      <c r="D8" s="282"/>
      <c r="E8" s="282"/>
      <c r="F8" s="282"/>
      <c r="G8" s="282"/>
      <c r="H8" s="290"/>
      <c r="I8" s="279" t="s">
        <v>332</v>
      </c>
      <c r="J8" s="277"/>
      <c r="K8" s="277"/>
      <c r="L8" s="277"/>
      <c r="M8" s="277"/>
      <c r="N8" s="277"/>
      <c r="O8" s="277"/>
      <c r="P8" s="277"/>
      <c r="Q8" s="277"/>
      <c r="R8" s="277"/>
      <c r="S8" s="277"/>
      <c r="T8" s="278"/>
    </row>
    <row r="9" spans="1:20" x14ac:dyDescent="0.2">
      <c r="A9" s="110" t="s">
        <v>10</v>
      </c>
      <c r="B9" s="110" t="s">
        <v>22</v>
      </c>
      <c r="C9" s="110" t="s">
        <v>565</v>
      </c>
      <c r="D9" s="110" t="s">
        <v>11</v>
      </c>
      <c r="E9" s="110" t="s">
        <v>24</v>
      </c>
      <c r="F9" s="110" t="s">
        <v>87</v>
      </c>
      <c r="G9" s="110" t="s">
        <v>13</v>
      </c>
      <c r="H9" s="110" t="s">
        <v>41</v>
      </c>
      <c r="I9" s="110" t="s">
        <v>101</v>
      </c>
      <c r="J9" s="110" t="s">
        <v>102</v>
      </c>
      <c r="K9" s="111" t="s">
        <v>103</v>
      </c>
      <c r="L9" s="111" t="s">
        <v>74</v>
      </c>
      <c r="M9" s="113" t="s">
        <v>13</v>
      </c>
      <c r="N9" s="112" t="s">
        <v>104</v>
      </c>
      <c r="O9" s="113" t="s">
        <v>15</v>
      </c>
      <c r="P9" s="113" t="s">
        <v>35</v>
      </c>
      <c r="Q9" s="111" t="s">
        <v>334</v>
      </c>
      <c r="R9" s="170" t="s">
        <v>333</v>
      </c>
      <c r="S9" s="170" t="s">
        <v>75</v>
      </c>
      <c r="T9" s="170" t="s">
        <v>374</v>
      </c>
    </row>
    <row r="10" spans="1:20" x14ac:dyDescent="0.2">
      <c r="A10" s="5"/>
      <c r="B10" s="5"/>
      <c r="C10" s="5"/>
      <c r="D10" s="5"/>
      <c r="E10" s="5"/>
      <c r="F10" s="5"/>
      <c r="G10" s="5"/>
      <c r="H10" s="37"/>
      <c r="I10" s="227"/>
      <c r="J10" s="227"/>
      <c r="K10" s="227"/>
      <c r="L10" s="227"/>
      <c r="M10" s="227"/>
      <c r="N10" s="227"/>
      <c r="O10" s="227"/>
      <c r="P10" s="227"/>
      <c r="Q10" s="227"/>
      <c r="R10" s="227"/>
      <c r="S10" s="227"/>
      <c r="T10" s="227"/>
    </row>
    <row r="11" spans="1:20" x14ac:dyDescent="0.2">
      <c r="A11" s="5"/>
      <c r="B11" s="5"/>
      <c r="C11" s="5"/>
      <c r="D11" s="5"/>
      <c r="E11" s="5"/>
      <c r="F11" s="5"/>
      <c r="G11" s="5"/>
      <c r="H11" s="37"/>
      <c r="I11" s="227"/>
      <c r="J11" s="227"/>
      <c r="K11" s="227"/>
      <c r="L11" s="227"/>
      <c r="M11" s="227"/>
      <c r="N11" s="227"/>
      <c r="O11" s="227"/>
      <c r="P11" s="227"/>
      <c r="Q11" s="227"/>
      <c r="R11" s="227"/>
      <c r="S11" s="227"/>
      <c r="T11" s="227"/>
    </row>
    <row r="12" spans="1:20" x14ac:dyDescent="0.2">
      <c r="A12" s="5"/>
      <c r="B12" s="5"/>
      <c r="C12" s="5"/>
      <c r="D12" s="5"/>
      <c r="E12" s="5"/>
      <c r="F12" s="5"/>
      <c r="G12" s="5"/>
      <c r="H12" s="37"/>
      <c r="I12" s="227"/>
      <c r="J12" s="227"/>
      <c r="K12" s="227"/>
      <c r="L12" s="227"/>
      <c r="M12" s="227"/>
      <c r="N12" s="227"/>
      <c r="O12" s="227"/>
      <c r="P12" s="227"/>
      <c r="Q12" s="227"/>
      <c r="R12" s="227"/>
      <c r="S12" s="227"/>
      <c r="T12" s="227"/>
    </row>
    <row r="13" spans="1:20" x14ac:dyDescent="0.2">
      <c r="A13" s="5"/>
      <c r="B13" s="5"/>
      <c r="C13" s="5"/>
      <c r="D13" s="5"/>
      <c r="E13" s="5"/>
      <c r="F13" s="5"/>
      <c r="G13" s="5"/>
      <c r="H13" s="37"/>
      <c r="I13" s="227"/>
      <c r="J13" s="227"/>
      <c r="K13" s="227"/>
      <c r="L13" s="227"/>
      <c r="M13" s="227"/>
      <c r="N13" s="227"/>
      <c r="O13" s="227"/>
      <c r="P13" s="227"/>
      <c r="Q13" s="227"/>
      <c r="R13" s="227"/>
      <c r="S13" s="227"/>
      <c r="T13" s="227"/>
    </row>
    <row r="14" spans="1:20" x14ac:dyDescent="0.2">
      <c r="A14" s="5"/>
      <c r="B14" s="5"/>
      <c r="C14" s="5"/>
      <c r="D14" s="5"/>
      <c r="E14" s="5"/>
      <c r="F14" s="5"/>
      <c r="G14" s="5"/>
      <c r="H14" s="37"/>
      <c r="I14" s="227"/>
      <c r="J14" s="227"/>
      <c r="K14" s="227"/>
      <c r="L14" s="227"/>
      <c r="M14" s="227"/>
      <c r="N14" s="227"/>
      <c r="O14" s="227"/>
      <c r="P14" s="227"/>
      <c r="Q14" s="227"/>
      <c r="R14" s="227"/>
      <c r="S14" s="227"/>
      <c r="T14" s="227"/>
    </row>
    <row r="15" spans="1:20" x14ac:dyDescent="0.2">
      <c r="A15" s="5"/>
      <c r="B15" s="5"/>
      <c r="C15" s="5"/>
      <c r="D15" s="5"/>
      <c r="E15" s="5"/>
      <c r="F15" s="5"/>
      <c r="G15" s="5"/>
      <c r="H15" s="37"/>
      <c r="I15" s="227"/>
      <c r="J15" s="227"/>
      <c r="K15" s="227"/>
      <c r="L15" s="227"/>
      <c r="M15" s="227"/>
      <c r="N15" s="227"/>
      <c r="O15" s="227"/>
      <c r="P15" s="227"/>
      <c r="Q15" s="227"/>
      <c r="R15" s="227"/>
      <c r="S15" s="227"/>
      <c r="T15" s="227"/>
    </row>
    <row r="16" spans="1:20" x14ac:dyDescent="0.2">
      <c r="A16" s="5"/>
      <c r="B16" s="5"/>
      <c r="C16" s="5"/>
      <c r="D16" s="5"/>
      <c r="E16" s="5"/>
      <c r="F16" s="5"/>
      <c r="G16" s="5"/>
      <c r="H16" s="37"/>
      <c r="I16" s="227"/>
      <c r="J16" s="227"/>
      <c r="K16" s="227"/>
      <c r="L16" s="227"/>
      <c r="M16" s="227"/>
      <c r="N16" s="227"/>
      <c r="O16" s="227"/>
      <c r="P16" s="227"/>
      <c r="Q16" s="227"/>
      <c r="R16" s="227"/>
      <c r="S16" s="227"/>
      <c r="T16" s="227"/>
    </row>
    <row r="17" spans="1:20" x14ac:dyDescent="0.2">
      <c r="A17" s="5"/>
      <c r="B17" s="5"/>
      <c r="C17" s="5"/>
      <c r="D17" s="5"/>
      <c r="E17" s="5"/>
      <c r="F17" s="5"/>
      <c r="G17" s="5"/>
      <c r="H17" s="37"/>
      <c r="I17" s="227"/>
      <c r="J17" s="227"/>
      <c r="K17" s="227"/>
      <c r="L17" s="227"/>
      <c r="M17" s="227"/>
      <c r="N17" s="227"/>
      <c r="O17" s="227"/>
      <c r="P17" s="227"/>
      <c r="Q17" s="227"/>
      <c r="R17" s="227"/>
      <c r="S17" s="227"/>
      <c r="T17" s="227"/>
    </row>
    <row r="18" spans="1:20" x14ac:dyDescent="0.2">
      <c r="A18" s="5"/>
      <c r="B18" s="5"/>
      <c r="C18" s="5"/>
      <c r="D18" s="5"/>
      <c r="E18" s="5"/>
      <c r="F18" s="5"/>
      <c r="G18" s="5"/>
      <c r="H18" s="37"/>
      <c r="I18" s="227"/>
      <c r="J18" s="227"/>
      <c r="K18" s="227"/>
      <c r="L18" s="227"/>
      <c r="M18" s="227"/>
      <c r="N18" s="227"/>
      <c r="O18" s="227"/>
      <c r="P18" s="227"/>
      <c r="Q18" s="227"/>
      <c r="R18" s="227"/>
      <c r="S18" s="227"/>
      <c r="T18" s="227"/>
    </row>
    <row r="19" spans="1:20" x14ac:dyDescent="0.2">
      <c r="A19" s="5"/>
      <c r="B19" s="5"/>
      <c r="C19" s="5"/>
      <c r="D19" s="5"/>
      <c r="E19" s="5"/>
      <c r="F19" s="5"/>
      <c r="G19" s="5"/>
      <c r="H19" s="37"/>
      <c r="I19" s="227"/>
      <c r="J19" s="227"/>
      <c r="K19" s="227"/>
      <c r="L19" s="227"/>
      <c r="M19" s="227"/>
      <c r="N19" s="227"/>
      <c r="O19" s="227"/>
      <c r="P19" s="227"/>
      <c r="Q19" s="227"/>
      <c r="R19" s="227"/>
      <c r="S19" s="227"/>
      <c r="T19" s="227"/>
    </row>
    <row r="20" spans="1:20" x14ac:dyDescent="0.2">
      <c r="A20" s="5"/>
      <c r="B20" s="5"/>
      <c r="C20" s="5"/>
      <c r="D20" s="5"/>
      <c r="E20" s="5"/>
      <c r="F20" s="5"/>
      <c r="G20" s="5"/>
      <c r="H20" s="37"/>
      <c r="I20" s="227"/>
      <c r="J20" s="227"/>
      <c r="K20" s="227"/>
      <c r="L20" s="227"/>
      <c r="M20" s="227"/>
      <c r="N20" s="227"/>
      <c r="O20" s="227"/>
      <c r="P20" s="227"/>
      <c r="Q20" s="227"/>
      <c r="R20" s="227"/>
      <c r="S20" s="227"/>
      <c r="T20" s="227"/>
    </row>
    <row r="21" spans="1:20" x14ac:dyDescent="0.2">
      <c r="A21" s="5"/>
      <c r="B21" s="5"/>
      <c r="C21" s="5"/>
      <c r="D21" s="5"/>
      <c r="E21" s="5"/>
      <c r="F21" s="5"/>
      <c r="G21" s="5"/>
      <c r="H21" s="37"/>
      <c r="I21" s="227"/>
      <c r="J21" s="227"/>
      <c r="K21" s="227"/>
      <c r="L21" s="227"/>
      <c r="M21" s="227"/>
      <c r="N21" s="227"/>
      <c r="O21" s="227"/>
      <c r="P21" s="227"/>
      <c r="Q21" s="227"/>
      <c r="R21" s="227"/>
      <c r="S21" s="227"/>
      <c r="T21" s="227"/>
    </row>
    <row r="22" spans="1:20" x14ac:dyDescent="0.2">
      <c r="A22" s="5"/>
      <c r="B22" s="5"/>
      <c r="C22" s="5"/>
      <c r="D22" s="5"/>
      <c r="E22" s="5"/>
      <c r="F22" s="5"/>
      <c r="G22" s="5"/>
      <c r="H22" s="37"/>
      <c r="I22" s="227"/>
      <c r="J22" s="227"/>
      <c r="K22" s="227"/>
      <c r="L22" s="227"/>
      <c r="M22" s="227"/>
      <c r="N22" s="227"/>
      <c r="O22" s="227"/>
      <c r="P22" s="227"/>
      <c r="Q22" s="227"/>
      <c r="R22" s="227"/>
      <c r="S22" s="227"/>
      <c r="T22" s="227"/>
    </row>
    <row r="23" spans="1:20" x14ac:dyDescent="0.2">
      <c r="A23" s="5"/>
      <c r="B23" s="5"/>
      <c r="C23" s="5"/>
      <c r="D23" s="5"/>
      <c r="E23" s="5"/>
      <c r="F23" s="5"/>
      <c r="G23" s="5"/>
      <c r="H23" s="37"/>
      <c r="I23" s="227"/>
      <c r="J23" s="227"/>
      <c r="K23" s="227"/>
      <c r="L23" s="227"/>
      <c r="M23" s="227"/>
      <c r="N23" s="227"/>
      <c r="O23" s="227"/>
      <c r="P23" s="227"/>
      <c r="Q23" s="227"/>
      <c r="R23" s="227"/>
      <c r="S23" s="227"/>
      <c r="T23" s="227"/>
    </row>
    <row r="24" spans="1:20" x14ac:dyDescent="0.2">
      <c r="A24" s="5"/>
      <c r="B24" s="5"/>
      <c r="C24" s="5"/>
      <c r="D24" s="5"/>
      <c r="E24" s="5"/>
      <c r="F24" s="5"/>
      <c r="G24" s="5"/>
      <c r="H24" s="37"/>
      <c r="I24" s="227"/>
      <c r="J24" s="227"/>
      <c r="K24" s="227"/>
      <c r="L24" s="227"/>
      <c r="M24" s="227"/>
      <c r="N24" s="227"/>
      <c r="O24" s="227"/>
      <c r="P24" s="227"/>
      <c r="Q24" s="227"/>
      <c r="R24" s="227"/>
      <c r="S24" s="227"/>
      <c r="T24" s="227"/>
    </row>
    <row r="25" spans="1:20" x14ac:dyDescent="0.2">
      <c r="A25" s="5"/>
      <c r="B25" s="5"/>
      <c r="C25" s="5"/>
      <c r="D25" s="5"/>
      <c r="E25" s="5"/>
      <c r="F25" s="5"/>
      <c r="G25" s="5"/>
      <c r="H25" s="37"/>
      <c r="I25" s="227"/>
      <c r="J25" s="227"/>
      <c r="K25" s="227"/>
      <c r="L25" s="227"/>
      <c r="M25" s="227"/>
      <c r="N25" s="227"/>
      <c r="O25" s="227"/>
      <c r="P25" s="227"/>
      <c r="Q25" s="227"/>
      <c r="R25" s="227"/>
      <c r="S25" s="227"/>
      <c r="T25" s="227"/>
    </row>
    <row r="26" spans="1:20" x14ac:dyDescent="0.2">
      <c r="A26" s="5"/>
      <c r="B26" s="5"/>
      <c r="C26" s="5"/>
      <c r="D26" s="5"/>
      <c r="E26" s="5"/>
      <c r="F26" s="5"/>
      <c r="G26" s="5"/>
      <c r="H26" s="37"/>
      <c r="I26" s="227"/>
      <c r="J26" s="227"/>
      <c r="K26" s="227"/>
      <c r="L26" s="227"/>
      <c r="M26" s="227"/>
      <c r="N26" s="227"/>
      <c r="O26" s="227"/>
      <c r="P26" s="227"/>
      <c r="Q26" s="227"/>
      <c r="R26" s="227"/>
      <c r="S26" s="227"/>
      <c r="T26" s="227"/>
    </row>
    <row r="27" spans="1:20" x14ac:dyDescent="0.2">
      <c r="A27" s="5"/>
      <c r="B27" s="5"/>
      <c r="C27" s="5"/>
      <c r="D27" s="5"/>
      <c r="E27" s="5"/>
      <c r="F27" s="5"/>
      <c r="G27" s="5"/>
      <c r="H27" s="37"/>
      <c r="I27" s="227"/>
      <c r="J27" s="227"/>
      <c r="K27" s="227"/>
      <c r="L27" s="227"/>
      <c r="M27" s="227"/>
      <c r="N27" s="227"/>
      <c r="O27" s="227"/>
      <c r="P27" s="227"/>
      <c r="Q27" s="227"/>
      <c r="R27" s="227"/>
      <c r="S27" s="227"/>
      <c r="T27" s="227"/>
    </row>
    <row r="28" spans="1:20" x14ac:dyDescent="0.2">
      <c r="A28" s="5"/>
      <c r="B28" s="5"/>
      <c r="C28" s="5"/>
      <c r="D28" s="5"/>
      <c r="E28" s="5"/>
      <c r="F28" s="5"/>
      <c r="G28" s="5"/>
      <c r="H28" s="37"/>
      <c r="I28" s="227"/>
      <c r="J28" s="227"/>
      <c r="K28" s="227"/>
      <c r="L28" s="227"/>
      <c r="M28" s="227"/>
      <c r="N28" s="227"/>
      <c r="O28" s="227"/>
      <c r="P28" s="227"/>
      <c r="Q28" s="227"/>
      <c r="R28" s="227"/>
      <c r="S28" s="227"/>
      <c r="T28" s="227"/>
    </row>
    <row r="29" spans="1:20" x14ac:dyDescent="0.2">
      <c r="A29" s="5"/>
      <c r="B29" s="5"/>
      <c r="C29" s="5"/>
      <c r="D29" s="5"/>
      <c r="E29" s="5"/>
      <c r="F29" s="5"/>
      <c r="G29" s="5"/>
      <c r="H29" s="37"/>
      <c r="I29" s="227"/>
      <c r="J29" s="227"/>
      <c r="K29" s="227"/>
      <c r="L29" s="227"/>
      <c r="M29" s="227"/>
      <c r="N29" s="227"/>
      <c r="O29" s="227"/>
      <c r="P29" s="227"/>
      <c r="Q29" s="227"/>
      <c r="R29" s="227"/>
      <c r="S29" s="227"/>
      <c r="T29" s="227"/>
    </row>
    <row r="30" spans="1:20" x14ac:dyDescent="0.2">
      <c r="A30" s="5"/>
      <c r="B30" s="5"/>
      <c r="C30" s="5"/>
      <c r="D30" s="5"/>
      <c r="E30" s="5"/>
      <c r="F30" s="5"/>
      <c r="G30" s="5"/>
      <c r="H30" s="37"/>
      <c r="I30" s="227"/>
      <c r="J30" s="227"/>
      <c r="K30" s="227"/>
      <c r="L30" s="227"/>
      <c r="M30" s="227"/>
      <c r="N30" s="227"/>
      <c r="O30" s="227"/>
      <c r="P30" s="227"/>
      <c r="Q30" s="227"/>
      <c r="R30" s="227"/>
      <c r="S30" s="227"/>
      <c r="T30" s="227"/>
    </row>
    <row r="31" spans="1:20" x14ac:dyDescent="0.2">
      <c r="A31" s="5"/>
      <c r="B31" s="5"/>
      <c r="C31" s="5"/>
      <c r="D31" s="5"/>
      <c r="E31" s="5"/>
      <c r="F31" s="5"/>
      <c r="G31" s="5"/>
      <c r="H31" s="37"/>
      <c r="I31" s="227"/>
      <c r="J31" s="227"/>
      <c r="K31" s="227"/>
      <c r="L31" s="227"/>
      <c r="M31" s="227"/>
      <c r="N31" s="227"/>
      <c r="O31" s="227"/>
      <c r="P31" s="227"/>
      <c r="Q31" s="227"/>
      <c r="R31" s="227"/>
      <c r="S31" s="227"/>
      <c r="T31" s="227"/>
    </row>
    <row r="32" spans="1:20" x14ac:dyDescent="0.2">
      <c r="A32" s="5"/>
      <c r="B32" s="5"/>
      <c r="C32" s="5"/>
      <c r="D32" s="5"/>
      <c r="E32" s="5"/>
      <c r="F32" s="5"/>
      <c r="G32" s="5"/>
      <c r="H32" s="37"/>
      <c r="I32" s="227"/>
      <c r="J32" s="227"/>
      <c r="K32" s="227"/>
      <c r="L32" s="227"/>
      <c r="M32" s="227"/>
      <c r="N32" s="227"/>
      <c r="O32" s="227"/>
      <c r="P32" s="227"/>
      <c r="Q32" s="227"/>
      <c r="R32" s="227"/>
      <c r="S32" s="227"/>
      <c r="T32" s="227"/>
    </row>
    <row r="33" spans="1:20" x14ac:dyDescent="0.2">
      <c r="A33" s="5"/>
      <c r="B33" s="5"/>
      <c r="C33" s="5"/>
      <c r="D33" s="5"/>
      <c r="E33" s="5"/>
      <c r="F33" s="5"/>
      <c r="G33" s="5"/>
      <c r="H33" s="37"/>
      <c r="I33" s="227"/>
      <c r="J33" s="227"/>
      <c r="K33" s="227"/>
      <c r="L33" s="227"/>
      <c r="M33" s="227"/>
      <c r="N33" s="227"/>
      <c r="O33" s="227"/>
      <c r="P33" s="227"/>
      <c r="Q33" s="227"/>
      <c r="R33" s="227"/>
      <c r="S33" s="227"/>
      <c r="T33" s="227"/>
    </row>
    <row r="34" spans="1:20" x14ac:dyDescent="0.2">
      <c r="A34" s="5"/>
      <c r="B34" s="5"/>
      <c r="C34" s="5"/>
      <c r="D34" s="5"/>
      <c r="E34" s="5"/>
      <c r="F34" s="5"/>
      <c r="G34" s="5"/>
      <c r="H34" s="37"/>
      <c r="I34" s="227"/>
      <c r="J34" s="227"/>
      <c r="K34" s="227"/>
      <c r="L34" s="227"/>
      <c r="M34" s="227"/>
      <c r="N34" s="227"/>
      <c r="O34" s="227"/>
      <c r="P34" s="227"/>
      <c r="Q34" s="227"/>
      <c r="R34" s="227"/>
      <c r="S34" s="227"/>
      <c r="T34" s="227"/>
    </row>
    <row r="35" spans="1:20" x14ac:dyDescent="0.2">
      <c r="A35" s="5"/>
      <c r="B35" s="5"/>
      <c r="C35" s="5"/>
      <c r="D35" s="5"/>
      <c r="E35" s="5"/>
      <c r="F35" s="5"/>
      <c r="G35" s="5"/>
      <c r="H35" s="37"/>
      <c r="I35" s="227"/>
      <c r="J35" s="227"/>
      <c r="K35" s="227"/>
      <c r="L35" s="227"/>
      <c r="M35" s="227"/>
      <c r="N35" s="227"/>
      <c r="O35" s="227"/>
      <c r="P35" s="227"/>
      <c r="Q35" s="227"/>
      <c r="R35" s="227"/>
      <c r="S35" s="227"/>
      <c r="T35" s="227"/>
    </row>
    <row r="36" spans="1:20" x14ac:dyDescent="0.2">
      <c r="A36" s="5"/>
      <c r="B36" s="5"/>
      <c r="C36" s="5"/>
      <c r="D36" s="5"/>
      <c r="E36" s="5"/>
      <c r="F36" s="5"/>
      <c r="G36" s="5"/>
      <c r="H36" s="37"/>
      <c r="I36" s="227"/>
      <c r="J36" s="227"/>
      <c r="K36" s="227"/>
      <c r="L36" s="227"/>
      <c r="M36" s="227"/>
      <c r="N36" s="227"/>
      <c r="O36" s="227"/>
      <c r="P36" s="227"/>
      <c r="Q36" s="227"/>
      <c r="R36" s="227"/>
      <c r="S36" s="227"/>
      <c r="T36" s="227"/>
    </row>
    <row r="37" spans="1:20" x14ac:dyDescent="0.2">
      <c r="A37" s="5"/>
      <c r="B37" s="5"/>
      <c r="C37" s="5"/>
      <c r="D37" s="5"/>
      <c r="E37" s="5"/>
      <c r="F37" s="5"/>
      <c r="G37" s="5"/>
      <c r="H37" s="37"/>
      <c r="I37" s="227"/>
      <c r="J37" s="227"/>
      <c r="K37" s="227"/>
      <c r="L37" s="227"/>
      <c r="M37" s="227"/>
      <c r="N37" s="227"/>
      <c r="O37" s="227"/>
      <c r="P37" s="227"/>
      <c r="Q37" s="227"/>
      <c r="R37" s="227"/>
      <c r="S37" s="227"/>
      <c r="T37" s="227"/>
    </row>
    <row r="38" spans="1:20" x14ac:dyDescent="0.2">
      <c r="A38" s="5"/>
      <c r="B38" s="5"/>
      <c r="C38" s="5"/>
      <c r="D38" s="5"/>
      <c r="E38" s="5"/>
      <c r="F38" s="5"/>
      <c r="G38" s="5"/>
      <c r="H38" s="37"/>
      <c r="I38" s="227"/>
      <c r="J38" s="227"/>
      <c r="K38" s="227"/>
      <c r="L38" s="227"/>
      <c r="M38" s="227"/>
      <c r="N38" s="227"/>
      <c r="O38" s="227"/>
      <c r="P38" s="227"/>
      <c r="Q38" s="227"/>
      <c r="R38" s="227"/>
      <c r="S38" s="227"/>
      <c r="T38" s="227"/>
    </row>
    <row r="39" spans="1:20" x14ac:dyDescent="0.2">
      <c r="A39" s="5"/>
      <c r="B39" s="5"/>
      <c r="C39" s="5"/>
      <c r="D39" s="5"/>
      <c r="E39" s="5"/>
      <c r="F39" s="5"/>
      <c r="G39" s="5"/>
      <c r="H39" s="37"/>
      <c r="I39" s="227"/>
      <c r="J39" s="227"/>
      <c r="K39" s="227"/>
      <c r="L39" s="227"/>
      <c r="M39" s="227"/>
      <c r="N39" s="227"/>
      <c r="O39" s="227"/>
      <c r="P39" s="227"/>
      <c r="Q39" s="227"/>
      <c r="R39" s="227"/>
      <c r="S39" s="227"/>
      <c r="T39" s="227"/>
    </row>
    <row r="40" spans="1:20" x14ac:dyDescent="0.2">
      <c r="A40" s="5"/>
      <c r="B40" s="5"/>
      <c r="C40" s="5"/>
      <c r="D40" s="5"/>
      <c r="E40" s="5"/>
      <c r="F40" s="5"/>
      <c r="G40" s="5"/>
      <c r="H40" s="37"/>
      <c r="I40" s="227"/>
      <c r="J40" s="227"/>
      <c r="K40" s="227"/>
      <c r="L40" s="227"/>
      <c r="M40" s="227"/>
      <c r="N40" s="227"/>
      <c r="O40" s="227"/>
      <c r="P40" s="227"/>
      <c r="Q40" s="227"/>
      <c r="R40" s="227"/>
      <c r="S40" s="227"/>
      <c r="T40" s="227"/>
    </row>
    <row r="41" spans="1:20" x14ac:dyDescent="0.2">
      <c r="A41" s="5"/>
      <c r="B41" s="5"/>
      <c r="C41" s="5"/>
      <c r="D41" s="5"/>
      <c r="E41" s="5"/>
      <c r="F41" s="5"/>
      <c r="G41" s="5"/>
      <c r="H41" s="37"/>
      <c r="I41" s="227"/>
      <c r="J41" s="227"/>
      <c r="K41" s="227"/>
      <c r="L41" s="227"/>
      <c r="M41" s="227"/>
      <c r="N41" s="227"/>
      <c r="O41" s="227"/>
      <c r="P41" s="227"/>
      <c r="Q41" s="227"/>
      <c r="R41" s="227"/>
      <c r="S41" s="227"/>
      <c r="T41" s="227"/>
    </row>
    <row r="42" spans="1:20" x14ac:dyDescent="0.2">
      <c r="A42" s="5"/>
      <c r="B42" s="5"/>
      <c r="C42" s="5"/>
      <c r="D42" s="5"/>
      <c r="E42" s="5"/>
      <c r="F42" s="5"/>
      <c r="G42" s="5"/>
      <c r="H42" s="37"/>
      <c r="I42" s="227"/>
      <c r="J42" s="227"/>
      <c r="K42" s="227"/>
      <c r="L42" s="227"/>
      <c r="M42" s="227"/>
      <c r="N42" s="227"/>
      <c r="O42" s="227"/>
      <c r="P42" s="227"/>
      <c r="Q42" s="227"/>
      <c r="R42" s="227"/>
      <c r="S42" s="227"/>
      <c r="T42" s="227"/>
    </row>
    <row r="43" spans="1:20" x14ac:dyDescent="0.2">
      <c r="A43" s="5"/>
      <c r="B43" s="5"/>
      <c r="C43" s="5"/>
      <c r="D43" s="5"/>
      <c r="E43" s="5"/>
      <c r="F43" s="5"/>
      <c r="G43" s="5"/>
      <c r="H43" s="37"/>
      <c r="I43" s="227"/>
      <c r="J43" s="227"/>
      <c r="K43" s="227"/>
      <c r="L43" s="227"/>
      <c r="M43" s="227"/>
      <c r="N43" s="227"/>
      <c r="O43" s="227"/>
      <c r="P43" s="227"/>
      <c r="Q43" s="227"/>
      <c r="R43" s="227"/>
      <c r="S43" s="227"/>
      <c r="T43" s="227"/>
    </row>
    <row r="44" spans="1:20" x14ac:dyDescent="0.2">
      <c r="A44" s="5"/>
      <c r="B44" s="5"/>
      <c r="C44" s="5"/>
      <c r="D44" s="5"/>
      <c r="E44" s="5"/>
      <c r="F44" s="5"/>
      <c r="G44" s="5"/>
      <c r="H44" s="37"/>
      <c r="I44" s="227"/>
      <c r="J44" s="227"/>
      <c r="K44" s="227"/>
      <c r="L44" s="227"/>
      <c r="M44" s="227"/>
      <c r="N44" s="227"/>
      <c r="O44" s="227"/>
      <c r="P44" s="227"/>
      <c r="Q44" s="227"/>
      <c r="R44" s="227"/>
      <c r="S44" s="227"/>
      <c r="T44" s="227"/>
    </row>
    <row r="45" spans="1:20" x14ac:dyDescent="0.2">
      <c r="A45" s="5"/>
      <c r="B45" s="5"/>
      <c r="C45" s="5"/>
      <c r="D45" s="5"/>
      <c r="E45" s="5"/>
      <c r="F45" s="5"/>
      <c r="G45" s="5"/>
      <c r="H45" s="37"/>
      <c r="I45" s="227"/>
      <c r="J45" s="227"/>
      <c r="K45" s="227"/>
      <c r="L45" s="227"/>
      <c r="M45" s="227"/>
      <c r="N45" s="227"/>
      <c r="O45" s="227"/>
      <c r="P45" s="227"/>
      <c r="Q45" s="227"/>
      <c r="R45" s="227"/>
      <c r="S45" s="227"/>
      <c r="T45" s="227"/>
    </row>
    <row r="46" spans="1:20" x14ac:dyDescent="0.2">
      <c r="A46" s="5"/>
      <c r="B46" s="5"/>
      <c r="C46" s="5"/>
      <c r="D46" s="5"/>
      <c r="E46" s="5"/>
      <c r="F46" s="5"/>
      <c r="G46" s="5"/>
      <c r="H46" s="37"/>
      <c r="I46" s="227"/>
      <c r="J46" s="227"/>
      <c r="K46" s="227"/>
      <c r="L46" s="227"/>
      <c r="M46" s="227"/>
      <c r="N46" s="227"/>
      <c r="O46" s="227"/>
      <c r="P46" s="227"/>
      <c r="Q46" s="227"/>
      <c r="R46" s="227"/>
      <c r="S46" s="227"/>
      <c r="T46" s="227"/>
    </row>
    <row r="47" spans="1:20" x14ac:dyDescent="0.2">
      <c r="A47" s="5"/>
      <c r="B47" s="5"/>
      <c r="C47" s="5"/>
      <c r="D47" s="5"/>
      <c r="E47" s="5"/>
      <c r="F47" s="5"/>
      <c r="G47" s="5"/>
      <c r="H47" s="37"/>
      <c r="I47" s="227"/>
      <c r="J47" s="227"/>
      <c r="K47" s="227"/>
      <c r="L47" s="227"/>
      <c r="M47" s="227"/>
      <c r="N47" s="227"/>
      <c r="O47" s="227"/>
      <c r="P47" s="227"/>
      <c r="Q47" s="227"/>
      <c r="R47" s="227"/>
      <c r="S47" s="227"/>
      <c r="T47" s="227"/>
    </row>
    <row r="48" spans="1:20" x14ac:dyDescent="0.2">
      <c r="A48" s="5"/>
      <c r="B48" s="5"/>
      <c r="C48" s="5"/>
      <c r="D48" s="5"/>
      <c r="E48" s="5"/>
      <c r="F48" s="5"/>
      <c r="G48" s="5"/>
      <c r="H48" s="37"/>
      <c r="I48" s="227"/>
      <c r="J48" s="227"/>
      <c r="K48" s="227"/>
      <c r="L48" s="227"/>
      <c r="M48" s="227"/>
      <c r="N48" s="227"/>
      <c r="O48" s="227"/>
      <c r="P48" s="227"/>
      <c r="Q48" s="227"/>
      <c r="R48" s="227"/>
      <c r="S48" s="227"/>
      <c r="T48" s="227"/>
    </row>
    <row r="49" spans="1:20" x14ac:dyDescent="0.2">
      <c r="A49" s="5"/>
      <c r="B49" s="5"/>
      <c r="C49" s="5"/>
      <c r="D49" s="5"/>
      <c r="E49" s="5"/>
      <c r="F49" s="5"/>
      <c r="G49" s="5"/>
      <c r="H49" s="37"/>
      <c r="I49" s="227"/>
      <c r="J49" s="227"/>
      <c r="K49" s="227"/>
      <c r="L49" s="227"/>
      <c r="M49" s="227"/>
      <c r="N49" s="227"/>
      <c r="O49" s="227"/>
      <c r="P49" s="227"/>
      <c r="Q49" s="227"/>
      <c r="R49" s="227"/>
      <c r="S49" s="227"/>
      <c r="T49" s="227"/>
    </row>
    <row r="50" spans="1:20" x14ac:dyDescent="0.2">
      <c r="A50" s="5"/>
      <c r="B50" s="5"/>
      <c r="C50" s="5"/>
      <c r="D50" s="5"/>
      <c r="E50" s="5"/>
      <c r="F50" s="5"/>
      <c r="G50" s="5"/>
      <c r="H50" s="37"/>
      <c r="I50" s="227"/>
      <c r="J50" s="227"/>
      <c r="K50" s="227"/>
      <c r="L50" s="227"/>
      <c r="M50" s="227"/>
      <c r="N50" s="227"/>
      <c r="O50" s="227"/>
      <c r="P50" s="227"/>
      <c r="Q50" s="227"/>
      <c r="R50" s="227"/>
      <c r="S50" s="227"/>
      <c r="T50" s="227"/>
    </row>
    <row r="51" spans="1:20" x14ac:dyDescent="0.2">
      <c r="A51" s="5"/>
      <c r="B51" s="5"/>
      <c r="C51" s="5"/>
      <c r="D51" s="5"/>
      <c r="E51" s="5"/>
      <c r="F51" s="5"/>
      <c r="G51" s="5"/>
      <c r="H51" s="37"/>
      <c r="I51" s="227"/>
      <c r="J51" s="227"/>
      <c r="K51" s="227"/>
      <c r="L51" s="227"/>
      <c r="M51" s="227"/>
      <c r="N51" s="227"/>
      <c r="O51" s="227"/>
      <c r="P51" s="227"/>
      <c r="Q51" s="227"/>
      <c r="R51" s="227"/>
      <c r="S51" s="227"/>
      <c r="T51" s="227"/>
    </row>
    <row r="52" spans="1:20" x14ac:dyDescent="0.2">
      <c r="A52" s="5"/>
      <c r="B52" s="5"/>
      <c r="C52" s="5"/>
      <c r="D52" s="5"/>
      <c r="E52" s="5"/>
      <c r="F52" s="5"/>
      <c r="G52" s="5"/>
      <c r="H52" s="37"/>
      <c r="I52" s="227"/>
      <c r="J52" s="227"/>
      <c r="K52" s="227"/>
      <c r="L52" s="227"/>
      <c r="M52" s="227"/>
      <c r="N52" s="227"/>
      <c r="O52" s="227"/>
      <c r="P52" s="227"/>
      <c r="Q52" s="227"/>
      <c r="R52" s="227"/>
      <c r="S52" s="227"/>
      <c r="T52" s="227"/>
    </row>
    <row r="53" spans="1:20" x14ac:dyDescent="0.2">
      <c r="A53" s="5"/>
      <c r="B53" s="5"/>
      <c r="C53" s="5"/>
      <c r="D53" s="5"/>
      <c r="E53" s="5"/>
      <c r="F53" s="5"/>
      <c r="G53" s="5"/>
      <c r="H53" s="37"/>
      <c r="I53" s="227"/>
      <c r="J53" s="227"/>
      <c r="K53" s="227"/>
      <c r="L53" s="227"/>
      <c r="M53" s="227"/>
      <c r="N53" s="227"/>
      <c r="O53" s="227"/>
      <c r="P53" s="227"/>
      <c r="Q53" s="227"/>
      <c r="R53" s="227"/>
      <c r="S53" s="227"/>
      <c r="T53" s="227"/>
    </row>
    <row r="54" spans="1:20" x14ac:dyDescent="0.2">
      <c r="A54" s="5"/>
      <c r="B54" s="5"/>
      <c r="C54" s="5"/>
      <c r="D54" s="5"/>
      <c r="E54" s="5"/>
      <c r="F54" s="5"/>
      <c r="G54" s="5"/>
      <c r="H54" s="37"/>
      <c r="I54" s="227"/>
      <c r="J54" s="227"/>
      <c r="K54" s="227"/>
      <c r="L54" s="227"/>
      <c r="M54" s="227"/>
      <c r="N54" s="227"/>
      <c r="O54" s="227"/>
      <c r="P54" s="227"/>
      <c r="Q54" s="227"/>
      <c r="R54" s="227"/>
      <c r="S54" s="227"/>
      <c r="T54" s="227"/>
    </row>
    <row r="55" spans="1:20" x14ac:dyDescent="0.2">
      <c r="A55" s="5"/>
      <c r="B55" s="5"/>
      <c r="C55" s="5"/>
      <c r="D55" s="5"/>
      <c r="E55" s="5"/>
      <c r="F55" s="5"/>
      <c r="G55" s="5"/>
      <c r="H55" s="37"/>
      <c r="I55" s="227"/>
      <c r="J55" s="227"/>
      <c r="K55" s="227"/>
      <c r="L55" s="227"/>
      <c r="M55" s="227"/>
      <c r="N55" s="227"/>
      <c r="O55" s="227"/>
      <c r="P55" s="227"/>
      <c r="Q55" s="227"/>
      <c r="R55" s="227"/>
      <c r="S55" s="227"/>
      <c r="T55" s="227"/>
    </row>
    <row r="56" spans="1:20" x14ac:dyDescent="0.2">
      <c r="A56" s="5"/>
      <c r="B56" s="5"/>
      <c r="C56" s="5"/>
      <c r="D56" s="5"/>
      <c r="E56" s="5"/>
      <c r="F56" s="5"/>
      <c r="G56" s="5"/>
      <c r="H56" s="37"/>
      <c r="I56" s="227"/>
      <c r="J56" s="227"/>
      <c r="K56" s="227"/>
      <c r="L56" s="227"/>
      <c r="M56" s="227"/>
      <c r="N56" s="227"/>
      <c r="O56" s="227"/>
      <c r="P56" s="227"/>
      <c r="Q56" s="227"/>
      <c r="R56" s="227"/>
      <c r="S56" s="227"/>
      <c r="T56" s="227"/>
    </row>
    <row r="57" spans="1:20" x14ac:dyDescent="0.2">
      <c r="A57" s="5"/>
      <c r="B57" s="5"/>
      <c r="C57" s="5"/>
      <c r="D57" s="5"/>
      <c r="E57" s="5"/>
      <c r="F57" s="5"/>
      <c r="G57" s="5"/>
      <c r="H57" s="37"/>
      <c r="I57" s="227"/>
      <c r="J57" s="227"/>
      <c r="K57" s="227"/>
      <c r="L57" s="227"/>
      <c r="M57" s="227"/>
      <c r="N57" s="227"/>
      <c r="O57" s="227"/>
      <c r="P57" s="227"/>
      <c r="Q57" s="227"/>
      <c r="R57" s="227"/>
      <c r="S57" s="227"/>
      <c r="T57" s="227"/>
    </row>
    <row r="58" spans="1:20" x14ac:dyDescent="0.2">
      <c r="A58" s="5"/>
      <c r="B58" s="5"/>
      <c r="C58" s="5"/>
      <c r="D58" s="5"/>
      <c r="E58" s="5"/>
      <c r="F58" s="5"/>
      <c r="G58" s="5"/>
      <c r="H58" s="37"/>
      <c r="I58" s="227"/>
      <c r="J58" s="227"/>
      <c r="K58" s="227"/>
      <c r="L58" s="227"/>
      <c r="M58" s="227"/>
      <c r="N58" s="227"/>
      <c r="O58" s="227"/>
      <c r="P58" s="227"/>
      <c r="Q58" s="227"/>
      <c r="R58" s="227"/>
      <c r="S58" s="227"/>
      <c r="T58" s="227"/>
    </row>
    <row r="59" spans="1:20" x14ac:dyDescent="0.2">
      <c r="A59" s="5"/>
      <c r="B59" s="5"/>
      <c r="C59" s="5"/>
      <c r="D59" s="5"/>
      <c r="E59" s="5"/>
      <c r="F59" s="5"/>
      <c r="G59" s="5"/>
      <c r="H59" s="37"/>
      <c r="I59" s="227"/>
      <c r="J59" s="227"/>
      <c r="K59" s="227"/>
      <c r="L59" s="227"/>
      <c r="M59" s="227"/>
      <c r="N59" s="227"/>
      <c r="O59" s="227"/>
      <c r="P59" s="227"/>
      <c r="Q59" s="227"/>
      <c r="R59" s="227"/>
      <c r="S59" s="227"/>
      <c r="T59" s="227"/>
    </row>
    <row r="60" spans="1:20" x14ac:dyDescent="0.2">
      <c r="A60" s="5"/>
      <c r="B60" s="5"/>
      <c r="C60" s="5"/>
      <c r="D60" s="5"/>
      <c r="E60" s="5"/>
      <c r="F60" s="5"/>
      <c r="G60" s="5"/>
      <c r="H60" s="37"/>
      <c r="I60" s="227"/>
      <c r="J60" s="227"/>
      <c r="K60" s="227"/>
      <c r="L60" s="227"/>
      <c r="M60" s="227"/>
      <c r="N60" s="227"/>
      <c r="O60" s="227"/>
      <c r="P60" s="227"/>
      <c r="Q60" s="227"/>
      <c r="R60" s="227"/>
      <c r="S60" s="227"/>
      <c r="T60" s="227"/>
    </row>
    <row r="61" spans="1:20" x14ac:dyDescent="0.2">
      <c r="A61" s="5"/>
      <c r="B61" s="5"/>
      <c r="C61" s="5"/>
      <c r="D61" s="5"/>
      <c r="E61" s="5"/>
      <c r="F61" s="5"/>
      <c r="G61" s="5"/>
      <c r="H61" s="37"/>
      <c r="I61" s="227"/>
      <c r="J61" s="227"/>
      <c r="K61" s="227"/>
      <c r="L61" s="227"/>
      <c r="M61" s="227"/>
      <c r="N61" s="227"/>
      <c r="O61" s="227"/>
      <c r="P61" s="227"/>
      <c r="Q61" s="227"/>
      <c r="R61" s="227"/>
      <c r="S61" s="227"/>
      <c r="T61" s="227"/>
    </row>
    <row r="62" spans="1:20" x14ac:dyDescent="0.2">
      <c r="A62" s="5"/>
      <c r="B62" s="5"/>
      <c r="C62" s="5"/>
      <c r="D62" s="5"/>
      <c r="E62" s="5"/>
      <c r="F62" s="5"/>
      <c r="G62" s="5"/>
      <c r="H62" s="37"/>
      <c r="I62" s="227"/>
      <c r="J62" s="227"/>
      <c r="K62" s="227"/>
      <c r="L62" s="227"/>
      <c r="M62" s="227"/>
      <c r="N62" s="227"/>
      <c r="O62" s="227"/>
      <c r="P62" s="227"/>
      <c r="Q62" s="227"/>
      <c r="R62" s="227"/>
      <c r="S62" s="227"/>
      <c r="T62" s="227"/>
    </row>
    <row r="63" spans="1:20" x14ac:dyDescent="0.2">
      <c r="A63" s="5"/>
      <c r="B63" s="5"/>
      <c r="C63" s="5"/>
      <c r="D63" s="5"/>
      <c r="E63" s="5"/>
      <c r="F63" s="5"/>
      <c r="G63" s="5"/>
      <c r="H63" s="37"/>
      <c r="I63" s="227"/>
      <c r="J63" s="227"/>
      <c r="K63" s="227"/>
      <c r="L63" s="227"/>
      <c r="M63" s="227"/>
      <c r="N63" s="227"/>
      <c r="O63" s="227"/>
      <c r="P63" s="227"/>
      <c r="Q63" s="227"/>
      <c r="R63" s="227"/>
      <c r="S63" s="227"/>
      <c r="T63" s="227"/>
    </row>
    <row r="64" spans="1:20" x14ac:dyDescent="0.2">
      <c r="A64" s="5"/>
      <c r="B64" s="5"/>
      <c r="C64" s="5"/>
      <c r="D64" s="5"/>
      <c r="E64" s="5"/>
      <c r="F64" s="5"/>
      <c r="G64" s="5"/>
      <c r="H64" s="37"/>
      <c r="I64" s="227"/>
      <c r="J64" s="227"/>
      <c r="K64" s="227"/>
      <c r="L64" s="227"/>
      <c r="M64" s="227"/>
      <c r="N64" s="227"/>
      <c r="O64" s="227"/>
      <c r="P64" s="227"/>
      <c r="Q64" s="227"/>
      <c r="R64" s="227"/>
      <c r="S64" s="227"/>
      <c r="T64" s="227"/>
    </row>
    <row r="65" spans="1:20" x14ac:dyDescent="0.2">
      <c r="A65" s="5"/>
      <c r="B65" s="5"/>
      <c r="C65" s="5"/>
      <c r="D65" s="5"/>
      <c r="E65" s="5"/>
      <c r="F65" s="5"/>
      <c r="G65" s="5"/>
      <c r="H65" s="37"/>
      <c r="I65" s="227"/>
      <c r="J65" s="227"/>
      <c r="K65" s="227"/>
      <c r="L65" s="227"/>
      <c r="M65" s="227"/>
      <c r="N65" s="227"/>
      <c r="O65" s="227"/>
      <c r="P65" s="227"/>
      <c r="Q65" s="227"/>
      <c r="R65" s="227"/>
      <c r="S65" s="227"/>
      <c r="T65" s="227"/>
    </row>
    <row r="66" spans="1:20" x14ac:dyDescent="0.2">
      <c r="A66" s="5"/>
      <c r="B66" s="5"/>
      <c r="C66" s="5"/>
      <c r="D66" s="5"/>
      <c r="E66" s="5"/>
      <c r="F66" s="5"/>
      <c r="G66" s="5"/>
      <c r="H66" s="37"/>
      <c r="I66" s="227"/>
      <c r="J66" s="227"/>
      <c r="K66" s="227"/>
      <c r="L66" s="227"/>
      <c r="M66" s="227"/>
      <c r="N66" s="227"/>
      <c r="O66" s="227"/>
      <c r="P66" s="227"/>
      <c r="Q66" s="227"/>
      <c r="R66" s="227"/>
      <c r="S66" s="227"/>
      <c r="T66" s="227"/>
    </row>
    <row r="67" spans="1:20" x14ac:dyDescent="0.2">
      <c r="A67" s="5"/>
      <c r="B67" s="5"/>
      <c r="C67" s="5"/>
      <c r="D67" s="5"/>
      <c r="E67" s="5"/>
      <c r="F67" s="5"/>
      <c r="G67" s="5"/>
      <c r="H67" s="37"/>
      <c r="I67" s="227"/>
      <c r="J67" s="227"/>
      <c r="K67" s="227"/>
      <c r="L67" s="227"/>
      <c r="M67" s="227"/>
      <c r="N67" s="227"/>
      <c r="O67" s="227"/>
      <c r="P67" s="227"/>
      <c r="Q67" s="227"/>
      <c r="R67" s="227"/>
      <c r="S67" s="227"/>
      <c r="T67" s="227"/>
    </row>
    <row r="68" spans="1:20" x14ac:dyDescent="0.2">
      <c r="A68" s="5"/>
      <c r="B68" s="5"/>
      <c r="C68" s="5"/>
      <c r="D68" s="5"/>
      <c r="E68" s="5"/>
      <c r="F68" s="5"/>
      <c r="G68" s="5"/>
      <c r="H68" s="37"/>
      <c r="I68" s="227"/>
      <c r="J68" s="227"/>
      <c r="K68" s="227"/>
      <c r="L68" s="227"/>
      <c r="M68" s="227"/>
      <c r="N68" s="227"/>
      <c r="O68" s="227"/>
      <c r="P68" s="227"/>
      <c r="Q68" s="227"/>
      <c r="R68" s="227"/>
      <c r="S68" s="227"/>
      <c r="T68" s="227"/>
    </row>
    <row r="69" spans="1:20" x14ac:dyDescent="0.2">
      <c r="A69" s="5"/>
      <c r="B69" s="5"/>
      <c r="C69" s="5"/>
      <c r="D69" s="5"/>
      <c r="E69" s="5"/>
      <c r="F69" s="5"/>
      <c r="G69" s="5"/>
      <c r="H69" s="37"/>
      <c r="I69" s="227"/>
      <c r="J69" s="227"/>
      <c r="K69" s="227"/>
      <c r="L69" s="227"/>
      <c r="M69" s="227"/>
      <c r="N69" s="227"/>
      <c r="O69" s="227"/>
      <c r="P69" s="227"/>
      <c r="Q69" s="227"/>
      <c r="R69" s="227"/>
      <c r="S69" s="227"/>
      <c r="T69" s="227"/>
    </row>
    <row r="70" spans="1:20" x14ac:dyDescent="0.2">
      <c r="A70" s="5"/>
      <c r="B70" s="5"/>
      <c r="C70" s="5"/>
      <c r="D70" s="5"/>
      <c r="E70" s="5"/>
      <c r="F70" s="5"/>
      <c r="G70" s="5"/>
      <c r="H70" s="37"/>
      <c r="I70" s="227"/>
      <c r="J70" s="227"/>
      <c r="K70" s="227"/>
      <c r="L70" s="227"/>
      <c r="M70" s="227"/>
      <c r="N70" s="227"/>
      <c r="O70" s="227"/>
      <c r="P70" s="227"/>
      <c r="Q70" s="227"/>
      <c r="R70" s="227"/>
      <c r="S70" s="227"/>
      <c r="T70" s="227"/>
    </row>
    <row r="71" spans="1:20" x14ac:dyDescent="0.2">
      <c r="A71" s="5"/>
      <c r="B71" s="5"/>
      <c r="C71" s="5"/>
      <c r="D71" s="5"/>
      <c r="E71" s="5"/>
      <c r="F71" s="5"/>
      <c r="G71" s="5"/>
      <c r="H71" s="37"/>
      <c r="I71" s="227"/>
      <c r="J71" s="227"/>
      <c r="K71" s="227"/>
      <c r="L71" s="227"/>
      <c r="M71" s="227"/>
      <c r="N71" s="227"/>
      <c r="O71" s="227"/>
      <c r="P71" s="227"/>
      <c r="Q71" s="227"/>
      <c r="R71" s="227"/>
      <c r="S71" s="227"/>
      <c r="T71" s="227"/>
    </row>
    <row r="72" spans="1:20" x14ac:dyDescent="0.2">
      <c r="A72" s="5"/>
      <c r="B72" s="5"/>
      <c r="C72" s="5"/>
      <c r="D72" s="5"/>
      <c r="E72" s="5"/>
      <c r="F72" s="5"/>
      <c r="G72" s="5"/>
      <c r="H72" s="37"/>
      <c r="I72" s="227"/>
      <c r="J72" s="227"/>
      <c r="K72" s="227"/>
      <c r="L72" s="227"/>
      <c r="M72" s="227"/>
      <c r="N72" s="227"/>
      <c r="O72" s="227"/>
      <c r="P72" s="227"/>
      <c r="Q72" s="227"/>
      <c r="R72" s="227"/>
      <c r="S72" s="227"/>
      <c r="T72" s="227"/>
    </row>
    <row r="73" spans="1:20" x14ac:dyDescent="0.2">
      <c r="A73" s="5"/>
      <c r="B73" s="5"/>
      <c r="C73" s="5"/>
      <c r="D73" s="5"/>
      <c r="E73" s="5"/>
      <c r="F73" s="5"/>
      <c r="G73" s="5"/>
      <c r="H73" s="37"/>
      <c r="I73" s="227"/>
      <c r="J73" s="227"/>
      <c r="K73" s="227"/>
      <c r="L73" s="227"/>
      <c r="M73" s="227"/>
      <c r="N73" s="227"/>
      <c r="O73" s="227"/>
      <c r="P73" s="227"/>
      <c r="Q73" s="227"/>
      <c r="R73" s="227"/>
      <c r="S73" s="227"/>
      <c r="T73" s="227"/>
    </row>
    <row r="74" spans="1:20" x14ac:dyDescent="0.2">
      <c r="A74" s="5"/>
      <c r="B74" s="5"/>
      <c r="C74" s="5"/>
      <c r="D74" s="5"/>
      <c r="E74" s="5"/>
      <c r="F74" s="5"/>
      <c r="G74" s="5"/>
      <c r="H74" s="37"/>
      <c r="I74" s="227"/>
      <c r="J74" s="227"/>
      <c r="K74" s="227"/>
      <c r="L74" s="227"/>
      <c r="M74" s="227"/>
      <c r="N74" s="227"/>
      <c r="O74" s="227"/>
      <c r="P74" s="227"/>
      <c r="Q74" s="227"/>
      <c r="R74" s="227"/>
      <c r="S74" s="227"/>
      <c r="T74" s="227"/>
    </row>
    <row r="75" spans="1:20" x14ac:dyDescent="0.2">
      <c r="A75" s="5"/>
      <c r="B75" s="5"/>
      <c r="C75" s="5"/>
      <c r="D75" s="5"/>
      <c r="E75" s="5"/>
      <c r="F75" s="5"/>
      <c r="G75" s="5"/>
      <c r="H75" s="37"/>
      <c r="I75" s="227"/>
      <c r="J75" s="227"/>
      <c r="K75" s="227"/>
      <c r="L75" s="227"/>
      <c r="M75" s="227"/>
      <c r="N75" s="227"/>
      <c r="O75" s="227"/>
      <c r="P75" s="227"/>
      <c r="Q75" s="227"/>
      <c r="R75" s="227"/>
      <c r="S75" s="227"/>
      <c r="T75" s="227"/>
    </row>
    <row r="76" spans="1:20" x14ac:dyDescent="0.2">
      <c r="A76" s="5"/>
      <c r="B76" s="5"/>
      <c r="C76" s="5"/>
      <c r="D76" s="5"/>
      <c r="E76" s="5"/>
      <c r="F76" s="5"/>
      <c r="G76" s="5"/>
      <c r="H76" s="37"/>
      <c r="I76" s="227"/>
      <c r="J76" s="227"/>
      <c r="K76" s="227"/>
      <c r="L76" s="227"/>
      <c r="M76" s="227"/>
      <c r="N76" s="227"/>
      <c r="O76" s="227"/>
      <c r="P76" s="227"/>
      <c r="Q76" s="227"/>
      <c r="R76" s="227"/>
      <c r="S76" s="227"/>
      <c r="T76" s="227"/>
    </row>
    <row r="77" spans="1:20" x14ac:dyDescent="0.2">
      <c r="A77" s="5"/>
      <c r="B77" s="5"/>
      <c r="C77" s="5"/>
      <c r="D77" s="5"/>
      <c r="E77" s="5"/>
      <c r="F77" s="5"/>
      <c r="G77" s="5"/>
      <c r="H77" s="37"/>
      <c r="I77" s="227"/>
      <c r="J77" s="227"/>
      <c r="K77" s="227"/>
      <c r="L77" s="227"/>
      <c r="M77" s="227"/>
      <c r="N77" s="227"/>
      <c r="O77" s="227"/>
      <c r="P77" s="227"/>
      <c r="Q77" s="227"/>
      <c r="R77" s="227"/>
      <c r="S77" s="227"/>
      <c r="T77" s="227"/>
    </row>
    <row r="78" spans="1:20" x14ac:dyDescent="0.2">
      <c r="A78" s="5"/>
      <c r="B78" s="5"/>
      <c r="C78" s="5"/>
      <c r="D78" s="5"/>
      <c r="E78" s="5"/>
      <c r="F78" s="5"/>
      <c r="G78" s="5"/>
      <c r="H78" s="37"/>
      <c r="I78" s="227"/>
      <c r="J78" s="227"/>
      <c r="K78" s="227"/>
      <c r="L78" s="227"/>
      <c r="M78" s="227"/>
      <c r="N78" s="227"/>
      <c r="O78" s="227"/>
      <c r="P78" s="227"/>
      <c r="Q78" s="227"/>
      <c r="R78" s="227"/>
      <c r="S78" s="227"/>
      <c r="T78" s="227"/>
    </row>
    <row r="79" spans="1:20" x14ac:dyDescent="0.2">
      <c r="A79" s="5"/>
      <c r="B79" s="5"/>
      <c r="C79" s="5"/>
      <c r="D79" s="5"/>
      <c r="E79" s="5"/>
      <c r="F79" s="5"/>
      <c r="G79" s="5"/>
      <c r="H79" s="37"/>
      <c r="I79" s="227"/>
      <c r="J79" s="227"/>
      <c r="K79" s="227"/>
      <c r="L79" s="227"/>
      <c r="M79" s="227"/>
      <c r="N79" s="227"/>
      <c r="O79" s="227"/>
      <c r="P79" s="227"/>
      <c r="Q79" s="227"/>
      <c r="R79" s="227"/>
      <c r="S79" s="227"/>
      <c r="T79" s="227"/>
    </row>
    <row r="80" spans="1:20" x14ac:dyDescent="0.2">
      <c r="A80" s="5"/>
      <c r="B80" s="5"/>
      <c r="C80" s="5"/>
      <c r="D80" s="5"/>
      <c r="E80" s="5"/>
      <c r="F80" s="5"/>
      <c r="G80" s="5"/>
      <c r="H80" s="37"/>
      <c r="I80" s="227"/>
      <c r="J80" s="227"/>
      <c r="K80" s="227"/>
      <c r="L80" s="227"/>
      <c r="M80" s="227"/>
      <c r="N80" s="227"/>
      <c r="O80" s="227"/>
      <c r="P80" s="227"/>
      <c r="Q80" s="227"/>
      <c r="R80" s="227"/>
      <c r="S80" s="227"/>
      <c r="T80" s="227"/>
    </row>
    <row r="81" spans="1:20" x14ac:dyDescent="0.2">
      <c r="A81" s="5"/>
      <c r="B81" s="5"/>
      <c r="C81" s="5"/>
      <c r="D81" s="5"/>
      <c r="E81" s="5"/>
      <c r="F81" s="5"/>
      <c r="G81" s="5"/>
      <c r="H81" s="37"/>
      <c r="I81" s="227"/>
      <c r="J81" s="227"/>
      <c r="K81" s="227"/>
      <c r="L81" s="227"/>
      <c r="M81" s="227"/>
      <c r="N81" s="227"/>
      <c r="O81" s="227"/>
      <c r="P81" s="227"/>
      <c r="Q81" s="227"/>
      <c r="R81" s="227"/>
      <c r="S81" s="227"/>
      <c r="T81" s="227"/>
    </row>
    <row r="82" spans="1:20" x14ac:dyDescent="0.2">
      <c r="A82" s="5"/>
      <c r="B82" s="5"/>
      <c r="C82" s="5"/>
      <c r="D82" s="5"/>
      <c r="E82" s="5"/>
      <c r="F82" s="5"/>
      <c r="G82" s="5"/>
      <c r="H82" s="37"/>
      <c r="I82" s="227"/>
      <c r="J82" s="227"/>
      <c r="K82" s="227"/>
      <c r="L82" s="227"/>
      <c r="M82" s="227"/>
      <c r="N82" s="227"/>
      <c r="O82" s="227"/>
      <c r="P82" s="227"/>
      <c r="Q82" s="227"/>
      <c r="R82" s="227"/>
      <c r="S82" s="227"/>
      <c r="T82" s="227"/>
    </row>
    <row r="83" spans="1:20" x14ac:dyDescent="0.2">
      <c r="A83" s="5"/>
      <c r="B83" s="5"/>
      <c r="C83" s="5"/>
      <c r="D83" s="5"/>
      <c r="E83" s="5"/>
      <c r="F83" s="5"/>
      <c r="G83" s="5"/>
      <c r="H83" s="37"/>
      <c r="I83" s="227"/>
      <c r="J83" s="227"/>
      <c r="K83" s="227"/>
      <c r="L83" s="227"/>
      <c r="M83" s="227"/>
      <c r="N83" s="227"/>
      <c r="O83" s="227"/>
      <c r="P83" s="227"/>
      <c r="Q83" s="227"/>
      <c r="R83" s="227"/>
      <c r="S83" s="227"/>
      <c r="T83" s="227"/>
    </row>
    <row r="84" spans="1:20" x14ac:dyDescent="0.2">
      <c r="A84" s="5"/>
      <c r="B84" s="5"/>
      <c r="C84" s="5"/>
      <c r="D84" s="5"/>
      <c r="E84" s="5"/>
      <c r="F84" s="5"/>
      <c r="G84" s="5"/>
      <c r="H84" s="37"/>
      <c r="I84" s="227"/>
      <c r="J84" s="227"/>
      <c r="K84" s="227"/>
      <c r="L84" s="227"/>
      <c r="M84" s="227"/>
      <c r="N84" s="227"/>
      <c r="O84" s="227"/>
      <c r="P84" s="227"/>
      <c r="Q84" s="227"/>
      <c r="R84" s="227"/>
      <c r="S84" s="227"/>
      <c r="T84" s="227"/>
    </row>
    <row r="85" spans="1:20" x14ac:dyDescent="0.2">
      <c r="A85" s="5"/>
      <c r="B85" s="5"/>
      <c r="C85" s="5"/>
      <c r="D85" s="5"/>
      <c r="E85" s="5"/>
      <c r="F85" s="5"/>
      <c r="G85" s="5"/>
      <c r="H85" s="37"/>
      <c r="I85" s="227"/>
      <c r="J85" s="227"/>
      <c r="K85" s="227"/>
      <c r="L85" s="227"/>
      <c r="M85" s="227"/>
      <c r="N85" s="227"/>
      <c r="O85" s="227"/>
      <c r="P85" s="227"/>
      <c r="Q85" s="227"/>
      <c r="R85" s="227"/>
      <c r="S85" s="227"/>
      <c r="T85" s="227"/>
    </row>
    <row r="86" spans="1:20" x14ac:dyDescent="0.2">
      <c r="A86" s="5"/>
      <c r="B86" s="5"/>
      <c r="C86" s="5"/>
      <c r="D86" s="5"/>
      <c r="E86" s="5"/>
      <c r="F86" s="5"/>
      <c r="G86" s="5"/>
      <c r="H86" s="37"/>
      <c r="I86" s="227"/>
      <c r="J86" s="227"/>
      <c r="K86" s="227"/>
      <c r="L86" s="227"/>
      <c r="M86" s="227"/>
      <c r="N86" s="227"/>
      <c r="O86" s="227"/>
      <c r="P86" s="227"/>
      <c r="Q86" s="227"/>
      <c r="R86" s="227"/>
      <c r="S86" s="227"/>
      <c r="T86" s="227"/>
    </row>
    <row r="87" spans="1:20" x14ac:dyDescent="0.2">
      <c r="A87" s="5"/>
      <c r="B87" s="5"/>
      <c r="C87" s="5"/>
      <c r="D87" s="5"/>
      <c r="E87" s="5"/>
      <c r="F87" s="5"/>
      <c r="G87" s="5"/>
      <c r="H87" s="37"/>
      <c r="I87" s="227"/>
      <c r="J87" s="227"/>
      <c r="K87" s="227"/>
      <c r="L87" s="227"/>
      <c r="M87" s="227"/>
      <c r="N87" s="227"/>
      <c r="O87" s="227"/>
      <c r="P87" s="227"/>
      <c r="Q87" s="227"/>
      <c r="R87" s="227"/>
      <c r="S87" s="227"/>
      <c r="T87" s="227"/>
    </row>
    <row r="88" spans="1:20" x14ac:dyDescent="0.2">
      <c r="A88" s="5"/>
      <c r="B88" s="5"/>
      <c r="C88" s="5"/>
      <c r="D88" s="5"/>
      <c r="E88" s="5"/>
      <c r="F88" s="5"/>
      <c r="G88" s="5"/>
      <c r="H88" s="37"/>
      <c r="I88" s="227"/>
      <c r="J88" s="227"/>
      <c r="K88" s="227"/>
      <c r="L88" s="227"/>
      <c r="M88" s="227"/>
      <c r="N88" s="227"/>
      <c r="O88" s="227"/>
      <c r="P88" s="227"/>
      <c r="Q88" s="227"/>
      <c r="R88" s="227"/>
      <c r="S88" s="227"/>
      <c r="T88" s="227"/>
    </row>
    <row r="89" spans="1:20" x14ac:dyDescent="0.2">
      <c r="A89" s="5"/>
      <c r="B89" s="5"/>
      <c r="C89" s="5"/>
      <c r="D89" s="5"/>
      <c r="E89" s="5"/>
      <c r="F89" s="5"/>
      <c r="G89" s="5"/>
      <c r="H89" s="37"/>
      <c r="I89" s="227"/>
      <c r="J89" s="227"/>
      <c r="K89" s="227"/>
      <c r="L89" s="227"/>
      <c r="M89" s="227"/>
      <c r="N89" s="227"/>
      <c r="O89" s="227"/>
      <c r="P89" s="227"/>
      <c r="Q89" s="227"/>
      <c r="R89" s="227"/>
      <c r="S89" s="227"/>
      <c r="T89" s="227"/>
    </row>
    <row r="90" spans="1:20" x14ac:dyDescent="0.2">
      <c r="A90" s="5"/>
      <c r="B90" s="5"/>
      <c r="C90" s="5"/>
      <c r="D90" s="5"/>
      <c r="E90" s="5"/>
      <c r="F90" s="5"/>
      <c r="G90" s="5"/>
      <c r="H90" s="37"/>
      <c r="I90" s="227"/>
      <c r="J90" s="227"/>
      <c r="K90" s="227"/>
      <c r="L90" s="227"/>
      <c r="M90" s="227"/>
      <c r="N90" s="227"/>
      <c r="O90" s="227"/>
      <c r="P90" s="227"/>
      <c r="Q90" s="227"/>
      <c r="R90" s="227"/>
      <c r="S90" s="227"/>
      <c r="T90" s="227"/>
    </row>
    <row r="91" spans="1:20" x14ac:dyDescent="0.2">
      <c r="A91" s="5"/>
      <c r="B91" s="5"/>
      <c r="C91" s="5"/>
      <c r="D91" s="5"/>
      <c r="E91" s="5"/>
      <c r="F91" s="5"/>
      <c r="G91" s="5"/>
      <c r="H91" s="37"/>
      <c r="I91" s="227"/>
      <c r="J91" s="227"/>
      <c r="K91" s="227"/>
      <c r="L91" s="227"/>
      <c r="M91" s="227"/>
      <c r="N91" s="227"/>
      <c r="O91" s="227"/>
      <c r="P91" s="227"/>
      <c r="Q91" s="227"/>
      <c r="R91" s="227"/>
      <c r="S91" s="227"/>
      <c r="T91" s="227"/>
    </row>
    <row r="92" spans="1:20" x14ac:dyDescent="0.2">
      <c r="A92" s="5"/>
      <c r="B92" s="5"/>
      <c r="C92" s="5"/>
      <c r="D92" s="5"/>
      <c r="E92" s="5"/>
      <c r="F92" s="5"/>
      <c r="G92" s="5"/>
      <c r="H92" s="37"/>
      <c r="I92" s="227"/>
      <c r="J92" s="227"/>
      <c r="K92" s="227"/>
      <c r="L92" s="227"/>
      <c r="M92" s="227"/>
      <c r="N92" s="227"/>
      <c r="O92" s="227"/>
      <c r="P92" s="227"/>
      <c r="Q92" s="227"/>
      <c r="R92" s="227"/>
      <c r="S92" s="227"/>
      <c r="T92" s="227"/>
    </row>
    <row r="93" spans="1:20" x14ac:dyDescent="0.2">
      <c r="A93" s="5"/>
      <c r="B93" s="5"/>
      <c r="C93" s="5"/>
      <c r="D93" s="5"/>
      <c r="E93" s="5"/>
      <c r="F93" s="5"/>
      <c r="G93" s="5"/>
      <c r="H93" s="37"/>
      <c r="I93" s="227"/>
      <c r="J93" s="227"/>
      <c r="K93" s="227"/>
      <c r="L93" s="227"/>
      <c r="M93" s="227"/>
      <c r="N93" s="227"/>
      <c r="O93" s="227"/>
      <c r="P93" s="227"/>
      <c r="Q93" s="227"/>
      <c r="R93" s="227"/>
      <c r="S93" s="227"/>
      <c r="T93" s="227"/>
    </row>
    <row r="94" spans="1:20" x14ac:dyDescent="0.2">
      <c r="A94" s="5"/>
      <c r="B94" s="5"/>
      <c r="C94" s="5"/>
      <c r="D94" s="5"/>
      <c r="E94" s="5"/>
      <c r="F94" s="5"/>
      <c r="G94" s="5"/>
      <c r="H94" s="37"/>
      <c r="I94" s="227"/>
      <c r="J94" s="227"/>
      <c r="K94" s="227"/>
      <c r="L94" s="227"/>
      <c r="M94" s="227"/>
      <c r="N94" s="227"/>
      <c r="O94" s="227"/>
      <c r="P94" s="227"/>
      <c r="Q94" s="227"/>
      <c r="R94" s="227"/>
      <c r="S94" s="227"/>
      <c r="T94" s="227"/>
    </row>
    <row r="95" spans="1:20" x14ac:dyDescent="0.2">
      <c r="A95" s="5"/>
      <c r="B95" s="5"/>
      <c r="C95" s="5"/>
      <c r="D95" s="5"/>
      <c r="E95" s="5"/>
      <c r="F95" s="5"/>
      <c r="G95" s="5"/>
      <c r="H95" s="37"/>
      <c r="I95" s="227"/>
      <c r="J95" s="227"/>
      <c r="K95" s="227"/>
      <c r="L95" s="227"/>
      <c r="M95" s="227"/>
      <c r="N95" s="227"/>
      <c r="O95" s="227"/>
      <c r="P95" s="227"/>
      <c r="Q95" s="227"/>
      <c r="R95" s="227"/>
      <c r="S95" s="227"/>
      <c r="T95" s="227"/>
    </row>
    <row r="96" spans="1:20" x14ac:dyDescent="0.2">
      <c r="A96" s="5"/>
      <c r="B96" s="5"/>
      <c r="C96" s="5"/>
      <c r="D96" s="5"/>
      <c r="E96" s="5"/>
      <c r="F96" s="5"/>
      <c r="G96" s="5"/>
      <c r="H96" s="37"/>
      <c r="I96" s="227"/>
      <c r="J96" s="227"/>
      <c r="K96" s="227"/>
      <c r="L96" s="227"/>
      <c r="M96" s="227"/>
      <c r="N96" s="227"/>
      <c r="O96" s="227"/>
      <c r="P96" s="227"/>
      <c r="Q96" s="227"/>
      <c r="R96" s="227"/>
      <c r="S96" s="227"/>
      <c r="T96" s="227"/>
    </row>
    <row r="97" spans="1:20" x14ac:dyDescent="0.2">
      <c r="A97" s="5"/>
      <c r="B97" s="5"/>
      <c r="C97" s="5"/>
      <c r="D97" s="5"/>
      <c r="E97" s="5"/>
      <c r="F97" s="5"/>
      <c r="G97" s="5"/>
      <c r="H97" s="37"/>
      <c r="I97" s="227"/>
      <c r="J97" s="227"/>
      <c r="K97" s="227"/>
      <c r="L97" s="227"/>
      <c r="M97" s="227"/>
      <c r="N97" s="227"/>
      <c r="O97" s="227"/>
      <c r="P97" s="227"/>
      <c r="Q97" s="227"/>
      <c r="R97" s="227"/>
      <c r="S97" s="227"/>
      <c r="T97" s="227"/>
    </row>
    <row r="98" spans="1:20" x14ac:dyDescent="0.2">
      <c r="A98" s="5"/>
      <c r="B98" s="5"/>
      <c r="C98" s="5"/>
      <c r="D98" s="5"/>
      <c r="E98" s="5"/>
      <c r="F98" s="5"/>
      <c r="G98" s="5"/>
      <c r="H98" s="37"/>
      <c r="I98" s="227"/>
      <c r="J98" s="227"/>
      <c r="K98" s="227"/>
      <c r="L98" s="227"/>
      <c r="M98" s="227"/>
      <c r="N98" s="227"/>
      <c r="O98" s="227"/>
      <c r="P98" s="227"/>
      <c r="Q98" s="227"/>
      <c r="R98" s="227"/>
      <c r="S98" s="227"/>
      <c r="T98" s="227"/>
    </row>
    <row r="99" spans="1:20" x14ac:dyDescent="0.2">
      <c r="A99" s="5"/>
      <c r="B99" s="5"/>
      <c r="C99" s="5"/>
      <c r="D99" s="5"/>
      <c r="E99" s="5"/>
      <c r="F99" s="5"/>
      <c r="G99" s="5"/>
      <c r="H99" s="37"/>
      <c r="I99" s="227"/>
      <c r="J99" s="227"/>
      <c r="K99" s="227"/>
      <c r="L99" s="227"/>
      <c r="M99" s="227"/>
      <c r="N99" s="227"/>
      <c r="O99" s="227"/>
      <c r="P99" s="227"/>
      <c r="Q99" s="227"/>
      <c r="R99" s="227"/>
      <c r="S99" s="227"/>
      <c r="T99" s="227"/>
    </row>
    <row r="100" spans="1:20" x14ac:dyDescent="0.2">
      <c r="A100" s="5"/>
      <c r="B100" s="5"/>
      <c r="C100" s="5"/>
      <c r="D100" s="5"/>
      <c r="E100" s="5"/>
      <c r="F100" s="5"/>
      <c r="G100" s="5"/>
      <c r="H100" s="37"/>
      <c r="I100" s="227"/>
      <c r="J100" s="227"/>
      <c r="K100" s="227"/>
      <c r="L100" s="227"/>
      <c r="M100" s="227"/>
      <c r="N100" s="227"/>
      <c r="O100" s="227"/>
      <c r="P100" s="227"/>
      <c r="Q100" s="227"/>
      <c r="R100" s="227"/>
      <c r="S100" s="227"/>
      <c r="T100" s="227"/>
    </row>
    <row r="101" spans="1:20" x14ac:dyDescent="0.2">
      <c r="A101" s="5"/>
      <c r="B101" s="5"/>
      <c r="C101" s="5"/>
      <c r="D101" s="5"/>
      <c r="E101" s="5"/>
      <c r="F101" s="5"/>
      <c r="G101" s="5"/>
      <c r="H101" s="37"/>
      <c r="I101" s="227"/>
      <c r="J101" s="227"/>
      <c r="K101" s="227"/>
      <c r="L101" s="227"/>
      <c r="M101" s="227"/>
      <c r="N101" s="227"/>
      <c r="O101" s="227"/>
      <c r="P101" s="227"/>
      <c r="Q101" s="227"/>
      <c r="R101" s="227"/>
      <c r="S101" s="227"/>
      <c r="T101" s="227"/>
    </row>
    <row r="102" spans="1:20" x14ac:dyDescent="0.2">
      <c r="A102" s="5"/>
      <c r="B102" s="5"/>
      <c r="C102" s="5"/>
      <c r="D102" s="5"/>
      <c r="E102" s="5"/>
      <c r="F102" s="5"/>
      <c r="G102" s="5"/>
      <c r="H102" s="37"/>
      <c r="I102" s="227"/>
      <c r="J102" s="227"/>
      <c r="K102" s="227"/>
      <c r="L102" s="227"/>
      <c r="M102" s="227"/>
      <c r="N102" s="227"/>
      <c r="O102" s="227"/>
      <c r="P102" s="227"/>
      <c r="Q102" s="227"/>
      <c r="R102" s="227"/>
      <c r="S102" s="227"/>
      <c r="T102" s="227"/>
    </row>
    <row r="103" spans="1:20" x14ac:dyDescent="0.2">
      <c r="A103" s="5"/>
      <c r="B103" s="5"/>
      <c r="C103" s="5"/>
      <c r="D103" s="5"/>
      <c r="E103" s="5"/>
      <c r="F103" s="5"/>
      <c r="G103" s="5"/>
      <c r="H103" s="37"/>
      <c r="I103" s="227"/>
      <c r="J103" s="227"/>
      <c r="K103" s="227"/>
      <c r="L103" s="227"/>
      <c r="M103" s="227"/>
      <c r="N103" s="227"/>
      <c r="O103" s="227"/>
      <c r="P103" s="227"/>
      <c r="Q103" s="227"/>
      <c r="R103" s="227"/>
      <c r="S103" s="227"/>
      <c r="T103" s="227"/>
    </row>
    <row r="104" spans="1:20" x14ac:dyDescent="0.2">
      <c r="A104" s="5"/>
      <c r="B104" s="5"/>
      <c r="C104" s="5"/>
      <c r="D104" s="5"/>
      <c r="E104" s="5"/>
      <c r="F104" s="5"/>
      <c r="G104" s="5"/>
      <c r="H104" s="37"/>
      <c r="I104" s="227"/>
      <c r="J104" s="227"/>
      <c r="K104" s="227"/>
      <c r="L104" s="227"/>
      <c r="M104" s="227"/>
      <c r="N104" s="227"/>
      <c r="O104" s="227"/>
      <c r="P104" s="227"/>
      <c r="Q104" s="227"/>
      <c r="R104" s="227"/>
      <c r="S104" s="227"/>
      <c r="T104" s="227"/>
    </row>
    <row r="105" spans="1:20" x14ac:dyDescent="0.2">
      <c r="A105" s="5"/>
      <c r="B105" s="5"/>
      <c r="C105" s="5"/>
      <c r="D105" s="5"/>
      <c r="E105" s="5"/>
      <c r="F105" s="5"/>
      <c r="G105" s="5"/>
      <c r="H105" s="37"/>
      <c r="I105" s="227"/>
      <c r="J105" s="227"/>
      <c r="K105" s="227"/>
      <c r="L105" s="227"/>
      <c r="M105" s="227"/>
      <c r="N105" s="227"/>
      <c r="O105" s="227"/>
      <c r="P105" s="227"/>
      <c r="Q105" s="227"/>
      <c r="R105" s="227"/>
      <c r="S105" s="227"/>
      <c r="T105" s="227"/>
    </row>
    <row r="106" spans="1:20" x14ac:dyDescent="0.2">
      <c r="A106" s="5"/>
      <c r="B106" s="5"/>
      <c r="C106" s="5"/>
      <c r="D106" s="5"/>
      <c r="E106" s="5"/>
      <c r="F106" s="5"/>
      <c r="G106" s="5"/>
      <c r="H106" s="37"/>
      <c r="I106" s="227"/>
      <c r="J106" s="227"/>
      <c r="K106" s="227"/>
      <c r="L106" s="227"/>
      <c r="M106" s="227"/>
      <c r="N106" s="227"/>
      <c r="O106" s="227"/>
      <c r="P106" s="227"/>
      <c r="Q106" s="227"/>
      <c r="R106" s="227"/>
      <c r="S106" s="227"/>
      <c r="T106" s="227"/>
    </row>
    <row r="107" spans="1:20" x14ac:dyDescent="0.2">
      <c r="A107" s="5"/>
      <c r="B107" s="5"/>
      <c r="C107" s="5"/>
      <c r="D107" s="5"/>
      <c r="E107" s="5"/>
      <c r="F107" s="5"/>
      <c r="G107" s="5"/>
      <c r="H107" s="37"/>
      <c r="I107" s="227"/>
      <c r="J107" s="227"/>
      <c r="K107" s="227"/>
      <c r="L107" s="227"/>
      <c r="M107" s="227"/>
      <c r="N107" s="227"/>
      <c r="O107" s="227"/>
      <c r="P107" s="227"/>
      <c r="Q107" s="227"/>
      <c r="R107" s="227"/>
      <c r="S107" s="227"/>
      <c r="T107" s="227"/>
    </row>
    <row r="108" spans="1:20" x14ac:dyDescent="0.2">
      <c r="A108" s="5"/>
      <c r="B108" s="5"/>
      <c r="C108" s="5"/>
      <c r="D108" s="5"/>
      <c r="E108" s="5"/>
      <c r="F108" s="5"/>
      <c r="G108" s="5"/>
      <c r="H108" s="37"/>
      <c r="I108" s="227"/>
      <c r="J108" s="227"/>
      <c r="K108" s="227"/>
      <c r="L108" s="227"/>
      <c r="M108" s="227"/>
      <c r="N108" s="227"/>
      <c r="O108" s="227"/>
      <c r="P108" s="227"/>
      <c r="Q108" s="227"/>
      <c r="R108" s="227"/>
      <c r="S108" s="227"/>
      <c r="T108" s="227"/>
    </row>
    <row r="109" spans="1:20" x14ac:dyDescent="0.2">
      <c r="A109" s="5"/>
      <c r="B109" s="5"/>
      <c r="C109" s="5"/>
      <c r="D109" s="5"/>
      <c r="E109" s="5"/>
      <c r="F109" s="5"/>
      <c r="G109" s="5"/>
      <c r="H109" s="37"/>
      <c r="I109" s="227"/>
      <c r="J109" s="227"/>
      <c r="K109" s="227"/>
      <c r="L109" s="227"/>
      <c r="M109" s="227"/>
      <c r="N109" s="227"/>
      <c r="O109" s="227"/>
      <c r="P109" s="227"/>
      <c r="Q109" s="227"/>
      <c r="R109" s="227"/>
      <c r="S109" s="227"/>
      <c r="T109" s="227"/>
    </row>
    <row r="110" spans="1:20" x14ac:dyDescent="0.2">
      <c r="A110" s="5"/>
      <c r="B110" s="5"/>
      <c r="C110" s="5"/>
      <c r="D110" s="5"/>
      <c r="E110" s="5"/>
      <c r="F110" s="5"/>
      <c r="G110" s="5"/>
      <c r="H110" s="37"/>
      <c r="I110" s="227"/>
      <c r="J110" s="227"/>
      <c r="K110" s="227"/>
      <c r="L110" s="227"/>
      <c r="M110" s="227"/>
      <c r="N110" s="227"/>
      <c r="O110" s="227"/>
      <c r="P110" s="227"/>
      <c r="Q110" s="227"/>
      <c r="R110" s="227"/>
      <c r="S110" s="227"/>
      <c r="T110" s="227"/>
    </row>
    <row r="111" spans="1:20" x14ac:dyDescent="0.2">
      <c r="A111" s="5"/>
      <c r="B111" s="5"/>
      <c r="C111" s="5"/>
      <c r="D111" s="5"/>
      <c r="E111" s="5"/>
      <c r="F111" s="5"/>
      <c r="G111" s="5"/>
      <c r="H111" s="37"/>
      <c r="I111" s="227"/>
      <c r="J111" s="227"/>
      <c r="K111" s="227"/>
      <c r="L111" s="227"/>
      <c r="M111" s="227"/>
      <c r="N111" s="227"/>
      <c r="O111" s="227"/>
      <c r="P111" s="227"/>
      <c r="Q111" s="227"/>
      <c r="R111" s="227"/>
      <c r="S111" s="227"/>
      <c r="T111" s="227"/>
    </row>
    <row r="112" spans="1:20" x14ac:dyDescent="0.2">
      <c r="A112" s="5"/>
      <c r="B112" s="5"/>
      <c r="C112" s="5"/>
      <c r="D112" s="5"/>
      <c r="E112" s="5"/>
      <c r="F112" s="5"/>
      <c r="G112" s="5"/>
      <c r="H112" s="37"/>
      <c r="I112" s="227"/>
      <c r="J112" s="227"/>
      <c r="K112" s="227"/>
      <c r="L112" s="227"/>
      <c r="M112" s="227"/>
      <c r="N112" s="227"/>
      <c r="O112" s="227"/>
      <c r="P112" s="227"/>
      <c r="Q112" s="227"/>
      <c r="R112" s="227"/>
      <c r="S112" s="227"/>
      <c r="T112" s="227"/>
    </row>
    <row r="113" spans="1:20" x14ac:dyDescent="0.2">
      <c r="A113" s="5"/>
      <c r="B113" s="5"/>
      <c r="C113" s="5"/>
      <c r="D113" s="5"/>
      <c r="E113" s="5"/>
      <c r="F113" s="5"/>
      <c r="G113" s="5"/>
      <c r="H113" s="37"/>
      <c r="I113" s="227"/>
      <c r="J113" s="227"/>
      <c r="K113" s="227"/>
      <c r="L113" s="227"/>
      <c r="M113" s="227"/>
      <c r="N113" s="227"/>
      <c r="O113" s="227"/>
      <c r="P113" s="227"/>
      <c r="Q113" s="227"/>
      <c r="R113" s="227"/>
      <c r="S113" s="227"/>
      <c r="T113" s="227"/>
    </row>
    <row r="114" spans="1:20" x14ac:dyDescent="0.2">
      <c r="A114" s="5"/>
      <c r="B114" s="5"/>
      <c r="C114" s="5"/>
      <c r="D114" s="5"/>
      <c r="E114" s="5"/>
      <c r="F114" s="5"/>
      <c r="G114" s="5"/>
      <c r="H114" s="37"/>
      <c r="I114" s="227"/>
      <c r="J114" s="227"/>
      <c r="K114" s="227"/>
      <c r="L114" s="227"/>
      <c r="M114" s="227"/>
      <c r="N114" s="227"/>
      <c r="O114" s="227"/>
      <c r="P114" s="227"/>
      <c r="Q114" s="227"/>
      <c r="R114" s="227"/>
      <c r="S114" s="227"/>
      <c r="T114" s="227"/>
    </row>
    <row r="115" spans="1:20" x14ac:dyDescent="0.2">
      <c r="A115" s="5"/>
      <c r="B115" s="5"/>
      <c r="C115" s="5"/>
      <c r="D115" s="5"/>
      <c r="E115" s="5"/>
      <c r="F115" s="5"/>
      <c r="G115" s="5"/>
      <c r="H115" s="37"/>
      <c r="I115" s="227"/>
      <c r="J115" s="227"/>
      <c r="K115" s="227"/>
      <c r="L115" s="227"/>
      <c r="M115" s="227"/>
      <c r="N115" s="227"/>
      <c r="O115" s="227"/>
      <c r="P115" s="227"/>
      <c r="Q115" s="227"/>
      <c r="R115" s="227"/>
      <c r="S115" s="227"/>
      <c r="T115" s="227"/>
    </row>
    <row r="116" spans="1:20" x14ac:dyDescent="0.2">
      <c r="A116" s="5"/>
      <c r="B116" s="5"/>
      <c r="C116" s="5"/>
      <c r="D116" s="5"/>
      <c r="E116" s="5"/>
      <c r="F116" s="5"/>
      <c r="G116" s="5"/>
      <c r="H116" s="37"/>
      <c r="I116" s="227"/>
      <c r="J116" s="227"/>
      <c r="K116" s="227"/>
      <c r="L116" s="227"/>
      <c r="M116" s="227"/>
      <c r="N116" s="227"/>
      <c r="O116" s="227"/>
      <c r="P116" s="227"/>
      <c r="Q116" s="227"/>
      <c r="R116" s="227"/>
      <c r="S116" s="227"/>
      <c r="T116" s="227"/>
    </row>
    <row r="117" spans="1:20" x14ac:dyDescent="0.2">
      <c r="A117" s="5"/>
      <c r="B117" s="5"/>
      <c r="C117" s="5"/>
      <c r="D117" s="5"/>
      <c r="E117" s="5"/>
      <c r="F117" s="5"/>
      <c r="G117" s="5"/>
      <c r="H117" s="37"/>
      <c r="I117" s="227"/>
      <c r="J117" s="227"/>
      <c r="K117" s="227"/>
      <c r="L117" s="227"/>
      <c r="M117" s="227"/>
      <c r="N117" s="227"/>
      <c r="O117" s="227"/>
      <c r="P117" s="227"/>
      <c r="Q117" s="227"/>
      <c r="R117" s="227"/>
      <c r="S117" s="227"/>
      <c r="T117" s="227"/>
    </row>
    <row r="118" spans="1:20" x14ac:dyDescent="0.2">
      <c r="A118" s="5"/>
      <c r="B118" s="5"/>
      <c r="C118" s="5"/>
      <c r="D118" s="5"/>
      <c r="E118" s="5"/>
      <c r="F118" s="5"/>
      <c r="G118" s="5"/>
      <c r="H118" s="37"/>
      <c r="I118" s="227"/>
      <c r="J118" s="227"/>
      <c r="K118" s="227"/>
      <c r="L118" s="227"/>
      <c r="M118" s="227"/>
      <c r="N118" s="227"/>
      <c r="O118" s="227"/>
      <c r="P118" s="227"/>
      <c r="Q118" s="227"/>
      <c r="R118" s="227"/>
      <c r="S118" s="227"/>
      <c r="T118" s="227"/>
    </row>
    <row r="119" spans="1:20" x14ac:dyDescent="0.2">
      <c r="A119" s="5"/>
      <c r="B119" s="5"/>
      <c r="C119" s="5"/>
      <c r="D119" s="5"/>
      <c r="E119" s="5"/>
      <c r="F119" s="5"/>
      <c r="G119" s="5"/>
      <c r="H119" s="37"/>
      <c r="I119" s="227"/>
      <c r="J119" s="227"/>
      <c r="K119" s="227"/>
      <c r="L119" s="227"/>
      <c r="M119" s="227"/>
      <c r="N119" s="227"/>
      <c r="O119" s="227"/>
      <c r="P119" s="227"/>
      <c r="Q119" s="227"/>
      <c r="R119" s="227"/>
      <c r="S119" s="227"/>
      <c r="T119" s="227"/>
    </row>
    <row r="120" spans="1:20" x14ac:dyDescent="0.2">
      <c r="A120" s="5"/>
      <c r="B120" s="5"/>
      <c r="C120" s="5"/>
      <c r="D120" s="5"/>
      <c r="E120" s="5"/>
      <c r="F120" s="5"/>
      <c r="G120" s="5"/>
      <c r="H120" s="37"/>
      <c r="I120" s="227"/>
      <c r="J120" s="227"/>
      <c r="K120" s="227"/>
      <c r="L120" s="227"/>
      <c r="M120" s="227"/>
      <c r="N120" s="227"/>
      <c r="O120" s="227"/>
      <c r="P120" s="227"/>
      <c r="Q120" s="227"/>
      <c r="R120" s="227"/>
      <c r="S120" s="227"/>
      <c r="T120" s="227"/>
    </row>
    <row r="121" spans="1:20" x14ac:dyDescent="0.2">
      <c r="A121" s="5"/>
      <c r="B121" s="5"/>
      <c r="C121" s="5"/>
      <c r="D121" s="5"/>
      <c r="E121" s="5"/>
      <c r="F121" s="5"/>
      <c r="G121" s="5"/>
      <c r="H121" s="37"/>
      <c r="I121" s="227"/>
      <c r="J121" s="227"/>
      <c r="K121" s="227"/>
      <c r="L121" s="227"/>
      <c r="M121" s="227"/>
      <c r="N121" s="227"/>
      <c r="O121" s="227"/>
      <c r="P121" s="227"/>
      <c r="Q121" s="227"/>
      <c r="R121" s="227"/>
      <c r="S121" s="227"/>
      <c r="T121" s="227"/>
    </row>
    <row r="122" spans="1:20" x14ac:dyDescent="0.2">
      <c r="A122" s="5"/>
      <c r="B122" s="5"/>
      <c r="C122" s="5"/>
      <c r="D122" s="5"/>
      <c r="E122" s="5"/>
      <c r="F122" s="5"/>
      <c r="G122" s="5"/>
      <c r="H122" s="37"/>
      <c r="I122" s="227"/>
      <c r="J122" s="227"/>
      <c r="K122" s="227"/>
      <c r="L122" s="227"/>
      <c r="M122" s="227"/>
      <c r="N122" s="227"/>
      <c r="O122" s="227"/>
      <c r="P122" s="227"/>
      <c r="Q122" s="227"/>
      <c r="R122" s="227"/>
      <c r="S122" s="227"/>
      <c r="T122" s="227"/>
    </row>
    <row r="123" spans="1:20" x14ac:dyDescent="0.2">
      <c r="A123" s="5"/>
      <c r="B123" s="5"/>
      <c r="C123" s="5"/>
      <c r="D123" s="5"/>
      <c r="E123" s="5"/>
      <c r="F123" s="5"/>
      <c r="G123" s="5"/>
      <c r="H123" s="37"/>
      <c r="I123" s="227"/>
      <c r="J123" s="227"/>
      <c r="K123" s="227"/>
      <c r="L123" s="227"/>
      <c r="M123" s="227"/>
      <c r="N123" s="227"/>
      <c r="O123" s="227"/>
      <c r="P123" s="227"/>
      <c r="Q123" s="227"/>
      <c r="R123" s="227"/>
      <c r="S123" s="227"/>
      <c r="T123" s="227"/>
    </row>
    <row r="124" spans="1:20" x14ac:dyDescent="0.2">
      <c r="A124" s="5"/>
      <c r="B124" s="5"/>
      <c r="C124" s="5"/>
      <c r="D124" s="5"/>
      <c r="E124" s="5"/>
      <c r="F124" s="5"/>
      <c r="G124" s="5"/>
      <c r="H124" s="37"/>
      <c r="I124" s="227"/>
      <c r="J124" s="227"/>
      <c r="K124" s="227"/>
      <c r="L124" s="227"/>
      <c r="M124" s="227"/>
      <c r="N124" s="227"/>
      <c r="O124" s="227"/>
      <c r="P124" s="227"/>
      <c r="Q124" s="227"/>
      <c r="R124" s="227"/>
      <c r="S124" s="227"/>
      <c r="T124" s="227"/>
    </row>
    <row r="125" spans="1:20" x14ac:dyDescent="0.2">
      <c r="A125" s="5"/>
      <c r="B125" s="5"/>
      <c r="C125" s="5"/>
      <c r="D125" s="5"/>
      <c r="E125" s="5"/>
      <c r="F125" s="5"/>
      <c r="G125" s="5"/>
      <c r="H125" s="37"/>
      <c r="I125" s="227"/>
      <c r="J125" s="227"/>
      <c r="K125" s="227"/>
      <c r="L125" s="227"/>
      <c r="M125" s="227"/>
      <c r="N125" s="227"/>
      <c r="O125" s="227"/>
      <c r="P125" s="227"/>
      <c r="Q125" s="227"/>
      <c r="R125" s="227"/>
      <c r="S125" s="227"/>
      <c r="T125" s="227"/>
    </row>
    <row r="126" spans="1:20" x14ac:dyDescent="0.2">
      <c r="A126" s="5"/>
      <c r="B126" s="5"/>
      <c r="C126" s="5"/>
      <c r="D126" s="5"/>
      <c r="E126" s="5"/>
      <c r="F126" s="5"/>
      <c r="G126" s="5"/>
      <c r="H126" s="37"/>
      <c r="I126" s="227"/>
      <c r="J126" s="227"/>
      <c r="K126" s="227"/>
      <c r="L126" s="227"/>
      <c r="M126" s="227"/>
      <c r="N126" s="227"/>
      <c r="O126" s="227"/>
      <c r="P126" s="227"/>
      <c r="Q126" s="227"/>
      <c r="R126" s="227"/>
      <c r="S126" s="227"/>
      <c r="T126" s="227"/>
    </row>
    <row r="127" spans="1:20" x14ac:dyDescent="0.2">
      <c r="A127" s="5"/>
      <c r="B127" s="5"/>
      <c r="C127" s="5"/>
      <c r="D127" s="5"/>
      <c r="E127" s="5"/>
      <c r="F127" s="5"/>
      <c r="G127" s="5"/>
      <c r="H127" s="37"/>
      <c r="I127" s="227"/>
      <c r="J127" s="227"/>
      <c r="K127" s="227"/>
      <c r="L127" s="227"/>
      <c r="M127" s="227"/>
      <c r="N127" s="227"/>
      <c r="O127" s="227"/>
      <c r="P127" s="227"/>
      <c r="Q127" s="227"/>
      <c r="R127" s="227"/>
      <c r="S127" s="227"/>
      <c r="T127" s="227"/>
    </row>
    <row r="128" spans="1:20" x14ac:dyDescent="0.2">
      <c r="A128" s="5"/>
      <c r="B128" s="5"/>
      <c r="C128" s="5"/>
      <c r="D128" s="5"/>
      <c r="E128" s="5"/>
      <c r="F128" s="5"/>
      <c r="G128" s="5"/>
      <c r="H128" s="37"/>
      <c r="I128" s="227"/>
      <c r="J128" s="227"/>
      <c r="K128" s="227"/>
      <c r="L128" s="227"/>
      <c r="M128" s="227"/>
      <c r="N128" s="227"/>
      <c r="O128" s="227"/>
      <c r="P128" s="227"/>
      <c r="Q128" s="227"/>
      <c r="R128" s="227"/>
      <c r="S128" s="227"/>
      <c r="T128" s="227"/>
    </row>
    <row r="129" spans="1:20" x14ac:dyDescent="0.2">
      <c r="A129" s="5"/>
      <c r="B129" s="5"/>
      <c r="C129" s="5"/>
      <c r="D129" s="5"/>
      <c r="E129" s="5"/>
      <c r="F129" s="5"/>
      <c r="G129" s="5"/>
      <c r="H129" s="37"/>
      <c r="I129" s="227"/>
      <c r="J129" s="227"/>
      <c r="K129" s="227"/>
      <c r="L129" s="227"/>
      <c r="M129" s="227"/>
      <c r="N129" s="227"/>
      <c r="O129" s="227"/>
      <c r="P129" s="227"/>
      <c r="Q129" s="227"/>
      <c r="R129" s="227"/>
      <c r="S129" s="227"/>
      <c r="T129" s="227"/>
    </row>
    <row r="130" spans="1:20" x14ac:dyDescent="0.2">
      <c r="A130" s="5"/>
      <c r="B130" s="5"/>
      <c r="C130" s="5"/>
      <c r="D130" s="5"/>
      <c r="E130" s="5"/>
      <c r="F130" s="5"/>
      <c r="G130" s="5"/>
      <c r="H130" s="37"/>
      <c r="I130" s="227"/>
      <c r="J130" s="227"/>
      <c r="K130" s="227"/>
      <c r="L130" s="227"/>
      <c r="M130" s="227"/>
      <c r="N130" s="227"/>
      <c r="O130" s="227"/>
      <c r="P130" s="227"/>
      <c r="Q130" s="227"/>
      <c r="R130" s="227"/>
      <c r="S130" s="227"/>
      <c r="T130" s="227"/>
    </row>
    <row r="131" spans="1:20" x14ac:dyDescent="0.2">
      <c r="A131" s="5"/>
      <c r="B131" s="5"/>
      <c r="C131" s="5"/>
      <c r="D131" s="5"/>
      <c r="E131" s="5"/>
      <c r="F131" s="5"/>
      <c r="G131" s="5"/>
      <c r="H131" s="37"/>
      <c r="I131" s="227"/>
      <c r="J131" s="227"/>
      <c r="K131" s="227"/>
      <c r="L131" s="227"/>
      <c r="M131" s="227"/>
      <c r="N131" s="227"/>
      <c r="O131" s="227"/>
      <c r="P131" s="227"/>
      <c r="Q131" s="227"/>
      <c r="R131" s="227"/>
      <c r="S131" s="227"/>
      <c r="T131" s="227"/>
    </row>
    <row r="132" spans="1:20" x14ac:dyDescent="0.2">
      <c r="A132" s="5"/>
      <c r="B132" s="5"/>
      <c r="C132" s="5"/>
      <c r="D132" s="5"/>
      <c r="E132" s="5"/>
      <c r="F132" s="5"/>
      <c r="G132" s="5"/>
      <c r="H132" s="37"/>
      <c r="I132" s="227"/>
      <c r="J132" s="227"/>
      <c r="K132" s="227"/>
      <c r="L132" s="227"/>
      <c r="M132" s="227"/>
      <c r="N132" s="227"/>
      <c r="O132" s="227"/>
      <c r="P132" s="227"/>
      <c r="Q132" s="227"/>
      <c r="R132" s="227"/>
      <c r="S132" s="227"/>
      <c r="T132" s="227"/>
    </row>
    <row r="133" spans="1:20" x14ac:dyDescent="0.2">
      <c r="A133" s="5"/>
      <c r="B133" s="5"/>
      <c r="C133" s="5"/>
      <c r="D133" s="5"/>
      <c r="E133" s="5"/>
      <c r="F133" s="5"/>
      <c r="G133" s="5"/>
      <c r="H133" s="37"/>
      <c r="I133" s="227"/>
      <c r="J133" s="227"/>
      <c r="K133" s="227"/>
      <c r="L133" s="227"/>
      <c r="M133" s="227"/>
      <c r="N133" s="227"/>
      <c r="O133" s="227"/>
      <c r="P133" s="227"/>
      <c r="Q133" s="227"/>
      <c r="R133" s="227"/>
      <c r="S133" s="227"/>
      <c r="T133" s="227"/>
    </row>
    <row r="134" spans="1:20" x14ac:dyDescent="0.2">
      <c r="A134" s="5"/>
      <c r="B134" s="5"/>
      <c r="C134" s="5"/>
      <c r="D134" s="5"/>
      <c r="E134" s="5"/>
      <c r="F134" s="5"/>
      <c r="G134" s="5"/>
      <c r="H134" s="37"/>
      <c r="I134" s="227"/>
      <c r="J134" s="227"/>
      <c r="K134" s="227"/>
      <c r="L134" s="227"/>
      <c r="M134" s="227"/>
      <c r="N134" s="227"/>
      <c r="O134" s="227"/>
      <c r="P134" s="227"/>
      <c r="Q134" s="227"/>
      <c r="R134" s="227"/>
      <c r="S134" s="227"/>
      <c r="T134" s="227"/>
    </row>
    <row r="135" spans="1:20" x14ac:dyDescent="0.2">
      <c r="A135" s="5"/>
      <c r="B135" s="5"/>
      <c r="C135" s="5"/>
      <c r="D135" s="5"/>
      <c r="E135" s="5"/>
      <c r="F135" s="5"/>
      <c r="G135" s="5"/>
      <c r="H135" s="37"/>
      <c r="I135" s="227"/>
      <c r="J135" s="227"/>
      <c r="K135" s="227"/>
      <c r="L135" s="227"/>
      <c r="M135" s="227"/>
      <c r="N135" s="227"/>
      <c r="O135" s="227"/>
      <c r="P135" s="227"/>
      <c r="Q135" s="227"/>
      <c r="R135" s="227"/>
      <c r="S135" s="227"/>
      <c r="T135" s="227"/>
    </row>
    <row r="136" spans="1:20" x14ac:dyDescent="0.2">
      <c r="A136" s="5"/>
      <c r="B136" s="5"/>
      <c r="C136" s="5"/>
      <c r="D136" s="5"/>
      <c r="E136" s="5"/>
      <c r="F136" s="5"/>
      <c r="G136" s="5"/>
      <c r="H136" s="37"/>
      <c r="I136" s="227"/>
      <c r="J136" s="227"/>
      <c r="K136" s="227"/>
      <c r="L136" s="227"/>
      <c r="M136" s="227"/>
      <c r="N136" s="227"/>
      <c r="O136" s="227"/>
      <c r="P136" s="227"/>
      <c r="Q136" s="227"/>
      <c r="R136" s="227"/>
      <c r="S136" s="227"/>
      <c r="T136" s="227"/>
    </row>
    <row r="137" spans="1:20" x14ac:dyDescent="0.2">
      <c r="A137" s="5"/>
      <c r="B137" s="5"/>
      <c r="C137" s="5"/>
      <c r="D137" s="5"/>
      <c r="E137" s="5"/>
      <c r="F137" s="5"/>
      <c r="G137" s="5"/>
      <c r="H137" s="37"/>
      <c r="I137" s="227"/>
      <c r="J137" s="227"/>
      <c r="K137" s="227"/>
      <c r="L137" s="227"/>
      <c r="M137" s="227"/>
      <c r="N137" s="227"/>
      <c r="O137" s="227"/>
      <c r="P137" s="227"/>
      <c r="Q137" s="227"/>
      <c r="R137" s="227"/>
      <c r="S137" s="227"/>
      <c r="T137" s="227"/>
    </row>
    <row r="138" spans="1:20" x14ac:dyDescent="0.2">
      <c r="A138" s="5"/>
      <c r="B138" s="5"/>
      <c r="C138" s="5"/>
      <c r="D138" s="5"/>
      <c r="E138" s="5"/>
      <c r="F138" s="5"/>
      <c r="G138" s="5"/>
      <c r="H138" s="37"/>
      <c r="I138" s="227"/>
      <c r="J138" s="227"/>
      <c r="K138" s="227"/>
      <c r="L138" s="227"/>
      <c r="M138" s="227"/>
      <c r="N138" s="227"/>
      <c r="O138" s="227"/>
      <c r="P138" s="227"/>
      <c r="Q138" s="227"/>
      <c r="R138" s="227"/>
      <c r="S138" s="227"/>
      <c r="T138" s="227"/>
    </row>
    <row r="139" spans="1:20" x14ac:dyDescent="0.2">
      <c r="A139" s="5"/>
      <c r="B139" s="5"/>
      <c r="C139" s="5"/>
      <c r="D139" s="5"/>
      <c r="E139" s="5"/>
      <c r="F139" s="5"/>
      <c r="G139" s="5"/>
      <c r="H139" s="37"/>
      <c r="I139" s="227"/>
      <c r="J139" s="227"/>
      <c r="K139" s="227"/>
      <c r="L139" s="227"/>
      <c r="M139" s="227"/>
      <c r="N139" s="227"/>
      <c r="O139" s="227"/>
      <c r="P139" s="227"/>
      <c r="Q139" s="227"/>
      <c r="R139" s="227"/>
      <c r="S139" s="227"/>
      <c r="T139" s="227"/>
    </row>
    <row r="140" spans="1:20" x14ac:dyDescent="0.2">
      <c r="A140" s="5"/>
      <c r="B140" s="5"/>
      <c r="C140" s="5"/>
      <c r="D140" s="5"/>
      <c r="E140" s="5"/>
      <c r="F140" s="5"/>
      <c r="G140" s="5"/>
      <c r="H140" s="37"/>
      <c r="I140" s="227"/>
      <c r="J140" s="227"/>
      <c r="K140" s="227"/>
      <c r="L140" s="227"/>
      <c r="M140" s="227"/>
      <c r="N140" s="227"/>
      <c r="O140" s="227"/>
      <c r="P140" s="227"/>
      <c r="Q140" s="227"/>
      <c r="R140" s="227"/>
      <c r="S140" s="227"/>
      <c r="T140" s="227"/>
    </row>
    <row r="141" spans="1:20" x14ac:dyDescent="0.2">
      <c r="A141" s="5"/>
      <c r="B141" s="5"/>
      <c r="C141" s="5"/>
      <c r="D141" s="5"/>
      <c r="E141" s="5"/>
      <c r="F141" s="5"/>
      <c r="G141" s="5"/>
      <c r="H141" s="37"/>
      <c r="I141" s="227"/>
      <c r="J141" s="227"/>
      <c r="K141" s="227"/>
      <c r="L141" s="227"/>
      <c r="M141" s="227"/>
      <c r="N141" s="227"/>
      <c r="O141" s="227"/>
      <c r="P141" s="227"/>
      <c r="Q141" s="227"/>
      <c r="R141" s="227"/>
      <c r="S141" s="227"/>
      <c r="T141" s="227"/>
    </row>
    <row r="142" spans="1:20" x14ac:dyDescent="0.2">
      <c r="A142" s="5"/>
      <c r="B142" s="5"/>
      <c r="C142" s="5"/>
      <c r="D142" s="5"/>
      <c r="E142" s="5"/>
      <c r="F142" s="5"/>
      <c r="G142" s="5"/>
      <c r="H142" s="37"/>
      <c r="I142" s="227"/>
      <c r="J142" s="227"/>
      <c r="K142" s="227"/>
      <c r="L142" s="227"/>
      <c r="M142" s="227"/>
      <c r="N142" s="227"/>
      <c r="O142" s="227"/>
      <c r="P142" s="227"/>
      <c r="Q142" s="227"/>
      <c r="R142" s="227"/>
      <c r="S142" s="227"/>
      <c r="T142" s="227"/>
    </row>
    <row r="143" spans="1:20" x14ac:dyDescent="0.2">
      <c r="A143" s="5"/>
      <c r="B143" s="5"/>
      <c r="C143" s="5"/>
      <c r="D143" s="5"/>
      <c r="E143" s="5"/>
      <c r="F143" s="5"/>
      <c r="G143" s="5"/>
      <c r="H143" s="37"/>
      <c r="I143" s="227"/>
      <c r="J143" s="227"/>
      <c r="K143" s="227"/>
      <c r="L143" s="227"/>
      <c r="M143" s="227"/>
      <c r="N143" s="227"/>
      <c r="O143" s="227"/>
      <c r="P143" s="227"/>
      <c r="Q143" s="227"/>
      <c r="R143" s="227"/>
      <c r="S143" s="227"/>
      <c r="T143" s="227"/>
    </row>
    <row r="144" spans="1:20" x14ac:dyDescent="0.2">
      <c r="A144" s="5"/>
      <c r="B144" s="5"/>
      <c r="C144" s="5"/>
      <c r="D144" s="5"/>
      <c r="E144" s="5"/>
      <c r="F144" s="5"/>
      <c r="G144" s="5"/>
      <c r="H144" s="37"/>
      <c r="I144" s="227"/>
      <c r="J144" s="227"/>
      <c r="K144" s="227"/>
      <c r="L144" s="227"/>
      <c r="M144" s="227"/>
      <c r="N144" s="227"/>
      <c r="O144" s="227"/>
      <c r="P144" s="227"/>
      <c r="Q144" s="227"/>
      <c r="R144" s="227"/>
      <c r="S144" s="227"/>
      <c r="T144" s="227"/>
    </row>
    <row r="145" spans="1:20" x14ac:dyDescent="0.2">
      <c r="A145" s="5"/>
      <c r="B145" s="5"/>
      <c r="C145" s="5"/>
      <c r="D145" s="5"/>
      <c r="E145" s="5"/>
      <c r="F145" s="5"/>
      <c r="G145" s="5"/>
      <c r="H145" s="37"/>
      <c r="I145" s="227"/>
      <c r="J145" s="227"/>
      <c r="K145" s="227"/>
      <c r="L145" s="227"/>
      <c r="M145" s="227"/>
      <c r="N145" s="227"/>
      <c r="O145" s="227"/>
      <c r="P145" s="227"/>
      <c r="Q145" s="227"/>
      <c r="R145" s="227"/>
      <c r="S145" s="227"/>
      <c r="T145" s="227"/>
    </row>
    <row r="146" spans="1:20" x14ac:dyDescent="0.2">
      <c r="A146" s="5"/>
      <c r="B146" s="5"/>
      <c r="C146" s="5"/>
      <c r="D146" s="5"/>
      <c r="E146" s="5"/>
      <c r="F146" s="5"/>
      <c r="G146" s="5"/>
      <c r="H146" s="37"/>
      <c r="I146" s="227"/>
      <c r="J146" s="227"/>
      <c r="K146" s="227"/>
      <c r="L146" s="227"/>
      <c r="M146" s="227"/>
      <c r="N146" s="227"/>
      <c r="O146" s="227"/>
      <c r="P146" s="227"/>
      <c r="Q146" s="227"/>
      <c r="R146" s="227"/>
      <c r="S146" s="227"/>
      <c r="T146" s="227"/>
    </row>
    <row r="147" spans="1:20" x14ac:dyDescent="0.2">
      <c r="A147" s="5"/>
      <c r="B147" s="5"/>
      <c r="C147" s="5"/>
      <c r="D147" s="5"/>
      <c r="E147" s="5"/>
      <c r="F147" s="5"/>
      <c r="G147" s="5"/>
      <c r="H147" s="37"/>
      <c r="I147" s="227"/>
      <c r="J147" s="227"/>
      <c r="K147" s="227"/>
      <c r="L147" s="227"/>
      <c r="M147" s="227"/>
      <c r="N147" s="227"/>
      <c r="O147" s="227"/>
      <c r="P147" s="227"/>
      <c r="Q147" s="227"/>
      <c r="R147" s="227"/>
      <c r="S147" s="227"/>
      <c r="T147" s="227"/>
    </row>
    <row r="148" spans="1:20" x14ac:dyDescent="0.2">
      <c r="A148" s="5"/>
      <c r="B148" s="5"/>
      <c r="C148" s="5"/>
      <c r="D148" s="5"/>
      <c r="E148" s="5"/>
      <c r="F148" s="5"/>
      <c r="G148" s="5"/>
      <c r="H148" s="37"/>
      <c r="I148" s="227"/>
      <c r="J148" s="227"/>
      <c r="K148" s="227"/>
      <c r="L148" s="227"/>
      <c r="M148" s="227"/>
      <c r="N148" s="227"/>
      <c r="O148" s="227"/>
      <c r="P148" s="227"/>
      <c r="Q148" s="227"/>
      <c r="R148" s="227"/>
      <c r="S148" s="227"/>
      <c r="T148" s="227"/>
    </row>
    <row r="149" spans="1:20" x14ac:dyDescent="0.2">
      <c r="A149" s="5"/>
      <c r="B149" s="5"/>
      <c r="C149" s="5"/>
      <c r="D149" s="5"/>
      <c r="E149" s="5"/>
      <c r="F149" s="5"/>
      <c r="G149" s="5"/>
      <c r="H149" s="37"/>
      <c r="I149" s="227"/>
      <c r="J149" s="227"/>
      <c r="K149" s="227"/>
      <c r="L149" s="227"/>
      <c r="M149" s="227"/>
      <c r="N149" s="227"/>
      <c r="O149" s="227"/>
      <c r="P149" s="227"/>
      <c r="Q149" s="227"/>
      <c r="R149" s="227"/>
      <c r="S149" s="227"/>
      <c r="T149" s="227"/>
    </row>
    <row r="150" spans="1:20" x14ac:dyDescent="0.2">
      <c r="A150" s="5"/>
      <c r="B150" s="5"/>
      <c r="C150" s="5"/>
      <c r="D150" s="5"/>
      <c r="E150" s="5"/>
      <c r="F150" s="5"/>
      <c r="G150" s="5"/>
      <c r="H150" s="37"/>
      <c r="I150" s="227"/>
      <c r="J150" s="227"/>
      <c r="K150" s="227"/>
      <c r="L150" s="227"/>
      <c r="M150" s="227"/>
      <c r="N150" s="227"/>
      <c r="O150" s="227"/>
      <c r="P150" s="227"/>
      <c r="Q150" s="227"/>
      <c r="R150" s="227"/>
      <c r="S150" s="227"/>
      <c r="T150" s="227"/>
    </row>
    <row r="151" spans="1:20" x14ac:dyDescent="0.2">
      <c r="A151" s="5"/>
      <c r="B151" s="5"/>
      <c r="C151" s="5"/>
      <c r="D151" s="5"/>
      <c r="E151" s="5"/>
      <c r="F151" s="5"/>
      <c r="G151" s="5"/>
      <c r="H151" s="37"/>
      <c r="I151" s="227"/>
      <c r="J151" s="227"/>
      <c r="K151" s="227"/>
      <c r="L151" s="227"/>
      <c r="M151" s="227"/>
      <c r="N151" s="227"/>
      <c r="O151" s="227"/>
      <c r="P151" s="227"/>
      <c r="Q151" s="227"/>
      <c r="R151" s="227"/>
      <c r="S151" s="227"/>
      <c r="T151" s="227"/>
    </row>
    <row r="152" spans="1:20" x14ac:dyDescent="0.2">
      <c r="A152" s="5"/>
      <c r="B152" s="5"/>
      <c r="C152" s="5"/>
      <c r="D152" s="5"/>
      <c r="E152" s="5"/>
      <c r="F152" s="5"/>
      <c r="G152" s="5"/>
      <c r="H152" s="37"/>
      <c r="I152" s="227"/>
      <c r="J152" s="227"/>
      <c r="K152" s="227"/>
      <c r="L152" s="227"/>
      <c r="M152" s="227"/>
      <c r="N152" s="227"/>
      <c r="O152" s="227"/>
      <c r="P152" s="227"/>
      <c r="Q152" s="227"/>
      <c r="R152" s="227"/>
      <c r="S152" s="227"/>
      <c r="T152" s="227"/>
    </row>
    <row r="153" spans="1:20" x14ac:dyDescent="0.2">
      <c r="A153" s="5"/>
      <c r="B153" s="5"/>
      <c r="C153" s="5"/>
      <c r="D153" s="5"/>
      <c r="E153" s="5"/>
      <c r="F153" s="5"/>
      <c r="G153" s="5"/>
      <c r="H153" s="37"/>
      <c r="I153" s="227"/>
      <c r="J153" s="227"/>
      <c r="K153" s="227"/>
      <c r="L153" s="227"/>
      <c r="M153" s="227"/>
      <c r="N153" s="227"/>
      <c r="O153" s="227"/>
      <c r="P153" s="227"/>
      <c r="Q153" s="227"/>
      <c r="R153" s="227"/>
      <c r="S153" s="227"/>
      <c r="T153" s="227"/>
    </row>
    <row r="154" spans="1:20" x14ac:dyDescent="0.2">
      <c r="A154" s="5"/>
      <c r="B154" s="5"/>
      <c r="C154" s="5"/>
      <c r="D154" s="5"/>
      <c r="E154" s="5"/>
      <c r="F154" s="5"/>
      <c r="G154" s="5"/>
      <c r="H154" s="37"/>
      <c r="I154" s="227"/>
      <c r="J154" s="227"/>
      <c r="K154" s="227"/>
      <c r="L154" s="227"/>
      <c r="M154" s="227"/>
      <c r="N154" s="227"/>
      <c r="O154" s="227"/>
      <c r="P154" s="227"/>
      <c r="Q154" s="227"/>
      <c r="R154" s="227"/>
      <c r="S154" s="227"/>
      <c r="T154" s="227"/>
    </row>
    <row r="155" spans="1:20" x14ac:dyDescent="0.2">
      <c r="A155" s="5"/>
      <c r="B155" s="5"/>
      <c r="C155" s="5"/>
      <c r="D155" s="5"/>
      <c r="E155" s="5"/>
      <c r="F155" s="5"/>
      <c r="G155" s="5"/>
      <c r="H155" s="37"/>
      <c r="I155" s="227"/>
      <c r="J155" s="227"/>
      <c r="K155" s="227"/>
      <c r="L155" s="227"/>
      <c r="M155" s="227"/>
      <c r="N155" s="227"/>
      <c r="O155" s="227"/>
      <c r="P155" s="227"/>
      <c r="Q155" s="227"/>
      <c r="R155" s="227"/>
      <c r="S155" s="227"/>
      <c r="T155" s="227"/>
    </row>
    <row r="156" spans="1:20" x14ac:dyDescent="0.2">
      <c r="A156" s="5"/>
      <c r="B156" s="5"/>
      <c r="C156" s="5"/>
      <c r="D156" s="5"/>
      <c r="E156" s="5"/>
      <c r="F156" s="5"/>
      <c r="G156" s="5"/>
      <c r="H156" s="37"/>
      <c r="I156" s="227"/>
      <c r="J156" s="227"/>
      <c r="K156" s="227"/>
      <c r="L156" s="227"/>
      <c r="M156" s="227"/>
      <c r="N156" s="227"/>
      <c r="O156" s="227"/>
      <c r="P156" s="227"/>
      <c r="Q156" s="227"/>
      <c r="R156" s="227"/>
      <c r="S156" s="227"/>
      <c r="T156" s="227"/>
    </row>
    <row r="157" spans="1:20" x14ac:dyDescent="0.2">
      <c r="A157" s="5"/>
      <c r="B157" s="5"/>
      <c r="C157" s="5"/>
      <c r="D157" s="5"/>
      <c r="E157" s="5"/>
      <c r="F157" s="5"/>
      <c r="G157" s="5"/>
      <c r="H157" s="37"/>
      <c r="I157" s="227"/>
      <c r="J157" s="227"/>
      <c r="K157" s="227"/>
      <c r="L157" s="227"/>
      <c r="M157" s="227"/>
      <c r="N157" s="227"/>
      <c r="O157" s="227"/>
      <c r="P157" s="227"/>
      <c r="Q157" s="227"/>
      <c r="R157" s="227"/>
      <c r="S157" s="227"/>
      <c r="T157" s="227"/>
    </row>
    <row r="158" spans="1:20" x14ac:dyDescent="0.2">
      <c r="A158" s="5"/>
      <c r="B158" s="5"/>
      <c r="C158" s="5"/>
      <c r="D158" s="5"/>
      <c r="E158" s="5"/>
      <c r="F158" s="5"/>
      <c r="G158" s="5"/>
      <c r="H158" s="37"/>
      <c r="I158" s="227"/>
      <c r="J158" s="227"/>
      <c r="K158" s="227"/>
      <c r="L158" s="227"/>
      <c r="M158" s="227"/>
      <c r="N158" s="227"/>
      <c r="O158" s="227"/>
      <c r="P158" s="227"/>
      <c r="Q158" s="227"/>
      <c r="R158" s="227"/>
      <c r="S158" s="227"/>
      <c r="T158" s="227"/>
    </row>
    <row r="159" spans="1:20" x14ac:dyDescent="0.2">
      <c r="A159" s="5"/>
      <c r="B159" s="5"/>
      <c r="C159" s="5"/>
      <c r="D159" s="5"/>
      <c r="E159" s="5"/>
      <c r="F159" s="5"/>
      <c r="G159" s="5"/>
      <c r="H159" s="37"/>
      <c r="I159" s="227"/>
      <c r="J159" s="227"/>
      <c r="K159" s="227"/>
      <c r="L159" s="227"/>
      <c r="M159" s="227"/>
      <c r="N159" s="227"/>
      <c r="O159" s="227"/>
      <c r="P159" s="227"/>
      <c r="Q159" s="227"/>
      <c r="R159" s="227"/>
      <c r="S159" s="227"/>
      <c r="T159" s="227"/>
    </row>
    <row r="160" spans="1:20" x14ac:dyDescent="0.2">
      <c r="A160" s="5"/>
      <c r="B160" s="5"/>
      <c r="C160" s="5"/>
      <c r="D160" s="5"/>
      <c r="E160" s="5"/>
      <c r="F160" s="5"/>
      <c r="G160" s="5"/>
      <c r="H160" s="37"/>
      <c r="I160" s="227"/>
      <c r="J160" s="227"/>
      <c r="K160" s="227"/>
      <c r="L160" s="227"/>
      <c r="M160" s="227"/>
      <c r="N160" s="227"/>
      <c r="O160" s="227"/>
      <c r="P160" s="227"/>
      <c r="Q160" s="227"/>
      <c r="R160" s="227"/>
      <c r="S160" s="227"/>
      <c r="T160" s="227"/>
    </row>
    <row r="161" spans="1:20" x14ac:dyDescent="0.2">
      <c r="A161" s="5"/>
      <c r="B161" s="5"/>
      <c r="C161" s="5"/>
      <c r="D161" s="5"/>
      <c r="E161" s="5"/>
      <c r="F161" s="5"/>
      <c r="G161" s="5"/>
      <c r="H161" s="37"/>
      <c r="I161" s="227"/>
      <c r="J161" s="227"/>
      <c r="K161" s="227"/>
      <c r="L161" s="227"/>
      <c r="M161" s="227"/>
      <c r="N161" s="227"/>
      <c r="O161" s="227"/>
      <c r="P161" s="227"/>
      <c r="Q161" s="227"/>
      <c r="R161" s="227"/>
      <c r="S161" s="227"/>
      <c r="T161" s="227"/>
    </row>
    <row r="162" spans="1:20" x14ac:dyDescent="0.2">
      <c r="A162" s="5"/>
      <c r="B162" s="5"/>
      <c r="C162" s="5"/>
      <c r="D162" s="5"/>
      <c r="E162" s="5"/>
      <c r="F162" s="5"/>
      <c r="G162" s="5"/>
      <c r="H162" s="37"/>
      <c r="I162" s="227"/>
      <c r="J162" s="227"/>
      <c r="K162" s="227"/>
      <c r="L162" s="227"/>
      <c r="M162" s="227"/>
      <c r="N162" s="227"/>
      <c r="O162" s="227"/>
      <c r="P162" s="227"/>
      <c r="Q162" s="227"/>
      <c r="R162" s="227"/>
      <c r="S162" s="227"/>
      <c r="T162" s="227"/>
    </row>
    <row r="163" spans="1:20" x14ac:dyDescent="0.2">
      <c r="A163" s="5"/>
      <c r="B163" s="5"/>
      <c r="C163" s="5"/>
      <c r="D163" s="5"/>
      <c r="E163" s="5"/>
      <c r="F163" s="5"/>
      <c r="G163" s="5"/>
      <c r="H163" s="37"/>
      <c r="I163" s="227"/>
      <c r="J163" s="227"/>
      <c r="K163" s="227"/>
      <c r="L163" s="227"/>
      <c r="M163" s="227"/>
      <c r="N163" s="227"/>
      <c r="O163" s="227"/>
      <c r="P163" s="227"/>
      <c r="Q163" s="227"/>
      <c r="R163" s="227"/>
      <c r="S163" s="227"/>
      <c r="T163" s="227"/>
    </row>
    <row r="164" spans="1:20" x14ac:dyDescent="0.2">
      <c r="A164" s="5"/>
      <c r="B164" s="5"/>
      <c r="C164" s="5"/>
      <c r="D164" s="5"/>
      <c r="E164" s="5"/>
      <c r="F164" s="5"/>
      <c r="G164" s="5"/>
      <c r="H164" s="37"/>
      <c r="I164" s="227"/>
      <c r="J164" s="227"/>
      <c r="K164" s="227"/>
      <c r="L164" s="227"/>
      <c r="M164" s="227"/>
      <c r="N164" s="227"/>
      <c r="O164" s="227"/>
      <c r="P164" s="227"/>
      <c r="Q164" s="227"/>
      <c r="R164" s="227"/>
      <c r="S164" s="227"/>
      <c r="T164" s="227"/>
    </row>
    <row r="165" spans="1:20" x14ac:dyDescent="0.2">
      <c r="A165" s="5"/>
      <c r="B165" s="5"/>
      <c r="C165" s="5"/>
      <c r="D165" s="5"/>
      <c r="E165" s="5"/>
      <c r="F165" s="5"/>
      <c r="G165" s="5"/>
      <c r="H165" s="37"/>
      <c r="I165" s="227"/>
      <c r="J165" s="227"/>
      <c r="K165" s="227"/>
      <c r="L165" s="227"/>
      <c r="M165" s="227"/>
      <c r="N165" s="227"/>
      <c r="O165" s="227"/>
      <c r="P165" s="227"/>
      <c r="Q165" s="227"/>
      <c r="R165" s="227"/>
      <c r="S165" s="227"/>
      <c r="T165" s="227"/>
    </row>
    <row r="166" spans="1:20" x14ac:dyDescent="0.2">
      <c r="A166" s="5"/>
      <c r="B166" s="5"/>
      <c r="C166" s="5"/>
      <c r="D166" s="5"/>
      <c r="E166" s="5"/>
      <c r="F166" s="5"/>
      <c r="G166" s="5"/>
      <c r="H166" s="37"/>
      <c r="I166" s="227"/>
      <c r="J166" s="227"/>
      <c r="K166" s="227"/>
      <c r="L166" s="227"/>
      <c r="M166" s="227"/>
      <c r="N166" s="227"/>
      <c r="O166" s="227"/>
      <c r="P166" s="227"/>
      <c r="Q166" s="227"/>
      <c r="R166" s="227"/>
      <c r="S166" s="227"/>
      <c r="T166" s="227"/>
    </row>
    <row r="167" spans="1:20" x14ac:dyDescent="0.2">
      <c r="A167" s="5"/>
      <c r="B167" s="5"/>
      <c r="C167" s="5"/>
      <c r="D167" s="5"/>
      <c r="E167" s="5"/>
      <c r="F167" s="5"/>
      <c r="G167" s="5"/>
      <c r="H167" s="37"/>
      <c r="I167" s="227"/>
      <c r="J167" s="227"/>
      <c r="K167" s="227"/>
      <c r="L167" s="227"/>
      <c r="M167" s="227"/>
      <c r="N167" s="227"/>
      <c r="O167" s="227"/>
      <c r="P167" s="227"/>
      <c r="Q167" s="227"/>
      <c r="R167" s="227"/>
      <c r="S167" s="227"/>
      <c r="T167" s="227"/>
    </row>
    <row r="168" spans="1:20" x14ac:dyDescent="0.2">
      <c r="A168" s="5"/>
      <c r="B168" s="5"/>
      <c r="C168" s="5"/>
      <c r="D168" s="5"/>
      <c r="E168" s="5"/>
      <c r="F168" s="5"/>
      <c r="G168" s="5"/>
      <c r="H168" s="37"/>
      <c r="I168" s="227"/>
      <c r="J168" s="227"/>
      <c r="K168" s="227"/>
      <c r="L168" s="227"/>
      <c r="M168" s="227"/>
      <c r="N168" s="227"/>
      <c r="O168" s="227"/>
      <c r="P168" s="227"/>
      <c r="Q168" s="227"/>
      <c r="R168" s="227"/>
      <c r="S168" s="227"/>
      <c r="T168" s="227"/>
    </row>
    <row r="169" spans="1:20" x14ac:dyDescent="0.2">
      <c r="A169" s="5"/>
      <c r="B169" s="5"/>
      <c r="C169" s="5"/>
      <c r="D169" s="5"/>
      <c r="E169" s="5"/>
      <c r="F169" s="5"/>
      <c r="G169" s="5"/>
      <c r="H169" s="37"/>
      <c r="I169" s="227"/>
      <c r="J169" s="227"/>
      <c r="K169" s="227"/>
      <c r="L169" s="227"/>
      <c r="M169" s="227"/>
      <c r="N169" s="227"/>
      <c r="O169" s="227"/>
      <c r="P169" s="227"/>
      <c r="Q169" s="227"/>
      <c r="R169" s="227"/>
      <c r="S169" s="227"/>
      <c r="T169" s="227"/>
    </row>
    <row r="170" spans="1:20" x14ac:dyDescent="0.2">
      <c r="A170" s="5"/>
      <c r="B170" s="5"/>
      <c r="C170" s="5"/>
      <c r="D170" s="5"/>
      <c r="E170" s="5"/>
      <c r="F170" s="5"/>
      <c r="G170" s="5"/>
      <c r="H170" s="37"/>
      <c r="I170" s="227"/>
      <c r="J170" s="227"/>
      <c r="K170" s="227"/>
      <c r="L170" s="227"/>
      <c r="M170" s="227"/>
      <c r="N170" s="227"/>
      <c r="O170" s="227"/>
      <c r="P170" s="227"/>
      <c r="Q170" s="227"/>
      <c r="R170" s="227"/>
      <c r="S170" s="227"/>
      <c r="T170" s="227"/>
    </row>
    <row r="171" spans="1:20" x14ac:dyDescent="0.2">
      <c r="A171" s="5"/>
      <c r="B171" s="5"/>
      <c r="C171" s="5"/>
      <c r="D171" s="5"/>
      <c r="E171" s="5"/>
      <c r="F171" s="5"/>
      <c r="G171" s="5"/>
      <c r="H171" s="37"/>
      <c r="I171" s="227"/>
      <c r="J171" s="227"/>
      <c r="K171" s="227"/>
      <c r="L171" s="227"/>
      <c r="M171" s="227"/>
      <c r="N171" s="227"/>
      <c r="O171" s="227"/>
      <c r="P171" s="227"/>
      <c r="Q171" s="227"/>
      <c r="R171" s="227"/>
      <c r="S171" s="227"/>
      <c r="T171" s="227"/>
    </row>
    <row r="172" spans="1:20" x14ac:dyDescent="0.2">
      <c r="A172" s="5"/>
      <c r="B172" s="5"/>
      <c r="C172" s="5"/>
      <c r="D172" s="5"/>
      <c r="E172" s="5"/>
      <c r="F172" s="5"/>
      <c r="G172" s="5"/>
      <c r="H172" s="37"/>
      <c r="I172" s="227"/>
      <c r="J172" s="227"/>
      <c r="K172" s="227"/>
      <c r="L172" s="227"/>
      <c r="M172" s="227"/>
      <c r="N172" s="227"/>
      <c r="O172" s="227"/>
      <c r="P172" s="227"/>
      <c r="Q172" s="227"/>
      <c r="R172" s="227"/>
      <c r="S172" s="227"/>
      <c r="T172" s="227"/>
    </row>
    <row r="173" spans="1:20" x14ac:dyDescent="0.2">
      <c r="A173" s="5"/>
      <c r="B173" s="5"/>
      <c r="C173" s="5"/>
      <c r="D173" s="5"/>
      <c r="E173" s="5"/>
      <c r="F173" s="5"/>
      <c r="G173" s="5"/>
      <c r="H173" s="37"/>
      <c r="I173" s="227"/>
      <c r="J173" s="227"/>
      <c r="K173" s="227"/>
      <c r="L173" s="227"/>
      <c r="M173" s="227"/>
      <c r="N173" s="227"/>
      <c r="O173" s="227"/>
      <c r="P173" s="227"/>
      <c r="Q173" s="227"/>
      <c r="R173" s="227"/>
      <c r="S173" s="227"/>
      <c r="T173" s="227"/>
    </row>
    <row r="174" spans="1:20" x14ac:dyDescent="0.2">
      <c r="A174" s="5"/>
      <c r="B174" s="5"/>
      <c r="C174" s="5"/>
      <c r="D174" s="5"/>
      <c r="E174" s="5"/>
      <c r="F174" s="5"/>
      <c r="G174" s="5"/>
      <c r="H174" s="37"/>
      <c r="I174" s="227"/>
      <c r="J174" s="227"/>
      <c r="K174" s="227"/>
      <c r="L174" s="227"/>
      <c r="M174" s="227"/>
      <c r="N174" s="227"/>
      <c r="O174" s="227"/>
      <c r="P174" s="227"/>
      <c r="Q174" s="227"/>
      <c r="R174" s="227"/>
      <c r="S174" s="227"/>
      <c r="T174" s="227"/>
    </row>
    <row r="175" spans="1:20" x14ac:dyDescent="0.2">
      <c r="A175" s="5"/>
      <c r="B175" s="5"/>
      <c r="C175" s="5"/>
      <c r="D175" s="5"/>
      <c r="E175" s="5"/>
      <c r="F175" s="5"/>
      <c r="G175" s="5"/>
      <c r="H175" s="37"/>
      <c r="I175" s="227"/>
      <c r="J175" s="227"/>
      <c r="K175" s="227"/>
      <c r="L175" s="227"/>
      <c r="M175" s="227"/>
      <c r="N175" s="227"/>
      <c r="O175" s="227"/>
      <c r="P175" s="227"/>
      <c r="Q175" s="227"/>
      <c r="R175" s="227"/>
      <c r="S175" s="227"/>
      <c r="T175" s="227"/>
    </row>
    <row r="176" spans="1:20" x14ac:dyDescent="0.2">
      <c r="A176" s="5"/>
      <c r="B176" s="5"/>
      <c r="C176" s="5"/>
      <c r="D176" s="5"/>
      <c r="E176" s="5"/>
      <c r="F176" s="5"/>
      <c r="G176" s="5"/>
      <c r="H176" s="37"/>
      <c r="I176" s="227"/>
      <c r="J176" s="227"/>
      <c r="K176" s="227"/>
      <c r="L176" s="227"/>
      <c r="M176" s="227"/>
      <c r="N176" s="227"/>
      <c r="O176" s="227"/>
      <c r="P176" s="227"/>
      <c r="Q176" s="227"/>
      <c r="R176" s="227"/>
      <c r="S176" s="227"/>
      <c r="T176" s="227"/>
    </row>
    <row r="177" spans="1:20" x14ac:dyDescent="0.2">
      <c r="A177" s="5"/>
      <c r="B177" s="5"/>
      <c r="C177" s="5"/>
      <c r="D177" s="5"/>
      <c r="E177" s="5"/>
      <c r="F177" s="5"/>
      <c r="G177" s="5"/>
      <c r="H177" s="37"/>
      <c r="I177" s="227"/>
      <c r="J177" s="227"/>
      <c r="K177" s="227"/>
      <c r="L177" s="227"/>
      <c r="M177" s="227"/>
      <c r="N177" s="227"/>
      <c r="O177" s="227"/>
      <c r="P177" s="227"/>
      <c r="Q177" s="227"/>
      <c r="R177" s="227"/>
      <c r="S177" s="227"/>
      <c r="T177" s="227"/>
    </row>
    <row r="178" spans="1:20" x14ac:dyDescent="0.2">
      <c r="A178" s="5"/>
      <c r="B178" s="5"/>
      <c r="C178" s="5"/>
      <c r="D178" s="5"/>
      <c r="E178" s="5"/>
      <c r="F178" s="5"/>
      <c r="G178" s="5"/>
      <c r="H178" s="37"/>
      <c r="I178" s="227"/>
      <c r="J178" s="227"/>
      <c r="K178" s="227"/>
      <c r="L178" s="227"/>
      <c r="M178" s="227"/>
      <c r="N178" s="227"/>
      <c r="O178" s="227"/>
      <c r="P178" s="227"/>
      <c r="Q178" s="227"/>
      <c r="R178" s="227"/>
      <c r="S178" s="227"/>
      <c r="T178" s="227"/>
    </row>
    <row r="179" spans="1:20" x14ac:dyDescent="0.2">
      <c r="A179" s="5"/>
      <c r="B179" s="5"/>
      <c r="C179" s="5"/>
      <c r="D179" s="5"/>
      <c r="E179" s="5"/>
      <c r="F179" s="5"/>
      <c r="G179" s="5"/>
      <c r="H179" s="37"/>
      <c r="I179" s="227"/>
      <c r="J179" s="227"/>
      <c r="K179" s="227"/>
      <c r="L179" s="227"/>
      <c r="M179" s="227"/>
      <c r="N179" s="227"/>
      <c r="O179" s="227"/>
      <c r="P179" s="227"/>
      <c r="Q179" s="227"/>
      <c r="R179" s="227"/>
      <c r="S179" s="227"/>
      <c r="T179" s="227"/>
    </row>
    <row r="180" spans="1:20" x14ac:dyDescent="0.2">
      <c r="A180" s="5"/>
      <c r="B180" s="5"/>
      <c r="C180" s="5"/>
      <c r="D180" s="5"/>
      <c r="E180" s="5"/>
      <c r="F180" s="5"/>
      <c r="G180" s="5"/>
      <c r="H180" s="37"/>
      <c r="I180" s="227"/>
      <c r="J180" s="227"/>
      <c r="K180" s="227"/>
      <c r="L180" s="227"/>
      <c r="M180" s="227"/>
      <c r="N180" s="227"/>
      <c r="O180" s="227"/>
      <c r="P180" s="227"/>
      <c r="Q180" s="227"/>
      <c r="R180" s="227"/>
      <c r="S180" s="227"/>
      <c r="T180" s="227"/>
    </row>
    <row r="181" spans="1:20" x14ac:dyDescent="0.2">
      <c r="A181" s="5"/>
      <c r="B181" s="5"/>
      <c r="C181" s="5"/>
      <c r="D181" s="5"/>
      <c r="E181" s="5"/>
      <c r="F181" s="5"/>
      <c r="G181" s="5"/>
      <c r="H181" s="37"/>
      <c r="I181" s="227"/>
      <c r="J181" s="227"/>
      <c r="K181" s="227"/>
      <c r="L181" s="227"/>
      <c r="M181" s="227"/>
      <c r="N181" s="227"/>
      <c r="O181" s="227"/>
      <c r="P181" s="227"/>
      <c r="Q181" s="227"/>
      <c r="R181" s="227"/>
      <c r="S181" s="227"/>
      <c r="T181" s="227"/>
    </row>
    <row r="182" spans="1:20" x14ac:dyDescent="0.2">
      <c r="A182" s="5"/>
      <c r="B182" s="5"/>
      <c r="C182" s="5"/>
      <c r="D182" s="5"/>
      <c r="E182" s="5"/>
      <c r="F182" s="5"/>
      <c r="G182" s="5"/>
      <c r="H182" s="37"/>
      <c r="I182" s="227"/>
      <c r="J182" s="227"/>
      <c r="K182" s="227"/>
      <c r="L182" s="227"/>
      <c r="M182" s="227"/>
      <c r="N182" s="227"/>
      <c r="O182" s="227"/>
      <c r="P182" s="227"/>
      <c r="Q182" s="227"/>
      <c r="R182" s="227"/>
      <c r="S182" s="227"/>
      <c r="T182" s="227"/>
    </row>
    <row r="183" spans="1:20" x14ac:dyDescent="0.2">
      <c r="A183" s="5"/>
      <c r="B183" s="5"/>
      <c r="C183" s="5"/>
      <c r="D183" s="5"/>
      <c r="E183" s="5"/>
      <c r="F183" s="5"/>
      <c r="G183" s="5"/>
      <c r="H183" s="37"/>
      <c r="I183" s="227"/>
      <c r="J183" s="227"/>
      <c r="K183" s="227"/>
      <c r="L183" s="227"/>
      <c r="M183" s="227"/>
      <c r="N183" s="227"/>
      <c r="O183" s="227"/>
      <c r="P183" s="227"/>
      <c r="Q183" s="227"/>
      <c r="R183" s="227"/>
      <c r="S183" s="227"/>
      <c r="T183" s="227"/>
    </row>
    <row r="184" spans="1:20" x14ac:dyDescent="0.2">
      <c r="A184" s="5"/>
      <c r="B184" s="5"/>
      <c r="C184" s="5"/>
      <c r="D184" s="5"/>
      <c r="E184" s="5"/>
      <c r="F184" s="5"/>
      <c r="G184" s="5"/>
      <c r="H184" s="37"/>
      <c r="I184" s="227"/>
      <c r="J184" s="227"/>
      <c r="K184" s="227"/>
      <c r="L184" s="227"/>
      <c r="M184" s="227"/>
      <c r="N184" s="227"/>
      <c r="O184" s="227"/>
      <c r="P184" s="227"/>
      <c r="Q184" s="227"/>
      <c r="R184" s="227"/>
      <c r="S184" s="227"/>
      <c r="T184" s="227"/>
    </row>
    <row r="185" spans="1:20" x14ac:dyDescent="0.2">
      <c r="A185" s="5"/>
      <c r="B185" s="5"/>
      <c r="C185" s="5"/>
      <c r="D185" s="5"/>
      <c r="E185" s="5"/>
      <c r="F185" s="5"/>
      <c r="G185" s="5"/>
      <c r="H185" s="37"/>
      <c r="I185" s="227"/>
      <c r="J185" s="227"/>
      <c r="K185" s="227"/>
      <c r="L185" s="227"/>
      <c r="M185" s="227"/>
      <c r="N185" s="227"/>
      <c r="O185" s="227"/>
      <c r="P185" s="227"/>
      <c r="Q185" s="227"/>
      <c r="R185" s="227"/>
      <c r="S185" s="227"/>
      <c r="T185" s="227"/>
    </row>
    <row r="186" spans="1:20" x14ac:dyDescent="0.2">
      <c r="A186" s="5"/>
      <c r="B186" s="5"/>
      <c r="C186" s="5"/>
      <c r="D186" s="5"/>
      <c r="E186" s="5"/>
      <c r="F186" s="5"/>
      <c r="G186" s="5"/>
      <c r="H186" s="37"/>
      <c r="I186" s="227"/>
      <c r="J186" s="227"/>
      <c r="K186" s="227"/>
      <c r="L186" s="227"/>
      <c r="M186" s="227"/>
      <c r="N186" s="227"/>
      <c r="O186" s="227"/>
      <c r="P186" s="227"/>
      <c r="Q186" s="227"/>
      <c r="R186" s="227"/>
      <c r="S186" s="227"/>
      <c r="T186" s="227"/>
    </row>
    <row r="187" spans="1:20" x14ac:dyDescent="0.2">
      <c r="A187" s="5"/>
      <c r="B187" s="5"/>
      <c r="C187" s="5"/>
      <c r="D187" s="5"/>
      <c r="E187" s="5"/>
      <c r="F187" s="5"/>
      <c r="G187" s="5"/>
      <c r="H187" s="37"/>
      <c r="I187" s="227"/>
      <c r="J187" s="227"/>
      <c r="K187" s="227"/>
      <c r="L187" s="227"/>
      <c r="M187" s="227"/>
      <c r="N187" s="227"/>
      <c r="O187" s="227"/>
      <c r="P187" s="227"/>
      <c r="Q187" s="227"/>
      <c r="R187" s="227"/>
      <c r="S187" s="227"/>
      <c r="T187" s="227"/>
    </row>
    <row r="188" spans="1:20" x14ac:dyDescent="0.2">
      <c r="A188" s="5"/>
      <c r="B188" s="5"/>
      <c r="C188" s="5"/>
      <c r="D188" s="5"/>
      <c r="E188" s="5"/>
      <c r="F188" s="5"/>
      <c r="G188" s="5"/>
      <c r="H188" s="37"/>
      <c r="I188" s="227"/>
      <c r="J188" s="227"/>
      <c r="K188" s="227"/>
      <c r="L188" s="227"/>
      <c r="M188" s="227"/>
      <c r="N188" s="227"/>
      <c r="O188" s="227"/>
      <c r="P188" s="227"/>
      <c r="Q188" s="227"/>
      <c r="R188" s="227"/>
      <c r="S188" s="227"/>
      <c r="T188" s="227"/>
    </row>
    <row r="189" spans="1:20" x14ac:dyDescent="0.2">
      <c r="A189" s="5"/>
      <c r="B189" s="5"/>
      <c r="C189" s="5"/>
      <c r="D189" s="5"/>
      <c r="E189" s="5"/>
      <c r="F189" s="5"/>
      <c r="G189" s="5"/>
      <c r="H189" s="37"/>
      <c r="I189" s="227"/>
      <c r="J189" s="227"/>
      <c r="K189" s="227"/>
      <c r="L189" s="227"/>
      <c r="M189" s="227"/>
      <c r="N189" s="227"/>
      <c r="O189" s="227"/>
      <c r="P189" s="227"/>
      <c r="Q189" s="227"/>
      <c r="R189" s="227"/>
      <c r="S189" s="227"/>
      <c r="T189" s="227"/>
    </row>
    <row r="190" spans="1:20" x14ac:dyDescent="0.2">
      <c r="A190" s="5"/>
      <c r="B190" s="5"/>
      <c r="C190" s="5"/>
      <c r="D190" s="5"/>
      <c r="E190" s="5"/>
      <c r="F190" s="5"/>
      <c r="G190" s="5"/>
      <c r="H190" s="37"/>
      <c r="I190" s="227"/>
      <c r="J190" s="227"/>
      <c r="K190" s="227"/>
      <c r="L190" s="227"/>
      <c r="M190" s="227"/>
      <c r="N190" s="227"/>
      <c r="O190" s="227"/>
      <c r="P190" s="227"/>
      <c r="Q190" s="227"/>
      <c r="R190" s="227"/>
      <c r="S190" s="227"/>
      <c r="T190" s="227"/>
    </row>
    <row r="191" spans="1:20" x14ac:dyDescent="0.2">
      <c r="A191" s="5"/>
      <c r="B191" s="5"/>
      <c r="C191" s="5"/>
      <c r="D191" s="5"/>
      <c r="E191" s="5"/>
      <c r="F191" s="5"/>
      <c r="G191" s="5"/>
      <c r="H191" s="37"/>
      <c r="I191" s="227"/>
      <c r="J191" s="227"/>
      <c r="K191" s="227"/>
      <c r="L191" s="227"/>
      <c r="M191" s="227"/>
      <c r="N191" s="227"/>
      <c r="O191" s="227"/>
      <c r="P191" s="227"/>
      <c r="Q191" s="227"/>
      <c r="R191" s="227"/>
      <c r="S191" s="227"/>
      <c r="T191" s="227"/>
    </row>
    <row r="192" spans="1:20" x14ac:dyDescent="0.2">
      <c r="A192" s="5"/>
      <c r="B192" s="5"/>
      <c r="C192" s="5"/>
      <c r="D192" s="5"/>
      <c r="E192" s="5"/>
      <c r="F192" s="5"/>
      <c r="G192" s="5"/>
      <c r="H192" s="37"/>
      <c r="I192" s="227"/>
      <c r="J192" s="227"/>
      <c r="K192" s="227"/>
      <c r="L192" s="227"/>
      <c r="M192" s="227"/>
      <c r="N192" s="227"/>
      <c r="O192" s="227"/>
      <c r="P192" s="227"/>
      <c r="Q192" s="227"/>
      <c r="R192" s="227"/>
      <c r="S192" s="227"/>
      <c r="T192" s="227"/>
    </row>
    <row r="193" spans="1:20" x14ac:dyDescent="0.2">
      <c r="A193" s="5"/>
      <c r="B193" s="5"/>
      <c r="C193" s="5"/>
      <c r="D193" s="5"/>
      <c r="E193" s="5"/>
      <c r="F193" s="5"/>
      <c r="G193" s="5"/>
      <c r="H193" s="37"/>
      <c r="I193" s="227"/>
      <c r="J193" s="227"/>
      <c r="K193" s="227"/>
      <c r="L193" s="227"/>
      <c r="M193" s="227"/>
      <c r="N193" s="227"/>
      <c r="O193" s="227"/>
      <c r="P193" s="227"/>
      <c r="Q193" s="227"/>
      <c r="R193" s="227"/>
      <c r="S193" s="227"/>
      <c r="T193" s="227"/>
    </row>
    <row r="194" spans="1:20" x14ac:dyDescent="0.2">
      <c r="A194" s="5"/>
      <c r="B194" s="5"/>
      <c r="C194" s="5"/>
      <c r="D194" s="5"/>
      <c r="E194" s="5"/>
      <c r="F194" s="5"/>
      <c r="G194" s="5"/>
      <c r="H194" s="37"/>
      <c r="I194" s="227"/>
      <c r="J194" s="227"/>
      <c r="K194" s="227"/>
      <c r="L194" s="227"/>
      <c r="M194" s="227"/>
      <c r="N194" s="227"/>
      <c r="O194" s="227"/>
      <c r="P194" s="227"/>
      <c r="Q194" s="227"/>
      <c r="R194" s="227"/>
      <c r="S194" s="227"/>
      <c r="T194" s="227"/>
    </row>
    <row r="195" spans="1:20" x14ac:dyDescent="0.2">
      <c r="A195" s="5"/>
      <c r="B195" s="5"/>
      <c r="C195" s="5"/>
      <c r="D195" s="5"/>
      <c r="E195" s="5"/>
      <c r="F195" s="5"/>
      <c r="G195" s="5"/>
      <c r="H195" s="37"/>
      <c r="I195" s="227"/>
      <c r="J195" s="227"/>
      <c r="K195" s="227"/>
      <c r="L195" s="227"/>
      <c r="M195" s="227"/>
      <c r="N195" s="227"/>
      <c r="O195" s="227"/>
      <c r="P195" s="227"/>
      <c r="Q195" s="227"/>
      <c r="R195" s="227"/>
      <c r="S195" s="227"/>
      <c r="T195" s="227"/>
    </row>
    <row r="196" spans="1:20" x14ac:dyDescent="0.2">
      <c r="A196" s="5"/>
      <c r="B196" s="5"/>
      <c r="C196" s="5"/>
      <c r="D196" s="5"/>
      <c r="E196" s="5"/>
      <c r="F196" s="5"/>
      <c r="G196" s="5"/>
      <c r="H196" s="37"/>
      <c r="I196" s="227"/>
      <c r="J196" s="227"/>
      <c r="K196" s="227"/>
      <c r="L196" s="227"/>
      <c r="M196" s="227"/>
      <c r="N196" s="227"/>
      <c r="O196" s="227"/>
      <c r="P196" s="227"/>
      <c r="Q196" s="227"/>
      <c r="R196" s="227"/>
      <c r="S196" s="227"/>
      <c r="T196" s="227"/>
    </row>
    <row r="197" spans="1:20" x14ac:dyDescent="0.2">
      <c r="A197" s="5"/>
      <c r="B197" s="5"/>
      <c r="C197" s="5"/>
      <c r="D197" s="5"/>
      <c r="E197" s="5"/>
      <c r="F197" s="5"/>
      <c r="G197" s="5"/>
      <c r="H197" s="37"/>
      <c r="I197" s="227"/>
      <c r="J197" s="227"/>
      <c r="K197" s="227"/>
      <c r="L197" s="227"/>
      <c r="M197" s="227"/>
      <c r="N197" s="227"/>
      <c r="O197" s="227"/>
      <c r="P197" s="227"/>
      <c r="Q197" s="227"/>
      <c r="R197" s="227"/>
      <c r="S197" s="227"/>
      <c r="T197" s="227"/>
    </row>
    <row r="198" spans="1:20" x14ac:dyDescent="0.2">
      <c r="A198" s="5"/>
      <c r="B198" s="5"/>
      <c r="C198" s="5"/>
      <c r="D198" s="5"/>
      <c r="E198" s="5"/>
      <c r="F198" s="5"/>
      <c r="G198" s="5"/>
      <c r="H198" s="37"/>
      <c r="I198" s="227"/>
      <c r="J198" s="227"/>
      <c r="K198" s="227"/>
      <c r="L198" s="227"/>
      <c r="M198" s="227"/>
      <c r="N198" s="227"/>
      <c r="O198" s="227"/>
      <c r="P198" s="227"/>
      <c r="Q198" s="227"/>
      <c r="R198" s="227"/>
      <c r="S198" s="227"/>
      <c r="T198" s="227"/>
    </row>
    <row r="199" spans="1:20" x14ac:dyDescent="0.2">
      <c r="A199" s="5"/>
      <c r="B199" s="5"/>
      <c r="C199" s="5"/>
      <c r="D199" s="5"/>
      <c r="E199" s="5"/>
      <c r="F199" s="5"/>
      <c r="G199" s="5"/>
      <c r="H199" s="37"/>
      <c r="I199" s="227"/>
      <c r="J199" s="227"/>
      <c r="K199" s="227"/>
      <c r="L199" s="227"/>
      <c r="M199" s="227"/>
      <c r="N199" s="227"/>
      <c r="O199" s="227"/>
      <c r="P199" s="227"/>
      <c r="Q199" s="227"/>
      <c r="R199" s="227"/>
      <c r="S199" s="227"/>
      <c r="T199" s="227"/>
    </row>
    <row r="200" spans="1:20" x14ac:dyDescent="0.2">
      <c r="A200" s="169"/>
      <c r="B200" s="169"/>
      <c r="C200" s="169"/>
      <c r="D200" s="169"/>
      <c r="E200" s="169"/>
      <c r="F200" s="169"/>
      <c r="G200" s="169"/>
      <c r="H200" s="169"/>
      <c r="I200" s="171"/>
      <c r="J200" s="171"/>
      <c r="K200" s="171"/>
      <c r="L200" s="171"/>
      <c r="M200" s="171"/>
      <c r="N200" s="171"/>
      <c r="O200" s="171"/>
      <c r="P200" s="171"/>
      <c r="Q200" s="171"/>
      <c r="R200" s="171"/>
      <c r="S200" s="171"/>
      <c r="T200" s="171"/>
    </row>
    <row r="201" spans="1:20" x14ac:dyDescent="0.2">
      <c r="A201" s="5"/>
      <c r="B201" s="5"/>
      <c r="C201" s="5"/>
      <c r="D201" s="5"/>
      <c r="E201" s="5"/>
      <c r="F201" s="5"/>
      <c r="G201" s="5"/>
      <c r="H201" s="5"/>
      <c r="I201" s="116"/>
      <c r="J201" s="116"/>
      <c r="K201" s="116"/>
      <c r="L201" s="116"/>
      <c r="M201" s="116"/>
      <c r="N201" s="116"/>
      <c r="O201" s="116"/>
      <c r="P201" s="116"/>
      <c r="Q201" s="116"/>
      <c r="R201" s="116"/>
      <c r="S201" s="116"/>
      <c r="T201" s="116"/>
    </row>
    <row r="202" spans="1:20" x14ac:dyDescent="0.2">
      <c r="A202" s="5"/>
      <c r="B202" s="5"/>
      <c r="C202" s="5"/>
      <c r="D202" s="5"/>
      <c r="E202" s="5"/>
      <c r="F202" s="5"/>
      <c r="G202" s="5"/>
      <c r="H202" s="5"/>
      <c r="I202" s="116"/>
      <c r="J202" s="116"/>
      <c r="K202" s="116"/>
      <c r="L202" s="116"/>
      <c r="M202" s="116"/>
      <c r="N202" s="116"/>
      <c r="O202" s="116"/>
      <c r="P202" s="116"/>
      <c r="Q202" s="116"/>
      <c r="R202" s="116"/>
      <c r="S202" s="116"/>
      <c r="T202" s="116"/>
    </row>
    <row r="203" spans="1:20" x14ac:dyDescent="0.2">
      <c r="A203" s="5"/>
      <c r="B203" s="5"/>
      <c r="C203" s="5"/>
      <c r="D203" s="5"/>
      <c r="E203" s="5"/>
      <c r="F203" s="5"/>
      <c r="G203" s="5"/>
      <c r="H203" s="5"/>
      <c r="I203" s="116"/>
      <c r="J203" s="116"/>
      <c r="K203" s="116"/>
      <c r="L203" s="116"/>
      <c r="M203" s="116"/>
      <c r="N203" s="116"/>
      <c r="O203" s="116"/>
      <c r="P203" s="116"/>
      <c r="Q203" s="116"/>
      <c r="R203" s="116"/>
      <c r="S203" s="116"/>
      <c r="T203" s="116"/>
    </row>
    <row r="204" spans="1:20" x14ac:dyDescent="0.2">
      <c r="A204" s="5"/>
      <c r="B204" s="5"/>
      <c r="C204" s="5"/>
      <c r="D204" s="5"/>
      <c r="E204" s="5"/>
      <c r="F204" s="5"/>
      <c r="G204" s="5"/>
      <c r="H204" s="5"/>
      <c r="I204" s="116"/>
      <c r="J204" s="116"/>
      <c r="K204" s="116"/>
      <c r="L204" s="116"/>
      <c r="M204" s="116"/>
      <c r="N204" s="116"/>
      <c r="O204" s="116"/>
      <c r="P204" s="116"/>
      <c r="Q204" s="116"/>
      <c r="R204" s="116"/>
      <c r="S204" s="116"/>
      <c r="T204" s="116"/>
    </row>
    <row r="205" spans="1:20" x14ac:dyDescent="0.2">
      <c r="A205" s="5"/>
      <c r="B205" s="5"/>
      <c r="C205" s="5"/>
      <c r="D205" s="5"/>
      <c r="E205" s="5"/>
      <c r="F205" s="5"/>
      <c r="G205" s="5"/>
      <c r="H205" s="5"/>
      <c r="I205" s="116"/>
      <c r="J205" s="116"/>
      <c r="K205" s="116"/>
      <c r="L205" s="116"/>
      <c r="M205" s="116"/>
      <c r="N205" s="116"/>
      <c r="O205" s="116"/>
      <c r="P205" s="116"/>
      <c r="Q205" s="116"/>
      <c r="R205" s="116"/>
      <c r="S205" s="116"/>
      <c r="T205" s="116"/>
    </row>
    <row r="206" spans="1:20" x14ac:dyDescent="0.2">
      <c r="A206" s="5"/>
      <c r="B206" s="5"/>
      <c r="C206" s="5"/>
      <c r="D206" s="5"/>
      <c r="E206" s="5"/>
      <c r="F206" s="5"/>
      <c r="G206" s="5"/>
      <c r="H206" s="5"/>
      <c r="I206" s="116"/>
      <c r="J206" s="116"/>
      <c r="K206" s="116"/>
      <c r="L206" s="116"/>
      <c r="M206" s="116"/>
      <c r="N206" s="116"/>
      <c r="O206" s="116"/>
      <c r="P206" s="116"/>
      <c r="Q206" s="116"/>
      <c r="R206" s="116"/>
      <c r="S206" s="116"/>
      <c r="T206" s="116"/>
    </row>
    <row r="207" spans="1:20" x14ac:dyDescent="0.2">
      <c r="A207" s="5"/>
      <c r="B207" s="5"/>
      <c r="C207" s="5"/>
      <c r="D207" s="5"/>
      <c r="E207" s="5"/>
      <c r="F207" s="5"/>
      <c r="G207" s="5"/>
      <c r="H207" s="5"/>
      <c r="I207" s="116"/>
      <c r="J207" s="116"/>
      <c r="K207" s="116"/>
      <c r="L207" s="116"/>
      <c r="M207" s="116"/>
      <c r="N207" s="116"/>
      <c r="O207" s="116"/>
      <c r="P207" s="116"/>
      <c r="Q207" s="116"/>
      <c r="R207" s="116"/>
      <c r="S207" s="116"/>
      <c r="T207" s="116"/>
    </row>
    <row r="208" spans="1:20" x14ac:dyDescent="0.2">
      <c r="A208" s="5"/>
      <c r="B208" s="5"/>
      <c r="C208" s="5"/>
      <c r="D208" s="5"/>
      <c r="E208" s="5"/>
      <c r="F208" s="5"/>
      <c r="G208" s="5"/>
      <c r="H208" s="5"/>
      <c r="I208" s="116"/>
      <c r="J208" s="116"/>
      <c r="K208" s="116"/>
      <c r="L208" s="116"/>
      <c r="M208" s="116"/>
      <c r="N208" s="116"/>
      <c r="O208" s="116"/>
      <c r="P208" s="116"/>
      <c r="Q208" s="116"/>
      <c r="R208" s="116"/>
      <c r="S208" s="116"/>
      <c r="T208" s="116"/>
    </row>
    <row r="209" spans="1:20" x14ac:dyDescent="0.2">
      <c r="A209" s="5"/>
      <c r="B209" s="5"/>
      <c r="C209" s="5"/>
      <c r="D209" s="5"/>
      <c r="E209" s="5"/>
      <c r="F209" s="5"/>
      <c r="G209" s="5"/>
      <c r="H209" s="5"/>
      <c r="I209" s="116"/>
      <c r="J209" s="116"/>
      <c r="K209" s="116"/>
      <c r="L209" s="116"/>
      <c r="M209" s="116"/>
      <c r="N209" s="116"/>
      <c r="O209" s="116"/>
      <c r="P209" s="116"/>
      <c r="Q209" s="116"/>
      <c r="R209" s="116"/>
      <c r="S209" s="116"/>
      <c r="T209" s="116"/>
    </row>
  </sheetData>
  <mergeCells count="9">
    <mergeCell ref="A8:H8"/>
    <mergeCell ref="A1:I1"/>
    <mergeCell ref="A2:I2"/>
    <mergeCell ref="I8:T8"/>
    <mergeCell ref="I4:J4"/>
    <mergeCell ref="A4:G4"/>
    <mergeCell ref="A5:C5"/>
    <mergeCell ref="D5:E5"/>
    <mergeCell ref="A7:T7"/>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Sheet11.subscribeToExecutions">
                <anchor moveWithCells="1">
                  <from>
                    <xdr:col>0</xdr:col>
                    <xdr:colOff>133350</xdr:colOff>
                    <xdr:row>1</xdr:row>
                    <xdr:rowOff>85725</xdr:rowOff>
                  </from>
                  <to>
                    <xdr:col>2</xdr:col>
                    <xdr:colOff>495300</xdr:colOff>
                    <xdr:row>1</xdr:row>
                    <xdr:rowOff>285750</xdr:rowOff>
                  </to>
                </anchor>
              </controlPr>
            </control>
          </mc:Choice>
        </mc:AlternateContent>
        <mc:AlternateContent xmlns:mc="http://schemas.openxmlformats.org/markup-compatibility/2006">
          <mc:Choice Requires="x14">
            <control shapeId="25602" r:id="rId5" name="Button 2">
              <controlPr defaultSize="0" print="0" autoFill="0" autoPict="0" macro="[0]!Sheet11.onShowError">
                <anchor moveWithCells="1">
                  <from>
                    <xdr:col>7</xdr:col>
                    <xdr:colOff>600075</xdr:colOff>
                    <xdr:row>1</xdr:row>
                    <xdr:rowOff>85725</xdr:rowOff>
                  </from>
                  <to>
                    <xdr:col>8</xdr:col>
                    <xdr:colOff>819150</xdr:colOff>
                    <xdr:row>1</xdr:row>
                    <xdr:rowOff>285750</xdr:rowOff>
                  </to>
                </anchor>
              </controlPr>
            </control>
          </mc:Choice>
        </mc:AlternateContent>
        <mc:AlternateContent xmlns:mc="http://schemas.openxmlformats.org/markup-compatibility/2006">
          <mc:Choice Requires="x14">
            <control shapeId="25603" r:id="rId6" name="Button 3">
              <controlPr defaultSize="0" print="0" autoFill="0" autoPict="0" macro="[0]!Sheet11.cancelExecutionsSubscription">
                <anchor moveWithCells="1">
                  <from>
                    <xdr:col>3</xdr:col>
                    <xdr:colOff>28575</xdr:colOff>
                    <xdr:row>1</xdr:row>
                    <xdr:rowOff>85725</xdr:rowOff>
                  </from>
                  <to>
                    <xdr:col>5</xdr:col>
                    <xdr:colOff>800100</xdr:colOff>
                    <xdr:row>1</xdr:row>
                    <xdr:rowOff>285750</xdr:rowOff>
                  </to>
                </anchor>
              </controlPr>
            </control>
          </mc:Choice>
        </mc:AlternateContent>
        <mc:AlternateContent xmlns:mc="http://schemas.openxmlformats.org/markup-compatibility/2006">
          <mc:Choice Requires="x14">
            <control shapeId="25604" r:id="rId7" name="Button 4">
              <controlPr defaultSize="0" print="0" autoFill="0" autoPict="0" macro="[0]!Sheet11.clearExecutions">
                <anchor moveWithCells="1">
                  <from>
                    <xdr:col>6</xdr:col>
                    <xdr:colOff>0</xdr:colOff>
                    <xdr:row>1</xdr:row>
                    <xdr:rowOff>85725</xdr:rowOff>
                  </from>
                  <to>
                    <xdr:col>7</xdr:col>
                    <xdr:colOff>390525</xdr:colOff>
                    <xdr:row>1</xdr:row>
                    <xdr:rowOff>285750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BL207"/>
  <sheetViews>
    <sheetView zoomScale="80" workbookViewId="0">
      <selection activeCell="Q35" sqref="Q35"/>
    </sheetView>
  </sheetViews>
  <sheetFormatPr defaultRowHeight="12.75" x14ac:dyDescent="0.2"/>
  <cols>
    <col min="2" max="2" width="7.7109375" customWidth="1"/>
    <col min="3" max="3" width="16.28515625" customWidth="1"/>
    <col min="5" max="5" width="8" customWidth="1"/>
    <col min="8" max="8" width="33.42578125" bestFit="1" customWidth="1"/>
    <col min="9" max="9" width="25.42578125" customWidth="1"/>
    <col min="10" max="10" width="18.7109375" bestFit="1" customWidth="1"/>
    <col min="11" max="11" width="9.42578125" customWidth="1"/>
    <col min="13" max="13" width="7.5703125" customWidth="1"/>
    <col min="15" max="15" width="10" customWidth="1"/>
    <col min="16" max="16" width="11.28515625" customWidth="1"/>
    <col min="17" max="17" width="10.28515625" bestFit="1" customWidth="1"/>
    <col min="18" max="18" width="25.28515625" bestFit="1" customWidth="1"/>
    <col min="19" max="19" width="10.7109375" customWidth="1"/>
    <col min="20" max="20" width="20" customWidth="1"/>
  </cols>
  <sheetData>
    <row r="1" spans="1:64" x14ac:dyDescent="0.2">
      <c r="A1" s="430" t="s">
        <v>340</v>
      </c>
      <c r="B1" s="274"/>
      <c r="C1" s="274"/>
      <c r="D1" s="274"/>
      <c r="E1" s="274"/>
      <c r="F1" s="274"/>
      <c r="G1" s="274"/>
      <c r="H1" s="274"/>
      <c r="I1" s="274"/>
      <c r="J1" s="274"/>
      <c r="K1" s="274"/>
      <c r="L1" s="274"/>
      <c r="M1" s="274"/>
      <c r="N1" s="274"/>
      <c r="O1" s="274"/>
      <c r="P1" s="274"/>
      <c r="Q1" s="274"/>
      <c r="R1" s="275"/>
    </row>
    <row r="2" spans="1:64" s="7" customFormat="1" x14ac:dyDescent="0.2">
      <c r="A2" s="50"/>
      <c r="B2" s="50"/>
      <c r="C2" s="50"/>
      <c r="D2" s="50"/>
      <c r="E2" s="50"/>
      <c r="F2" s="50"/>
      <c r="G2" s="50"/>
      <c r="H2" s="50"/>
      <c r="I2" s="50"/>
      <c r="J2" s="50"/>
      <c r="L2" s="50"/>
      <c r="M2" s="50"/>
      <c r="N2" s="50"/>
      <c r="O2" s="50"/>
      <c r="P2" s="50"/>
      <c r="Q2" s="50"/>
      <c r="R2" s="50"/>
      <c r="S2" s="50"/>
    </row>
    <row r="3" spans="1:64" s="7" customFormat="1" x14ac:dyDescent="0.2">
      <c r="A3" s="264" t="s">
        <v>341</v>
      </c>
      <c r="B3" s="433"/>
      <c r="C3" s="433"/>
      <c r="D3" s="433"/>
      <c r="E3" s="433"/>
      <c r="F3" s="433"/>
      <c r="G3" s="433"/>
      <c r="H3" s="265"/>
      <c r="I3" s="265"/>
      <c r="J3" s="266"/>
      <c r="L3" s="50"/>
      <c r="M3" s="50"/>
      <c r="N3" s="50"/>
      <c r="O3" s="50"/>
      <c r="P3" s="50"/>
      <c r="Q3" s="50"/>
      <c r="R3" s="50"/>
      <c r="S3" s="50"/>
    </row>
    <row r="4" spans="1:64" s="7" customFormat="1" x14ac:dyDescent="0.2">
      <c r="A4" s="75" t="s">
        <v>22</v>
      </c>
      <c r="B4" s="277">
        <v>1</v>
      </c>
      <c r="C4" s="277"/>
      <c r="D4" s="35"/>
      <c r="E4" s="35" t="s">
        <v>63</v>
      </c>
      <c r="F4" s="432"/>
      <c r="G4" s="334"/>
      <c r="H4" s="334"/>
      <c r="I4" s="434"/>
      <c r="J4" s="351"/>
      <c r="O4" s="50"/>
      <c r="P4" s="50"/>
      <c r="Q4" s="50"/>
      <c r="R4" s="50"/>
      <c r="S4" s="50"/>
    </row>
    <row r="5" spans="1:64" s="7" customFormat="1" x14ac:dyDescent="0.2">
      <c r="A5" s="50"/>
      <c r="B5" s="50"/>
      <c r="C5" s="50"/>
      <c r="D5" s="50"/>
      <c r="E5" s="50"/>
      <c r="F5" s="50"/>
      <c r="G5" s="50"/>
      <c r="H5" s="50"/>
      <c r="I5" s="50"/>
      <c r="J5" s="50"/>
      <c r="L5" s="50"/>
      <c r="M5" s="50"/>
      <c r="N5" s="50"/>
      <c r="O5" s="50"/>
      <c r="P5" s="50"/>
      <c r="Q5" s="50"/>
      <c r="R5" s="50"/>
      <c r="S5" s="50"/>
    </row>
    <row r="6" spans="1:64" x14ac:dyDescent="0.2">
      <c r="A6" s="344" t="s">
        <v>28</v>
      </c>
      <c r="B6" s="345"/>
      <c r="C6" s="345"/>
      <c r="D6" s="345"/>
      <c r="E6" s="345"/>
      <c r="F6" s="345"/>
      <c r="G6" s="431"/>
      <c r="H6" s="345" t="s">
        <v>332</v>
      </c>
      <c r="I6" s="350"/>
      <c r="J6" s="350"/>
      <c r="K6" s="350"/>
      <c r="L6" s="350"/>
      <c r="M6" s="350"/>
      <c r="N6" s="350"/>
      <c r="O6" s="350"/>
      <c r="P6" s="350"/>
      <c r="Q6" s="350"/>
      <c r="R6" s="351"/>
    </row>
    <row r="7" spans="1:64" x14ac:dyDescent="0.2">
      <c r="A7" s="49" t="s">
        <v>10</v>
      </c>
      <c r="B7" s="49" t="s">
        <v>22</v>
      </c>
      <c r="C7" s="49" t="s">
        <v>565</v>
      </c>
      <c r="D7" s="49" t="s">
        <v>11</v>
      </c>
      <c r="E7" s="49" t="s">
        <v>24</v>
      </c>
      <c r="F7" s="49" t="s">
        <v>13</v>
      </c>
      <c r="G7" s="49" t="s">
        <v>41</v>
      </c>
      <c r="H7" s="49" t="s">
        <v>101</v>
      </c>
      <c r="I7" s="49" t="s">
        <v>102</v>
      </c>
      <c r="J7" s="59" t="s">
        <v>103</v>
      </c>
      <c r="K7" s="59" t="s">
        <v>74</v>
      </c>
      <c r="L7" s="162" t="s">
        <v>13</v>
      </c>
      <c r="M7" s="60" t="s">
        <v>104</v>
      </c>
      <c r="N7" s="162" t="s">
        <v>15</v>
      </c>
      <c r="O7" s="162" t="s">
        <v>35</v>
      </c>
      <c r="P7" s="59" t="s">
        <v>334</v>
      </c>
      <c r="Q7" s="163" t="s">
        <v>333</v>
      </c>
      <c r="R7" s="163" t="s">
        <v>75</v>
      </c>
      <c r="T7" s="166" t="s">
        <v>344</v>
      </c>
      <c r="AR7">
        <v>3</v>
      </c>
      <c r="AS7">
        <v>1</v>
      </c>
      <c r="AT7" t="s">
        <v>316</v>
      </c>
      <c r="AU7">
        <v>534</v>
      </c>
      <c r="AV7">
        <v>0</v>
      </c>
      <c r="AX7">
        <v>0</v>
      </c>
      <c r="AY7">
        <v>0</v>
      </c>
      <c r="AZ7">
        <v>0</v>
      </c>
      <c r="BB7">
        <v>0</v>
      </c>
      <c r="BL7">
        <v>0</v>
      </c>
    </row>
    <row r="8" spans="1:64" x14ac:dyDescent="0.2">
      <c r="A8" s="5"/>
      <c r="B8" s="5"/>
      <c r="C8" s="5"/>
      <c r="D8" s="5"/>
      <c r="E8" s="5"/>
      <c r="F8" s="5"/>
      <c r="G8" s="5"/>
      <c r="H8" s="116"/>
      <c r="I8" s="116"/>
      <c r="J8" s="116"/>
      <c r="K8" s="116"/>
      <c r="L8" s="116"/>
      <c r="M8" s="116"/>
      <c r="N8" s="116"/>
      <c r="O8" s="116"/>
      <c r="P8" s="116"/>
      <c r="Q8" s="116"/>
      <c r="R8" s="116"/>
      <c r="T8" s="166" t="s">
        <v>342</v>
      </c>
      <c r="AR8">
        <v>3</v>
      </c>
      <c r="AS8">
        <v>1</v>
      </c>
      <c r="AT8" t="s">
        <v>316</v>
      </c>
      <c r="AU8">
        <v>534</v>
      </c>
      <c r="AV8">
        <v>0</v>
      </c>
      <c r="AX8">
        <v>0</v>
      </c>
      <c r="AY8">
        <v>0</v>
      </c>
      <c r="AZ8">
        <v>0</v>
      </c>
      <c r="BB8">
        <v>0</v>
      </c>
      <c r="BL8">
        <v>0</v>
      </c>
    </row>
    <row r="9" spans="1:64" x14ac:dyDescent="0.2">
      <c r="A9" s="5"/>
      <c r="B9" s="5"/>
      <c r="C9" s="5"/>
      <c r="D9" s="5"/>
      <c r="E9" s="5"/>
      <c r="F9" s="5"/>
      <c r="G9" s="5"/>
      <c r="H9" s="116"/>
      <c r="I9" s="116"/>
      <c r="J9" s="116"/>
      <c r="K9" s="116"/>
      <c r="L9" s="116"/>
      <c r="M9" s="116"/>
      <c r="N9" s="116"/>
      <c r="O9" s="116"/>
      <c r="P9" s="116"/>
      <c r="Q9" s="116"/>
      <c r="R9" s="116"/>
      <c r="T9" s="166" t="s">
        <v>75</v>
      </c>
      <c r="AR9">
        <v>3</v>
      </c>
      <c r="AS9">
        <v>1</v>
      </c>
      <c r="AT9" t="s">
        <v>316</v>
      </c>
      <c r="AU9">
        <v>534</v>
      </c>
      <c r="AV9">
        <v>0</v>
      </c>
      <c r="AX9">
        <v>0</v>
      </c>
      <c r="AY9">
        <v>0</v>
      </c>
      <c r="AZ9">
        <v>0</v>
      </c>
      <c r="BB9">
        <v>0</v>
      </c>
      <c r="BL9">
        <v>0</v>
      </c>
    </row>
    <row r="10" spans="1:64" x14ac:dyDescent="0.2">
      <c r="A10" s="5"/>
      <c r="B10" s="5"/>
      <c r="C10" s="5"/>
      <c r="D10" s="5"/>
      <c r="E10" s="5"/>
      <c r="F10" s="5"/>
      <c r="G10" s="5"/>
      <c r="H10" s="116"/>
      <c r="I10" s="116"/>
      <c r="J10" s="116"/>
      <c r="K10" s="116"/>
      <c r="L10" s="116"/>
      <c r="M10" s="116"/>
      <c r="N10" s="116"/>
      <c r="O10" s="116"/>
      <c r="P10" s="116"/>
      <c r="Q10" s="116"/>
      <c r="R10" s="116"/>
      <c r="T10" s="166" t="s">
        <v>343</v>
      </c>
    </row>
    <row r="11" spans="1:64" x14ac:dyDescent="0.2">
      <c r="A11" s="5"/>
      <c r="B11" s="5"/>
      <c r="C11" s="5"/>
      <c r="D11" s="5"/>
      <c r="E11" s="5"/>
      <c r="F11" s="5"/>
      <c r="G11" s="5"/>
      <c r="H11" s="116"/>
      <c r="I11" s="116"/>
      <c r="J11" s="116"/>
      <c r="K11" s="116"/>
      <c r="L11" s="116"/>
      <c r="M11" s="116"/>
      <c r="N11" s="116"/>
      <c r="O11" s="116"/>
      <c r="P11" s="116"/>
      <c r="Q11" s="116"/>
      <c r="R11" s="116"/>
      <c r="T11" s="166" t="s">
        <v>345</v>
      </c>
    </row>
    <row r="12" spans="1:64" x14ac:dyDescent="0.2">
      <c r="A12" s="5"/>
      <c r="B12" s="5"/>
      <c r="C12" s="5"/>
      <c r="D12" s="5"/>
      <c r="E12" s="5"/>
      <c r="F12" s="5"/>
      <c r="G12" s="5"/>
      <c r="H12" s="116"/>
      <c r="I12" s="116"/>
      <c r="J12" s="116"/>
      <c r="K12" s="116"/>
      <c r="L12" s="116"/>
      <c r="M12" s="116"/>
      <c r="N12" s="116"/>
      <c r="O12" s="116"/>
      <c r="P12" s="116"/>
      <c r="Q12" s="116"/>
      <c r="R12" s="116"/>
    </row>
    <row r="13" spans="1:64" x14ac:dyDescent="0.2">
      <c r="A13" s="5"/>
      <c r="B13" s="5"/>
      <c r="C13" s="5"/>
      <c r="D13" s="5"/>
      <c r="E13" s="5"/>
      <c r="F13" s="5"/>
      <c r="G13" s="5"/>
      <c r="H13" s="116"/>
      <c r="I13" s="116"/>
      <c r="J13" s="116"/>
      <c r="K13" s="116"/>
      <c r="L13" s="116"/>
      <c r="M13" s="116"/>
      <c r="N13" s="116"/>
      <c r="O13" s="116"/>
      <c r="P13" s="116"/>
      <c r="Q13" s="116"/>
      <c r="R13" s="116"/>
    </row>
    <row r="14" spans="1:64" x14ac:dyDescent="0.2">
      <c r="A14" s="5"/>
      <c r="B14" s="5"/>
      <c r="C14" s="5"/>
      <c r="D14" s="5"/>
      <c r="E14" s="5"/>
      <c r="F14" s="5"/>
      <c r="G14" s="5"/>
      <c r="H14" s="116"/>
      <c r="I14" s="116"/>
      <c r="J14" s="116"/>
      <c r="K14" s="116"/>
      <c r="L14" s="116"/>
      <c r="M14" s="116"/>
      <c r="N14" s="116"/>
      <c r="O14" s="116"/>
      <c r="P14" s="116"/>
      <c r="Q14" s="116"/>
      <c r="R14" s="116"/>
    </row>
    <row r="15" spans="1:64" x14ac:dyDescent="0.2">
      <c r="A15" s="5"/>
      <c r="B15" s="5"/>
      <c r="C15" s="5"/>
      <c r="D15" s="5"/>
      <c r="E15" s="5"/>
      <c r="F15" s="5"/>
      <c r="G15" s="5"/>
      <c r="H15" s="116"/>
      <c r="I15" s="116"/>
      <c r="J15" s="116"/>
      <c r="K15" s="116"/>
      <c r="L15" s="116"/>
      <c r="M15" s="116"/>
      <c r="N15" s="116"/>
      <c r="O15" s="116"/>
      <c r="P15" s="116"/>
      <c r="Q15" s="116"/>
      <c r="R15" s="116"/>
    </row>
    <row r="16" spans="1:64" x14ac:dyDescent="0.2">
      <c r="A16" s="5"/>
      <c r="B16" s="5"/>
      <c r="C16" s="5"/>
      <c r="D16" s="5"/>
      <c r="E16" s="5"/>
      <c r="F16" s="5"/>
      <c r="G16" s="5"/>
      <c r="H16" s="116"/>
      <c r="I16" s="116"/>
      <c r="J16" s="116"/>
      <c r="K16" s="116"/>
      <c r="L16" s="116"/>
      <c r="M16" s="116"/>
      <c r="N16" s="116"/>
      <c r="O16" s="116"/>
      <c r="P16" s="116"/>
      <c r="Q16" s="116"/>
      <c r="R16" s="116"/>
    </row>
    <row r="17" spans="1:18" x14ac:dyDescent="0.2">
      <c r="A17" s="5"/>
      <c r="B17" s="5"/>
      <c r="C17" s="5"/>
      <c r="D17" s="5"/>
      <c r="E17" s="5"/>
      <c r="F17" s="5"/>
      <c r="G17" s="5"/>
      <c r="H17" s="116"/>
      <c r="I17" s="116"/>
      <c r="J17" s="116"/>
      <c r="K17" s="116"/>
      <c r="L17" s="116"/>
      <c r="M17" s="116"/>
      <c r="N17" s="116"/>
      <c r="O17" s="116"/>
      <c r="P17" s="116"/>
      <c r="Q17" s="116"/>
      <c r="R17" s="116"/>
    </row>
    <row r="18" spans="1:18" x14ac:dyDescent="0.2">
      <c r="A18" s="5"/>
      <c r="B18" s="5"/>
      <c r="C18" s="5"/>
      <c r="D18" s="5"/>
      <c r="E18" s="5"/>
      <c r="F18" s="5"/>
      <c r="G18" s="5"/>
      <c r="H18" s="116"/>
      <c r="I18" s="116"/>
      <c r="J18" s="116"/>
      <c r="K18" s="116"/>
      <c r="L18" s="116"/>
      <c r="M18" s="116"/>
      <c r="N18" s="116"/>
      <c r="O18" s="116"/>
      <c r="P18" s="116"/>
      <c r="Q18" s="116"/>
      <c r="R18" s="116"/>
    </row>
    <row r="19" spans="1:18" x14ac:dyDescent="0.2">
      <c r="A19" s="5"/>
      <c r="B19" s="5"/>
      <c r="C19" s="5"/>
      <c r="D19" s="5"/>
      <c r="E19" s="5"/>
      <c r="F19" s="5"/>
      <c r="G19" s="5"/>
      <c r="H19" s="116"/>
      <c r="I19" s="116"/>
      <c r="J19" s="116"/>
      <c r="K19" s="116"/>
      <c r="L19" s="116"/>
      <c r="M19" s="116"/>
      <c r="N19" s="116"/>
      <c r="O19" s="116"/>
      <c r="P19" s="116"/>
      <c r="Q19" s="116"/>
      <c r="R19" s="116"/>
    </row>
    <row r="20" spans="1:18" x14ac:dyDescent="0.2">
      <c r="A20" s="5"/>
      <c r="B20" s="5"/>
      <c r="C20" s="5"/>
      <c r="D20" s="5"/>
      <c r="E20" s="5"/>
      <c r="F20" s="5"/>
      <c r="G20" s="5"/>
      <c r="H20" s="116"/>
      <c r="I20" s="116"/>
      <c r="J20" s="116"/>
      <c r="K20" s="116"/>
      <c r="L20" s="116"/>
      <c r="M20" s="116"/>
      <c r="N20" s="116"/>
      <c r="O20" s="116"/>
      <c r="P20" s="116"/>
      <c r="Q20" s="116"/>
      <c r="R20" s="116"/>
    </row>
    <row r="21" spans="1:18" x14ac:dyDescent="0.2">
      <c r="A21" s="5"/>
      <c r="B21" s="5"/>
      <c r="C21" s="5"/>
      <c r="D21" s="5"/>
      <c r="E21" s="5"/>
      <c r="F21" s="5"/>
      <c r="G21" s="5"/>
      <c r="H21" s="116"/>
      <c r="I21" s="116"/>
      <c r="J21" s="116"/>
      <c r="K21" s="116"/>
      <c r="L21" s="116"/>
      <c r="M21" s="116"/>
      <c r="N21" s="116"/>
      <c r="O21" s="116"/>
      <c r="P21" s="116"/>
      <c r="Q21" s="116"/>
      <c r="R21" s="116"/>
    </row>
    <row r="22" spans="1:18" x14ac:dyDescent="0.2">
      <c r="A22" s="5"/>
      <c r="B22" s="5"/>
      <c r="C22" s="5"/>
      <c r="D22" s="5"/>
      <c r="E22" s="5"/>
      <c r="F22" s="5"/>
      <c r="G22" s="5"/>
      <c r="H22" s="116"/>
      <c r="I22" s="116"/>
      <c r="J22" s="116"/>
      <c r="K22" s="116"/>
      <c r="L22" s="116"/>
      <c r="M22" s="116"/>
      <c r="N22" s="116"/>
      <c r="O22" s="116"/>
      <c r="P22" s="116"/>
      <c r="Q22" s="116"/>
      <c r="R22" s="116"/>
    </row>
    <row r="23" spans="1:18" x14ac:dyDescent="0.2">
      <c r="A23" s="5"/>
      <c r="B23" s="5"/>
      <c r="C23" s="5"/>
      <c r="D23" s="5"/>
      <c r="E23" s="5"/>
      <c r="F23" s="5"/>
      <c r="G23" s="5"/>
      <c r="H23" s="116"/>
      <c r="I23" s="116"/>
      <c r="J23" s="116"/>
      <c r="K23" s="116"/>
      <c r="L23" s="116"/>
      <c r="M23" s="116"/>
      <c r="N23" s="116"/>
      <c r="O23" s="116"/>
      <c r="P23" s="116"/>
      <c r="Q23" s="116"/>
      <c r="R23" s="116"/>
    </row>
    <row r="24" spans="1:18" x14ac:dyDescent="0.2">
      <c r="A24" s="5"/>
      <c r="B24" s="5"/>
      <c r="C24" s="5"/>
      <c r="D24" s="5"/>
      <c r="E24" s="5"/>
      <c r="F24" s="5"/>
      <c r="G24" s="5"/>
      <c r="H24" s="116"/>
      <c r="I24" s="116"/>
      <c r="J24" s="116"/>
      <c r="K24" s="116"/>
      <c r="L24" s="116"/>
      <c r="M24" s="116"/>
      <c r="N24" s="116"/>
      <c r="O24" s="116"/>
      <c r="P24" s="116"/>
      <c r="Q24" s="116"/>
      <c r="R24" s="116"/>
    </row>
    <row r="25" spans="1:18" x14ac:dyDescent="0.2">
      <c r="A25" s="5"/>
      <c r="B25" s="5"/>
      <c r="C25" s="5"/>
      <c r="D25" s="5"/>
      <c r="E25" s="5"/>
      <c r="F25" s="5"/>
      <c r="G25" s="5"/>
      <c r="H25" s="116"/>
      <c r="I25" s="116"/>
      <c r="J25" s="116"/>
      <c r="K25" s="116"/>
      <c r="L25" s="116"/>
      <c r="M25" s="116"/>
      <c r="N25" s="116"/>
      <c r="O25" s="116"/>
      <c r="P25" s="116"/>
      <c r="Q25" s="116"/>
      <c r="R25" s="116"/>
    </row>
    <row r="26" spans="1:18" x14ac:dyDescent="0.2">
      <c r="A26" s="5"/>
      <c r="B26" s="5"/>
      <c r="C26" s="5"/>
      <c r="D26" s="5"/>
      <c r="E26" s="5"/>
      <c r="F26" s="5"/>
      <c r="G26" s="5"/>
      <c r="H26" s="116"/>
      <c r="I26" s="116"/>
      <c r="J26" s="116"/>
      <c r="K26" s="116"/>
      <c r="L26" s="116"/>
      <c r="M26" s="116"/>
      <c r="N26" s="116"/>
      <c r="O26" s="116"/>
      <c r="P26" s="116"/>
      <c r="Q26" s="116"/>
      <c r="R26" s="116"/>
    </row>
    <row r="27" spans="1:18" x14ac:dyDescent="0.2">
      <c r="A27" s="5"/>
      <c r="B27" s="5"/>
      <c r="C27" s="5"/>
      <c r="D27" s="5"/>
      <c r="E27" s="5"/>
      <c r="F27" s="5"/>
      <c r="G27" s="5"/>
      <c r="H27" s="116"/>
      <c r="I27" s="116"/>
      <c r="J27" s="116"/>
      <c r="K27" s="116"/>
      <c r="L27" s="116"/>
      <c r="M27" s="116"/>
      <c r="N27" s="116"/>
      <c r="O27" s="116"/>
      <c r="P27" s="116"/>
      <c r="Q27" s="116"/>
      <c r="R27" s="116"/>
    </row>
    <row r="28" spans="1:18" x14ac:dyDescent="0.2">
      <c r="A28" s="5"/>
      <c r="B28" s="5"/>
      <c r="C28" s="5"/>
      <c r="D28" s="5"/>
      <c r="E28" s="5"/>
      <c r="F28" s="5"/>
      <c r="G28" s="5"/>
      <c r="H28" s="116"/>
      <c r="I28" s="116"/>
      <c r="J28" s="116"/>
      <c r="K28" s="116"/>
      <c r="L28" s="116"/>
      <c r="M28" s="116"/>
      <c r="N28" s="116"/>
      <c r="O28" s="116"/>
      <c r="P28" s="116"/>
      <c r="Q28" s="116"/>
      <c r="R28" s="116"/>
    </row>
    <row r="29" spans="1:18" x14ac:dyDescent="0.2">
      <c r="A29" s="5"/>
      <c r="B29" s="5"/>
      <c r="C29" s="5"/>
      <c r="D29" s="5"/>
      <c r="E29" s="5"/>
      <c r="F29" s="5"/>
      <c r="G29" s="5"/>
      <c r="H29" s="116"/>
      <c r="I29" s="116"/>
      <c r="J29" s="116"/>
      <c r="K29" s="116"/>
      <c r="L29" s="116"/>
      <c r="M29" s="116"/>
      <c r="N29" s="116"/>
      <c r="O29" s="116"/>
      <c r="P29" s="116"/>
      <c r="Q29" s="116"/>
      <c r="R29" s="116"/>
    </row>
    <row r="30" spans="1:18" x14ac:dyDescent="0.2">
      <c r="A30" s="5"/>
      <c r="B30" s="5"/>
      <c r="C30" s="5"/>
      <c r="D30" s="5"/>
      <c r="E30" s="5"/>
      <c r="F30" s="5"/>
      <c r="G30" s="5"/>
      <c r="H30" s="116"/>
      <c r="I30" s="116"/>
      <c r="J30" s="116"/>
      <c r="K30" s="116"/>
      <c r="L30" s="116"/>
      <c r="M30" s="116"/>
      <c r="N30" s="116"/>
      <c r="O30" s="116"/>
      <c r="P30" s="116"/>
      <c r="Q30" s="116"/>
      <c r="R30" s="116"/>
    </row>
    <row r="31" spans="1:18" x14ac:dyDescent="0.2">
      <c r="A31" s="5"/>
      <c r="B31" s="5"/>
      <c r="C31" s="5"/>
      <c r="D31" s="5"/>
      <c r="E31" s="5"/>
      <c r="F31" s="5"/>
      <c r="G31" s="5"/>
      <c r="H31" s="116"/>
      <c r="I31" s="116"/>
      <c r="J31" s="116"/>
      <c r="K31" s="116"/>
      <c r="L31" s="116"/>
      <c r="M31" s="116"/>
      <c r="N31" s="116"/>
      <c r="O31" s="116"/>
      <c r="P31" s="116"/>
      <c r="Q31" s="116"/>
      <c r="R31" s="116"/>
    </row>
    <row r="32" spans="1:18" x14ac:dyDescent="0.2">
      <c r="A32" s="5"/>
      <c r="B32" s="5"/>
      <c r="C32" s="5"/>
      <c r="D32" s="5"/>
      <c r="E32" s="5"/>
      <c r="F32" s="5"/>
      <c r="G32" s="5"/>
      <c r="H32" s="116"/>
      <c r="I32" s="116"/>
      <c r="J32" s="116"/>
      <c r="K32" s="116"/>
      <c r="L32" s="116"/>
      <c r="M32" s="116"/>
      <c r="N32" s="116"/>
      <c r="O32" s="116"/>
      <c r="P32" s="116"/>
      <c r="Q32" s="116"/>
      <c r="R32" s="116"/>
    </row>
    <row r="33" spans="1:18" x14ac:dyDescent="0.2">
      <c r="A33" s="5"/>
      <c r="B33" s="5"/>
      <c r="C33" s="5"/>
      <c r="D33" s="5"/>
      <c r="E33" s="5"/>
      <c r="F33" s="5"/>
      <c r="G33" s="5"/>
      <c r="H33" s="116"/>
      <c r="I33" s="116"/>
      <c r="J33" s="116"/>
      <c r="K33" s="116"/>
      <c r="L33" s="116"/>
      <c r="M33" s="116"/>
      <c r="N33" s="116"/>
      <c r="O33" s="116"/>
      <c r="P33" s="116"/>
      <c r="Q33" s="116"/>
      <c r="R33" s="116"/>
    </row>
    <row r="34" spans="1:18" x14ac:dyDescent="0.2">
      <c r="A34" s="5"/>
      <c r="B34" s="5"/>
      <c r="C34" s="5"/>
      <c r="D34" s="5"/>
      <c r="E34" s="5"/>
      <c r="F34" s="5"/>
      <c r="G34" s="5"/>
      <c r="H34" s="116"/>
      <c r="I34" s="116"/>
      <c r="J34" s="116"/>
      <c r="K34" s="116"/>
      <c r="L34" s="116"/>
      <c r="M34" s="116"/>
      <c r="N34" s="116"/>
      <c r="O34" s="116"/>
      <c r="P34" s="116"/>
      <c r="Q34" s="116"/>
      <c r="R34" s="116"/>
    </row>
    <row r="35" spans="1:18" x14ac:dyDescent="0.2">
      <c r="A35" s="5"/>
      <c r="B35" s="5"/>
      <c r="C35" s="5"/>
      <c r="D35" s="5"/>
      <c r="E35" s="5"/>
      <c r="F35" s="5"/>
      <c r="G35" s="5"/>
      <c r="H35" s="116"/>
      <c r="I35" s="116"/>
      <c r="J35" s="116"/>
      <c r="K35" s="116"/>
      <c r="L35" s="116"/>
      <c r="M35" s="116"/>
      <c r="N35" s="116"/>
      <c r="O35" s="116"/>
      <c r="P35" s="116"/>
      <c r="Q35" s="116"/>
      <c r="R35" s="116"/>
    </row>
    <row r="36" spans="1:18" x14ac:dyDescent="0.2">
      <c r="A36" s="5"/>
      <c r="B36" s="5"/>
      <c r="C36" s="5"/>
      <c r="D36" s="5"/>
      <c r="E36" s="5"/>
      <c r="F36" s="5"/>
      <c r="G36" s="5"/>
      <c r="H36" s="116"/>
      <c r="I36" s="116"/>
      <c r="J36" s="116"/>
      <c r="K36" s="116"/>
      <c r="L36" s="116"/>
      <c r="M36" s="116"/>
      <c r="N36" s="116"/>
      <c r="O36" s="116"/>
      <c r="P36" s="116"/>
      <c r="Q36" s="116"/>
      <c r="R36" s="116"/>
    </row>
    <row r="37" spans="1:18" x14ac:dyDescent="0.2">
      <c r="A37" s="5"/>
      <c r="B37" s="5"/>
      <c r="C37" s="5"/>
      <c r="D37" s="5"/>
      <c r="E37" s="5"/>
      <c r="F37" s="5"/>
      <c r="G37" s="5"/>
      <c r="H37" s="116"/>
      <c r="I37" s="116"/>
      <c r="J37" s="116"/>
      <c r="K37" s="116"/>
      <c r="L37" s="116"/>
      <c r="M37" s="116"/>
      <c r="N37" s="116"/>
      <c r="O37" s="116"/>
      <c r="P37" s="116"/>
      <c r="Q37" s="116"/>
      <c r="R37" s="116"/>
    </row>
    <row r="38" spans="1:18" x14ac:dyDescent="0.2">
      <c r="A38" s="5"/>
      <c r="B38" s="5"/>
      <c r="C38" s="5"/>
      <c r="D38" s="5"/>
      <c r="E38" s="5"/>
      <c r="F38" s="5"/>
      <c r="G38" s="5"/>
      <c r="H38" s="116"/>
      <c r="I38" s="116"/>
      <c r="J38" s="116"/>
      <c r="K38" s="116"/>
      <c r="L38" s="116"/>
      <c r="M38" s="116"/>
      <c r="N38" s="116"/>
      <c r="O38" s="116"/>
      <c r="P38" s="116"/>
      <c r="Q38" s="116"/>
      <c r="R38" s="116"/>
    </row>
    <row r="39" spans="1:18" x14ac:dyDescent="0.2">
      <c r="A39" s="5"/>
      <c r="B39" s="5"/>
      <c r="C39" s="5"/>
      <c r="D39" s="5"/>
      <c r="E39" s="5"/>
      <c r="F39" s="5"/>
      <c r="G39" s="5"/>
      <c r="H39" s="116"/>
      <c r="I39" s="116"/>
      <c r="J39" s="116"/>
      <c r="K39" s="116"/>
      <c r="L39" s="116"/>
      <c r="M39" s="116"/>
      <c r="N39" s="116"/>
      <c r="O39" s="116"/>
      <c r="P39" s="116"/>
      <c r="Q39" s="116"/>
      <c r="R39" s="116"/>
    </row>
    <row r="40" spans="1:18" x14ac:dyDescent="0.2">
      <c r="A40" s="5"/>
      <c r="B40" s="5"/>
      <c r="C40" s="5"/>
      <c r="D40" s="5"/>
      <c r="E40" s="5"/>
      <c r="F40" s="5"/>
      <c r="G40" s="5"/>
      <c r="H40" s="116"/>
      <c r="I40" s="116"/>
      <c r="J40" s="116"/>
      <c r="K40" s="116"/>
      <c r="L40" s="116"/>
      <c r="M40" s="116"/>
      <c r="N40" s="116"/>
      <c r="O40" s="116"/>
      <c r="P40" s="116"/>
      <c r="Q40" s="116"/>
      <c r="R40" s="116"/>
    </row>
    <row r="41" spans="1:18" x14ac:dyDescent="0.2">
      <c r="A41" s="5"/>
      <c r="B41" s="5"/>
      <c r="C41" s="5"/>
      <c r="D41" s="5"/>
      <c r="E41" s="5"/>
      <c r="F41" s="5"/>
      <c r="G41" s="5"/>
      <c r="H41" s="116"/>
      <c r="I41" s="116"/>
      <c r="J41" s="116"/>
      <c r="K41" s="116"/>
      <c r="L41" s="116"/>
      <c r="M41" s="116"/>
      <c r="N41" s="116"/>
      <c r="O41" s="116"/>
      <c r="P41" s="116"/>
      <c r="Q41" s="116"/>
      <c r="R41" s="116"/>
    </row>
    <row r="42" spans="1:18" x14ac:dyDescent="0.2">
      <c r="A42" s="5"/>
      <c r="B42" s="5"/>
      <c r="C42" s="5"/>
      <c r="D42" s="5"/>
      <c r="E42" s="5"/>
      <c r="F42" s="5"/>
      <c r="G42" s="5"/>
      <c r="H42" s="116"/>
      <c r="I42" s="116"/>
      <c r="J42" s="116"/>
      <c r="K42" s="116"/>
      <c r="L42" s="116"/>
      <c r="M42" s="116"/>
      <c r="N42" s="116"/>
      <c r="O42" s="116"/>
      <c r="P42" s="116"/>
      <c r="Q42" s="116"/>
      <c r="R42" s="116"/>
    </row>
    <row r="43" spans="1:18" x14ac:dyDescent="0.2">
      <c r="A43" s="5"/>
      <c r="B43" s="5"/>
      <c r="C43" s="5"/>
      <c r="D43" s="5"/>
      <c r="E43" s="5"/>
      <c r="F43" s="5"/>
      <c r="G43" s="5"/>
      <c r="H43" s="116"/>
      <c r="I43" s="116"/>
      <c r="J43" s="116"/>
      <c r="K43" s="116"/>
      <c r="L43" s="116"/>
      <c r="M43" s="116"/>
      <c r="N43" s="116"/>
      <c r="O43" s="116"/>
      <c r="P43" s="116"/>
      <c r="Q43" s="116"/>
      <c r="R43" s="116"/>
    </row>
    <row r="44" spans="1:18" x14ac:dyDescent="0.2">
      <c r="A44" s="5"/>
      <c r="B44" s="5"/>
      <c r="C44" s="5"/>
      <c r="D44" s="5"/>
      <c r="E44" s="5"/>
      <c r="F44" s="5"/>
      <c r="G44" s="5"/>
      <c r="H44" s="116"/>
      <c r="I44" s="116"/>
      <c r="J44" s="116"/>
      <c r="K44" s="116"/>
      <c r="L44" s="116"/>
      <c r="M44" s="116"/>
      <c r="N44" s="116"/>
      <c r="O44" s="116"/>
      <c r="P44" s="116"/>
      <c r="Q44" s="116"/>
      <c r="R44" s="116"/>
    </row>
    <row r="45" spans="1:18" x14ac:dyDescent="0.2">
      <c r="A45" s="5"/>
      <c r="B45" s="5"/>
      <c r="C45" s="5"/>
      <c r="D45" s="5"/>
      <c r="E45" s="5"/>
      <c r="F45" s="5"/>
      <c r="G45" s="5"/>
      <c r="H45" s="116"/>
      <c r="I45" s="116"/>
      <c r="J45" s="116"/>
      <c r="K45" s="116"/>
      <c r="L45" s="116"/>
      <c r="M45" s="116"/>
      <c r="N45" s="116"/>
      <c r="O45" s="116"/>
      <c r="P45" s="116"/>
      <c r="Q45" s="116"/>
      <c r="R45" s="116"/>
    </row>
    <row r="46" spans="1:18" x14ac:dyDescent="0.2">
      <c r="A46" s="5"/>
      <c r="B46" s="5"/>
      <c r="C46" s="5"/>
      <c r="D46" s="5"/>
      <c r="E46" s="5"/>
      <c r="F46" s="5"/>
      <c r="G46" s="5"/>
      <c r="H46" s="116"/>
      <c r="I46" s="116"/>
      <c r="J46" s="116"/>
      <c r="K46" s="116"/>
      <c r="L46" s="116"/>
      <c r="M46" s="116"/>
      <c r="N46" s="116"/>
      <c r="O46" s="116"/>
      <c r="P46" s="116"/>
      <c r="Q46" s="116"/>
      <c r="R46" s="116"/>
    </row>
    <row r="47" spans="1:18" x14ac:dyDescent="0.2">
      <c r="A47" s="5"/>
      <c r="B47" s="5"/>
      <c r="C47" s="5"/>
      <c r="D47" s="5"/>
      <c r="E47" s="5"/>
      <c r="F47" s="5"/>
      <c r="G47" s="5"/>
      <c r="H47" s="116"/>
      <c r="I47" s="116"/>
      <c r="J47" s="116"/>
      <c r="K47" s="116"/>
      <c r="L47" s="116"/>
      <c r="M47" s="116"/>
      <c r="N47" s="116"/>
      <c r="O47" s="116"/>
      <c r="P47" s="116"/>
      <c r="Q47" s="116"/>
      <c r="R47" s="116"/>
    </row>
    <row r="48" spans="1:18" x14ac:dyDescent="0.2">
      <c r="A48" s="5"/>
      <c r="B48" s="5"/>
      <c r="C48" s="5"/>
      <c r="D48" s="5"/>
      <c r="E48" s="5"/>
      <c r="F48" s="5"/>
      <c r="G48" s="5"/>
      <c r="H48" s="116"/>
      <c r="I48" s="116"/>
      <c r="J48" s="116"/>
      <c r="K48" s="116"/>
      <c r="L48" s="116"/>
      <c r="M48" s="116"/>
      <c r="N48" s="116"/>
      <c r="O48" s="116"/>
      <c r="P48" s="116"/>
      <c r="Q48" s="116"/>
      <c r="R48" s="116"/>
    </row>
    <row r="49" spans="1:18" x14ac:dyDescent="0.2">
      <c r="A49" s="5"/>
      <c r="B49" s="5"/>
      <c r="C49" s="5"/>
      <c r="D49" s="5"/>
      <c r="E49" s="5"/>
      <c r="F49" s="5"/>
      <c r="G49" s="5"/>
      <c r="H49" s="116"/>
      <c r="I49" s="116"/>
      <c r="J49" s="116"/>
      <c r="K49" s="116"/>
      <c r="L49" s="116"/>
      <c r="M49" s="116"/>
      <c r="N49" s="116"/>
      <c r="O49" s="116"/>
      <c r="P49" s="116"/>
      <c r="Q49" s="116"/>
      <c r="R49" s="116"/>
    </row>
    <row r="50" spans="1:18" x14ac:dyDescent="0.2">
      <c r="A50" s="5"/>
      <c r="B50" s="5"/>
      <c r="C50" s="5"/>
      <c r="D50" s="5"/>
      <c r="E50" s="5"/>
      <c r="F50" s="5"/>
      <c r="G50" s="5"/>
      <c r="H50" s="116"/>
      <c r="I50" s="116"/>
      <c r="J50" s="116"/>
      <c r="K50" s="116"/>
      <c r="L50" s="116"/>
      <c r="M50" s="116"/>
      <c r="N50" s="116"/>
      <c r="O50" s="116"/>
      <c r="P50" s="116"/>
      <c r="Q50" s="116"/>
      <c r="R50" s="116"/>
    </row>
    <row r="51" spans="1:18" x14ac:dyDescent="0.2">
      <c r="A51" s="5"/>
      <c r="B51" s="5"/>
      <c r="C51" s="5"/>
      <c r="D51" s="5"/>
      <c r="E51" s="5"/>
      <c r="F51" s="5"/>
      <c r="G51" s="5"/>
      <c r="H51" s="116"/>
      <c r="I51" s="116"/>
      <c r="J51" s="116"/>
      <c r="K51" s="116"/>
      <c r="L51" s="116"/>
      <c r="M51" s="116"/>
      <c r="N51" s="116"/>
      <c r="O51" s="116"/>
      <c r="P51" s="116"/>
      <c r="Q51" s="116"/>
      <c r="R51" s="116"/>
    </row>
    <row r="52" spans="1:18" x14ac:dyDescent="0.2">
      <c r="A52" s="5"/>
      <c r="B52" s="5"/>
      <c r="C52" s="5"/>
      <c r="D52" s="5"/>
      <c r="E52" s="5"/>
      <c r="F52" s="5"/>
      <c r="G52" s="5"/>
      <c r="H52" s="116"/>
      <c r="I52" s="116"/>
      <c r="J52" s="116"/>
      <c r="K52" s="116"/>
      <c r="L52" s="116"/>
      <c r="M52" s="116"/>
      <c r="N52" s="116"/>
      <c r="O52" s="116"/>
      <c r="P52" s="116"/>
      <c r="Q52" s="116"/>
      <c r="R52" s="116"/>
    </row>
    <row r="53" spans="1:18" x14ac:dyDescent="0.2">
      <c r="A53" s="5"/>
      <c r="B53" s="5"/>
      <c r="C53" s="5"/>
      <c r="D53" s="5"/>
      <c r="E53" s="5"/>
      <c r="F53" s="5"/>
      <c r="G53" s="5"/>
      <c r="H53" s="116"/>
      <c r="I53" s="116"/>
      <c r="J53" s="116"/>
      <c r="K53" s="116"/>
      <c r="L53" s="116"/>
      <c r="M53" s="116"/>
      <c r="N53" s="116"/>
      <c r="O53" s="116"/>
      <c r="P53" s="116"/>
      <c r="Q53" s="116"/>
      <c r="R53" s="116"/>
    </row>
    <row r="54" spans="1:18" x14ac:dyDescent="0.2">
      <c r="A54" s="5"/>
      <c r="B54" s="5"/>
      <c r="C54" s="5"/>
      <c r="D54" s="5"/>
      <c r="E54" s="5"/>
      <c r="F54" s="5"/>
      <c r="G54" s="5"/>
      <c r="H54" s="116"/>
      <c r="I54" s="116"/>
      <c r="J54" s="116"/>
      <c r="K54" s="116"/>
      <c r="L54" s="116"/>
      <c r="M54" s="116"/>
      <c r="N54" s="116"/>
      <c r="O54" s="116"/>
      <c r="P54" s="116"/>
      <c r="Q54" s="116"/>
      <c r="R54" s="116"/>
    </row>
    <row r="55" spans="1:18" x14ac:dyDescent="0.2">
      <c r="A55" s="5"/>
      <c r="B55" s="5"/>
      <c r="C55" s="5"/>
      <c r="D55" s="5"/>
      <c r="E55" s="5"/>
      <c r="F55" s="5"/>
      <c r="G55" s="5"/>
      <c r="H55" s="116"/>
      <c r="I55" s="116"/>
      <c r="J55" s="116"/>
      <c r="K55" s="116"/>
      <c r="L55" s="116"/>
      <c r="M55" s="116"/>
      <c r="N55" s="116"/>
      <c r="O55" s="116"/>
      <c r="P55" s="116"/>
      <c r="Q55" s="116"/>
      <c r="R55" s="116"/>
    </row>
    <row r="56" spans="1:18" x14ac:dyDescent="0.2">
      <c r="A56" s="5"/>
      <c r="B56" s="5"/>
      <c r="C56" s="5"/>
      <c r="D56" s="5"/>
      <c r="E56" s="5"/>
      <c r="F56" s="5"/>
      <c r="G56" s="5"/>
      <c r="H56" s="116"/>
      <c r="I56" s="116"/>
      <c r="J56" s="116"/>
      <c r="K56" s="116"/>
      <c r="L56" s="116"/>
      <c r="M56" s="116"/>
      <c r="N56" s="116"/>
      <c r="O56" s="116"/>
      <c r="P56" s="116"/>
      <c r="Q56" s="116"/>
      <c r="R56" s="116"/>
    </row>
    <row r="57" spans="1:18" x14ac:dyDescent="0.2">
      <c r="A57" s="5"/>
      <c r="B57" s="5"/>
      <c r="C57" s="5"/>
      <c r="D57" s="5"/>
      <c r="E57" s="5"/>
      <c r="F57" s="5"/>
      <c r="G57" s="5"/>
      <c r="H57" s="116"/>
      <c r="I57" s="116"/>
      <c r="J57" s="116"/>
      <c r="K57" s="116"/>
      <c r="L57" s="116"/>
      <c r="M57" s="116"/>
      <c r="N57" s="116"/>
      <c r="O57" s="116"/>
      <c r="P57" s="116"/>
      <c r="Q57" s="116"/>
      <c r="R57" s="116"/>
    </row>
    <row r="58" spans="1:18" x14ac:dyDescent="0.2">
      <c r="A58" s="5"/>
      <c r="B58" s="5"/>
      <c r="C58" s="5"/>
      <c r="D58" s="5"/>
      <c r="E58" s="5"/>
      <c r="F58" s="5"/>
      <c r="G58" s="5"/>
      <c r="H58" s="116"/>
      <c r="I58" s="116"/>
      <c r="J58" s="116"/>
      <c r="K58" s="116"/>
      <c r="L58" s="116"/>
      <c r="M58" s="116"/>
      <c r="N58" s="116"/>
      <c r="O58" s="116"/>
      <c r="P58" s="116"/>
      <c r="Q58" s="116"/>
      <c r="R58" s="116"/>
    </row>
    <row r="59" spans="1:18" x14ac:dyDescent="0.2">
      <c r="A59" s="5"/>
      <c r="B59" s="5"/>
      <c r="C59" s="5"/>
      <c r="D59" s="5"/>
      <c r="E59" s="5"/>
      <c r="F59" s="5"/>
      <c r="G59" s="5"/>
      <c r="H59" s="116"/>
      <c r="I59" s="116"/>
      <c r="J59" s="116"/>
      <c r="K59" s="116"/>
      <c r="L59" s="116"/>
      <c r="M59" s="116"/>
      <c r="N59" s="116"/>
      <c r="O59" s="116"/>
      <c r="P59" s="116"/>
      <c r="Q59" s="116"/>
      <c r="R59" s="116"/>
    </row>
    <row r="60" spans="1:18" x14ac:dyDescent="0.2">
      <c r="A60" s="5"/>
      <c r="B60" s="5"/>
      <c r="C60" s="5"/>
      <c r="D60" s="5"/>
      <c r="E60" s="5"/>
      <c r="F60" s="5"/>
      <c r="G60" s="5"/>
      <c r="H60" s="116"/>
      <c r="I60" s="116"/>
      <c r="J60" s="116"/>
      <c r="K60" s="116"/>
      <c r="L60" s="116"/>
      <c r="M60" s="116"/>
      <c r="N60" s="116"/>
      <c r="O60" s="116"/>
      <c r="P60" s="116"/>
      <c r="Q60" s="116"/>
      <c r="R60" s="116"/>
    </row>
    <row r="61" spans="1:18" x14ac:dyDescent="0.2">
      <c r="A61" s="5"/>
      <c r="B61" s="5"/>
      <c r="C61" s="5"/>
      <c r="D61" s="5"/>
      <c r="E61" s="5"/>
      <c r="F61" s="5"/>
      <c r="G61" s="5"/>
      <c r="H61" s="116"/>
      <c r="I61" s="116"/>
      <c r="J61" s="116"/>
      <c r="K61" s="116"/>
      <c r="L61" s="116"/>
      <c r="M61" s="116"/>
      <c r="N61" s="116"/>
      <c r="O61" s="116"/>
      <c r="P61" s="116"/>
      <c r="Q61" s="116"/>
      <c r="R61" s="116"/>
    </row>
    <row r="62" spans="1:18" x14ac:dyDescent="0.2">
      <c r="A62" s="5"/>
      <c r="B62" s="5"/>
      <c r="C62" s="5"/>
      <c r="D62" s="5"/>
      <c r="E62" s="5"/>
      <c r="F62" s="5"/>
      <c r="G62" s="5"/>
      <c r="H62" s="116"/>
      <c r="I62" s="116"/>
      <c r="J62" s="116"/>
      <c r="K62" s="116"/>
      <c r="L62" s="116"/>
      <c r="M62" s="116"/>
      <c r="N62" s="116"/>
      <c r="O62" s="116"/>
      <c r="P62" s="116"/>
      <c r="Q62" s="116"/>
      <c r="R62" s="116"/>
    </row>
    <row r="63" spans="1:18" x14ac:dyDescent="0.2">
      <c r="A63" s="5"/>
      <c r="B63" s="5"/>
      <c r="C63" s="5"/>
      <c r="D63" s="5"/>
      <c r="E63" s="5"/>
      <c r="F63" s="5"/>
      <c r="G63" s="5"/>
      <c r="H63" s="116"/>
      <c r="I63" s="116"/>
      <c r="J63" s="116"/>
      <c r="K63" s="116"/>
      <c r="L63" s="116"/>
      <c r="M63" s="116"/>
      <c r="N63" s="116"/>
      <c r="O63" s="116"/>
      <c r="P63" s="116"/>
      <c r="Q63" s="116"/>
      <c r="R63" s="116"/>
    </row>
    <row r="64" spans="1:18" x14ac:dyDescent="0.2">
      <c r="A64" s="5"/>
      <c r="B64" s="5"/>
      <c r="C64" s="5"/>
      <c r="D64" s="5"/>
      <c r="E64" s="5"/>
      <c r="F64" s="5"/>
      <c r="G64" s="5"/>
      <c r="H64" s="116"/>
      <c r="I64" s="116"/>
      <c r="J64" s="116"/>
      <c r="K64" s="116"/>
      <c r="L64" s="116"/>
      <c r="M64" s="116"/>
      <c r="N64" s="116"/>
      <c r="O64" s="116"/>
      <c r="P64" s="116"/>
      <c r="Q64" s="116"/>
      <c r="R64" s="116"/>
    </row>
    <row r="65" spans="1:18" x14ac:dyDescent="0.2">
      <c r="A65" s="5"/>
      <c r="B65" s="5"/>
      <c r="C65" s="5"/>
      <c r="D65" s="5"/>
      <c r="E65" s="5"/>
      <c r="F65" s="5"/>
      <c r="G65" s="5"/>
      <c r="H65" s="116"/>
      <c r="I65" s="116"/>
      <c r="J65" s="116"/>
      <c r="K65" s="116"/>
      <c r="L65" s="116"/>
      <c r="M65" s="116"/>
      <c r="N65" s="116"/>
      <c r="O65" s="116"/>
      <c r="P65" s="116"/>
      <c r="Q65" s="116"/>
      <c r="R65" s="116"/>
    </row>
    <row r="66" spans="1:18" x14ac:dyDescent="0.2">
      <c r="A66" s="5"/>
      <c r="B66" s="5"/>
      <c r="C66" s="5"/>
      <c r="D66" s="5"/>
      <c r="E66" s="5"/>
      <c r="F66" s="5"/>
      <c r="G66" s="5"/>
      <c r="H66" s="116"/>
      <c r="I66" s="116"/>
      <c r="J66" s="116"/>
      <c r="K66" s="116"/>
      <c r="L66" s="116"/>
      <c r="M66" s="116"/>
      <c r="N66" s="116"/>
      <c r="O66" s="116"/>
      <c r="P66" s="116"/>
      <c r="Q66" s="116"/>
      <c r="R66" s="116"/>
    </row>
    <row r="67" spans="1:18" x14ac:dyDescent="0.2">
      <c r="A67" s="5"/>
      <c r="B67" s="5"/>
      <c r="C67" s="5"/>
      <c r="D67" s="5"/>
      <c r="E67" s="5"/>
      <c r="F67" s="5"/>
      <c r="G67" s="5"/>
      <c r="H67" s="116"/>
      <c r="I67" s="116"/>
      <c r="J67" s="116"/>
      <c r="K67" s="116"/>
      <c r="L67" s="116"/>
      <c r="M67" s="116"/>
      <c r="N67" s="116"/>
      <c r="O67" s="116"/>
      <c r="P67" s="116"/>
      <c r="Q67" s="116"/>
      <c r="R67" s="116"/>
    </row>
    <row r="68" spans="1:18" x14ac:dyDescent="0.2">
      <c r="A68" s="5"/>
      <c r="B68" s="5"/>
      <c r="C68" s="5"/>
      <c r="D68" s="5"/>
      <c r="E68" s="5"/>
      <c r="F68" s="5"/>
      <c r="G68" s="5"/>
      <c r="H68" s="116"/>
      <c r="I68" s="116"/>
      <c r="J68" s="116"/>
      <c r="K68" s="116"/>
      <c r="L68" s="116"/>
      <c r="M68" s="116"/>
      <c r="N68" s="116"/>
      <c r="O68" s="116"/>
      <c r="P68" s="116"/>
      <c r="Q68" s="116"/>
      <c r="R68" s="116"/>
    </row>
    <row r="69" spans="1:18" x14ac:dyDescent="0.2">
      <c r="A69" s="5"/>
      <c r="B69" s="5"/>
      <c r="C69" s="5"/>
      <c r="D69" s="5"/>
      <c r="E69" s="5"/>
      <c r="F69" s="5"/>
      <c r="G69" s="5"/>
      <c r="H69" s="116"/>
      <c r="I69" s="116"/>
      <c r="J69" s="116"/>
      <c r="K69" s="116"/>
      <c r="L69" s="116"/>
      <c r="M69" s="116"/>
      <c r="N69" s="116"/>
      <c r="O69" s="116"/>
      <c r="P69" s="116"/>
      <c r="Q69" s="116"/>
      <c r="R69" s="116"/>
    </row>
    <row r="70" spans="1:18" x14ac:dyDescent="0.2">
      <c r="A70" s="5"/>
      <c r="B70" s="5"/>
      <c r="C70" s="5"/>
      <c r="D70" s="5"/>
      <c r="E70" s="5"/>
      <c r="F70" s="5"/>
      <c r="G70" s="5"/>
      <c r="H70" s="116"/>
      <c r="I70" s="116"/>
      <c r="J70" s="116"/>
      <c r="K70" s="116"/>
      <c r="L70" s="116"/>
      <c r="M70" s="116"/>
      <c r="N70" s="116"/>
      <c r="O70" s="116"/>
      <c r="P70" s="116"/>
      <c r="Q70" s="116"/>
      <c r="R70" s="116"/>
    </row>
    <row r="71" spans="1:18" x14ac:dyDescent="0.2">
      <c r="A71" s="5"/>
      <c r="B71" s="5"/>
      <c r="C71" s="5"/>
      <c r="D71" s="5"/>
      <c r="E71" s="5"/>
      <c r="F71" s="5"/>
      <c r="G71" s="5"/>
      <c r="H71" s="116"/>
      <c r="I71" s="116"/>
      <c r="J71" s="116"/>
      <c r="K71" s="116"/>
      <c r="L71" s="116"/>
      <c r="M71" s="116"/>
      <c r="N71" s="116"/>
      <c r="O71" s="116"/>
      <c r="P71" s="116"/>
      <c r="Q71" s="116"/>
      <c r="R71" s="116"/>
    </row>
    <row r="72" spans="1:18" x14ac:dyDescent="0.2">
      <c r="A72" s="5"/>
      <c r="B72" s="5"/>
      <c r="C72" s="5"/>
      <c r="D72" s="5"/>
      <c r="E72" s="5"/>
      <c r="F72" s="5"/>
      <c r="G72" s="5"/>
      <c r="H72" s="116"/>
      <c r="I72" s="116"/>
      <c r="J72" s="116"/>
      <c r="K72" s="116"/>
      <c r="L72" s="116"/>
      <c r="M72" s="116"/>
      <c r="N72" s="116"/>
      <c r="O72" s="116"/>
      <c r="P72" s="116"/>
      <c r="Q72" s="116"/>
      <c r="R72" s="116"/>
    </row>
    <row r="73" spans="1:18" x14ac:dyDescent="0.2">
      <c r="A73" s="5"/>
      <c r="B73" s="5"/>
      <c r="C73" s="5"/>
      <c r="D73" s="5"/>
      <c r="E73" s="5"/>
      <c r="F73" s="5"/>
      <c r="G73" s="5"/>
      <c r="H73" s="116"/>
      <c r="I73" s="116"/>
      <c r="J73" s="116"/>
      <c r="K73" s="116"/>
      <c r="L73" s="116"/>
      <c r="M73" s="116"/>
      <c r="N73" s="116"/>
      <c r="O73" s="116"/>
      <c r="P73" s="116"/>
      <c r="Q73" s="116"/>
      <c r="R73" s="116"/>
    </row>
    <row r="74" spans="1:18" x14ac:dyDescent="0.2">
      <c r="A74" s="5"/>
      <c r="B74" s="5"/>
      <c r="C74" s="5"/>
      <c r="D74" s="5"/>
      <c r="E74" s="5"/>
      <c r="F74" s="5"/>
      <c r="G74" s="5"/>
      <c r="H74" s="116"/>
      <c r="I74" s="116"/>
      <c r="J74" s="116"/>
      <c r="K74" s="116"/>
      <c r="L74" s="116"/>
      <c r="M74" s="116"/>
      <c r="N74" s="116"/>
      <c r="O74" s="116"/>
      <c r="P74" s="116"/>
      <c r="Q74" s="116"/>
      <c r="R74" s="116"/>
    </row>
    <row r="75" spans="1:18" x14ac:dyDescent="0.2">
      <c r="A75" s="5"/>
      <c r="B75" s="5"/>
      <c r="C75" s="5"/>
      <c r="D75" s="5"/>
      <c r="E75" s="5"/>
      <c r="F75" s="5"/>
      <c r="G75" s="5"/>
      <c r="H75" s="116"/>
      <c r="I75" s="116"/>
      <c r="J75" s="116"/>
      <c r="K75" s="116"/>
      <c r="L75" s="116"/>
      <c r="M75" s="116"/>
      <c r="N75" s="116"/>
      <c r="O75" s="116"/>
      <c r="P75" s="116"/>
      <c r="Q75" s="116"/>
      <c r="R75" s="116"/>
    </row>
    <row r="76" spans="1:18" x14ac:dyDescent="0.2">
      <c r="A76" s="5"/>
      <c r="B76" s="5"/>
      <c r="C76" s="5"/>
      <c r="D76" s="5"/>
      <c r="E76" s="5"/>
      <c r="F76" s="5"/>
      <c r="G76" s="5"/>
      <c r="H76" s="116"/>
      <c r="I76" s="116"/>
      <c r="J76" s="116"/>
      <c r="K76" s="116"/>
      <c r="L76" s="116"/>
      <c r="M76" s="116"/>
      <c r="N76" s="116"/>
      <c r="O76" s="116"/>
      <c r="P76" s="116"/>
      <c r="Q76" s="116"/>
      <c r="R76" s="116"/>
    </row>
    <row r="77" spans="1:18" x14ac:dyDescent="0.2">
      <c r="A77" s="5"/>
      <c r="B77" s="5"/>
      <c r="C77" s="5"/>
      <c r="D77" s="5"/>
      <c r="E77" s="5"/>
      <c r="F77" s="5"/>
      <c r="G77" s="5"/>
      <c r="H77" s="116"/>
      <c r="I77" s="116"/>
      <c r="J77" s="116"/>
      <c r="K77" s="116"/>
      <c r="L77" s="116"/>
      <c r="M77" s="116"/>
      <c r="N77" s="116"/>
      <c r="O77" s="116"/>
      <c r="P77" s="116"/>
      <c r="Q77" s="116"/>
      <c r="R77" s="116"/>
    </row>
    <row r="78" spans="1:18" x14ac:dyDescent="0.2">
      <c r="A78" s="5"/>
      <c r="B78" s="5"/>
      <c r="C78" s="5"/>
      <c r="D78" s="5"/>
      <c r="E78" s="5"/>
      <c r="F78" s="5"/>
      <c r="G78" s="5"/>
      <c r="H78" s="116"/>
      <c r="I78" s="116"/>
      <c r="J78" s="116"/>
      <c r="K78" s="116"/>
      <c r="L78" s="116"/>
      <c r="M78" s="116"/>
      <c r="N78" s="116"/>
      <c r="O78" s="116"/>
      <c r="P78" s="116"/>
      <c r="Q78" s="116"/>
      <c r="R78" s="116"/>
    </row>
    <row r="79" spans="1:18" x14ac:dyDescent="0.2">
      <c r="A79" s="5"/>
      <c r="B79" s="5"/>
      <c r="C79" s="5"/>
      <c r="D79" s="5"/>
      <c r="E79" s="5"/>
      <c r="F79" s="5"/>
      <c r="G79" s="5"/>
      <c r="H79" s="116"/>
      <c r="I79" s="116"/>
      <c r="J79" s="116"/>
      <c r="K79" s="116"/>
      <c r="L79" s="116"/>
      <c r="M79" s="116"/>
      <c r="N79" s="116"/>
      <c r="O79" s="116"/>
      <c r="P79" s="116"/>
      <c r="Q79" s="116"/>
      <c r="R79" s="116"/>
    </row>
    <row r="80" spans="1:18" x14ac:dyDescent="0.2">
      <c r="A80" s="5"/>
      <c r="B80" s="5"/>
      <c r="C80" s="5"/>
      <c r="D80" s="5"/>
      <c r="E80" s="5"/>
      <c r="F80" s="5"/>
      <c r="G80" s="5"/>
      <c r="H80" s="116"/>
      <c r="I80" s="116"/>
      <c r="J80" s="116"/>
      <c r="K80" s="116"/>
      <c r="L80" s="116"/>
      <c r="M80" s="116"/>
      <c r="N80" s="116"/>
      <c r="O80" s="116"/>
      <c r="P80" s="116"/>
      <c r="Q80" s="116"/>
      <c r="R80" s="116"/>
    </row>
    <row r="81" spans="1:18" x14ac:dyDescent="0.2">
      <c r="A81" s="5"/>
      <c r="B81" s="5"/>
      <c r="C81" s="5"/>
      <c r="D81" s="5"/>
      <c r="E81" s="5"/>
      <c r="F81" s="5"/>
      <c r="G81" s="5"/>
      <c r="H81" s="116"/>
      <c r="I81" s="116"/>
      <c r="J81" s="116"/>
      <c r="K81" s="116"/>
      <c r="L81" s="116"/>
      <c r="M81" s="116"/>
      <c r="N81" s="116"/>
      <c r="O81" s="116"/>
      <c r="P81" s="116"/>
      <c r="Q81" s="116"/>
      <c r="R81" s="116"/>
    </row>
    <row r="82" spans="1:18" x14ac:dyDescent="0.2">
      <c r="A82" s="5"/>
      <c r="B82" s="5"/>
      <c r="C82" s="5"/>
      <c r="D82" s="5"/>
      <c r="E82" s="5"/>
      <c r="F82" s="5"/>
      <c r="G82" s="5"/>
      <c r="H82" s="116"/>
      <c r="I82" s="116"/>
      <c r="J82" s="116"/>
      <c r="K82" s="116"/>
      <c r="L82" s="116"/>
      <c r="M82" s="116"/>
      <c r="N82" s="116"/>
      <c r="O82" s="116"/>
      <c r="P82" s="116"/>
      <c r="Q82" s="116"/>
      <c r="R82" s="116"/>
    </row>
    <row r="83" spans="1:18" x14ac:dyDescent="0.2">
      <c r="A83" s="5"/>
      <c r="B83" s="5"/>
      <c r="C83" s="5"/>
      <c r="D83" s="5"/>
      <c r="E83" s="5"/>
      <c r="F83" s="5"/>
      <c r="G83" s="5"/>
      <c r="H83" s="116"/>
      <c r="I83" s="116"/>
      <c r="J83" s="116"/>
      <c r="K83" s="116"/>
      <c r="L83" s="116"/>
      <c r="M83" s="116"/>
      <c r="N83" s="116"/>
      <c r="O83" s="116"/>
      <c r="P83" s="116"/>
      <c r="Q83" s="116"/>
      <c r="R83" s="116"/>
    </row>
    <row r="84" spans="1:18" x14ac:dyDescent="0.2">
      <c r="A84" s="5"/>
      <c r="B84" s="5"/>
      <c r="C84" s="5"/>
      <c r="D84" s="5"/>
      <c r="E84" s="5"/>
      <c r="F84" s="5"/>
      <c r="G84" s="5"/>
      <c r="H84" s="116"/>
      <c r="I84" s="116"/>
      <c r="J84" s="116"/>
      <c r="K84" s="116"/>
      <c r="L84" s="116"/>
      <c r="M84" s="116"/>
      <c r="N84" s="116"/>
      <c r="O84" s="116"/>
      <c r="P84" s="116"/>
      <c r="Q84" s="116"/>
      <c r="R84" s="116"/>
    </row>
    <row r="85" spans="1:18" x14ac:dyDescent="0.2">
      <c r="A85" s="5"/>
      <c r="B85" s="5"/>
      <c r="C85" s="5"/>
      <c r="D85" s="5"/>
      <c r="E85" s="5"/>
      <c r="F85" s="5"/>
      <c r="G85" s="5"/>
      <c r="H85" s="116"/>
      <c r="I85" s="116"/>
      <c r="J85" s="116"/>
      <c r="K85" s="116"/>
      <c r="L85" s="116"/>
      <c r="M85" s="116"/>
      <c r="N85" s="116"/>
      <c r="O85" s="116"/>
      <c r="P85" s="116"/>
      <c r="Q85" s="116"/>
      <c r="R85" s="116"/>
    </row>
    <row r="86" spans="1:18" x14ac:dyDescent="0.2">
      <c r="A86" s="5"/>
      <c r="B86" s="5"/>
      <c r="C86" s="5"/>
      <c r="D86" s="5"/>
      <c r="E86" s="5"/>
      <c r="F86" s="5"/>
      <c r="G86" s="5"/>
      <c r="H86" s="116"/>
      <c r="I86" s="116"/>
      <c r="J86" s="116"/>
      <c r="K86" s="116"/>
      <c r="L86" s="116"/>
      <c r="M86" s="116"/>
      <c r="N86" s="116"/>
      <c r="O86" s="116"/>
      <c r="P86" s="116"/>
      <c r="Q86" s="116"/>
      <c r="R86" s="116"/>
    </row>
    <row r="87" spans="1:18" x14ac:dyDescent="0.2">
      <c r="A87" s="5"/>
      <c r="B87" s="5"/>
      <c r="C87" s="5"/>
      <c r="D87" s="5"/>
      <c r="E87" s="5"/>
      <c r="F87" s="5"/>
      <c r="G87" s="5"/>
      <c r="H87" s="116"/>
      <c r="I87" s="116"/>
      <c r="J87" s="116"/>
      <c r="K87" s="116"/>
      <c r="L87" s="116"/>
      <c r="M87" s="116"/>
      <c r="N87" s="116"/>
      <c r="O87" s="116"/>
      <c r="P87" s="116"/>
      <c r="Q87" s="116"/>
      <c r="R87" s="116"/>
    </row>
    <row r="88" spans="1:18" x14ac:dyDescent="0.2">
      <c r="A88" s="5"/>
      <c r="B88" s="5"/>
      <c r="C88" s="5"/>
      <c r="D88" s="5"/>
      <c r="E88" s="5"/>
      <c r="F88" s="5"/>
      <c r="G88" s="5"/>
      <c r="H88" s="116"/>
      <c r="I88" s="116"/>
      <c r="J88" s="116"/>
      <c r="K88" s="116"/>
      <c r="L88" s="116"/>
      <c r="M88" s="116"/>
      <c r="N88" s="116"/>
      <c r="O88" s="116"/>
      <c r="P88" s="116"/>
      <c r="Q88" s="116"/>
      <c r="R88" s="116"/>
    </row>
    <row r="89" spans="1:18" x14ac:dyDescent="0.2">
      <c r="A89" s="5"/>
      <c r="B89" s="5"/>
      <c r="C89" s="5"/>
      <c r="D89" s="5"/>
      <c r="E89" s="5"/>
      <c r="F89" s="5"/>
      <c r="G89" s="5"/>
      <c r="H89" s="116"/>
      <c r="I89" s="116"/>
      <c r="J89" s="116"/>
      <c r="K89" s="116"/>
      <c r="L89" s="116"/>
      <c r="M89" s="116"/>
      <c r="N89" s="116"/>
      <c r="O89" s="116"/>
      <c r="P89" s="116"/>
      <c r="Q89" s="116"/>
      <c r="R89" s="116"/>
    </row>
    <row r="90" spans="1:18" x14ac:dyDescent="0.2">
      <c r="A90" s="5"/>
      <c r="B90" s="5"/>
      <c r="C90" s="5"/>
      <c r="D90" s="5"/>
      <c r="E90" s="5"/>
      <c r="F90" s="5"/>
      <c r="G90" s="5"/>
      <c r="H90" s="116"/>
      <c r="I90" s="116"/>
      <c r="J90" s="116"/>
      <c r="K90" s="116"/>
      <c r="L90" s="116"/>
      <c r="M90" s="116"/>
      <c r="N90" s="116"/>
      <c r="O90" s="116"/>
      <c r="P90" s="116"/>
      <c r="Q90" s="116"/>
      <c r="R90" s="116"/>
    </row>
    <row r="91" spans="1:18" x14ac:dyDescent="0.2">
      <c r="A91" s="5"/>
      <c r="B91" s="5"/>
      <c r="C91" s="5"/>
      <c r="D91" s="5"/>
      <c r="E91" s="5"/>
      <c r="F91" s="5"/>
      <c r="G91" s="5"/>
      <c r="H91" s="116"/>
      <c r="I91" s="116"/>
      <c r="J91" s="116"/>
      <c r="K91" s="116"/>
      <c r="L91" s="116"/>
      <c r="M91" s="116"/>
      <c r="N91" s="116"/>
      <c r="O91" s="116"/>
      <c r="P91" s="116"/>
      <c r="Q91" s="116"/>
      <c r="R91" s="116"/>
    </row>
    <row r="92" spans="1:18" x14ac:dyDescent="0.2">
      <c r="A92" s="5"/>
      <c r="B92" s="5"/>
      <c r="C92" s="5"/>
      <c r="D92" s="5"/>
      <c r="E92" s="5"/>
      <c r="F92" s="5"/>
      <c r="G92" s="5"/>
      <c r="H92" s="116"/>
      <c r="I92" s="116"/>
      <c r="J92" s="116"/>
      <c r="K92" s="116"/>
      <c r="L92" s="116"/>
      <c r="M92" s="116"/>
      <c r="N92" s="116"/>
      <c r="O92" s="116"/>
      <c r="P92" s="116"/>
      <c r="Q92" s="116"/>
      <c r="R92" s="116"/>
    </row>
    <row r="93" spans="1:18" x14ac:dyDescent="0.2">
      <c r="A93" s="5"/>
      <c r="B93" s="5"/>
      <c r="C93" s="5"/>
      <c r="D93" s="5"/>
      <c r="E93" s="5"/>
      <c r="F93" s="5"/>
      <c r="G93" s="5"/>
      <c r="H93" s="116"/>
      <c r="I93" s="116"/>
      <c r="J93" s="116"/>
      <c r="K93" s="116"/>
      <c r="L93" s="116"/>
      <c r="M93" s="116"/>
      <c r="N93" s="116"/>
      <c r="O93" s="116"/>
      <c r="P93" s="116"/>
      <c r="Q93" s="116"/>
      <c r="R93" s="116"/>
    </row>
    <row r="94" spans="1:18" x14ac:dyDescent="0.2">
      <c r="A94" s="5"/>
      <c r="B94" s="5"/>
      <c r="C94" s="5"/>
      <c r="D94" s="5"/>
      <c r="E94" s="5"/>
      <c r="F94" s="5"/>
      <c r="G94" s="5"/>
      <c r="H94" s="116"/>
      <c r="I94" s="116"/>
      <c r="J94" s="116"/>
      <c r="K94" s="116"/>
      <c r="L94" s="116"/>
      <c r="M94" s="116"/>
      <c r="N94" s="116"/>
      <c r="O94" s="116"/>
      <c r="P94" s="116"/>
      <c r="Q94" s="116"/>
      <c r="R94" s="116"/>
    </row>
    <row r="95" spans="1:18" x14ac:dyDescent="0.2">
      <c r="A95" s="5"/>
      <c r="B95" s="5"/>
      <c r="C95" s="5"/>
      <c r="D95" s="5"/>
      <c r="E95" s="5"/>
      <c r="F95" s="5"/>
      <c r="G95" s="5"/>
      <c r="H95" s="116"/>
      <c r="I95" s="116"/>
      <c r="J95" s="116"/>
      <c r="K95" s="116"/>
      <c r="L95" s="116"/>
      <c r="M95" s="116"/>
      <c r="N95" s="116"/>
      <c r="O95" s="116"/>
      <c r="P95" s="116"/>
      <c r="Q95" s="116"/>
      <c r="R95" s="116"/>
    </row>
    <row r="96" spans="1:18" x14ac:dyDescent="0.2">
      <c r="A96" s="5"/>
      <c r="B96" s="5"/>
      <c r="C96" s="5"/>
      <c r="D96" s="5"/>
      <c r="E96" s="5"/>
      <c r="F96" s="5"/>
      <c r="G96" s="5"/>
      <c r="H96" s="116"/>
      <c r="I96" s="116"/>
      <c r="J96" s="116"/>
      <c r="K96" s="116"/>
      <c r="L96" s="116"/>
      <c r="M96" s="116"/>
      <c r="N96" s="116"/>
      <c r="O96" s="116"/>
      <c r="P96" s="116"/>
      <c r="Q96" s="116"/>
      <c r="R96" s="116"/>
    </row>
    <row r="97" spans="1:18" x14ac:dyDescent="0.2">
      <c r="A97" s="5"/>
      <c r="B97" s="5"/>
      <c r="C97" s="5"/>
      <c r="D97" s="5"/>
      <c r="E97" s="5"/>
      <c r="F97" s="5"/>
      <c r="G97" s="5"/>
      <c r="H97" s="116"/>
      <c r="I97" s="116"/>
      <c r="J97" s="116"/>
      <c r="K97" s="116"/>
      <c r="L97" s="116"/>
      <c r="M97" s="116"/>
      <c r="N97" s="116"/>
      <c r="O97" s="116"/>
      <c r="P97" s="116"/>
      <c r="Q97" s="116"/>
      <c r="R97" s="116"/>
    </row>
    <row r="98" spans="1:18" x14ac:dyDescent="0.2">
      <c r="A98" s="5"/>
      <c r="B98" s="5"/>
      <c r="C98" s="5"/>
      <c r="D98" s="5"/>
      <c r="E98" s="5"/>
      <c r="F98" s="5"/>
      <c r="G98" s="5"/>
      <c r="H98" s="116"/>
      <c r="I98" s="116"/>
      <c r="J98" s="116"/>
      <c r="K98" s="116"/>
      <c r="L98" s="116"/>
      <c r="M98" s="116"/>
      <c r="N98" s="116"/>
      <c r="O98" s="116"/>
      <c r="P98" s="116"/>
      <c r="Q98" s="116"/>
      <c r="R98" s="116"/>
    </row>
    <row r="99" spans="1:18" x14ac:dyDescent="0.2">
      <c r="A99" s="5"/>
      <c r="B99" s="5"/>
      <c r="C99" s="5"/>
      <c r="D99" s="5"/>
      <c r="E99" s="5"/>
      <c r="F99" s="5"/>
      <c r="G99" s="5"/>
      <c r="H99" s="116"/>
      <c r="I99" s="116"/>
      <c r="J99" s="116"/>
      <c r="K99" s="116"/>
      <c r="L99" s="116"/>
      <c r="M99" s="116"/>
      <c r="N99" s="116"/>
      <c r="O99" s="116"/>
      <c r="P99" s="116"/>
      <c r="Q99" s="116"/>
      <c r="R99" s="116"/>
    </row>
    <row r="100" spans="1:18" x14ac:dyDescent="0.2">
      <c r="A100" s="5"/>
      <c r="B100" s="5"/>
      <c r="C100" s="5"/>
      <c r="D100" s="5"/>
      <c r="E100" s="5"/>
      <c r="F100" s="5"/>
      <c r="G100" s="5"/>
      <c r="H100" s="116"/>
      <c r="I100" s="116"/>
      <c r="J100" s="116"/>
      <c r="K100" s="116"/>
      <c r="L100" s="116"/>
      <c r="M100" s="116"/>
      <c r="N100" s="116"/>
      <c r="O100" s="116"/>
      <c r="P100" s="116"/>
      <c r="Q100" s="116"/>
      <c r="R100" s="116"/>
    </row>
    <row r="101" spans="1:18" x14ac:dyDescent="0.2">
      <c r="A101" s="5"/>
      <c r="B101" s="5"/>
      <c r="C101" s="5"/>
      <c r="D101" s="5"/>
      <c r="E101" s="5"/>
      <c r="F101" s="5"/>
      <c r="G101" s="5"/>
      <c r="H101" s="116"/>
      <c r="I101" s="116"/>
      <c r="J101" s="116"/>
      <c r="K101" s="116"/>
      <c r="L101" s="116"/>
      <c r="M101" s="116"/>
      <c r="N101" s="116"/>
      <c r="O101" s="116"/>
      <c r="P101" s="116"/>
      <c r="Q101" s="116"/>
      <c r="R101" s="116"/>
    </row>
    <row r="102" spans="1:18" x14ac:dyDescent="0.2">
      <c r="A102" s="5"/>
      <c r="B102" s="5"/>
      <c r="C102" s="5"/>
      <c r="D102" s="5"/>
      <c r="E102" s="5"/>
      <c r="F102" s="5"/>
      <c r="G102" s="5"/>
      <c r="H102" s="116"/>
      <c r="I102" s="116"/>
      <c r="J102" s="116"/>
      <c r="K102" s="116"/>
      <c r="L102" s="116"/>
      <c r="M102" s="116"/>
      <c r="N102" s="116"/>
      <c r="O102" s="116"/>
      <c r="P102" s="116"/>
      <c r="Q102" s="116"/>
      <c r="R102" s="116"/>
    </row>
    <row r="103" spans="1:18" x14ac:dyDescent="0.2">
      <c r="A103" s="5"/>
      <c r="B103" s="5"/>
      <c r="C103" s="5"/>
      <c r="D103" s="5"/>
      <c r="E103" s="5"/>
      <c r="F103" s="5"/>
      <c r="G103" s="5"/>
      <c r="H103" s="116"/>
      <c r="I103" s="116"/>
      <c r="J103" s="116"/>
      <c r="K103" s="116"/>
      <c r="L103" s="116"/>
      <c r="M103" s="116"/>
      <c r="N103" s="116"/>
      <c r="O103" s="116"/>
      <c r="P103" s="116"/>
      <c r="Q103" s="116"/>
      <c r="R103" s="116"/>
    </row>
    <row r="104" spans="1:18" x14ac:dyDescent="0.2">
      <c r="A104" s="5"/>
      <c r="B104" s="5"/>
      <c r="C104" s="5"/>
      <c r="D104" s="5"/>
      <c r="E104" s="5"/>
      <c r="F104" s="5"/>
      <c r="G104" s="5"/>
      <c r="H104" s="116"/>
      <c r="I104" s="116"/>
      <c r="J104" s="116"/>
      <c r="K104" s="116"/>
      <c r="L104" s="116"/>
      <c r="M104" s="116"/>
      <c r="N104" s="116"/>
      <c r="O104" s="116"/>
      <c r="P104" s="116"/>
      <c r="Q104" s="116"/>
      <c r="R104" s="116"/>
    </row>
    <row r="105" spans="1:18" x14ac:dyDescent="0.2">
      <c r="A105" s="5"/>
      <c r="B105" s="5"/>
      <c r="C105" s="5"/>
      <c r="D105" s="5"/>
      <c r="E105" s="5"/>
      <c r="F105" s="5"/>
      <c r="G105" s="5"/>
      <c r="H105" s="116"/>
      <c r="I105" s="116"/>
      <c r="J105" s="116"/>
      <c r="K105" s="116"/>
      <c r="L105" s="116"/>
      <c r="M105" s="116"/>
      <c r="N105" s="116"/>
      <c r="O105" s="116"/>
      <c r="P105" s="116"/>
      <c r="Q105" s="116"/>
      <c r="R105" s="116"/>
    </row>
    <row r="106" spans="1:18" x14ac:dyDescent="0.2">
      <c r="A106" s="5"/>
      <c r="B106" s="5"/>
      <c r="C106" s="5"/>
      <c r="D106" s="5"/>
      <c r="E106" s="5"/>
      <c r="F106" s="5"/>
      <c r="G106" s="5"/>
      <c r="H106" s="116"/>
      <c r="I106" s="116"/>
      <c r="J106" s="116"/>
      <c r="K106" s="116"/>
      <c r="L106" s="116"/>
      <c r="M106" s="116"/>
      <c r="N106" s="116"/>
      <c r="O106" s="116"/>
      <c r="P106" s="116"/>
      <c r="Q106" s="116"/>
      <c r="R106" s="116"/>
    </row>
    <row r="107" spans="1:18" x14ac:dyDescent="0.2">
      <c r="A107" s="5"/>
      <c r="B107" s="5"/>
      <c r="C107" s="5"/>
      <c r="D107" s="5"/>
      <c r="E107" s="5"/>
      <c r="F107" s="5"/>
      <c r="G107" s="5"/>
      <c r="H107" s="116"/>
      <c r="I107" s="116"/>
      <c r="J107" s="116"/>
      <c r="K107" s="116"/>
      <c r="L107" s="116"/>
      <c r="M107" s="116"/>
      <c r="N107" s="116"/>
      <c r="O107" s="116"/>
      <c r="P107" s="116"/>
      <c r="Q107" s="116"/>
      <c r="R107" s="116"/>
    </row>
    <row r="108" spans="1:18" x14ac:dyDescent="0.2">
      <c r="A108" s="5"/>
      <c r="B108" s="5"/>
      <c r="C108" s="5"/>
      <c r="D108" s="5"/>
      <c r="E108" s="5"/>
      <c r="F108" s="5"/>
      <c r="G108" s="5"/>
      <c r="H108" s="116"/>
      <c r="I108" s="116"/>
      <c r="J108" s="116"/>
      <c r="K108" s="116"/>
      <c r="L108" s="116"/>
      <c r="M108" s="116"/>
      <c r="N108" s="116"/>
      <c r="O108" s="116"/>
      <c r="P108" s="116"/>
      <c r="Q108" s="116"/>
      <c r="R108" s="116"/>
    </row>
    <row r="109" spans="1:18" x14ac:dyDescent="0.2">
      <c r="A109" s="5"/>
      <c r="B109" s="5"/>
      <c r="C109" s="5"/>
      <c r="D109" s="5"/>
      <c r="E109" s="5"/>
      <c r="F109" s="5"/>
      <c r="G109" s="5"/>
      <c r="H109" s="116"/>
      <c r="I109" s="116"/>
      <c r="J109" s="116"/>
      <c r="K109" s="116"/>
      <c r="L109" s="116"/>
      <c r="M109" s="116"/>
      <c r="N109" s="116"/>
      <c r="O109" s="116"/>
      <c r="P109" s="116"/>
      <c r="Q109" s="116"/>
      <c r="R109" s="116"/>
    </row>
    <row r="110" spans="1:18" x14ac:dyDescent="0.2">
      <c r="A110" s="5"/>
      <c r="B110" s="5"/>
      <c r="C110" s="5"/>
      <c r="D110" s="5"/>
      <c r="E110" s="5"/>
      <c r="F110" s="5"/>
      <c r="G110" s="5"/>
      <c r="H110" s="116"/>
      <c r="I110" s="116"/>
      <c r="J110" s="116"/>
      <c r="K110" s="116"/>
      <c r="L110" s="116"/>
      <c r="M110" s="116"/>
      <c r="N110" s="116"/>
      <c r="O110" s="116"/>
      <c r="P110" s="116"/>
      <c r="Q110" s="116"/>
      <c r="R110" s="116"/>
    </row>
    <row r="111" spans="1:18" x14ac:dyDescent="0.2">
      <c r="A111" s="5"/>
      <c r="B111" s="5"/>
      <c r="C111" s="5"/>
      <c r="D111" s="5"/>
      <c r="E111" s="5"/>
      <c r="F111" s="5"/>
      <c r="G111" s="5"/>
      <c r="H111" s="116"/>
      <c r="I111" s="116"/>
      <c r="J111" s="116"/>
      <c r="K111" s="116"/>
      <c r="L111" s="116"/>
      <c r="M111" s="116"/>
      <c r="N111" s="116"/>
      <c r="O111" s="116"/>
      <c r="P111" s="116"/>
      <c r="Q111" s="116"/>
      <c r="R111" s="116"/>
    </row>
    <row r="112" spans="1:18" x14ac:dyDescent="0.2">
      <c r="A112" s="5"/>
      <c r="B112" s="5"/>
      <c r="C112" s="5"/>
      <c r="D112" s="5"/>
      <c r="E112" s="5"/>
      <c r="F112" s="5"/>
      <c r="G112" s="5"/>
      <c r="H112" s="116"/>
      <c r="I112" s="116"/>
      <c r="J112" s="116"/>
      <c r="K112" s="116"/>
      <c r="L112" s="116"/>
      <c r="M112" s="116"/>
      <c r="N112" s="116"/>
      <c r="O112" s="116"/>
      <c r="P112" s="116"/>
      <c r="Q112" s="116"/>
      <c r="R112" s="116"/>
    </row>
    <row r="113" spans="1:18" x14ac:dyDescent="0.2">
      <c r="A113" s="5"/>
      <c r="B113" s="5"/>
      <c r="C113" s="5"/>
      <c r="D113" s="5"/>
      <c r="E113" s="5"/>
      <c r="F113" s="5"/>
      <c r="G113" s="5"/>
      <c r="H113" s="116"/>
      <c r="I113" s="116"/>
      <c r="J113" s="116"/>
      <c r="K113" s="116"/>
      <c r="L113" s="116"/>
      <c r="M113" s="116"/>
      <c r="N113" s="116"/>
      <c r="O113" s="116"/>
      <c r="P113" s="116"/>
      <c r="Q113" s="116"/>
      <c r="R113" s="116"/>
    </row>
    <row r="114" spans="1:18" x14ac:dyDescent="0.2">
      <c r="A114" s="5"/>
      <c r="B114" s="5"/>
      <c r="C114" s="5"/>
      <c r="D114" s="5"/>
      <c r="E114" s="5"/>
      <c r="F114" s="5"/>
      <c r="G114" s="5"/>
      <c r="H114" s="116"/>
      <c r="I114" s="116"/>
      <c r="J114" s="116"/>
      <c r="K114" s="116"/>
      <c r="L114" s="116"/>
      <c r="M114" s="116"/>
      <c r="N114" s="116"/>
      <c r="O114" s="116"/>
      <c r="P114" s="116"/>
      <c r="Q114" s="116"/>
      <c r="R114" s="116"/>
    </row>
    <row r="115" spans="1:18" x14ac:dyDescent="0.2">
      <c r="A115" s="5"/>
      <c r="B115" s="5"/>
      <c r="C115" s="5"/>
      <c r="D115" s="5"/>
      <c r="E115" s="5"/>
      <c r="F115" s="5"/>
      <c r="G115" s="5"/>
      <c r="H115" s="116"/>
      <c r="I115" s="116"/>
      <c r="J115" s="116"/>
      <c r="K115" s="116"/>
      <c r="L115" s="116"/>
      <c r="M115" s="116"/>
      <c r="N115" s="116"/>
      <c r="O115" s="116"/>
      <c r="P115" s="116"/>
      <c r="Q115" s="116"/>
      <c r="R115" s="116"/>
    </row>
    <row r="116" spans="1:18" x14ac:dyDescent="0.2">
      <c r="A116" s="5"/>
      <c r="B116" s="5"/>
      <c r="C116" s="5"/>
      <c r="D116" s="5"/>
      <c r="E116" s="5"/>
      <c r="F116" s="5"/>
      <c r="G116" s="5"/>
      <c r="H116" s="116"/>
      <c r="I116" s="116"/>
      <c r="J116" s="116"/>
      <c r="K116" s="116"/>
      <c r="L116" s="116"/>
      <c r="M116" s="116"/>
      <c r="N116" s="116"/>
      <c r="O116" s="116"/>
      <c r="P116" s="116"/>
      <c r="Q116" s="116"/>
      <c r="R116" s="116"/>
    </row>
    <row r="117" spans="1:18" x14ac:dyDescent="0.2">
      <c r="A117" s="5"/>
      <c r="B117" s="5"/>
      <c r="C117" s="5"/>
      <c r="D117" s="5"/>
      <c r="E117" s="5"/>
      <c r="F117" s="5"/>
      <c r="G117" s="5"/>
      <c r="H117" s="116"/>
      <c r="I117" s="116"/>
      <c r="J117" s="116"/>
      <c r="K117" s="116"/>
      <c r="L117" s="116"/>
      <c r="M117" s="116"/>
      <c r="N117" s="116"/>
      <c r="O117" s="116"/>
      <c r="P117" s="116"/>
      <c r="Q117" s="116"/>
      <c r="R117" s="116"/>
    </row>
    <row r="118" spans="1:18" x14ac:dyDescent="0.2">
      <c r="A118" s="5"/>
      <c r="B118" s="5"/>
      <c r="C118" s="5"/>
      <c r="D118" s="5"/>
      <c r="E118" s="5"/>
      <c r="F118" s="5"/>
      <c r="G118" s="5"/>
      <c r="H118" s="116"/>
      <c r="I118" s="116"/>
      <c r="J118" s="116"/>
      <c r="K118" s="116"/>
      <c r="L118" s="116"/>
      <c r="M118" s="116"/>
      <c r="N118" s="116"/>
      <c r="O118" s="116"/>
      <c r="P118" s="116"/>
      <c r="Q118" s="116"/>
      <c r="R118" s="116"/>
    </row>
    <row r="119" spans="1:18" x14ac:dyDescent="0.2">
      <c r="A119" s="5"/>
      <c r="B119" s="5"/>
      <c r="C119" s="5"/>
      <c r="D119" s="5"/>
      <c r="E119" s="5"/>
      <c r="F119" s="5"/>
      <c r="G119" s="5"/>
      <c r="H119" s="116"/>
      <c r="I119" s="116"/>
      <c r="J119" s="116"/>
      <c r="K119" s="116"/>
      <c r="L119" s="116"/>
      <c r="M119" s="116"/>
      <c r="N119" s="116"/>
      <c r="O119" s="116"/>
      <c r="P119" s="116"/>
      <c r="Q119" s="116"/>
      <c r="R119" s="116"/>
    </row>
    <row r="120" spans="1:18" x14ac:dyDescent="0.2">
      <c r="A120" s="5"/>
      <c r="B120" s="5"/>
      <c r="C120" s="5"/>
      <c r="D120" s="5"/>
      <c r="E120" s="5"/>
      <c r="F120" s="5"/>
      <c r="G120" s="5"/>
      <c r="H120" s="116"/>
      <c r="I120" s="116"/>
      <c r="J120" s="116"/>
      <c r="K120" s="116"/>
      <c r="L120" s="116"/>
      <c r="M120" s="116"/>
      <c r="N120" s="116"/>
      <c r="O120" s="116"/>
      <c r="P120" s="116"/>
      <c r="Q120" s="116"/>
      <c r="R120" s="116"/>
    </row>
    <row r="121" spans="1:18" x14ac:dyDescent="0.2">
      <c r="A121" s="5"/>
      <c r="B121" s="5"/>
      <c r="C121" s="5"/>
      <c r="D121" s="5"/>
      <c r="E121" s="5"/>
      <c r="F121" s="5"/>
      <c r="G121" s="5"/>
      <c r="H121" s="116"/>
      <c r="I121" s="116"/>
      <c r="J121" s="116"/>
      <c r="K121" s="116"/>
      <c r="L121" s="116"/>
      <c r="M121" s="116"/>
      <c r="N121" s="116"/>
      <c r="O121" s="116"/>
      <c r="P121" s="116"/>
      <c r="Q121" s="116"/>
      <c r="R121" s="116"/>
    </row>
    <row r="122" spans="1:18" x14ac:dyDescent="0.2">
      <c r="A122" s="5"/>
      <c r="B122" s="5"/>
      <c r="C122" s="5"/>
      <c r="D122" s="5"/>
      <c r="E122" s="5"/>
      <c r="F122" s="5"/>
      <c r="G122" s="5"/>
      <c r="H122" s="116"/>
      <c r="I122" s="116"/>
      <c r="J122" s="116"/>
      <c r="K122" s="116"/>
      <c r="L122" s="116"/>
      <c r="M122" s="116"/>
      <c r="N122" s="116"/>
      <c r="O122" s="116"/>
      <c r="P122" s="116"/>
      <c r="Q122" s="116"/>
      <c r="R122" s="116"/>
    </row>
    <row r="123" spans="1:18" x14ac:dyDescent="0.2">
      <c r="A123" s="5"/>
      <c r="B123" s="5"/>
      <c r="C123" s="5"/>
      <c r="D123" s="5"/>
      <c r="E123" s="5"/>
      <c r="F123" s="5"/>
      <c r="G123" s="5"/>
      <c r="H123" s="116"/>
      <c r="I123" s="116"/>
      <c r="J123" s="116"/>
      <c r="K123" s="116"/>
      <c r="L123" s="116"/>
      <c r="M123" s="116"/>
      <c r="N123" s="116"/>
      <c r="O123" s="116"/>
      <c r="P123" s="116"/>
      <c r="Q123" s="116"/>
      <c r="R123" s="116"/>
    </row>
    <row r="124" spans="1:18" x14ac:dyDescent="0.2">
      <c r="A124" s="5"/>
      <c r="B124" s="5"/>
      <c r="C124" s="5"/>
      <c r="D124" s="5"/>
      <c r="E124" s="5"/>
      <c r="F124" s="5"/>
      <c r="G124" s="5"/>
      <c r="H124" s="116"/>
      <c r="I124" s="116"/>
      <c r="J124" s="116"/>
      <c r="K124" s="116"/>
      <c r="L124" s="116"/>
      <c r="M124" s="116"/>
      <c r="N124" s="116"/>
      <c r="O124" s="116"/>
      <c r="P124" s="116"/>
      <c r="Q124" s="116"/>
      <c r="R124" s="116"/>
    </row>
    <row r="125" spans="1:18" x14ac:dyDescent="0.2">
      <c r="A125" s="5"/>
      <c r="B125" s="5"/>
      <c r="C125" s="5"/>
      <c r="D125" s="5"/>
      <c r="E125" s="5"/>
      <c r="F125" s="5"/>
      <c r="G125" s="5"/>
      <c r="H125" s="116"/>
      <c r="I125" s="116"/>
      <c r="J125" s="116"/>
      <c r="K125" s="116"/>
      <c r="L125" s="116"/>
      <c r="M125" s="116"/>
      <c r="N125" s="116"/>
      <c r="O125" s="116"/>
      <c r="P125" s="116"/>
      <c r="Q125" s="116"/>
      <c r="R125" s="116"/>
    </row>
    <row r="126" spans="1:18" x14ac:dyDescent="0.2">
      <c r="A126" s="5"/>
      <c r="B126" s="5"/>
      <c r="C126" s="5"/>
      <c r="D126" s="5"/>
      <c r="E126" s="5"/>
      <c r="F126" s="5"/>
      <c r="G126" s="5"/>
      <c r="H126" s="116"/>
      <c r="I126" s="116"/>
      <c r="J126" s="116"/>
      <c r="K126" s="116"/>
      <c r="L126" s="116"/>
      <c r="M126" s="116"/>
      <c r="N126" s="116"/>
      <c r="O126" s="116"/>
      <c r="P126" s="116"/>
      <c r="Q126" s="116"/>
      <c r="R126" s="116"/>
    </row>
    <row r="127" spans="1:18" x14ac:dyDescent="0.2">
      <c r="A127" s="5"/>
      <c r="B127" s="5"/>
      <c r="C127" s="5"/>
      <c r="D127" s="5"/>
      <c r="E127" s="5"/>
      <c r="F127" s="5"/>
      <c r="G127" s="5"/>
      <c r="H127" s="116"/>
      <c r="I127" s="116"/>
      <c r="J127" s="116"/>
      <c r="K127" s="116"/>
      <c r="L127" s="116"/>
      <c r="M127" s="116"/>
      <c r="N127" s="116"/>
      <c r="O127" s="116"/>
      <c r="P127" s="116"/>
      <c r="Q127" s="116"/>
      <c r="R127" s="116"/>
    </row>
    <row r="128" spans="1:18" x14ac:dyDescent="0.2">
      <c r="A128" s="5"/>
      <c r="B128" s="5"/>
      <c r="C128" s="5"/>
      <c r="D128" s="5"/>
      <c r="E128" s="5"/>
      <c r="F128" s="5"/>
      <c r="G128" s="5"/>
      <c r="H128" s="116"/>
      <c r="I128" s="116"/>
      <c r="J128" s="116"/>
      <c r="K128" s="116"/>
      <c r="L128" s="116"/>
      <c r="M128" s="116"/>
      <c r="N128" s="116"/>
      <c r="O128" s="116"/>
      <c r="P128" s="116"/>
      <c r="Q128" s="116"/>
      <c r="R128" s="116"/>
    </row>
    <row r="129" spans="1:18" x14ac:dyDescent="0.2">
      <c r="A129" s="5"/>
      <c r="B129" s="5"/>
      <c r="C129" s="5"/>
      <c r="D129" s="5"/>
      <c r="E129" s="5"/>
      <c r="F129" s="5"/>
      <c r="G129" s="5"/>
      <c r="H129" s="116"/>
      <c r="I129" s="116"/>
      <c r="J129" s="116"/>
      <c r="K129" s="116"/>
      <c r="L129" s="116"/>
      <c r="M129" s="116"/>
      <c r="N129" s="116"/>
      <c r="O129" s="116"/>
      <c r="P129" s="116"/>
      <c r="Q129" s="116"/>
      <c r="R129" s="116"/>
    </row>
    <row r="130" spans="1:18" x14ac:dyDescent="0.2">
      <c r="A130" s="5"/>
      <c r="B130" s="5"/>
      <c r="C130" s="5"/>
      <c r="D130" s="5"/>
      <c r="E130" s="5"/>
      <c r="F130" s="5"/>
      <c r="G130" s="5"/>
      <c r="H130" s="116"/>
      <c r="I130" s="116"/>
      <c r="J130" s="116"/>
      <c r="K130" s="116"/>
      <c r="L130" s="116"/>
      <c r="M130" s="116"/>
      <c r="N130" s="116"/>
      <c r="O130" s="116"/>
      <c r="P130" s="116"/>
      <c r="Q130" s="116"/>
      <c r="R130" s="116"/>
    </row>
    <row r="131" spans="1:18" x14ac:dyDescent="0.2">
      <c r="A131" s="5"/>
      <c r="B131" s="5"/>
      <c r="C131" s="5"/>
      <c r="D131" s="5"/>
      <c r="E131" s="5"/>
      <c r="F131" s="5"/>
      <c r="G131" s="5"/>
      <c r="H131" s="116"/>
      <c r="I131" s="116"/>
      <c r="J131" s="116"/>
      <c r="K131" s="116"/>
      <c r="L131" s="116"/>
      <c r="M131" s="116"/>
      <c r="N131" s="116"/>
      <c r="O131" s="116"/>
      <c r="P131" s="116"/>
      <c r="Q131" s="116"/>
      <c r="R131" s="116"/>
    </row>
    <row r="132" spans="1:18" x14ac:dyDescent="0.2">
      <c r="A132" s="5"/>
      <c r="B132" s="5"/>
      <c r="C132" s="5"/>
      <c r="D132" s="5"/>
      <c r="E132" s="5"/>
      <c r="F132" s="5"/>
      <c r="G132" s="5"/>
      <c r="H132" s="116"/>
      <c r="I132" s="116"/>
      <c r="J132" s="116"/>
      <c r="K132" s="116"/>
      <c r="L132" s="116"/>
      <c r="M132" s="116"/>
      <c r="N132" s="116"/>
      <c r="O132" s="116"/>
      <c r="P132" s="116"/>
      <c r="Q132" s="116"/>
      <c r="R132" s="116"/>
    </row>
    <row r="133" spans="1:18" x14ac:dyDescent="0.2">
      <c r="A133" s="5"/>
      <c r="B133" s="5"/>
      <c r="C133" s="5"/>
      <c r="D133" s="5"/>
      <c r="E133" s="5"/>
      <c r="F133" s="5"/>
      <c r="G133" s="5"/>
      <c r="H133" s="116"/>
      <c r="I133" s="116"/>
      <c r="J133" s="116"/>
      <c r="K133" s="116"/>
      <c r="L133" s="116"/>
      <c r="M133" s="116"/>
      <c r="N133" s="116"/>
      <c r="O133" s="116"/>
      <c r="P133" s="116"/>
      <c r="Q133" s="116"/>
      <c r="R133" s="116"/>
    </row>
    <row r="134" spans="1:18" x14ac:dyDescent="0.2">
      <c r="A134" s="5"/>
      <c r="B134" s="5"/>
      <c r="C134" s="5"/>
      <c r="D134" s="5"/>
      <c r="E134" s="5"/>
      <c r="F134" s="5"/>
      <c r="G134" s="5"/>
      <c r="H134" s="116"/>
      <c r="I134" s="116"/>
      <c r="J134" s="116"/>
      <c r="K134" s="116"/>
      <c r="L134" s="116"/>
      <c r="M134" s="116"/>
      <c r="N134" s="116"/>
      <c r="O134" s="116"/>
      <c r="P134" s="116"/>
      <c r="Q134" s="116"/>
      <c r="R134" s="116"/>
    </row>
    <row r="135" spans="1:18" x14ac:dyDescent="0.2">
      <c r="A135" s="5"/>
      <c r="B135" s="5"/>
      <c r="C135" s="5"/>
      <c r="D135" s="5"/>
      <c r="E135" s="5"/>
      <c r="F135" s="5"/>
      <c r="G135" s="5"/>
      <c r="H135" s="116"/>
      <c r="I135" s="116"/>
      <c r="J135" s="116"/>
      <c r="K135" s="116"/>
      <c r="L135" s="116"/>
      <c r="M135" s="116"/>
      <c r="N135" s="116"/>
      <c r="O135" s="116"/>
      <c r="P135" s="116"/>
      <c r="Q135" s="116"/>
      <c r="R135" s="116"/>
    </row>
    <row r="136" spans="1:18" x14ac:dyDescent="0.2">
      <c r="A136" s="5"/>
      <c r="B136" s="5"/>
      <c r="C136" s="5"/>
      <c r="D136" s="5"/>
      <c r="E136" s="5"/>
      <c r="F136" s="5"/>
      <c r="G136" s="5"/>
      <c r="H136" s="116"/>
      <c r="I136" s="116"/>
      <c r="J136" s="116"/>
      <c r="K136" s="116"/>
      <c r="L136" s="116"/>
      <c r="M136" s="116"/>
      <c r="N136" s="116"/>
      <c r="O136" s="116"/>
      <c r="P136" s="116"/>
      <c r="Q136" s="116"/>
      <c r="R136" s="116"/>
    </row>
    <row r="137" spans="1:18" x14ac:dyDescent="0.2">
      <c r="A137" s="5"/>
      <c r="B137" s="5"/>
      <c r="C137" s="5"/>
      <c r="D137" s="5"/>
      <c r="E137" s="5"/>
      <c r="F137" s="5"/>
      <c r="G137" s="5"/>
      <c r="H137" s="116"/>
      <c r="I137" s="116"/>
      <c r="J137" s="116"/>
      <c r="K137" s="116"/>
      <c r="L137" s="116"/>
      <c r="M137" s="116"/>
      <c r="N137" s="116"/>
      <c r="O137" s="116"/>
      <c r="P137" s="116"/>
      <c r="Q137" s="116"/>
      <c r="R137" s="116"/>
    </row>
    <row r="138" spans="1:18" x14ac:dyDescent="0.2">
      <c r="A138" s="5"/>
      <c r="B138" s="5"/>
      <c r="C138" s="5"/>
      <c r="D138" s="5"/>
      <c r="E138" s="5"/>
      <c r="F138" s="5"/>
      <c r="G138" s="5"/>
      <c r="H138" s="116"/>
      <c r="I138" s="116"/>
      <c r="J138" s="116"/>
      <c r="K138" s="116"/>
      <c r="L138" s="116"/>
      <c r="M138" s="116"/>
      <c r="N138" s="116"/>
      <c r="O138" s="116"/>
      <c r="P138" s="116"/>
      <c r="Q138" s="116"/>
      <c r="R138" s="116"/>
    </row>
    <row r="139" spans="1:18" x14ac:dyDescent="0.2">
      <c r="A139" s="5"/>
      <c r="B139" s="5"/>
      <c r="C139" s="5"/>
      <c r="D139" s="5"/>
      <c r="E139" s="5"/>
      <c r="F139" s="5"/>
      <c r="G139" s="5"/>
      <c r="H139" s="116"/>
      <c r="I139" s="116"/>
      <c r="J139" s="116"/>
      <c r="K139" s="116"/>
      <c r="L139" s="116"/>
      <c r="M139" s="116"/>
      <c r="N139" s="116"/>
      <c r="O139" s="116"/>
      <c r="P139" s="116"/>
      <c r="Q139" s="116"/>
      <c r="R139" s="116"/>
    </row>
    <row r="140" spans="1:18" x14ac:dyDescent="0.2">
      <c r="A140" s="5"/>
      <c r="B140" s="5"/>
      <c r="C140" s="5"/>
      <c r="D140" s="5"/>
      <c r="E140" s="5"/>
      <c r="F140" s="5"/>
      <c r="G140" s="5"/>
      <c r="H140" s="116"/>
      <c r="I140" s="116"/>
      <c r="J140" s="116"/>
      <c r="K140" s="116"/>
      <c r="L140" s="116"/>
      <c r="M140" s="116"/>
      <c r="N140" s="116"/>
      <c r="O140" s="116"/>
      <c r="P140" s="116"/>
      <c r="Q140" s="116"/>
      <c r="R140" s="116"/>
    </row>
    <row r="141" spans="1:18" x14ac:dyDescent="0.2">
      <c r="A141" s="5"/>
      <c r="B141" s="5"/>
      <c r="C141" s="5"/>
      <c r="D141" s="5"/>
      <c r="E141" s="5"/>
      <c r="F141" s="5"/>
      <c r="G141" s="5"/>
      <c r="H141" s="116"/>
      <c r="I141" s="116"/>
      <c r="J141" s="116"/>
      <c r="K141" s="116"/>
      <c r="L141" s="116"/>
      <c r="M141" s="116"/>
      <c r="N141" s="116"/>
      <c r="O141" s="116"/>
      <c r="P141" s="116"/>
      <c r="Q141" s="116"/>
      <c r="R141" s="116"/>
    </row>
    <row r="142" spans="1:18" x14ac:dyDescent="0.2">
      <c r="A142" s="5"/>
      <c r="B142" s="5"/>
      <c r="C142" s="5"/>
      <c r="D142" s="5"/>
      <c r="E142" s="5"/>
      <c r="F142" s="5"/>
      <c r="G142" s="5"/>
      <c r="H142" s="116"/>
      <c r="I142" s="116"/>
      <c r="J142" s="116"/>
      <c r="K142" s="116"/>
      <c r="L142" s="116"/>
      <c r="M142" s="116"/>
      <c r="N142" s="116"/>
      <c r="O142" s="116"/>
      <c r="P142" s="116"/>
      <c r="Q142" s="116"/>
      <c r="R142" s="116"/>
    </row>
    <row r="143" spans="1:18" x14ac:dyDescent="0.2">
      <c r="A143" s="5"/>
      <c r="B143" s="5"/>
      <c r="C143" s="5"/>
      <c r="D143" s="5"/>
      <c r="E143" s="5"/>
      <c r="F143" s="5"/>
      <c r="G143" s="5"/>
      <c r="H143" s="116"/>
      <c r="I143" s="116"/>
      <c r="J143" s="116"/>
      <c r="K143" s="116"/>
      <c r="L143" s="116"/>
      <c r="M143" s="116"/>
      <c r="N143" s="116"/>
      <c r="O143" s="116"/>
      <c r="P143" s="116"/>
      <c r="Q143" s="116"/>
      <c r="R143" s="116"/>
    </row>
    <row r="144" spans="1:18" x14ac:dyDescent="0.2">
      <c r="A144" s="5"/>
      <c r="B144" s="5"/>
      <c r="C144" s="5"/>
      <c r="D144" s="5"/>
      <c r="E144" s="5"/>
      <c r="F144" s="5"/>
      <c r="G144" s="5"/>
      <c r="H144" s="116"/>
      <c r="I144" s="116"/>
      <c r="J144" s="116"/>
      <c r="K144" s="116"/>
      <c r="L144" s="116"/>
      <c r="M144" s="116"/>
      <c r="N144" s="116"/>
      <c r="O144" s="116"/>
      <c r="P144" s="116"/>
      <c r="Q144" s="116"/>
      <c r="R144" s="116"/>
    </row>
    <row r="145" spans="1:18" x14ac:dyDescent="0.2">
      <c r="A145" s="5"/>
      <c r="B145" s="5"/>
      <c r="C145" s="5"/>
      <c r="D145" s="5"/>
      <c r="E145" s="5"/>
      <c r="F145" s="5"/>
      <c r="G145" s="5"/>
      <c r="H145" s="116"/>
      <c r="I145" s="116"/>
      <c r="J145" s="116"/>
      <c r="K145" s="116"/>
      <c r="L145" s="116"/>
      <c r="M145" s="116"/>
      <c r="N145" s="116"/>
      <c r="O145" s="116"/>
      <c r="P145" s="116"/>
      <c r="Q145" s="116"/>
      <c r="R145" s="116"/>
    </row>
    <row r="146" spans="1:18" x14ac:dyDescent="0.2">
      <c r="A146" s="5"/>
      <c r="B146" s="5"/>
      <c r="C146" s="5"/>
      <c r="D146" s="5"/>
      <c r="E146" s="5"/>
      <c r="F146" s="5"/>
      <c r="G146" s="5"/>
      <c r="H146" s="116"/>
      <c r="I146" s="116"/>
      <c r="J146" s="116"/>
      <c r="K146" s="116"/>
      <c r="L146" s="116"/>
      <c r="M146" s="116"/>
      <c r="N146" s="116"/>
      <c r="O146" s="116"/>
      <c r="P146" s="116"/>
      <c r="Q146" s="116"/>
      <c r="R146" s="116"/>
    </row>
    <row r="147" spans="1:18" x14ac:dyDescent="0.2">
      <c r="A147" s="5"/>
      <c r="B147" s="5"/>
      <c r="C147" s="5"/>
      <c r="D147" s="5"/>
      <c r="E147" s="5"/>
      <c r="F147" s="5"/>
      <c r="G147" s="5"/>
      <c r="H147" s="116"/>
      <c r="I147" s="116"/>
      <c r="J147" s="116"/>
      <c r="K147" s="116"/>
      <c r="L147" s="116"/>
      <c r="M147" s="116"/>
      <c r="N147" s="116"/>
      <c r="O147" s="116"/>
      <c r="P147" s="116"/>
      <c r="Q147" s="116"/>
      <c r="R147" s="116"/>
    </row>
    <row r="148" spans="1:18" x14ac:dyDescent="0.2">
      <c r="A148" s="5"/>
      <c r="B148" s="5"/>
      <c r="C148" s="5"/>
      <c r="D148" s="5"/>
      <c r="E148" s="5"/>
      <c r="F148" s="5"/>
      <c r="G148" s="5"/>
      <c r="H148" s="116"/>
      <c r="I148" s="116"/>
      <c r="J148" s="116"/>
      <c r="K148" s="116"/>
      <c r="L148" s="116"/>
      <c r="M148" s="116"/>
      <c r="N148" s="116"/>
      <c r="O148" s="116"/>
      <c r="P148" s="116"/>
      <c r="Q148" s="116"/>
      <c r="R148" s="116"/>
    </row>
    <row r="149" spans="1:18" x14ac:dyDescent="0.2">
      <c r="A149" s="5"/>
      <c r="B149" s="5"/>
      <c r="C149" s="5"/>
      <c r="D149" s="5"/>
      <c r="E149" s="5"/>
      <c r="F149" s="5"/>
      <c r="G149" s="5"/>
      <c r="H149" s="116"/>
      <c r="I149" s="116"/>
      <c r="J149" s="116"/>
      <c r="K149" s="116"/>
      <c r="L149" s="116"/>
      <c r="M149" s="116"/>
      <c r="N149" s="116"/>
      <c r="O149" s="116"/>
      <c r="P149" s="116"/>
      <c r="Q149" s="116"/>
      <c r="R149" s="116"/>
    </row>
    <row r="150" spans="1:18" x14ac:dyDescent="0.2">
      <c r="A150" s="5"/>
      <c r="B150" s="5"/>
      <c r="C150" s="5"/>
      <c r="D150" s="5"/>
      <c r="E150" s="5"/>
      <c r="F150" s="5"/>
      <c r="G150" s="5"/>
      <c r="H150" s="116"/>
      <c r="I150" s="116"/>
      <c r="J150" s="116"/>
      <c r="K150" s="116"/>
      <c r="L150" s="116"/>
      <c r="M150" s="116"/>
      <c r="N150" s="116"/>
      <c r="O150" s="116"/>
      <c r="P150" s="116"/>
      <c r="Q150" s="116"/>
      <c r="R150" s="116"/>
    </row>
    <row r="151" spans="1:18" x14ac:dyDescent="0.2">
      <c r="A151" s="5"/>
      <c r="B151" s="5"/>
      <c r="C151" s="5"/>
      <c r="D151" s="5"/>
      <c r="E151" s="5"/>
      <c r="F151" s="5"/>
      <c r="G151" s="5"/>
      <c r="H151" s="116"/>
      <c r="I151" s="116"/>
      <c r="J151" s="116"/>
      <c r="K151" s="116"/>
      <c r="L151" s="116"/>
      <c r="M151" s="116"/>
      <c r="N151" s="116"/>
      <c r="O151" s="116"/>
      <c r="P151" s="116"/>
      <c r="Q151" s="116"/>
      <c r="R151" s="116"/>
    </row>
    <row r="152" spans="1:18" x14ac:dyDescent="0.2">
      <c r="A152" s="5"/>
      <c r="B152" s="5"/>
      <c r="C152" s="5"/>
      <c r="D152" s="5"/>
      <c r="E152" s="5"/>
      <c r="F152" s="5"/>
      <c r="G152" s="5"/>
      <c r="H152" s="116"/>
      <c r="I152" s="116"/>
      <c r="J152" s="116"/>
      <c r="K152" s="116"/>
      <c r="L152" s="116"/>
      <c r="M152" s="116"/>
      <c r="N152" s="116"/>
      <c r="O152" s="116"/>
      <c r="P152" s="116"/>
      <c r="Q152" s="116"/>
      <c r="R152" s="116"/>
    </row>
    <row r="153" spans="1:18" x14ac:dyDescent="0.2">
      <c r="A153" s="5"/>
      <c r="B153" s="5"/>
      <c r="C153" s="5"/>
      <c r="D153" s="5"/>
      <c r="E153" s="5"/>
      <c r="F153" s="5"/>
      <c r="G153" s="5"/>
      <c r="H153" s="116"/>
      <c r="I153" s="116"/>
      <c r="J153" s="116"/>
      <c r="K153" s="116"/>
      <c r="L153" s="116"/>
      <c r="M153" s="116"/>
      <c r="N153" s="116"/>
      <c r="O153" s="116"/>
      <c r="P153" s="116"/>
      <c r="Q153" s="116"/>
      <c r="R153" s="116"/>
    </row>
    <row r="154" spans="1:18" x14ac:dyDescent="0.2">
      <c r="A154" s="5"/>
      <c r="B154" s="5"/>
      <c r="C154" s="5"/>
      <c r="D154" s="5"/>
      <c r="E154" s="5"/>
      <c r="F154" s="5"/>
      <c r="G154" s="5"/>
      <c r="H154" s="116"/>
      <c r="I154" s="116"/>
      <c r="J154" s="116"/>
      <c r="K154" s="116"/>
      <c r="L154" s="116"/>
      <c r="M154" s="116"/>
      <c r="N154" s="116"/>
      <c r="O154" s="116"/>
      <c r="P154" s="116"/>
      <c r="Q154" s="116"/>
      <c r="R154" s="116"/>
    </row>
    <row r="155" spans="1:18" x14ac:dyDescent="0.2">
      <c r="A155" s="5"/>
      <c r="B155" s="5"/>
      <c r="C155" s="5"/>
      <c r="D155" s="5"/>
      <c r="E155" s="5"/>
      <c r="F155" s="5"/>
      <c r="G155" s="5"/>
      <c r="H155" s="116"/>
      <c r="I155" s="116"/>
      <c r="J155" s="116"/>
      <c r="K155" s="116"/>
      <c r="L155" s="116"/>
      <c r="M155" s="116"/>
      <c r="N155" s="116"/>
      <c r="O155" s="116"/>
      <c r="P155" s="116"/>
      <c r="Q155" s="116"/>
      <c r="R155" s="116"/>
    </row>
    <row r="156" spans="1:18" x14ac:dyDescent="0.2">
      <c r="A156" s="5"/>
      <c r="B156" s="5"/>
      <c r="C156" s="5"/>
      <c r="D156" s="5"/>
      <c r="E156" s="5"/>
      <c r="F156" s="5"/>
      <c r="G156" s="5"/>
      <c r="H156" s="116"/>
      <c r="I156" s="116"/>
      <c r="J156" s="116"/>
      <c r="K156" s="116"/>
      <c r="L156" s="116"/>
      <c r="M156" s="116"/>
      <c r="N156" s="116"/>
      <c r="O156" s="116"/>
      <c r="P156" s="116"/>
      <c r="Q156" s="116"/>
      <c r="R156" s="116"/>
    </row>
    <row r="157" spans="1:18" x14ac:dyDescent="0.2">
      <c r="A157" s="5"/>
      <c r="B157" s="5"/>
      <c r="C157" s="5"/>
      <c r="D157" s="5"/>
      <c r="E157" s="5"/>
      <c r="F157" s="5"/>
      <c r="G157" s="5"/>
      <c r="H157" s="116"/>
      <c r="I157" s="116"/>
      <c r="J157" s="116"/>
      <c r="K157" s="116"/>
      <c r="L157" s="116"/>
      <c r="M157" s="116"/>
      <c r="N157" s="116"/>
      <c r="O157" s="116"/>
      <c r="P157" s="116"/>
      <c r="Q157" s="116"/>
      <c r="R157" s="116"/>
    </row>
    <row r="158" spans="1:18" x14ac:dyDescent="0.2">
      <c r="A158" s="5"/>
      <c r="B158" s="5"/>
      <c r="C158" s="5"/>
      <c r="D158" s="5"/>
      <c r="E158" s="5"/>
      <c r="F158" s="5"/>
      <c r="G158" s="5"/>
      <c r="H158" s="116"/>
      <c r="I158" s="116"/>
      <c r="J158" s="116"/>
      <c r="K158" s="116"/>
      <c r="L158" s="116"/>
      <c r="M158" s="116"/>
      <c r="N158" s="116"/>
      <c r="O158" s="116"/>
      <c r="P158" s="116"/>
      <c r="Q158" s="116"/>
      <c r="R158" s="116"/>
    </row>
    <row r="159" spans="1:18" x14ac:dyDescent="0.2">
      <c r="A159" s="5"/>
      <c r="B159" s="5"/>
      <c r="C159" s="5"/>
      <c r="D159" s="5"/>
      <c r="E159" s="5"/>
      <c r="F159" s="5"/>
      <c r="G159" s="5"/>
      <c r="H159" s="116"/>
      <c r="I159" s="116"/>
      <c r="J159" s="116"/>
      <c r="K159" s="116"/>
      <c r="L159" s="116"/>
      <c r="M159" s="116"/>
      <c r="N159" s="116"/>
      <c r="O159" s="116"/>
      <c r="P159" s="116"/>
      <c r="Q159" s="116"/>
      <c r="R159" s="116"/>
    </row>
    <row r="160" spans="1:18" x14ac:dyDescent="0.2">
      <c r="A160" s="5"/>
      <c r="B160" s="5"/>
      <c r="C160" s="5"/>
      <c r="D160" s="5"/>
      <c r="E160" s="5"/>
      <c r="F160" s="5"/>
      <c r="G160" s="5"/>
      <c r="H160" s="116"/>
      <c r="I160" s="116"/>
      <c r="J160" s="116"/>
      <c r="K160" s="116"/>
      <c r="L160" s="116"/>
      <c r="M160" s="116"/>
      <c r="N160" s="116"/>
      <c r="O160" s="116"/>
      <c r="P160" s="116"/>
      <c r="Q160" s="116"/>
      <c r="R160" s="116"/>
    </row>
    <row r="161" spans="1:18" x14ac:dyDescent="0.2">
      <c r="A161" s="5"/>
      <c r="B161" s="5"/>
      <c r="C161" s="5"/>
      <c r="D161" s="5"/>
      <c r="E161" s="5"/>
      <c r="F161" s="5"/>
      <c r="G161" s="5"/>
      <c r="H161" s="116"/>
      <c r="I161" s="116"/>
      <c r="J161" s="116"/>
      <c r="K161" s="116"/>
      <c r="L161" s="116"/>
      <c r="M161" s="116"/>
      <c r="N161" s="116"/>
      <c r="O161" s="116"/>
      <c r="P161" s="116"/>
      <c r="Q161" s="116"/>
      <c r="R161" s="116"/>
    </row>
    <row r="162" spans="1:18" x14ac:dyDescent="0.2">
      <c r="A162" s="5"/>
      <c r="B162" s="5"/>
      <c r="C162" s="5"/>
      <c r="D162" s="5"/>
      <c r="E162" s="5"/>
      <c r="F162" s="5"/>
      <c r="G162" s="5"/>
      <c r="H162" s="116"/>
      <c r="I162" s="116"/>
      <c r="J162" s="116"/>
      <c r="K162" s="116"/>
      <c r="L162" s="116"/>
      <c r="M162" s="116"/>
      <c r="N162" s="116"/>
      <c r="O162" s="116"/>
      <c r="P162" s="116"/>
      <c r="Q162" s="116"/>
      <c r="R162" s="116"/>
    </row>
    <row r="163" spans="1:18" x14ac:dyDescent="0.2">
      <c r="A163" s="5"/>
      <c r="B163" s="5"/>
      <c r="C163" s="5"/>
      <c r="D163" s="5"/>
      <c r="E163" s="5"/>
      <c r="F163" s="5"/>
      <c r="G163" s="5"/>
      <c r="H163" s="116"/>
      <c r="I163" s="116"/>
      <c r="J163" s="116"/>
      <c r="K163" s="116"/>
      <c r="L163" s="116"/>
      <c r="M163" s="116"/>
      <c r="N163" s="116"/>
      <c r="O163" s="116"/>
      <c r="P163" s="116"/>
      <c r="Q163" s="116"/>
      <c r="R163" s="116"/>
    </row>
    <row r="164" spans="1:18" x14ac:dyDescent="0.2">
      <c r="A164" s="5"/>
      <c r="B164" s="5"/>
      <c r="C164" s="5"/>
      <c r="D164" s="5"/>
      <c r="E164" s="5"/>
      <c r="F164" s="5"/>
      <c r="G164" s="5"/>
      <c r="H164" s="116"/>
      <c r="I164" s="116"/>
      <c r="J164" s="116"/>
      <c r="K164" s="116"/>
      <c r="L164" s="116"/>
      <c r="M164" s="116"/>
      <c r="N164" s="116"/>
      <c r="O164" s="116"/>
      <c r="P164" s="116"/>
      <c r="Q164" s="116"/>
      <c r="R164" s="116"/>
    </row>
    <row r="165" spans="1:18" x14ac:dyDescent="0.2">
      <c r="A165" s="5"/>
      <c r="B165" s="5"/>
      <c r="C165" s="5"/>
      <c r="D165" s="5"/>
      <c r="E165" s="5"/>
      <c r="F165" s="5"/>
      <c r="G165" s="5"/>
      <c r="H165" s="116"/>
      <c r="I165" s="116"/>
      <c r="J165" s="116"/>
      <c r="K165" s="116"/>
      <c r="L165" s="116"/>
      <c r="M165" s="116"/>
      <c r="N165" s="116"/>
      <c r="O165" s="116"/>
      <c r="P165" s="116"/>
      <c r="Q165" s="116"/>
      <c r="R165" s="116"/>
    </row>
    <row r="166" spans="1:18" x14ac:dyDescent="0.2">
      <c r="A166" s="5"/>
      <c r="B166" s="5"/>
      <c r="C166" s="5"/>
      <c r="D166" s="5"/>
      <c r="E166" s="5"/>
      <c r="F166" s="5"/>
      <c r="G166" s="5"/>
      <c r="H166" s="116"/>
      <c r="I166" s="116"/>
      <c r="J166" s="116"/>
      <c r="K166" s="116"/>
      <c r="L166" s="116"/>
      <c r="M166" s="116"/>
      <c r="N166" s="116"/>
      <c r="O166" s="116"/>
      <c r="P166" s="116"/>
      <c r="Q166" s="116"/>
      <c r="R166" s="116"/>
    </row>
    <row r="167" spans="1:18" x14ac:dyDescent="0.2">
      <c r="A167" s="5"/>
      <c r="B167" s="5"/>
      <c r="C167" s="5"/>
      <c r="D167" s="5"/>
      <c r="E167" s="5"/>
      <c r="F167" s="5"/>
      <c r="G167" s="5"/>
      <c r="H167" s="116"/>
      <c r="I167" s="116"/>
      <c r="J167" s="116"/>
      <c r="K167" s="116"/>
      <c r="L167" s="116"/>
      <c r="M167" s="116"/>
      <c r="N167" s="116"/>
      <c r="O167" s="116"/>
      <c r="P167" s="116"/>
      <c r="Q167" s="116"/>
      <c r="R167" s="116"/>
    </row>
    <row r="168" spans="1:18" x14ac:dyDescent="0.2">
      <c r="A168" s="5"/>
      <c r="B168" s="5"/>
      <c r="C168" s="5"/>
      <c r="D168" s="5"/>
      <c r="E168" s="5"/>
      <c r="F168" s="5"/>
      <c r="G168" s="5"/>
      <c r="H168" s="116"/>
      <c r="I168" s="116"/>
      <c r="J168" s="116"/>
      <c r="K168" s="116"/>
      <c r="L168" s="116"/>
      <c r="M168" s="116"/>
      <c r="N168" s="116"/>
      <c r="O168" s="116"/>
      <c r="P168" s="116"/>
      <c r="Q168" s="116"/>
      <c r="R168" s="116"/>
    </row>
    <row r="169" spans="1:18" x14ac:dyDescent="0.2">
      <c r="A169" s="5"/>
      <c r="B169" s="5"/>
      <c r="C169" s="5"/>
      <c r="D169" s="5"/>
      <c r="E169" s="5"/>
      <c r="F169" s="5"/>
      <c r="G169" s="5"/>
      <c r="H169" s="116"/>
      <c r="I169" s="116"/>
      <c r="J169" s="116"/>
      <c r="K169" s="116"/>
      <c r="L169" s="116"/>
      <c r="M169" s="116"/>
      <c r="N169" s="116"/>
      <c r="O169" s="116"/>
      <c r="P169" s="116"/>
      <c r="Q169" s="116"/>
      <c r="R169" s="116"/>
    </row>
    <row r="170" spans="1:18" x14ac:dyDescent="0.2">
      <c r="A170" s="5"/>
      <c r="B170" s="5"/>
      <c r="C170" s="5"/>
      <c r="D170" s="5"/>
      <c r="E170" s="5"/>
      <c r="F170" s="5"/>
      <c r="G170" s="5"/>
      <c r="H170" s="116"/>
      <c r="I170" s="116"/>
      <c r="J170" s="116"/>
      <c r="K170" s="116"/>
      <c r="L170" s="116"/>
      <c r="M170" s="116"/>
      <c r="N170" s="116"/>
      <c r="O170" s="116"/>
      <c r="P170" s="116"/>
      <c r="Q170" s="116"/>
      <c r="R170" s="116"/>
    </row>
    <row r="171" spans="1:18" x14ac:dyDescent="0.2">
      <c r="A171" s="5"/>
      <c r="B171" s="5"/>
      <c r="C171" s="5"/>
      <c r="D171" s="5"/>
      <c r="E171" s="5"/>
      <c r="F171" s="5"/>
      <c r="G171" s="5"/>
      <c r="H171" s="116"/>
      <c r="I171" s="116"/>
      <c r="J171" s="116"/>
      <c r="K171" s="116"/>
      <c r="L171" s="116"/>
      <c r="M171" s="116"/>
      <c r="N171" s="116"/>
      <c r="O171" s="116"/>
      <c r="P171" s="116"/>
      <c r="Q171" s="116"/>
      <c r="R171" s="116"/>
    </row>
    <row r="172" spans="1:18" x14ac:dyDescent="0.2">
      <c r="A172" s="5"/>
      <c r="B172" s="5"/>
      <c r="C172" s="5"/>
      <c r="D172" s="5"/>
      <c r="E172" s="5"/>
      <c r="F172" s="5"/>
      <c r="G172" s="5"/>
      <c r="H172" s="116"/>
      <c r="I172" s="116"/>
      <c r="J172" s="116"/>
      <c r="K172" s="116"/>
      <c r="L172" s="116"/>
      <c r="M172" s="116"/>
      <c r="N172" s="116"/>
      <c r="O172" s="116"/>
      <c r="P172" s="116"/>
      <c r="Q172" s="116"/>
      <c r="R172" s="116"/>
    </row>
    <row r="173" spans="1:18" x14ac:dyDescent="0.2">
      <c r="A173" s="5"/>
      <c r="B173" s="5"/>
      <c r="C173" s="5"/>
      <c r="D173" s="5"/>
      <c r="E173" s="5"/>
      <c r="F173" s="5"/>
      <c r="G173" s="5"/>
      <c r="H173" s="116"/>
      <c r="I173" s="116"/>
      <c r="J173" s="116"/>
      <c r="K173" s="116"/>
      <c r="L173" s="116"/>
      <c r="M173" s="116"/>
      <c r="N173" s="116"/>
      <c r="O173" s="116"/>
      <c r="P173" s="116"/>
      <c r="Q173" s="116"/>
      <c r="R173" s="116"/>
    </row>
    <row r="174" spans="1:18" x14ac:dyDescent="0.2">
      <c r="A174" s="5"/>
      <c r="B174" s="5"/>
      <c r="C174" s="5"/>
      <c r="D174" s="5"/>
      <c r="E174" s="5"/>
      <c r="F174" s="5"/>
      <c r="G174" s="5"/>
      <c r="H174" s="116"/>
      <c r="I174" s="116"/>
      <c r="J174" s="116"/>
      <c r="K174" s="116"/>
      <c r="L174" s="116"/>
      <c r="M174" s="116"/>
      <c r="N174" s="116"/>
      <c r="O174" s="116"/>
      <c r="P174" s="116"/>
      <c r="Q174" s="116"/>
      <c r="R174" s="116"/>
    </row>
    <row r="175" spans="1:18" x14ac:dyDescent="0.2">
      <c r="A175" s="5"/>
      <c r="B175" s="5"/>
      <c r="C175" s="5"/>
      <c r="D175" s="5"/>
      <c r="E175" s="5"/>
      <c r="F175" s="5"/>
      <c r="G175" s="5"/>
      <c r="H175" s="116"/>
      <c r="I175" s="116"/>
      <c r="J175" s="116"/>
      <c r="K175" s="116"/>
      <c r="L175" s="116"/>
      <c r="M175" s="116"/>
      <c r="N175" s="116"/>
      <c r="O175" s="116"/>
      <c r="P175" s="116"/>
      <c r="Q175" s="116"/>
      <c r="R175" s="116"/>
    </row>
    <row r="176" spans="1:18" x14ac:dyDescent="0.2">
      <c r="A176" s="5"/>
      <c r="B176" s="5"/>
      <c r="C176" s="5"/>
      <c r="D176" s="5"/>
      <c r="E176" s="5"/>
      <c r="F176" s="5"/>
      <c r="G176" s="5"/>
      <c r="H176" s="116"/>
      <c r="I176" s="116"/>
      <c r="J176" s="116"/>
      <c r="K176" s="116"/>
      <c r="L176" s="116"/>
      <c r="M176" s="116"/>
      <c r="N176" s="116"/>
      <c r="O176" s="116"/>
      <c r="P176" s="116"/>
      <c r="Q176" s="116"/>
      <c r="R176" s="116"/>
    </row>
    <row r="177" spans="1:18" x14ac:dyDescent="0.2">
      <c r="A177" s="5"/>
      <c r="B177" s="5"/>
      <c r="C177" s="5"/>
      <c r="D177" s="5"/>
      <c r="E177" s="5"/>
      <c r="F177" s="5"/>
      <c r="G177" s="5"/>
      <c r="H177" s="116"/>
      <c r="I177" s="116"/>
      <c r="J177" s="116"/>
      <c r="K177" s="116"/>
      <c r="L177" s="116"/>
      <c r="M177" s="116"/>
      <c r="N177" s="116"/>
      <c r="O177" s="116"/>
      <c r="P177" s="116"/>
      <c r="Q177" s="116"/>
      <c r="R177" s="116"/>
    </row>
    <row r="178" spans="1:18" x14ac:dyDescent="0.2">
      <c r="A178" s="5"/>
      <c r="B178" s="5"/>
      <c r="C178" s="5"/>
      <c r="D178" s="5"/>
      <c r="E178" s="5"/>
      <c r="F178" s="5"/>
      <c r="G178" s="5"/>
      <c r="H178" s="116"/>
      <c r="I178" s="116"/>
      <c r="J178" s="116"/>
      <c r="K178" s="116"/>
      <c r="L178" s="116"/>
      <c r="M178" s="116"/>
      <c r="N178" s="116"/>
      <c r="O178" s="116"/>
      <c r="P178" s="116"/>
      <c r="Q178" s="116"/>
      <c r="R178" s="116"/>
    </row>
    <row r="179" spans="1:18" x14ac:dyDescent="0.2">
      <c r="A179" s="5"/>
      <c r="B179" s="5"/>
      <c r="C179" s="5"/>
      <c r="D179" s="5"/>
      <c r="E179" s="5"/>
      <c r="F179" s="5"/>
      <c r="G179" s="5"/>
      <c r="H179" s="116"/>
      <c r="I179" s="116"/>
      <c r="J179" s="116"/>
      <c r="K179" s="116"/>
      <c r="L179" s="116"/>
      <c r="M179" s="116"/>
      <c r="N179" s="116"/>
      <c r="O179" s="116"/>
      <c r="P179" s="116"/>
      <c r="Q179" s="116"/>
      <c r="R179" s="116"/>
    </row>
    <row r="180" spans="1:18" x14ac:dyDescent="0.2">
      <c r="A180" s="5"/>
      <c r="B180" s="5"/>
      <c r="C180" s="5"/>
      <c r="D180" s="5"/>
      <c r="E180" s="5"/>
      <c r="F180" s="5"/>
      <c r="G180" s="5"/>
      <c r="H180" s="116"/>
      <c r="I180" s="116"/>
      <c r="J180" s="116"/>
      <c r="K180" s="116"/>
      <c r="L180" s="116"/>
      <c r="M180" s="116"/>
      <c r="N180" s="116"/>
      <c r="O180" s="116"/>
      <c r="P180" s="116"/>
      <c r="Q180" s="116"/>
      <c r="R180" s="116"/>
    </row>
    <row r="181" spans="1:18" x14ac:dyDescent="0.2">
      <c r="A181" s="5"/>
      <c r="B181" s="5"/>
      <c r="C181" s="5"/>
      <c r="D181" s="5"/>
      <c r="E181" s="5"/>
      <c r="F181" s="5"/>
      <c r="G181" s="5"/>
      <c r="H181" s="116"/>
      <c r="I181" s="116"/>
      <c r="J181" s="116"/>
      <c r="K181" s="116"/>
      <c r="L181" s="116"/>
      <c r="M181" s="116"/>
      <c r="N181" s="116"/>
      <c r="O181" s="116"/>
      <c r="P181" s="116"/>
      <c r="Q181" s="116"/>
      <c r="R181" s="116"/>
    </row>
    <row r="182" spans="1:18" x14ac:dyDescent="0.2">
      <c r="A182" s="5"/>
      <c r="B182" s="5"/>
      <c r="C182" s="5"/>
      <c r="D182" s="5"/>
      <c r="E182" s="5"/>
      <c r="F182" s="5"/>
      <c r="G182" s="5"/>
      <c r="H182" s="116"/>
      <c r="I182" s="116"/>
      <c r="J182" s="116"/>
      <c r="K182" s="116"/>
      <c r="L182" s="116"/>
      <c r="M182" s="116"/>
      <c r="N182" s="116"/>
      <c r="O182" s="116"/>
      <c r="P182" s="116"/>
      <c r="Q182" s="116"/>
      <c r="R182" s="116"/>
    </row>
    <row r="183" spans="1:18" x14ac:dyDescent="0.2">
      <c r="A183" s="5"/>
      <c r="B183" s="5"/>
      <c r="C183" s="5"/>
      <c r="D183" s="5"/>
      <c r="E183" s="5"/>
      <c r="F183" s="5"/>
      <c r="G183" s="5"/>
      <c r="H183" s="116"/>
      <c r="I183" s="116"/>
      <c r="J183" s="116"/>
      <c r="K183" s="116"/>
      <c r="L183" s="116"/>
      <c r="M183" s="116"/>
      <c r="N183" s="116"/>
      <c r="O183" s="116"/>
      <c r="P183" s="116"/>
      <c r="Q183" s="116"/>
      <c r="R183" s="116"/>
    </row>
    <row r="184" spans="1:18" x14ac:dyDescent="0.2">
      <c r="A184" s="5"/>
      <c r="B184" s="5"/>
      <c r="C184" s="5"/>
      <c r="D184" s="5"/>
      <c r="E184" s="5"/>
      <c r="F184" s="5"/>
      <c r="G184" s="5"/>
      <c r="H184" s="116"/>
      <c r="I184" s="116"/>
      <c r="J184" s="116"/>
      <c r="K184" s="116"/>
      <c r="L184" s="116"/>
      <c r="M184" s="116"/>
      <c r="N184" s="116"/>
      <c r="O184" s="116"/>
      <c r="P184" s="116"/>
      <c r="Q184" s="116"/>
      <c r="R184" s="116"/>
    </row>
    <row r="185" spans="1:18" x14ac:dyDescent="0.2">
      <c r="A185" s="5"/>
      <c r="B185" s="5"/>
      <c r="C185" s="5"/>
      <c r="D185" s="5"/>
      <c r="E185" s="5"/>
      <c r="F185" s="5"/>
      <c r="G185" s="5"/>
      <c r="H185" s="116"/>
      <c r="I185" s="116"/>
      <c r="J185" s="116"/>
      <c r="K185" s="116"/>
      <c r="L185" s="116"/>
      <c r="M185" s="116"/>
      <c r="N185" s="116"/>
      <c r="O185" s="116"/>
      <c r="P185" s="116"/>
      <c r="Q185" s="116"/>
      <c r="R185" s="116"/>
    </row>
    <row r="186" spans="1:18" x14ac:dyDescent="0.2">
      <c r="A186" s="5"/>
      <c r="B186" s="5"/>
      <c r="C186" s="5"/>
      <c r="D186" s="5"/>
      <c r="E186" s="5"/>
      <c r="F186" s="5"/>
      <c r="G186" s="5"/>
      <c r="H186" s="116"/>
      <c r="I186" s="116"/>
      <c r="J186" s="116"/>
      <c r="K186" s="116"/>
      <c r="L186" s="116"/>
      <c r="M186" s="116"/>
      <c r="N186" s="116"/>
      <c r="O186" s="116"/>
      <c r="P186" s="116"/>
      <c r="Q186" s="116"/>
      <c r="R186" s="116"/>
    </row>
    <row r="187" spans="1:18" x14ac:dyDescent="0.2">
      <c r="A187" s="5"/>
      <c r="B187" s="5"/>
      <c r="C187" s="5"/>
      <c r="D187" s="5"/>
      <c r="E187" s="5"/>
      <c r="F187" s="5"/>
      <c r="G187" s="5"/>
      <c r="H187" s="116"/>
      <c r="I187" s="116"/>
      <c r="J187" s="116"/>
      <c r="K187" s="116"/>
      <c r="L187" s="116"/>
      <c r="M187" s="116"/>
      <c r="N187" s="116"/>
      <c r="O187" s="116"/>
      <c r="P187" s="116"/>
      <c r="Q187" s="116"/>
      <c r="R187" s="116"/>
    </row>
    <row r="188" spans="1:18" x14ac:dyDescent="0.2">
      <c r="A188" s="5"/>
      <c r="B188" s="5"/>
      <c r="C188" s="5"/>
      <c r="D188" s="5"/>
      <c r="E188" s="5"/>
      <c r="F188" s="5"/>
      <c r="G188" s="5"/>
      <c r="H188" s="116"/>
      <c r="I188" s="116"/>
      <c r="J188" s="116"/>
      <c r="K188" s="116"/>
      <c r="L188" s="116"/>
      <c r="M188" s="116"/>
      <c r="N188" s="116"/>
      <c r="O188" s="116"/>
      <c r="P188" s="116"/>
      <c r="Q188" s="116"/>
      <c r="R188" s="116"/>
    </row>
    <row r="189" spans="1:18" x14ac:dyDescent="0.2">
      <c r="A189" s="5"/>
      <c r="B189" s="5"/>
      <c r="C189" s="5"/>
      <c r="D189" s="5"/>
      <c r="E189" s="5"/>
      <c r="F189" s="5"/>
      <c r="G189" s="5"/>
      <c r="H189" s="116"/>
      <c r="I189" s="116"/>
      <c r="J189" s="116"/>
      <c r="K189" s="116"/>
      <c r="L189" s="116"/>
      <c r="M189" s="116"/>
      <c r="N189" s="116"/>
      <c r="O189" s="116"/>
      <c r="P189" s="116"/>
      <c r="Q189" s="116"/>
      <c r="R189" s="116"/>
    </row>
    <row r="190" spans="1:18" x14ac:dyDescent="0.2">
      <c r="A190" s="5"/>
      <c r="B190" s="5"/>
      <c r="C190" s="5"/>
      <c r="D190" s="5"/>
      <c r="E190" s="5"/>
      <c r="F190" s="5"/>
      <c r="G190" s="5"/>
      <c r="H190" s="116"/>
      <c r="I190" s="116"/>
      <c r="J190" s="116"/>
      <c r="K190" s="116"/>
      <c r="L190" s="116"/>
      <c r="M190" s="116"/>
      <c r="N190" s="116"/>
      <c r="O190" s="116"/>
      <c r="P190" s="116"/>
      <c r="Q190" s="116"/>
      <c r="R190" s="116"/>
    </row>
    <row r="191" spans="1:18" x14ac:dyDescent="0.2">
      <c r="A191" s="5"/>
      <c r="B191" s="5"/>
      <c r="C191" s="5"/>
      <c r="D191" s="5"/>
      <c r="E191" s="5"/>
      <c r="F191" s="5"/>
      <c r="G191" s="5"/>
      <c r="H191" s="116"/>
      <c r="I191" s="116"/>
      <c r="J191" s="116"/>
      <c r="K191" s="116"/>
      <c r="L191" s="116"/>
      <c r="M191" s="116"/>
      <c r="N191" s="116"/>
      <c r="O191" s="116"/>
      <c r="P191" s="116"/>
      <c r="Q191" s="116"/>
      <c r="R191" s="116"/>
    </row>
    <row r="192" spans="1:18" x14ac:dyDescent="0.2">
      <c r="A192" s="5"/>
      <c r="B192" s="5"/>
      <c r="C192" s="5"/>
      <c r="D192" s="5"/>
      <c r="E192" s="5"/>
      <c r="F192" s="5"/>
      <c r="G192" s="5"/>
      <c r="H192" s="116"/>
      <c r="I192" s="116"/>
      <c r="J192" s="116"/>
      <c r="K192" s="116"/>
      <c r="L192" s="116"/>
      <c r="M192" s="116"/>
      <c r="N192" s="116"/>
      <c r="O192" s="116"/>
      <c r="P192" s="116"/>
      <c r="Q192" s="116"/>
      <c r="R192" s="116"/>
    </row>
    <row r="193" spans="1:18" x14ac:dyDescent="0.2">
      <c r="A193" s="5"/>
      <c r="B193" s="5"/>
      <c r="C193" s="5"/>
      <c r="D193" s="5"/>
      <c r="E193" s="5"/>
      <c r="F193" s="5"/>
      <c r="G193" s="5"/>
      <c r="H193" s="116"/>
      <c r="I193" s="116"/>
      <c r="J193" s="116"/>
      <c r="K193" s="116"/>
      <c r="L193" s="116"/>
      <c r="M193" s="116"/>
      <c r="N193" s="116"/>
      <c r="O193" s="116"/>
      <c r="P193" s="116"/>
      <c r="Q193" s="116"/>
      <c r="R193" s="116"/>
    </row>
    <row r="194" spans="1:18" x14ac:dyDescent="0.2">
      <c r="A194" s="5"/>
      <c r="B194" s="5"/>
      <c r="C194" s="5"/>
      <c r="D194" s="5"/>
      <c r="E194" s="5"/>
      <c r="F194" s="5"/>
      <c r="G194" s="5"/>
      <c r="H194" s="116"/>
      <c r="I194" s="116"/>
      <c r="J194" s="116"/>
      <c r="K194" s="116"/>
      <c r="L194" s="116"/>
      <c r="M194" s="116"/>
      <c r="N194" s="116"/>
      <c r="O194" s="116"/>
      <c r="P194" s="116"/>
      <c r="Q194" s="116"/>
      <c r="R194" s="116"/>
    </row>
    <row r="195" spans="1:18" x14ac:dyDescent="0.2">
      <c r="A195" s="5"/>
      <c r="B195" s="5"/>
      <c r="C195" s="5"/>
      <c r="D195" s="5"/>
      <c r="E195" s="5"/>
      <c r="F195" s="5"/>
      <c r="G195" s="5"/>
      <c r="H195" s="116"/>
      <c r="I195" s="116"/>
      <c r="J195" s="116"/>
      <c r="K195" s="116"/>
      <c r="L195" s="116"/>
      <c r="M195" s="116"/>
      <c r="N195" s="116"/>
      <c r="O195" s="116"/>
      <c r="P195" s="116"/>
      <c r="Q195" s="116"/>
      <c r="R195" s="116"/>
    </row>
    <row r="196" spans="1:18" x14ac:dyDescent="0.2">
      <c r="A196" s="5"/>
      <c r="B196" s="5"/>
      <c r="C196" s="5"/>
      <c r="D196" s="5"/>
      <c r="E196" s="5"/>
      <c r="F196" s="5"/>
      <c r="G196" s="5"/>
      <c r="H196" s="116"/>
      <c r="I196" s="116"/>
      <c r="J196" s="116"/>
      <c r="K196" s="116"/>
      <c r="L196" s="116"/>
      <c r="M196" s="116"/>
      <c r="N196" s="116"/>
      <c r="O196" s="116"/>
      <c r="P196" s="116"/>
      <c r="Q196" s="116"/>
      <c r="R196" s="116"/>
    </row>
    <row r="197" spans="1:18" x14ac:dyDescent="0.2">
      <c r="A197" s="5"/>
      <c r="B197" s="5"/>
      <c r="C197" s="5"/>
      <c r="D197" s="5"/>
      <c r="E197" s="5"/>
      <c r="F197" s="5"/>
      <c r="G197" s="5"/>
      <c r="H197" s="116"/>
      <c r="I197" s="116"/>
      <c r="J197" s="116"/>
      <c r="K197" s="116"/>
      <c r="L197" s="116"/>
      <c r="M197" s="116"/>
      <c r="N197" s="116"/>
      <c r="O197" s="116"/>
      <c r="P197" s="116"/>
      <c r="Q197" s="116"/>
      <c r="R197" s="116"/>
    </row>
    <row r="198" spans="1:18" x14ac:dyDescent="0.2">
      <c r="A198" s="5"/>
      <c r="B198" s="5"/>
      <c r="C198" s="5"/>
      <c r="D198" s="5"/>
      <c r="E198" s="5"/>
      <c r="F198" s="5"/>
      <c r="G198" s="5"/>
      <c r="H198" s="116"/>
      <c r="I198" s="116"/>
      <c r="J198" s="116"/>
      <c r="K198" s="116"/>
      <c r="L198" s="116"/>
      <c r="M198" s="116"/>
      <c r="N198" s="116"/>
      <c r="O198" s="116"/>
      <c r="P198" s="116"/>
      <c r="Q198" s="116"/>
      <c r="R198" s="116"/>
    </row>
    <row r="199" spans="1:18" x14ac:dyDescent="0.2">
      <c r="A199" s="5"/>
      <c r="B199" s="5"/>
      <c r="C199" s="5"/>
      <c r="D199" s="5"/>
      <c r="E199" s="5"/>
      <c r="F199" s="5"/>
      <c r="G199" s="5"/>
      <c r="H199" s="116"/>
      <c r="I199" s="116"/>
      <c r="J199" s="116"/>
      <c r="K199" s="116"/>
      <c r="L199" s="116"/>
      <c r="M199" s="116"/>
      <c r="N199" s="116"/>
      <c r="O199" s="116"/>
      <c r="P199" s="116"/>
      <c r="Q199" s="116"/>
      <c r="R199" s="116"/>
    </row>
    <row r="200" spans="1:18" x14ac:dyDescent="0.2">
      <c r="A200" s="5"/>
      <c r="B200" s="5"/>
      <c r="C200" s="5"/>
      <c r="D200" s="5"/>
      <c r="E200" s="5"/>
      <c r="F200" s="5"/>
      <c r="G200" s="5"/>
      <c r="H200" s="116"/>
      <c r="I200" s="116"/>
      <c r="J200" s="116"/>
      <c r="K200" s="116"/>
      <c r="L200" s="116"/>
      <c r="M200" s="116"/>
      <c r="N200" s="116"/>
      <c r="O200" s="116"/>
      <c r="P200" s="116"/>
      <c r="Q200" s="116"/>
      <c r="R200" s="116"/>
    </row>
    <row r="201" spans="1:18" x14ac:dyDescent="0.2">
      <c r="A201" s="5"/>
      <c r="B201" s="5"/>
      <c r="C201" s="5"/>
      <c r="D201" s="5"/>
      <c r="E201" s="5"/>
      <c r="F201" s="5"/>
      <c r="G201" s="5"/>
      <c r="H201" s="116"/>
      <c r="I201" s="116"/>
      <c r="J201" s="116"/>
      <c r="K201" s="116"/>
      <c r="L201" s="116"/>
      <c r="M201" s="116"/>
      <c r="N201" s="116"/>
      <c r="O201" s="116"/>
      <c r="P201" s="116"/>
      <c r="Q201" s="116"/>
      <c r="R201" s="116"/>
    </row>
    <row r="202" spans="1:18" x14ac:dyDescent="0.2">
      <c r="A202" s="5"/>
      <c r="B202" s="5"/>
      <c r="C202" s="5"/>
      <c r="D202" s="5"/>
      <c r="E202" s="5"/>
      <c r="F202" s="5"/>
      <c r="G202" s="5"/>
      <c r="H202" s="116"/>
      <c r="I202" s="116"/>
      <c r="J202" s="116"/>
      <c r="K202" s="116"/>
      <c r="L202" s="116"/>
      <c r="M202" s="116"/>
      <c r="N202" s="116"/>
      <c r="O202" s="116"/>
      <c r="P202" s="116"/>
      <c r="Q202" s="116"/>
      <c r="R202" s="116"/>
    </row>
    <row r="203" spans="1:18" x14ac:dyDescent="0.2">
      <c r="A203" s="5"/>
      <c r="B203" s="5"/>
      <c r="C203" s="5"/>
      <c r="D203" s="5"/>
      <c r="E203" s="5"/>
      <c r="F203" s="5"/>
      <c r="G203" s="5"/>
      <c r="H203" s="116"/>
      <c r="I203" s="116"/>
      <c r="J203" s="116"/>
      <c r="K203" s="116"/>
      <c r="L203" s="116"/>
      <c r="M203" s="116"/>
      <c r="N203" s="116"/>
      <c r="O203" s="116"/>
      <c r="P203" s="116"/>
      <c r="Q203" s="116"/>
      <c r="R203" s="116"/>
    </row>
    <row r="204" spans="1:18" x14ac:dyDescent="0.2">
      <c r="A204" s="5"/>
      <c r="B204" s="5"/>
      <c r="C204" s="5"/>
      <c r="D204" s="5"/>
      <c r="E204" s="5"/>
      <c r="F204" s="5"/>
      <c r="G204" s="5"/>
      <c r="H204" s="116"/>
      <c r="I204" s="116"/>
      <c r="J204" s="116"/>
      <c r="K204" s="116"/>
      <c r="L204" s="116"/>
      <c r="M204" s="116"/>
      <c r="N204" s="116"/>
      <c r="O204" s="116"/>
      <c r="P204" s="116"/>
      <c r="Q204" s="116"/>
      <c r="R204" s="116"/>
    </row>
    <row r="205" spans="1:18" x14ac:dyDescent="0.2">
      <c r="A205" s="5"/>
      <c r="B205" s="5"/>
      <c r="C205" s="5"/>
      <c r="D205" s="5"/>
      <c r="E205" s="5"/>
      <c r="F205" s="5"/>
      <c r="G205" s="5"/>
      <c r="H205" s="116"/>
      <c r="I205" s="116"/>
      <c r="J205" s="116"/>
      <c r="K205" s="116"/>
      <c r="L205" s="116"/>
      <c r="M205" s="116"/>
      <c r="N205" s="116"/>
      <c r="O205" s="116"/>
      <c r="P205" s="116"/>
      <c r="Q205" s="116"/>
      <c r="R205" s="116"/>
    </row>
    <row r="206" spans="1:18" x14ac:dyDescent="0.2">
      <c r="A206" s="5"/>
      <c r="B206" s="5"/>
      <c r="C206" s="5"/>
      <c r="D206" s="5"/>
      <c r="E206" s="5"/>
      <c r="F206" s="5"/>
      <c r="G206" s="5"/>
      <c r="H206" s="116"/>
      <c r="I206" s="116"/>
      <c r="J206" s="116"/>
      <c r="K206" s="116"/>
      <c r="L206" s="116"/>
      <c r="M206" s="116"/>
      <c r="N206" s="116"/>
      <c r="O206" s="116"/>
      <c r="P206" s="116"/>
      <c r="Q206" s="116"/>
      <c r="R206" s="116"/>
    </row>
    <row r="207" spans="1:18" x14ac:dyDescent="0.2">
      <c r="A207" s="5"/>
      <c r="B207" s="5"/>
      <c r="C207" s="5"/>
      <c r="D207" s="5"/>
      <c r="E207" s="5"/>
      <c r="F207" s="5"/>
      <c r="G207" s="5"/>
      <c r="H207" s="116"/>
      <c r="I207" s="116"/>
      <c r="J207" s="116"/>
      <c r="K207" s="116"/>
      <c r="L207" s="116"/>
      <c r="M207" s="116"/>
      <c r="N207" s="116"/>
      <c r="O207" s="116"/>
      <c r="P207" s="116"/>
      <c r="Q207" s="116"/>
      <c r="R207" s="116"/>
    </row>
  </sheetData>
  <mergeCells count="7">
    <mergeCell ref="H6:R6"/>
    <mergeCell ref="A1:R1"/>
    <mergeCell ref="A6:G6"/>
    <mergeCell ref="B4:C4"/>
    <mergeCell ref="F4:H4"/>
    <mergeCell ref="A3:J3"/>
    <mergeCell ref="I4:J4"/>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679" r:id="rId4" name="Drop Down 7">
              <controlPr defaultSize="0" autoLine="0" autoPict="0">
                <anchor moveWithCells="1">
                  <from>
                    <xdr:col>1</xdr:col>
                    <xdr:colOff>9525</xdr:colOff>
                    <xdr:row>3</xdr:row>
                    <xdr:rowOff>9525</xdr:rowOff>
                  </from>
                  <to>
                    <xdr:col>2</xdr:col>
                    <xdr:colOff>676275</xdr:colOff>
                    <xdr:row>4</xdr:row>
                    <xdr:rowOff>142875</xdr:rowOff>
                  </to>
                </anchor>
              </controlPr>
            </control>
          </mc:Choice>
        </mc:AlternateContent>
        <mc:AlternateContent xmlns:mc="http://schemas.openxmlformats.org/markup-compatibility/2006">
          <mc:Choice Requires="x14">
            <control shapeId="28680" r:id="rId5" name="Button 8">
              <controlPr defaultSize="0" print="0" autoFill="0" autoPict="0" macro="[0]!Sheet16.doQuery">
                <anchor moveWithCells="1" sizeWithCells="1">
                  <from>
                    <xdr:col>8</xdr:col>
                    <xdr:colOff>47625</xdr:colOff>
                    <xdr:row>2</xdr:row>
                    <xdr:rowOff>57150</xdr:rowOff>
                  </from>
                  <to>
                    <xdr:col>8</xdr:col>
                    <xdr:colOff>1457325</xdr:colOff>
                    <xdr:row>3</xdr:row>
                    <xdr:rowOff>123825</xdr:rowOff>
                  </to>
                </anchor>
              </controlPr>
            </control>
          </mc:Choice>
        </mc:AlternateContent>
        <mc:AlternateContent xmlns:mc="http://schemas.openxmlformats.org/markup-compatibility/2006">
          <mc:Choice Requires="x14">
            <control shapeId="28681" r:id="rId6" name="Button 9">
              <controlPr defaultSize="0" print="0" autoFill="0" autoPict="0" macro="[0]!Sheet16.clearReportedExecutions">
                <anchor moveWithCells="1" sizeWithCells="1">
                  <from>
                    <xdr:col>8</xdr:col>
                    <xdr:colOff>1581150</xdr:colOff>
                    <xdr:row>2</xdr:row>
                    <xdr:rowOff>57150</xdr:rowOff>
                  </from>
                  <to>
                    <xdr:col>9</xdr:col>
                    <xdr:colOff>1219200</xdr:colOff>
                    <xdr:row>3</xdr:row>
                    <xdr:rowOff>133350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W347"/>
  <sheetViews>
    <sheetView zoomScale="80" zoomScaleNormal="80" workbookViewId="0">
      <pane ySplit="5" topLeftCell="A279" activePane="bottomLeft" state="frozen"/>
      <selection activeCell="Q35" sqref="Q35"/>
      <selection pane="bottomLeft" activeCell="Q35" sqref="Q35"/>
    </sheetView>
  </sheetViews>
  <sheetFormatPr defaultRowHeight="12.75" x14ac:dyDescent="0.2"/>
  <cols>
    <col min="1" max="1" width="11" customWidth="1"/>
    <col min="2" max="2" width="10.7109375" customWidth="1"/>
    <col min="3" max="3" width="12" customWidth="1"/>
    <col min="4" max="4" width="11" customWidth="1"/>
    <col min="5" max="5" width="11.42578125" bestFit="1" customWidth="1"/>
    <col min="6" max="6" width="11" customWidth="1"/>
    <col min="7" max="7" width="16.7109375" bestFit="1" customWidth="1"/>
    <col min="8" max="8" width="12.28515625" customWidth="1"/>
    <col min="9" max="9" width="14.140625" customWidth="1"/>
    <col min="10" max="10" width="15.5703125" customWidth="1"/>
    <col min="11" max="14" width="14.28515625" customWidth="1"/>
    <col min="15" max="15" width="17" customWidth="1"/>
    <col min="16" max="16" width="16.85546875" customWidth="1"/>
    <col min="17" max="17" width="7" customWidth="1"/>
    <col min="19" max="19" width="12.42578125" customWidth="1"/>
    <col min="20" max="20" width="11.42578125" customWidth="1"/>
    <col min="21" max="21" width="10.7109375" customWidth="1"/>
  </cols>
  <sheetData>
    <row r="1" spans="1:23" x14ac:dyDescent="0.2">
      <c r="A1" s="435" t="s">
        <v>48</v>
      </c>
      <c r="B1" s="436"/>
      <c r="C1" s="436"/>
      <c r="D1" s="436"/>
      <c r="E1" s="436"/>
      <c r="F1" s="436"/>
      <c r="G1" s="436"/>
      <c r="H1" s="437"/>
      <c r="I1" s="437"/>
      <c r="J1" s="438"/>
      <c r="K1" s="7"/>
      <c r="N1" s="7"/>
      <c r="R1" s="7"/>
      <c r="U1" s="7"/>
      <c r="V1" s="7"/>
      <c r="W1" s="7"/>
    </row>
    <row r="2" spans="1:23" x14ac:dyDescent="0.2">
      <c r="A2" s="439"/>
      <c r="B2" s="440"/>
      <c r="C2" s="440"/>
      <c r="D2" s="440"/>
      <c r="E2" s="440"/>
      <c r="F2" s="440"/>
      <c r="G2" s="440"/>
      <c r="H2" s="441"/>
      <c r="I2" s="441"/>
      <c r="J2" s="442"/>
      <c r="K2" s="7"/>
      <c r="L2" s="448" t="s">
        <v>314</v>
      </c>
      <c r="M2" s="448"/>
      <c r="N2" s="7"/>
    </row>
    <row r="3" spans="1:23" x14ac:dyDescent="0.2">
      <c r="A3" s="443"/>
      <c r="B3" s="444"/>
      <c r="C3" s="444"/>
      <c r="D3" s="444"/>
      <c r="E3" s="444"/>
      <c r="F3" s="444"/>
      <c r="G3" s="444"/>
      <c r="H3" s="444"/>
      <c r="I3" s="444"/>
      <c r="J3" s="445"/>
      <c r="K3" s="7"/>
      <c r="L3" s="140" t="str">
        <f>[2]!id0?req?U1558233</f>
        <v>PROCESSING</v>
      </c>
      <c r="M3" s="143"/>
    </row>
    <row r="4" spans="1:23" x14ac:dyDescent="0.2">
      <c r="A4" s="446" t="s">
        <v>52</v>
      </c>
      <c r="B4" s="447"/>
      <c r="C4" s="447"/>
      <c r="D4" s="447"/>
      <c r="E4" s="447"/>
      <c r="F4" s="447"/>
      <c r="G4" s="447"/>
      <c r="H4" s="437"/>
      <c r="I4" s="437"/>
      <c r="J4" s="438"/>
      <c r="K4" s="7"/>
    </row>
    <row r="5" spans="1:23" x14ac:dyDescent="0.2">
      <c r="A5" s="74" t="s">
        <v>59</v>
      </c>
      <c r="B5" s="198" t="s">
        <v>571</v>
      </c>
      <c r="C5" s="115"/>
      <c r="D5" s="144" t="s">
        <v>122</v>
      </c>
      <c r="E5" s="145" t="s">
        <v>568</v>
      </c>
      <c r="F5" s="127"/>
      <c r="G5" s="144" t="s">
        <v>327</v>
      </c>
      <c r="H5" s="147">
        <f>[3]!id1?acctTime</f>
        <v>0</v>
      </c>
      <c r="I5" s="127"/>
      <c r="J5" s="128"/>
      <c r="N5" s="50"/>
    </row>
    <row r="6" spans="1:23" x14ac:dyDescent="0.2">
      <c r="A6" s="451" t="s">
        <v>60</v>
      </c>
      <c r="B6" s="452"/>
      <c r="C6" s="452"/>
      <c r="D6" s="452"/>
      <c r="E6" s="452"/>
      <c r="F6" s="452"/>
      <c r="G6" s="452"/>
      <c r="H6" s="452"/>
      <c r="I6" s="452"/>
      <c r="J6" s="290"/>
      <c r="L6" s="453" t="s">
        <v>123</v>
      </c>
      <c r="M6" s="453"/>
    </row>
    <row r="7" spans="1:23" x14ac:dyDescent="0.2">
      <c r="A7" s="449" t="s">
        <v>10</v>
      </c>
      <c r="B7" s="450"/>
      <c r="C7" s="450"/>
      <c r="D7" s="449" t="s">
        <v>64</v>
      </c>
      <c r="E7" s="450"/>
      <c r="F7" s="450"/>
      <c r="G7" s="449" t="s">
        <v>41</v>
      </c>
      <c r="H7" s="450"/>
      <c r="I7" s="450"/>
      <c r="J7" s="197" t="s">
        <v>74</v>
      </c>
      <c r="L7" s="148" t="s">
        <v>23</v>
      </c>
      <c r="M7" s="149" t="s">
        <v>124</v>
      </c>
    </row>
    <row r="8" spans="1:23" x14ac:dyDescent="0.2">
      <c r="A8" s="37"/>
      <c r="B8" s="146"/>
      <c r="C8" s="146"/>
      <c r="D8" s="37"/>
      <c r="E8" s="146"/>
      <c r="F8" s="146"/>
      <c r="G8" s="37"/>
      <c r="H8" s="146"/>
      <c r="I8" s="146"/>
      <c r="J8" s="5"/>
      <c r="L8" s="148"/>
      <c r="M8" s="149"/>
    </row>
    <row r="9" spans="1:23" x14ac:dyDescent="0.2">
      <c r="A9" s="37"/>
      <c r="B9" s="146"/>
      <c r="C9" s="146"/>
      <c r="D9" s="37"/>
      <c r="E9" s="146"/>
      <c r="F9" s="146"/>
      <c r="G9" s="37"/>
      <c r="H9" s="146"/>
      <c r="I9" s="146"/>
      <c r="J9" s="5"/>
      <c r="L9" s="150" t="e">
        <f>[4]!id1?req</f>
        <v>#REF!</v>
      </c>
      <c r="M9" s="151" t="e">
        <f>[4]!id1?value</f>
        <v>#REF!</v>
      </c>
    </row>
    <row r="10" spans="1:23" x14ac:dyDescent="0.2">
      <c r="A10" s="37"/>
      <c r="B10" s="146"/>
      <c r="C10" s="146"/>
      <c r="D10" s="37"/>
      <c r="E10" s="146"/>
      <c r="F10" s="146"/>
      <c r="G10" s="37"/>
      <c r="H10" s="146"/>
      <c r="I10" s="146"/>
      <c r="J10" s="5"/>
    </row>
    <row r="11" spans="1:23" x14ac:dyDescent="0.2">
      <c r="A11" s="37"/>
      <c r="B11" s="146"/>
      <c r="C11" s="146"/>
      <c r="D11" s="37"/>
      <c r="E11" s="146"/>
      <c r="F11" s="146"/>
      <c r="G11" s="37"/>
      <c r="H11" s="146"/>
      <c r="I11" s="146"/>
      <c r="J11" s="5"/>
      <c r="L11" s="247" t="s">
        <v>516</v>
      </c>
      <c r="M11" s="248"/>
      <c r="N11" s="250"/>
    </row>
    <row r="12" spans="1:23" x14ac:dyDescent="0.2">
      <c r="A12" s="37"/>
      <c r="B12" s="146"/>
      <c r="C12" s="146"/>
      <c r="D12" s="37"/>
      <c r="E12" s="146"/>
      <c r="F12" s="146"/>
      <c r="G12" s="37"/>
      <c r="H12" s="146"/>
      <c r="I12" s="146"/>
      <c r="J12" s="5"/>
      <c r="L12" s="236" t="s">
        <v>25</v>
      </c>
      <c r="M12" s="7" t="s">
        <v>517</v>
      </c>
      <c r="N12" s="251" t="s">
        <v>518</v>
      </c>
    </row>
    <row r="13" spans="1:23" x14ac:dyDescent="0.2">
      <c r="A13" s="37"/>
      <c r="B13" s="146"/>
      <c r="C13" s="146"/>
      <c r="D13" s="37"/>
      <c r="E13" s="146"/>
      <c r="F13" s="146"/>
      <c r="G13" s="37"/>
      <c r="H13" s="146"/>
      <c r="I13" s="146"/>
      <c r="J13" s="5"/>
      <c r="L13" s="249" t="e">
        <f>[5]!id</f>
        <v>#REF!</v>
      </c>
      <c r="M13" s="242" t="e">
        <f>[5]!errorCode</f>
        <v>#REF!</v>
      </c>
      <c r="N13" s="243" t="e">
        <f>[5]!errorMsg</f>
        <v>#REF!</v>
      </c>
    </row>
    <row r="14" spans="1:23" x14ac:dyDescent="0.2">
      <c r="A14" s="37"/>
      <c r="B14" s="146"/>
      <c r="C14" s="146"/>
      <c r="D14" s="37"/>
      <c r="E14" s="146"/>
      <c r="F14" s="146"/>
      <c r="G14" s="37"/>
      <c r="H14" s="146"/>
      <c r="I14" s="146"/>
      <c r="J14" s="5"/>
    </row>
    <row r="15" spans="1:23" x14ac:dyDescent="0.2">
      <c r="A15" s="37"/>
      <c r="B15" s="146"/>
      <c r="C15" s="146"/>
      <c r="D15" s="37"/>
      <c r="E15" s="146"/>
      <c r="F15" s="146"/>
      <c r="G15" s="37"/>
      <c r="H15" s="146"/>
      <c r="I15" s="146"/>
      <c r="J15" s="5"/>
    </row>
    <row r="16" spans="1:23" x14ac:dyDescent="0.2">
      <c r="A16" s="37"/>
      <c r="B16" s="146"/>
      <c r="C16" s="146"/>
      <c r="D16" s="37"/>
      <c r="E16" s="146"/>
      <c r="F16" s="146"/>
      <c r="G16" s="37"/>
      <c r="H16" s="146"/>
      <c r="I16" s="146"/>
      <c r="J16" s="5"/>
    </row>
    <row r="17" spans="1:10" x14ac:dyDescent="0.2">
      <c r="A17" s="37"/>
      <c r="B17" s="146"/>
      <c r="C17" s="146"/>
      <c r="D17" s="37"/>
      <c r="E17" s="146"/>
      <c r="F17" s="146"/>
      <c r="G17" s="37"/>
      <c r="H17" s="146"/>
      <c r="I17" s="146"/>
      <c r="J17" s="5"/>
    </row>
    <row r="18" spans="1:10" x14ac:dyDescent="0.2">
      <c r="A18" s="37"/>
      <c r="B18" s="146"/>
      <c r="C18" s="146"/>
      <c r="D18" s="37"/>
      <c r="E18" s="146"/>
      <c r="F18" s="146"/>
      <c r="G18" s="37"/>
      <c r="H18" s="146"/>
      <c r="I18" s="146"/>
      <c r="J18" s="5"/>
    </row>
    <row r="19" spans="1:10" x14ac:dyDescent="0.2">
      <c r="A19" s="37"/>
      <c r="B19" s="146"/>
      <c r="C19" s="146"/>
      <c r="D19" s="37"/>
      <c r="E19" s="146"/>
      <c r="F19" s="146"/>
      <c r="G19" s="37"/>
      <c r="H19" s="146"/>
      <c r="I19" s="146"/>
      <c r="J19" s="5"/>
    </row>
    <row r="20" spans="1:10" x14ac:dyDescent="0.2">
      <c r="A20" s="37"/>
      <c r="B20" s="146"/>
      <c r="C20" s="146"/>
      <c r="D20" s="37"/>
      <c r="E20" s="146"/>
      <c r="F20" s="146"/>
      <c r="G20" s="37"/>
      <c r="H20" s="146"/>
      <c r="I20" s="146"/>
      <c r="J20" s="5"/>
    </row>
    <row r="21" spans="1:10" x14ac:dyDescent="0.2">
      <c r="A21" s="37"/>
      <c r="B21" s="146"/>
      <c r="C21" s="146"/>
      <c r="D21" s="37"/>
      <c r="E21" s="146"/>
      <c r="F21" s="146"/>
      <c r="G21" s="37"/>
      <c r="H21" s="146"/>
      <c r="I21" s="146"/>
      <c r="J21" s="5"/>
    </row>
    <row r="22" spans="1:10" x14ac:dyDescent="0.2">
      <c r="A22" s="37"/>
      <c r="B22" s="146"/>
      <c r="C22" s="146"/>
      <c r="D22" s="37"/>
      <c r="E22" s="146"/>
      <c r="F22" s="146"/>
      <c r="G22" s="37"/>
      <c r="H22" s="146"/>
      <c r="I22" s="146"/>
      <c r="J22" s="5"/>
    </row>
    <row r="23" spans="1:10" x14ac:dyDescent="0.2">
      <c r="A23" s="37"/>
      <c r="B23" s="146"/>
      <c r="C23" s="146"/>
      <c r="D23" s="37"/>
      <c r="E23" s="146"/>
      <c r="F23" s="146"/>
      <c r="G23" s="37"/>
      <c r="H23" s="146"/>
      <c r="I23" s="146"/>
      <c r="J23" s="5"/>
    </row>
    <row r="24" spans="1:10" x14ac:dyDescent="0.2">
      <c r="A24" s="37"/>
      <c r="B24" s="146"/>
      <c r="C24" s="146"/>
      <c r="D24" s="37"/>
      <c r="E24" s="146"/>
      <c r="F24" s="146"/>
      <c r="G24" s="37"/>
      <c r="H24" s="146"/>
      <c r="I24" s="146"/>
      <c r="J24" s="5"/>
    </row>
    <row r="25" spans="1:10" x14ac:dyDescent="0.2">
      <c r="A25" s="37"/>
      <c r="B25" s="146"/>
      <c r="C25" s="146"/>
      <c r="D25" s="37"/>
      <c r="E25" s="146"/>
      <c r="F25" s="146"/>
      <c r="G25" s="37"/>
      <c r="H25" s="146"/>
      <c r="I25" s="146"/>
      <c r="J25" s="5"/>
    </row>
    <row r="26" spans="1:10" x14ac:dyDescent="0.2">
      <c r="A26" s="37"/>
      <c r="B26" s="146"/>
      <c r="C26" s="146"/>
      <c r="D26" s="37"/>
      <c r="E26" s="146"/>
      <c r="F26" s="146"/>
      <c r="G26" s="37"/>
      <c r="H26" s="146"/>
      <c r="I26" s="146"/>
      <c r="J26" s="5"/>
    </row>
    <row r="27" spans="1:10" x14ac:dyDescent="0.2">
      <c r="A27" s="37"/>
      <c r="B27" s="146"/>
      <c r="C27" s="146"/>
      <c r="D27" s="37"/>
      <c r="E27" s="146"/>
      <c r="F27" s="146"/>
      <c r="G27" s="37"/>
      <c r="H27" s="146"/>
      <c r="I27" s="146"/>
      <c r="J27" s="5"/>
    </row>
    <row r="28" spans="1:10" x14ac:dyDescent="0.2">
      <c r="A28" s="37"/>
      <c r="B28" s="146"/>
      <c r="C28" s="146"/>
      <c r="D28" s="37"/>
      <c r="E28" s="146"/>
      <c r="F28" s="146"/>
      <c r="G28" s="37"/>
      <c r="H28" s="146"/>
      <c r="I28" s="146"/>
      <c r="J28" s="5"/>
    </row>
    <row r="29" spans="1:10" x14ac:dyDescent="0.2">
      <c r="A29" s="37"/>
      <c r="B29" s="146"/>
      <c r="C29" s="146"/>
      <c r="D29" s="37"/>
      <c r="E29" s="146"/>
      <c r="F29" s="146"/>
      <c r="G29" s="37"/>
      <c r="H29" s="146"/>
      <c r="I29" s="146"/>
      <c r="J29" s="5"/>
    </row>
    <row r="30" spans="1:10" x14ac:dyDescent="0.2">
      <c r="A30" s="37"/>
      <c r="B30" s="146"/>
      <c r="C30" s="146"/>
      <c r="D30" s="37"/>
      <c r="E30" s="146"/>
      <c r="F30" s="146"/>
      <c r="G30" s="37"/>
      <c r="H30" s="146"/>
      <c r="I30" s="146"/>
      <c r="J30" s="5"/>
    </row>
    <row r="31" spans="1:10" x14ac:dyDescent="0.2">
      <c r="A31" s="37"/>
      <c r="B31" s="146"/>
      <c r="C31" s="146"/>
      <c r="D31" s="37"/>
      <c r="E31" s="146"/>
      <c r="F31" s="146"/>
      <c r="G31" s="37"/>
      <c r="H31" s="146"/>
      <c r="I31" s="146"/>
      <c r="J31" s="5"/>
    </row>
    <row r="32" spans="1:10" x14ac:dyDescent="0.2">
      <c r="A32" s="37"/>
      <c r="B32" s="146"/>
      <c r="C32" s="146"/>
      <c r="D32" s="37"/>
      <c r="E32" s="146"/>
      <c r="F32" s="146"/>
      <c r="G32" s="37"/>
      <c r="H32" s="146"/>
      <c r="I32" s="146"/>
      <c r="J32" s="5"/>
    </row>
    <row r="33" spans="1:10" x14ac:dyDescent="0.2">
      <c r="A33" s="37"/>
      <c r="B33" s="146"/>
      <c r="C33" s="146"/>
      <c r="D33" s="37"/>
      <c r="E33" s="146"/>
      <c r="F33" s="146"/>
      <c r="G33" s="37"/>
      <c r="H33" s="146"/>
      <c r="I33" s="146"/>
      <c r="J33" s="5"/>
    </row>
    <row r="34" spans="1:10" x14ac:dyDescent="0.2">
      <c r="A34" s="37"/>
      <c r="B34" s="146"/>
      <c r="C34" s="146"/>
      <c r="D34" s="37"/>
      <c r="E34" s="146"/>
      <c r="F34" s="146"/>
      <c r="G34" s="37"/>
      <c r="H34" s="146"/>
      <c r="I34" s="146"/>
      <c r="J34" s="5"/>
    </row>
    <row r="35" spans="1:10" x14ac:dyDescent="0.2">
      <c r="A35" s="37"/>
      <c r="B35" s="146"/>
      <c r="C35" s="146"/>
      <c r="D35" s="37"/>
      <c r="E35" s="146"/>
      <c r="F35" s="146"/>
      <c r="G35" s="37"/>
      <c r="H35" s="146"/>
      <c r="I35" s="146"/>
      <c r="J35" s="5"/>
    </row>
    <row r="36" spans="1:10" x14ac:dyDescent="0.2">
      <c r="A36" s="37"/>
      <c r="B36" s="146"/>
      <c r="C36" s="146"/>
      <c r="D36" s="37"/>
      <c r="E36" s="146"/>
      <c r="F36" s="146"/>
      <c r="G36" s="37"/>
      <c r="H36" s="146"/>
      <c r="I36" s="146"/>
      <c r="J36" s="5"/>
    </row>
    <row r="37" spans="1:10" x14ac:dyDescent="0.2">
      <c r="A37" s="37"/>
      <c r="B37" s="146"/>
      <c r="C37" s="146"/>
      <c r="D37" s="37"/>
      <c r="E37" s="146"/>
      <c r="F37" s="146"/>
      <c r="G37" s="37"/>
      <c r="H37" s="146"/>
      <c r="I37" s="146"/>
      <c r="J37" s="5"/>
    </row>
    <row r="38" spans="1:10" x14ac:dyDescent="0.2">
      <c r="A38" s="37"/>
      <c r="B38" s="146"/>
      <c r="C38" s="146"/>
      <c r="D38" s="37"/>
      <c r="E38" s="146"/>
      <c r="F38" s="146"/>
      <c r="G38" s="37"/>
      <c r="H38" s="146"/>
      <c r="I38" s="146"/>
      <c r="J38" s="5"/>
    </row>
    <row r="39" spans="1:10" x14ac:dyDescent="0.2">
      <c r="A39" s="37"/>
      <c r="B39" s="146"/>
      <c r="C39" s="146"/>
      <c r="D39" s="37"/>
      <c r="E39" s="146"/>
      <c r="F39" s="146"/>
      <c r="G39" s="37"/>
      <c r="H39" s="146"/>
      <c r="I39" s="146"/>
      <c r="J39" s="5"/>
    </row>
    <row r="40" spans="1:10" x14ac:dyDescent="0.2">
      <c r="A40" s="37"/>
      <c r="B40" s="146"/>
      <c r="C40" s="146"/>
      <c r="D40" s="37"/>
      <c r="E40" s="146"/>
      <c r="F40" s="146"/>
      <c r="G40" s="37"/>
      <c r="H40" s="146"/>
      <c r="I40" s="146"/>
      <c r="J40" s="5"/>
    </row>
    <row r="41" spans="1:10" x14ac:dyDescent="0.2">
      <c r="A41" s="37"/>
      <c r="B41" s="146"/>
      <c r="C41" s="146"/>
      <c r="D41" s="37"/>
      <c r="E41" s="146"/>
      <c r="F41" s="146"/>
      <c r="G41" s="37"/>
      <c r="H41" s="146"/>
      <c r="I41" s="146"/>
      <c r="J41" s="5"/>
    </row>
    <row r="42" spans="1:10" x14ac:dyDescent="0.2">
      <c r="A42" s="37"/>
      <c r="B42" s="146"/>
      <c r="C42" s="146"/>
      <c r="D42" s="37"/>
      <c r="E42" s="146"/>
      <c r="F42" s="146"/>
      <c r="G42" s="37"/>
      <c r="H42" s="146"/>
      <c r="I42" s="146"/>
      <c r="J42" s="5"/>
    </row>
    <row r="43" spans="1:10" x14ac:dyDescent="0.2">
      <c r="A43" s="37"/>
      <c r="B43" s="146"/>
      <c r="C43" s="146"/>
      <c r="D43" s="37"/>
      <c r="E43" s="146"/>
      <c r="F43" s="146"/>
      <c r="G43" s="37"/>
      <c r="H43" s="146"/>
      <c r="I43" s="146"/>
      <c r="J43" s="5"/>
    </row>
    <row r="44" spans="1:10" x14ac:dyDescent="0.2">
      <c r="A44" s="37"/>
      <c r="B44" s="146"/>
      <c r="C44" s="146"/>
      <c r="D44" s="37"/>
      <c r="E44" s="146"/>
      <c r="F44" s="146"/>
      <c r="G44" s="37"/>
      <c r="H44" s="146"/>
      <c r="I44" s="146"/>
      <c r="J44" s="5"/>
    </row>
    <row r="45" spans="1:10" x14ac:dyDescent="0.2">
      <c r="A45" s="37"/>
      <c r="B45" s="146"/>
      <c r="C45" s="146"/>
      <c r="D45" s="37"/>
      <c r="E45" s="146"/>
      <c r="F45" s="146"/>
      <c r="G45" s="37"/>
      <c r="H45" s="146"/>
      <c r="I45" s="146"/>
      <c r="J45" s="5"/>
    </row>
    <row r="46" spans="1:10" x14ac:dyDescent="0.2">
      <c r="A46" s="37"/>
      <c r="B46" s="146"/>
      <c r="C46" s="146"/>
      <c r="D46" s="37"/>
      <c r="E46" s="146"/>
      <c r="F46" s="146"/>
      <c r="G46" s="37"/>
      <c r="H46" s="146"/>
      <c r="I46" s="146"/>
      <c r="J46" s="5"/>
    </row>
    <row r="47" spans="1:10" x14ac:dyDescent="0.2">
      <c r="A47" s="37"/>
      <c r="B47" s="146"/>
      <c r="C47" s="146"/>
      <c r="D47" s="37"/>
      <c r="E47" s="146"/>
      <c r="F47" s="146"/>
      <c r="G47" s="37"/>
      <c r="H47" s="146"/>
      <c r="I47" s="146"/>
      <c r="J47" s="5"/>
    </row>
    <row r="48" spans="1:10" x14ac:dyDescent="0.2">
      <c r="A48" s="37"/>
      <c r="B48" s="146"/>
      <c r="C48" s="146"/>
      <c r="D48" s="37"/>
      <c r="E48" s="146"/>
      <c r="F48" s="146"/>
      <c r="G48" s="37"/>
      <c r="H48" s="146"/>
      <c r="I48" s="146"/>
      <c r="J48" s="5"/>
    </row>
    <row r="49" spans="1:10" x14ac:dyDescent="0.2">
      <c r="A49" s="37"/>
      <c r="B49" s="146"/>
      <c r="C49" s="146"/>
      <c r="D49" s="37"/>
      <c r="E49" s="146"/>
      <c r="F49" s="146"/>
      <c r="G49" s="37"/>
      <c r="H49" s="146"/>
      <c r="I49" s="146"/>
      <c r="J49" s="5"/>
    </row>
    <row r="50" spans="1:10" x14ac:dyDescent="0.2">
      <c r="A50" s="37"/>
      <c r="B50" s="146"/>
      <c r="C50" s="146"/>
      <c r="D50" s="37"/>
      <c r="E50" s="146"/>
      <c r="F50" s="146"/>
      <c r="G50" s="37"/>
      <c r="H50" s="146"/>
      <c r="I50" s="146"/>
      <c r="J50" s="5"/>
    </row>
    <row r="51" spans="1:10" x14ac:dyDescent="0.2">
      <c r="A51" s="37"/>
      <c r="B51" s="146"/>
      <c r="C51" s="146"/>
      <c r="D51" s="37"/>
      <c r="E51" s="146"/>
      <c r="F51" s="146"/>
      <c r="G51" s="37"/>
      <c r="H51" s="146"/>
      <c r="I51" s="146"/>
      <c r="J51" s="5"/>
    </row>
    <row r="52" spans="1:10" x14ac:dyDescent="0.2">
      <c r="A52" s="37"/>
      <c r="B52" s="146"/>
      <c r="C52" s="146"/>
      <c r="D52" s="37"/>
      <c r="E52" s="146"/>
      <c r="F52" s="146"/>
      <c r="G52" s="37"/>
      <c r="H52" s="146"/>
      <c r="I52" s="146"/>
      <c r="J52" s="5"/>
    </row>
    <row r="53" spans="1:10" x14ac:dyDescent="0.2">
      <c r="A53" s="37"/>
      <c r="B53" s="146"/>
      <c r="C53" s="146"/>
      <c r="D53" s="37"/>
      <c r="E53" s="146"/>
      <c r="F53" s="146"/>
      <c r="G53" s="37"/>
      <c r="H53" s="146"/>
      <c r="I53" s="146"/>
      <c r="J53" s="5"/>
    </row>
    <row r="54" spans="1:10" x14ac:dyDescent="0.2">
      <c r="A54" s="37"/>
      <c r="B54" s="146"/>
      <c r="C54" s="146"/>
      <c r="D54" s="37"/>
      <c r="E54" s="146"/>
      <c r="F54" s="146"/>
      <c r="G54" s="37"/>
      <c r="H54" s="146"/>
      <c r="I54" s="146"/>
      <c r="J54" s="5"/>
    </row>
    <row r="55" spans="1:10" x14ac:dyDescent="0.2">
      <c r="A55" s="37"/>
      <c r="B55" s="146"/>
      <c r="C55" s="146"/>
      <c r="D55" s="37"/>
      <c r="E55" s="146"/>
      <c r="F55" s="146"/>
      <c r="G55" s="37"/>
      <c r="H55" s="146"/>
      <c r="I55" s="146"/>
      <c r="J55" s="5"/>
    </row>
    <row r="56" spans="1:10" x14ac:dyDescent="0.2">
      <c r="A56" s="37"/>
      <c r="B56" s="146"/>
      <c r="C56" s="146"/>
      <c r="D56" s="37"/>
      <c r="E56" s="146"/>
      <c r="F56" s="146"/>
      <c r="G56" s="37"/>
      <c r="H56" s="146"/>
      <c r="I56" s="146"/>
      <c r="J56" s="5"/>
    </row>
    <row r="57" spans="1:10" x14ac:dyDescent="0.2">
      <c r="A57" s="37"/>
      <c r="B57" s="146"/>
      <c r="C57" s="146"/>
      <c r="D57" s="37"/>
      <c r="E57" s="146"/>
      <c r="F57" s="146"/>
      <c r="G57" s="37"/>
      <c r="H57" s="146"/>
      <c r="I57" s="146"/>
      <c r="J57" s="5"/>
    </row>
    <row r="58" spans="1:10" x14ac:dyDescent="0.2">
      <c r="A58" s="37"/>
      <c r="B58" s="146"/>
      <c r="C58" s="146"/>
      <c r="D58" s="37"/>
      <c r="E58" s="146"/>
      <c r="F58" s="146"/>
      <c r="G58" s="37"/>
      <c r="H58" s="146"/>
      <c r="I58" s="146"/>
      <c r="J58" s="5"/>
    </row>
    <row r="59" spans="1:10" x14ac:dyDescent="0.2">
      <c r="A59" s="37"/>
      <c r="B59" s="146"/>
      <c r="C59" s="146"/>
      <c r="D59" s="37"/>
      <c r="E59" s="146"/>
      <c r="F59" s="146"/>
      <c r="G59" s="37"/>
      <c r="H59" s="146"/>
      <c r="I59" s="146"/>
      <c r="J59" s="5"/>
    </row>
    <row r="60" spans="1:10" x14ac:dyDescent="0.2">
      <c r="A60" s="37"/>
      <c r="B60" s="146"/>
      <c r="C60" s="146"/>
      <c r="D60" s="37"/>
      <c r="E60" s="146"/>
      <c r="F60" s="146"/>
      <c r="G60" s="37"/>
      <c r="H60" s="146"/>
      <c r="I60" s="146"/>
      <c r="J60" s="5"/>
    </row>
    <row r="61" spans="1:10" x14ac:dyDescent="0.2">
      <c r="A61" s="37"/>
      <c r="B61" s="146"/>
      <c r="C61" s="146"/>
      <c r="D61" s="37"/>
      <c r="E61" s="146"/>
      <c r="F61" s="146"/>
      <c r="G61" s="37"/>
      <c r="H61" s="146"/>
      <c r="I61" s="146"/>
      <c r="J61" s="5"/>
    </row>
    <row r="62" spans="1:10" x14ac:dyDescent="0.2">
      <c r="A62" s="37"/>
      <c r="B62" s="146"/>
      <c r="C62" s="146"/>
      <c r="D62" s="37"/>
      <c r="E62" s="146"/>
      <c r="F62" s="146"/>
      <c r="G62" s="37"/>
      <c r="H62" s="146"/>
      <c r="I62" s="146"/>
      <c r="J62" s="5"/>
    </row>
    <row r="63" spans="1:10" x14ac:dyDescent="0.2">
      <c r="A63" s="37"/>
      <c r="B63" s="146"/>
      <c r="C63" s="146"/>
      <c r="D63" s="37"/>
      <c r="E63" s="146"/>
      <c r="F63" s="146"/>
      <c r="G63" s="37"/>
      <c r="H63" s="146"/>
      <c r="I63" s="146"/>
      <c r="J63" s="5"/>
    </row>
    <row r="64" spans="1:10" x14ac:dyDescent="0.2">
      <c r="A64" s="37"/>
      <c r="B64" s="146"/>
      <c r="C64" s="146"/>
      <c r="D64" s="37"/>
      <c r="E64" s="146"/>
      <c r="F64" s="146"/>
      <c r="G64" s="37"/>
      <c r="H64" s="146"/>
      <c r="I64" s="146"/>
      <c r="J64" s="5"/>
    </row>
    <row r="65" spans="1:10" x14ac:dyDescent="0.2">
      <c r="A65" s="37"/>
      <c r="B65" s="146"/>
      <c r="C65" s="146"/>
      <c r="D65" s="37"/>
      <c r="E65" s="146"/>
      <c r="F65" s="146"/>
      <c r="G65" s="37"/>
      <c r="H65" s="146"/>
      <c r="I65" s="146"/>
      <c r="J65" s="5"/>
    </row>
    <row r="66" spans="1:10" x14ac:dyDescent="0.2">
      <c r="A66" s="37"/>
      <c r="B66" s="146"/>
      <c r="C66" s="146"/>
      <c r="D66" s="37"/>
      <c r="E66" s="146"/>
      <c r="F66" s="146"/>
      <c r="G66" s="37"/>
      <c r="H66" s="146"/>
      <c r="I66" s="146"/>
      <c r="J66" s="5"/>
    </row>
    <row r="67" spans="1:10" x14ac:dyDescent="0.2">
      <c r="A67" s="37"/>
      <c r="B67" s="146"/>
      <c r="C67" s="146"/>
      <c r="D67" s="37"/>
      <c r="E67" s="146"/>
      <c r="F67" s="146"/>
      <c r="G67" s="37"/>
      <c r="H67" s="146"/>
      <c r="I67" s="146"/>
      <c r="J67" s="5"/>
    </row>
    <row r="68" spans="1:10" x14ac:dyDescent="0.2">
      <c r="A68" s="37"/>
      <c r="B68" s="146"/>
      <c r="C68" s="146"/>
      <c r="D68" s="37"/>
      <c r="E68" s="146"/>
      <c r="F68" s="146"/>
      <c r="G68" s="37"/>
      <c r="H68" s="146"/>
      <c r="I68" s="146"/>
      <c r="J68" s="5"/>
    </row>
    <row r="69" spans="1:10" x14ac:dyDescent="0.2">
      <c r="A69" s="37"/>
      <c r="B69" s="146"/>
      <c r="C69" s="146"/>
      <c r="D69" s="37"/>
      <c r="E69" s="146"/>
      <c r="F69" s="146"/>
      <c r="G69" s="37"/>
      <c r="H69" s="146"/>
      <c r="I69" s="146"/>
      <c r="J69" s="5"/>
    </row>
    <row r="70" spans="1:10" x14ac:dyDescent="0.2">
      <c r="A70" s="37"/>
      <c r="B70" s="146"/>
      <c r="C70" s="146"/>
      <c r="D70" s="37"/>
      <c r="E70" s="146"/>
      <c r="F70" s="146"/>
      <c r="G70" s="37"/>
      <c r="H70" s="146"/>
      <c r="I70" s="146"/>
      <c r="J70" s="5"/>
    </row>
    <row r="71" spans="1:10" x14ac:dyDescent="0.2">
      <c r="A71" s="37"/>
      <c r="B71" s="146"/>
      <c r="C71" s="146"/>
      <c r="D71" s="37"/>
      <c r="E71" s="146"/>
      <c r="F71" s="146"/>
      <c r="G71" s="37"/>
      <c r="H71" s="146"/>
      <c r="I71" s="146"/>
      <c r="J71" s="5"/>
    </row>
    <row r="72" spans="1:10" x14ac:dyDescent="0.2">
      <c r="A72" s="37"/>
      <c r="B72" s="146"/>
      <c r="C72" s="146"/>
      <c r="D72" s="37"/>
      <c r="E72" s="146"/>
      <c r="F72" s="146"/>
      <c r="G72" s="37"/>
      <c r="H72" s="146"/>
      <c r="I72" s="146"/>
      <c r="J72" s="5"/>
    </row>
    <row r="73" spans="1:10" x14ac:dyDescent="0.2">
      <c r="A73" s="37"/>
      <c r="B73" s="146"/>
      <c r="C73" s="146"/>
      <c r="D73" s="37"/>
      <c r="E73" s="146"/>
      <c r="F73" s="146"/>
      <c r="G73" s="37"/>
      <c r="H73" s="146"/>
      <c r="I73" s="146"/>
      <c r="J73" s="5"/>
    </row>
    <row r="74" spans="1:10" x14ac:dyDescent="0.2">
      <c r="A74" s="37"/>
      <c r="B74" s="146"/>
      <c r="C74" s="146"/>
      <c r="D74" s="37"/>
      <c r="E74" s="146"/>
      <c r="F74" s="146"/>
      <c r="G74" s="37"/>
      <c r="H74" s="146"/>
      <c r="I74" s="146"/>
      <c r="J74" s="5"/>
    </row>
    <row r="75" spans="1:10" x14ac:dyDescent="0.2">
      <c r="A75" s="37"/>
      <c r="B75" s="146"/>
      <c r="C75" s="146"/>
      <c r="D75" s="37"/>
      <c r="E75" s="146"/>
      <c r="F75" s="146"/>
      <c r="G75" s="37"/>
      <c r="H75" s="146"/>
      <c r="I75" s="146"/>
      <c r="J75" s="5"/>
    </row>
    <row r="76" spans="1:10" x14ac:dyDescent="0.2">
      <c r="A76" s="37"/>
      <c r="B76" s="146"/>
      <c r="C76" s="146"/>
      <c r="D76" s="37"/>
      <c r="E76" s="146"/>
      <c r="F76" s="146"/>
      <c r="G76" s="37"/>
      <c r="H76" s="146"/>
      <c r="I76" s="146"/>
      <c r="J76" s="5"/>
    </row>
    <row r="77" spans="1:10" x14ac:dyDescent="0.2">
      <c r="A77" s="37"/>
      <c r="B77" s="146"/>
      <c r="C77" s="146"/>
      <c r="D77" s="37"/>
      <c r="E77" s="146"/>
      <c r="F77" s="146"/>
      <c r="G77" s="37"/>
      <c r="H77" s="146"/>
      <c r="I77" s="146"/>
      <c r="J77" s="5"/>
    </row>
    <row r="78" spans="1:10" x14ac:dyDescent="0.2">
      <c r="A78" s="37"/>
      <c r="B78" s="146"/>
      <c r="C78" s="146"/>
      <c r="D78" s="37"/>
      <c r="E78" s="146"/>
      <c r="F78" s="146"/>
      <c r="G78" s="37"/>
      <c r="H78" s="146"/>
      <c r="I78" s="146"/>
      <c r="J78" s="5"/>
    </row>
    <row r="79" spans="1:10" x14ac:dyDescent="0.2">
      <c r="A79" s="37"/>
      <c r="B79" s="146"/>
      <c r="C79" s="146"/>
      <c r="D79" s="37"/>
      <c r="E79" s="146"/>
      <c r="F79" s="146"/>
      <c r="G79" s="37"/>
      <c r="H79" s="146"/>
      <c r="I79" s="146"/>
      <c r="J79" s="5"/>
    </row>
    <row r="80" spans="1:10" x14ac:dyDescent="0.2">
      <c r="A80" s="37"/>
      <c r="B80" s="146"/>
      <c r="C80" s="146"/>
      <c r="D80" s="37"/>
      <c r="E80" s="146"/>
      <c r="F80" s="146"/>
      <c r="G80" s="37"/>
      <c r="H80" s="146"/>
      <c r="I80" s="146"/>
      <c r="J80" s="5"/>
    </row>
    <row r="81" spans="1:10" x14ac:dyDescent="0.2">
      <c r="A81" s="37"/>
      <c r="B81" s="146"/>
      <c r="C81" s="146"/>
      <c r="D81" s="37"/>
      <c r="E81" s="146"/>
      <c r="F81" s="146"/>
      <c r="G81" s="37"/>
      <c r="H81" s="146"/>
      <c r="I81" s="146"/>
      <c r="J81" s="5"/>
    </row>
    <row r="82" spans="1:10" x14ac:dyDescent="0.2">
      <c r="A82" s="37"/>
      <c r="B82" s="146"/>
      <c r="C82" s="146"/>
      <c r="D82" s="37"/>
      <c r="E82" s="146"/>
      <c r="F82" s="146"/>
      <c r="G82" s="37"/>
      <c r="H82" s="146"/>
      <c r="I82" s="146"/>
      <c r="J82" s="5"/>
    </row>
    <row r="83" spans="1:10" x14ac:dyDescent="0.2">
      <c r="A83" s="37"/>
      <c r="B83" s="146"/>
      <c r="C83" s="146"/>
      <c r="D83" s="37"/>
      <c r="E83" s="146"/>
      <c r="F83" s="146"/>
      <c r="G83" s="37"/>
      <c r="H83" s="146"/>
      <c r="I83" s="146"/>
      <c r="J83" s="5"/>
    </row>
    <row r="84" spans="1:10" x14ac:dyDescent="0.2">
      <c r="A84" s="37"/>
      <c r="B84" s="146"/>
      <c r="C84" s="146"/>
      <c r="D84" s="37"/>
      <c r="E84" s="146"/>
      <c r="F84" s="146"/>
      <c r="G84" s="37"/>
      <c r="H84" s="146"/>
      <c r="I84" s="146"/>
      <c r="J84" s="5"/>
    </row>
    <row r="85" spans="1:10" x14ac:dyDescent="0.2">
      <c r="A85" s="37"/>
      <c r="B85" s="146"/>
      <c r="C85" s="146"/>
      <c r="D85" s="37"/>
      <c r="E85" s="146"/>
      <c r="F85" s="146"/>
      <c r="G85" s="37"/>
      <c r="H85" s="146"/>
      <c r="I85" s="146"/>
      <c r="J85" s="5"/>
    </row>
    <row r="86" spans="1:10" x14ac:dyDescent="0.2">
      <c r="A86" s="37"/>
      <c r="B86" s="146"/>
      <c r="C86" s="146"/>
      <c r="D86" s="37"/>
      <c r="E86" s="146"/>
      <c r="F86" s="146"/>
      <c r="G86" s="37"/>
      <c r="H86" s="146"/>
      <c r="I86" s="146"/>
      <c r="J86" s="5"/>
    </row>
    <row r="87" spans="1:10" x14ac:dyDescent="0.2">
      <c r="A87" s="37"/>
      <c r="B87" s="146"/>
      <c r="C87" s="146"/>
      <c r="D87" s="37"/>
      <c r="E87" s="146"/>
      <c r="F87" s="146"/>
      <c r="G87" s="37"/>
      <c r="H87" s="146"/>
      <c r="I87" s="146"/>
      <c r="J87" s="5"/>
    </row>
    <row r="88" spans="1:10" x14ac:dyDescent="0.2">
      <c r="A88" s="37"/>
      <c r="B88" s="146"/>
      <c r="C88" s="146"/>
      <c r="D88" s="37"/>
      <c r="E88" s="146"/>
      <c r="F88" s="146"/>
      <c r="G88" s="37"/>
      <c r="H88" s="146"/>
      <c r="I88" s="146"/>
      <c r="J88" s="5"/>
    </row>
    <row r="89" spans="1:10" x14ac:dyDescent="0.2">
      <c r="A89" s="37"/>
      <c r="B89" s="146"/>
      <c r="C89" s="146"/>
      <c r="D89" s="37"/>
      <c r="E89" s="146"/>
      <c r="F89" s="146"/>
      <c r="G89" s="37"/>
      <c r="H89" s="146"/>
      <c r="I89" s="146"/>
      <c r="J89" s="5"/>
    </row>
    <row r="90" spans="1:10" x14ac:dyDescent="0.2">
      <c r="A90" s="37"/>
      <c r="B90" s="146"/>
      <c r="C90" s="146"/>
      <c r="D90" s="37"/>
      <c r="E90" s="146"/>
      <c r="F90" s="146"/>
      <c r="G90" s="37"/>
      <c r="H90" s="146"/>
      <c r="I90" s="146"/>
      <c r="J90" s="5"/>
    </row>
    <row r="91" spans="1:10" x14ac:dyDescent="0.2">
      <c r="A91" s="37"/>
      <c r="B91" s="146"/>
      <c r="C91" s="146"/>
      <c r="D91" s="37"/>
      <c r="E91" s="146"/>
      <c r="F91" s="146"/>
      <c r="G91" s="37"/>
      <c r="H91" s="146"/>
      <c r="I91" s="146"/>
      <c r="J91" s="5"/>
    </row>
    <row r="92" spans="1:10" x14ac:dyDescent="0.2">
      <c r="A92" s="37"/>
      <c r="B92" s="146"/>
      <c r="C92" s="146"/>
      <c r="D92" s="37"/>
      <c r="E92" s="146"/>
      <c r="F92" s="146"/>
      <c r="G92" s="37"/>
      <c r="H92" s="146"/>
      <c r="I92" s="146"/>
      <c r="J92" s="5"/>
    </row>
    <row r="93" spans="1:10" x14ac:dyDescent="0.2">
      <c r="A93" s="37"/>
      <c r="B93" s="146"/>
      <c r="C93" s="146"/>
      <c r="D93" s="37"/>
      <c r="E93" s="146"/>
      <c r="F93" s="146"/>
      <c r="G93" s="37"/>
      <c r="H93" s="146"/>
      <c r="I93" s="146"/>
      <c r="J93" s="5"/>
    </row>
    <row r="94" spans="1:10" x14ac:dyDescent="0.2">
      <c r="A94" s="37"/>
      <c r="B94" s="146"/>
      <c r="C94" s="146"/>
      <c r="D94" s="37"/>
      <c r="E94" s="146"/>
      <c r="F94" s="146"/>
      <c r="G94" s="37"/>
      <c r="H94" s="146"/>
      <c r="I94" s="146"/>
      <c r="J94" s="5"/>
    </row>
    <row r="95" spans="1:10" x14ac:dyDescent="0.2">
      <c r="A95" s="37"/>
      <c r="B95" s="146"/>
      <c r="C95" s="146"/>
      <c r="D95" s="37"/>
      <c r="E95" s="146"/>
      <c r="F95" s="146"/>
      <c r="G95" s="37"/>
      <c r="H95" s="146"/>
      <c r="I95" s="146"/>
      <c r="J95" s="5"/>
    </row>
    <row r="96" spans="1:10" x14ac:dyDescent="0.2">
      <c r="A96" s="37"/>
      <c r="B96" s="146"/>
      <c r="C96" s="146"/>
      <c r="D96" s="37"/>
      <c r="E96" s="146"/>
      <c r="F96" s="146"/>
      <c r="G96" s="37"/>
      <c r="H96" s="146"/>
      <c r="I96" s="146"/>
      <c r="J96" s="5"/>
    </row>
    <row r="97" spans="1:10" x14ac:dyDescent="0.2">
      <c r="A97" s="37"/>
      <c r="B97" s="146"/>
      <c r="C97" s="146"/>
      <c r="D97" s="37"/>
      <c r="E97" s="146"/>
      <c r="F97" s="146"/>
      <c r="G97" s="37"/>
      <c r="H97" s="146"/>
      <c r="I97" s="146"/>
      <c r="J97" s="5"/>
    </row>
    <row r="98" spans="1:10" x14ac:dyDescent="0.2">
      <c r="A98" s="37"/>
      <c r="B98" s="146"/>
      <c r="C98" s="146"/>
      <c r="D98" s="37"/>
      <c r="E98" s="146"/>
      <c r="F98" s="146"/>
      <c r="G98" s="37"/>
      <c r="H98" s="146"/>
      <c r="I98" s="146"/>
      <c r="J98" s="5"/>
    </row>
    <row r="99" spans="1:10" x14ac:dyDescent="0.2">
      <c r="A99" s="37"/>
      <c r="B99" s="146"/>
      <c r="C99" s="146"/>
      <c r="D99" s="37"/>
      <c r="E99" s="146"/>
      <c r="F99" s="146"/>
      <c r="G99" s="37"/>
      <c r="H99" s="146"/>
      <c r="I99" s="146"/>
      <c r="J99" s="5"/>
    </row>
    <row r="100" spans="1:10" x14ac:dyDescent="0.2">
      <c r="A100" s="37"/>
      <c r="B100" s="146"/>
      <c r="C100" s="146"/>
      <c r="D100" s="37"/>
      <c r="E100" s="146"/>
      <c r="F100" s="146"/>
      <c r="G100" s="37"/>
      <c r="H100" s="146"/>
      <c r="I100" s="146"/>
      <c r="J100" s="5"/>
    </row>
    <row r="101" spans="1:10" x14ac:dyDescent="0.2">
      <c r="A101" s="37"/>
      <c r="B101" s="146"/>
      <c r="C101" s="146"/>
      <c r="D101" s="37"/>
      <c r="E101" s="146"/>
      <c r="F101" s="146"/>
      <c r="G101" s="37"/>
      <c r="H101" s="146"/>
      <c r="I101" s="146"/>
      <c r="J101" s="5"/>
    </row>
    <row r="102" spans="1:10" x14ac:dyDescent="0.2">
      <c r="A102" s="37"/>
      <c r="B102" s="146"/>
      <c r="C102" s="146"/>
      <c r="D102" s="37"/>
      <c r="E102" s="146"/>
      <c r="F102" s="146"/>
      <c r="G102" s="37"/>
      <c r="H102" s="146"/>
      <c r="I102" s="146"/>
      <c r="J102" s="5"/>
    </row>
    <row r="103" spans="1:10" x14ac:dyDescent="0.2">
      <c r="A103" s="37"/>
      <c r="B103" s="146"/>
      <c r="C103" s="146"/>
      <c r="D103" s="37"/>
      <c r="E103" s="146"/>
      <c r="F103" s="146"/>
      <c r="G103" s="37"/>
      <c r="H103" s="146"/>
      <c r="I103" s="146"/>
      <c r="J103" s="5"/>
    </row>
    <row r="104" spans="1:10" x14ac:dyDescent="0.2">
      <c r="A104" s="37"/>
      <c r="B104" s="146"/>
      <c r="C104" s="146"/>
      <c r="D104" s="37"/>
      <c r="E104" s="146"/>
      <c r="F104" s="146"/>
      <c r="G104" s="37"/>
      <c r="H104" s="146"/>
      <c r="I104" s="146"/>
      <c r="J104" s="5"/>
    </row>
    <row r="105" spans="1:10" x14ac:dyDescent="0.2">
      <c r="A105" s="37"/>
      <c r="B105" s="146"/>
      <c r="C105" s="146"/>
      <c r="D105" s="37"/>
      <c r="E105" s="146"/>
      <c r="F105" s="146"/>
      <c r="G105" s="37"/>
      <c r="H105" s="146"/>
      <c r="I105" s="146"/>
      <c r="J105" s="5"/>
    </row>
    <row r="106" spans="1:10" x14ac:dyDescent="0.2">
      <c r="A106" s="37"/>
      <c r="B106" s="146"/>
      <c r="C106" s="146"/>
      <c r="D106" s="37"/>
      <c r="E106" s="146"/>
      <c r="F106" s="146"/>
      <c r="G106" s="37"/>
      <c r="H106" s="146"/>
      <c r="I106" s="146"/>
      <c r="J106" s="5"/>
    </row>
    <row r="107" spans="1:10" x14ac:dyDescent="0.2">
      <c r="A107" s="37"/>
      <c r="B107" s="146"/>
      <c r="C107" s="146"/>
      <c r="D107" s="37"/>
      <c r="E107" s="146"/>
      <c r="F107" s="146"/>
      <c r="G107" s="37"/>
      <c r="H107" s="146"/>
      <c r="I107" s="146"/>
      <c r="J107" s="5"/>
    </row>
    <row r="108" spans="1:10" x14ac:dyDescent="0.2">
      <c r="A108" s="37"/>
      <c r="B108" s="146"/>
      <c r="C108" s="146"/>
      <c r="D108" s="37"/>
      <c r="E108" s="146"/>
      <c r="F108" s="146"/>
      <c r="G108" s="37"/>
      <c r="H108" s="146"/>
      <c r="I108" s="146"/>
      <c r="J108" s="5"/>
    </row>
    <row r="109" spans="1:10" x14ac:dyDescent="0.2">
      <c r="A109" s="37"/>
      <c r="B109" s="146"/>
      <c r="C109" s="146"/>
      <c r="D109" s="37"/>
      <c r="E109" s="146"/>
      <c r="F109" s="146"/>
      <c r="G109" s="37"/>
      <c r="H109" s="146"/>
      <c r="I109" s="146"/>
      <c r="J109" s="5"/>
    </row>
    <row r="110" spans="1:10" x14ac:dyDescent="0.2">
      <c r="A110" s="37"/>
      <c r="B110" s="146"/>
      <c r="C110" s="146"/>
      <c r="D110" s="37"/>
      <c r="E110" s="146"/>
      <c r="F110" s="146"/>
      <c r="G110" s="37"/>
      <c r="H110" s="146"/>
      <c r="I110" s="146"/>
      <c r="J110" s="5"/>
    </row>
    <row r="111" spans="1:10" x14ac:dyDescent="0.2">
      <c r="A111" s="37"/>
      <c r="B111" s="146"/>
      <c r="C111" s="146"/>
      <c r="D111" s="37"/>
      <c r="E111" s="146"/>
      <c r="F111" s="146"/>
      <c r="G111" s="37"/>
      <c r="H111" s="146"/>
      <c r="I111" s="146"/>
      <c r="J111" s="5"/>
    </row>
    <row r="112" spans="1:10" x14ac:dyDescent="0.2">
      <c r="A112" s="37"/>
      <c r="B112" s="146"/>
      <c r="C112" s="146"/>
      <c r="D112" s="37"/>
      <c r="E112" s="146"/>
      <c r="F112" s="146"/>
      <c r="G112" s="37"/>
      <c r="H112" s="146"/>
      <c r="I112" s="146"/>
      <c r="J112" s="5"/>
    </row>
    <row r="113" spans="1:10" ht="13.5" customHeight="1" x14ac:dyDescent="0.2">
      <c r="A113" s="37"/>
      <c r="B113" s="146"/>
      <c r="C113" s="146"/>
      <c r="D113" s="37"/>
      <c r="E113" s="146"/>
      <c r="F113" s="146"/>
      <c r="G113" s="37"/>
      <c r="H113" s="146"/>
      <c r="I113" s="146"/>
      <c r="J113" s="5"/>
    </row>
    <row r="114" spans="1:10" ht="13.5" customHeight="1" x14ac:dyDescent="0.2">
      <c r="A114" s="37"/>
      <c r="B114" s="146"/>
      <c r="C114" s="146"/>
      <c r="D114" s="37"/>
      <c r="E114" s="146"/>
      <c r="F114" s="146"/>
      <c r="G114" s="37"/>
      <c r="H114" s="146"/>
      <c r="I114" s="146"/>
      <c r="J114" s="5"/>
    </row>
    <row r="115" spans="1:10" x14ac:dyDescent="0.2">
      <c r="A115" s="37"/>
      <c r="B115" s="146"/>
      <c r="C115" s="146"/>
      <c r="D115" s="37"/>
      <c r="E115" s="146"/>
      <c r="F115" s="146"/>
      <c r="G115" s="37"/>
      <c r="H115" s="146"/>
      <c r="I115" s="146"/>
      <c r="J115" s="5"/>
    </row>
    <row r="116" spans="1:10" x14ac:dyDescent="0.2">
      <c r="A116" s="37"/>
      <c r="B116" s="146"/>
      <c r="C116" s="146"/>
      <c r="D116" s="37"/>
      <c r="E116" s="146"/>
      <c r="F116" s="146"/>
      <c r="G116" s="37"/>
      <c r="H116" s="146"/>
      <c r="I116" s="146"/>
      <c r="J116" s="5"/>
    </row>
    <row r="117" spans="1:10" x14ac:dyDescent="0.2">
      <c r="A117" s="37"/>
      <c r="B117" s="146"/>
      <c r="C117" s="146"/>
      <c r="D117" s="37"/>
      <c r="E117" s="146"/>
      <c r="F117" s="146"/>
      <c r="G117" s="37"/>
      <c r="H117" s="146"/>
      <c r="I117" s="146"/>
      <c r="J117" s="5"/>
    </row>
    <row r="118" spans="1:10" x14ac:dyDescent="0.2">
      <c r="A118" s="37"/>
      <c r="B118" s="146"/>
      <c r="C118" s="146"/>
      <c r="D118" s="37"/>
      <c r="E118" s="146"/>
      <c r="F118" s="146"/>
      <c r="G118" s="37"/>
      <c r="H118" s="146"/>
      <c r="I118" s="146"/>
      <c r="J118" s="5"/>
    </row>
    <row r="119" spans="1:10" x14ac:dyDescent="0.2">
      <c r="A119" s="37"/>
      <c r="B119" s="146"/>
      <c r="C119" s="146"/>
      <c r="D119" s="37"/>
      <c r="E119" s="146"/>
      <c r="F119" s="146"/>
      <c r="G119" s="37"/>
      <c r="H119" s="146"/>
      <c r="I119" s="146"/>
      <c r="J119" s="5"/>
    </row>
    <row r="120" spans="1:10" x14ac:dyDescent="0.2">
      <c r="A120" s="37"/>
      <c r="B120" s="146"/>
      <c r="C120" s="146"/>
      <c r="D120" s="37"/>
      <c r="E120" s="146"/>
      <c r="F120" s="146"/>
      <c r="G120" s="37"/>
      <c r="H120" s="146"/>
      <c r="I120" s="146"/>
      <c r="J120" s="5"/>
    </row>
    <row r="121" spans="1:10" x14ac:dyDescent="0.2">
      <c r="A121" s="37"/>
      <c r="B121" s="146"/>
      <c r="C121" s="146"/>
      <c r="D121" s="37"/>
      <c r="E121" s="146"/>
      <c r="F121" s="146"/>
      <c r="G121" s="37"/>
      <c r="H121" s="146"/>
      <c r="I121" s="146"/>
      <c r="J121" s="5"/>
    </row>
    <row r="122" spans="1:10" x14ac:dyDescent="0.2">
      <c r="A122" s="37"/>
      <c r="B122" s="146"/>
      <c r="C122" s="146"/>
      <c r="D122" s="37"/>
      <c r="E122" s="146"/>
      <c r="F122" s="146"/>
      <c r="G122" s="37"/>
      <c r="H122" s="146"/>
      <c r="I122" s="146"/>
      <c r="J122" s="5"/>
    </row>
    <row r="123" spans="1:10" x14ac:dyDescent="0.2">
      <c r="A123" s="37"/>
      <c r="B123" s="146"/>
      <c r="C123" s="146"/>
      <c r="D123" s="37"/>
      <c r="E123" s="146"/>
      <c r="F123" s="146"/>
      <c r="G123" s="37"/>
      <c r="H123" s="146"/>
      <c r="I123" s="146"/>
      <c r="J123" s="5"/>
    </row>
    <row r="124" spans="1:10" x14ac:dyDescent="0.2">
      <c r="A124" s="37"/>
      <c r="B124" s="146"/>
      <c r="C124" s="146"/>
      <c r="D124" s="37"/>
      <c r="E124" s="146"/>
      <c r="F124" s="146"/>
      <c r="G124" s="37"/>
      <c r="H124" s="146"/>
      <c r="I124" s="146"/>
      <c r="J124" s="5"/>
    </row>
    <row r="125" spans="1:10" x14ac:dyDescent="0.2">
      <c r="A125" s="37"/>
      <c r="B125" s="146"/>
      <c r="C125" s="146"/>
      <c r="D125" s="37"/>
      <c r="E125" s="146"/>
      <c r="F125" s="146"/>
      <c r="G125" s="37"/>
      <c r="H125" s="146"/>
      <c r="I125" s="146"/>
      <c r="J125" s="5"/>
    </row>
    <row r="126" spans="1:10" x14ac:dyDescent="0.2">
      <c r="A126" s="37"/>
      <c r="B126" s="146"/>
      <c r="C126" s="146"/>
      <c r="D126" s="37"/>
      <c r="E126" s="146"/>
      <c r="F126" s="146"/>
      <c r="G126" s="37"/>
      <c r="H126" s="146"/>
      <c r="I126" s="146"/>
      <c r="J126" s="5"/>
    </row>
    <row r="127" spans="1:10" x14ac:dyDescent="0.2">
      <c r="A127" s="37"/>
      <c r="B127" s="146"/>
      <c r="C127" s="146"/>
      <c r="D127" s="37"/>
      <c r="E127" s="146"/>
      <c r="F127" s="146"/>
      <c r="G127" s="37"/>
      <c r="H127" s="146"/>
      <c r="I127" s="146"/>
      <c r="J127" s="5"/>
    </row>
    <row r="128" spans="1:10" x14ac:dyDescent="0.2">
      <c r="A128" s="37"/>
      <c r="B128" s="146"/>
      <c r="C128" s="146"/>
      <c r="D128" s="37"/>
      <c r="E128" s="146"/>
      <c r="F128" s="146"/>
      <c r="G128" s="37"/>
      <c r="H128" s="146"/>
      <c r="I128" s="146"/>
      <c r="J128" s="5"/>
    </row>
    <row r="129" spans="1:10" x14ac:dyDescent="0.2">
      <c r="A129" s="37"/>
      <c r="B129" s="146"/>
      <c r="C129" s="146"/>
      <c r="D129" s="37"/>
      <c r="E129" s="146"/>
      <c r="F129" s="146"/>
      <c r="G129" s="37"/>
      <c r="H129" s="146"/>
      <c r="I129" s="146"/>
      <c r="J129" s="5"/>
    </row>
    <row r="130" spans="1:10" x14ac:dyDescent="0.2">
      <c r="A130" s="37"/>
      <c r="B130" s="146"/>
      <c r="C130" s="146"/>
      <c r="D130" s="37"/>
      <c r="E130" s="146"/>
      <c r="F130" s="146"/>
      <c r="G130" s="37"/>
      <c r="H130" s="146"/>
      <c r="I130" s="146"/>
      <c r="J130" s="5"/>
    </row>
    <row r="131" spans="1:10" x14ac:dyDescent="0.2">
      <c r="A131" s="37"/>
      <c r="B131" s="146"/>
      <c r="C131" s="146"/>
      <c r="D131" s="37"/>
      <c r="E131" s="146"/>
      <c r="F131" s="146"/>
      <c r="G131" s="37"/>
      <c r="H131" s="146"/>
      <c r="I131" s="146"/>
      <c r="J131" s="5"/>
    </row>
    <row r="132" spans="1:10" x14ac:dyDescent="0.2">
      <c r="A132" s="37"/>
      <c r="B132" s="146"/>
      <c r="C132" s="146"/>
      <c r="D132" s="37"/>
      <c r="E132" s="146"/>
      <c r="F132" s="146"/>
      <c r="G132" s="37"/>
      <c r="H132" s="146"/>
      <c r="I132" s="146"/>
      <c r="J132" s="5"/>
    </row>
    <row r="133" spans="1:10" x14ac:dyDescent="0.2">
      <c r="A133" s="37"/>
      <c r="B133" s="146"/>
      <c r="C133" s="146"/>
      <c r="D133" s="37"/>
      <c r="E133" s="146"/>
      <c r="F133" s="146"/>
      <c r="G133" s="37"/>
      <c r="H133" s="146"/>
      <c r="I133" s="146"/>
      <c r="J133" s="5"/>
    </row>
    <row r="134" spans="1:10" x14ac:dyDescent="0.2">
      <c r="A134" s="37"/>
      <c r="B134" s="146"/>
      <c r="C134" s="146"/>
      <c r="D134" s="37"/>
      <c r="E134" s="146"/>
      <c r="F134" s="146"/>
      <c r="G134" s="37"/>
      <c r="H134" s="146"/>
      <c r="I134" s="146"/>
      <c r="J134" s="5"/>
    </row>
    <row r="135" spans="1:10" x14ac:dyDescent="0.2">
      <c r="A135" s="37"/>
      <c r="B135" s="146"/>
      <c r="C135" s="146"/>
      <c r="D135" s="37"/>
      <c r="E135" s="146"/>
      <c r="F135" s="146"/>
      <c r="G135" s="37"/>
      <c r="H135" s="146"/>
      <c r="I135" s="146"/>
      <c r="J135" s="5"/>
    </row>
    <row r="136" spans="1:10" x14ac:dyDescent="0.2">
      <c r="A136" s="37"/>
      <c r="B136" s="146"/>
      <c r="C136" s="146"/>
      <c r="D136" s="37"/>
      <c r="E136" s="146"/>
      <c r="F136" s="146"/>
      <c r="G136" s="37"/>
      <c r="H136" s="146"/>
      <c r="I136" s="146"/>
      <c r="J136" s="5"/>
    </row>
    <row r="137" spans="1:10" x14ac:dyDescent="0.2">
      <c r="A137" s="37"/>
      <c r="B137" s="146"/>
      <c r="C137" s="146"/>
      <c r="D137" s="37"/>
      <c r="E137" s="146"/>
      <c r="F137" s="146"/>
      <c r="G137" s="37"/>
      <c r="H137" s="146"/>
      <c r="I137" s="146"/>
      <c r="J137" s="5"/>
    </row>
    <row r="138" spans="1:10" x14ac:dyDescent="0.2">
      <c r="A138" s="37"/>
      <c r="B138" s="146"/>
      <c r="C138" s="146"/>
      <c r="D138" s="37"/>
      <c r="E138" s="146"/>
      <c r="F138" s="146"/>
      <c r="G138" s="37"/>
      <c r="H138" s="146"/>
      <c r="I138" s="146"/>
      <c r="J138" s="5"/>
    </row>
    <row r="139" spans="1:10" x14ac:dyDescent="0.2">
      <c r="A139" s="37"/>
      <c r="B139" s="146"/>
      <c r="C139" s="146"/>
      <c r="D139" s="37"/>
      <c r="E139" s="146"/>
      <c r="F139" s="146"/>
      <c r="G139" s="37"/>
      <c r="H139" s="146"/>
      <c r="I139" s="146"/>
      <c r="J139" s="5"/>
    </row>
    <row r="140" spans="1:10" x14ac:dyDescent="0.2">
      <c r="A140" s="37"/>
      <c r="B140" s="146"/>
      <c r="C140" s="146"/>
      <c r="D140" s="37"/>
      <c r="E140" s="146"/>
      <c r="F140" s="146"/>
      <c r="G140" s="37"/>
      <c r="H140" s="146"/>
      <c r="I140" s="146"/>
      <c r="J140" s="5"/>
    </row>
    <row r="141" spans="1:10" x14ac:dyDescent="0.2">
      <c r="A141" s="37"/>
      <c r="B141" s="146"/>
      <c r="C141" s="146"/>
      <c r="D141" s="37"/>
      <c r="E141" s="146"/>
      <c r="F141" s="146"/>
      <c r="G141" s="37"/>
      <c r="H141" s="146"/>
      <c r="I141" s="146"/>
      <c r="J141" s="5"/>
    </row>
    <row r="142" spans="1:10" x14ac:dyDescent="0.2">
      <c r="A142" s="37"/>
      <c r="B142" s="146"/>
      <c r="C142" s="146"/>
      <c r="D142" s="37"/>
      <c r="E142" s="146"/>
      <c r="F142" s="146"/>
      <c r="G142" s="37"/>
      <c r="H142" s="146"/>
      <c r="I142" s="146"/>
      <c r="J142" s="5"/>
    </row>
    <row r="143" spans="1:10" x14ac:dyDescent="0.2">
      <c r="A143" s="37"/>
      <c r="B143" s="146"/>
      <c r="C143" s="146"/>
      <c r="D143" s="37"/>
      <c r="E143" s="146"/>
      <c r="F143" s="146"/>
      <c r="G143" s="37"/>
      <c r="H143" s="146"/>
      <c r="I143" s="146"/>
      <c r="J143" s="5"/>
    </row>
    <row r="144" spans="1:10" x14ac:dyDescent="0.2">
      <c r="A144" s="37"/>
      <c r="B144" s="146"/>
      <c r="C144" s="146"/>
      <c r="D144" s="37"/>
      <c r="E144" s="146"/>
      <c r="F144" s="146"/>
      <c r="G144" s="37"/>
      <c r="H144" s="146"/>
      <c r="I144" s="146"/>
      <c r="J144" s="5"/>
    </row>
    <row r="145" spans="1:10" x14ac:dyDescent="0.2">
      <c r="A145" s="37"/>
      <c r="B145" s="146"/>
      <c r="C145" s="146"/>
      <c r="D145" s="37"/>
      <c r="E145" s="146"/>
      <c r="F145" s="146"/>
      <c r="G145" s="37"/>
      <c r="H145" s="146"/>
      <c r="I145" s="146"/>
      <c r="J145" s="5"/>
    </row>
    <row r="146" spans="1:10" x14ac:dyDescent="0.2">
      <c r="A146" s="37"/>
      <c r="B146" s="146"/>
      <c r="C146" s="146"/>
      <c r="D146" s="37"/>
      <c r="E146" s="146"/>
      <c r="F146" s="146"/>
      <c r="G146" s="37"/>
      <c r="H146" s="146"/>
      <c r="I146" s="146"/>
      <c r="J146" s="5"/>
    </row>
    <row r="147" spans="1:10" x14ac:dyDescent="0.2">
      <c r="A147" s="37"/>
      <c r="B147" s="146"/>
      <c r="C147" s="146"/>
      <c r="D147" s="37"/>
      <c r="E147" s="146"/>
      <c r="F147" s="146"/>
      <c r="G147" s="37"/>
      <c r="H147" s="146"/>
      <c r="I147" s="146"/>
      <c r="J147" s="5"/>
    </row>
    <row r="148" spans="1:10" x14ac:dyDescent="0.2">
      <c r="A148" s="37"/>
      <c r="B148" s="146"/>
      <c r="C148" s="146"/>
      <c r="D148" s="37"/>
      <c r="E148" s="146"/>
      <c r="F148" s="146"/>
      <c r="G148" s="37"/>
      <c r="H148" s="146"/>
      <c r="I148" s="146"/>
      <c r="J148" s="5"/>
    </row>
    <row r="149" spans="1:10" x14ac:dyDescent="0.2">
      <c r="A149" s="37"/>
      <c r="B149" s="146"/>
      <c r="C149" s="146"/>
      <c r="D149" s="37"/>
      <c r="E149" s="146"/>
      <c r="F149" s="146"/>
      <c r="G149" s="37"/>
      <c r="H149" s="146"/>
      <c r="I149" s="146"/>
      <c r="J149" s="5"/>
    </row>
    <row r="150" spans="1:10" x14ac:dyDescent="0.2">
      <c r="A150" s="37"/>
      <c r="B150" s="146"/>
      <c r="C150" s="146"/>
      <c r="D150" s="37"/>
      <c r="E150" s="146"/>
      <c r="F150" s="146"/>
      <c r="G150" s="37"/>
      <c r="H150" s="146"/>
      <c r="I150" s="146"/>
      <c r="J150" s="5"/>
    </row>
    <row r="151" spans="1:10" x14ac:dyDescent="0.2">
      <c r="A151" s="37"/>
      <c r="B151" s="146"/>
      <c r="C151" s="146"/>
      <c r="D151" s="37"/>
      <c r="E151" s="146"/>
      <c r="F151" s="146"/>
      <c r="G151" s="37"/>
      <c r="H151" s="146"/>
      <c r="I151" s="146"/>
      <c r="J151" s="5"/>
    </row>
    <row r="152" spans="1:10" x14ac:dyDescent="0.2">
      <c r="A152" s="37"/>
      <c r="B152" s="146"/>
      <c r="C152" s="146"/>
      <c r="D152" s="37"/>
      <c r="E152" s="146"/>
      <c r="F152" s="146"/>
      <c r="G152" s="37"/>
      <c r="H152" s="146"/>
      <c r="I152" s="146"/>
      <c r="J152" s="5"/>
    </row>
    <row r="153" spans="1:10" x14ac:dyDescent="0.2">
      <c r="A153" s="37"/>
      <c r="B153" s="146"/>
      <c r="C153" s="146"/>
      <c r="D153" s="37"/>
      <c r="E153" s="146"/>
      <c r="F153" s="146"/>
      <c r="G153" s="37"/>
      <c r="H153" s="146"/>
      <c r="I153" s="146"/>
      <c r="J153" s="5"/>
    </row>
    <row r="154" spans="1:10" x14ac:dyDescent="0.2">
      <c r="A154" s="37"/>
      <c r="B154" s="146"/>
      <c r="C154" s="146"/>
      <c r="D154" s="37"/>
      <c r="E154" s="146"/>
      <c r="F154" s="146"/>
      <c r="G154" s="37"/>
      <c r="H154" s="146"/>
      <c r="I154" s="146"/>
      <c r="J154" s="5"/>
    </row>
    <row r="155" spans="1:10" x14ac:dyDescent="0.2">
      <c r="A155" s="37"/>
      <c r="B155" s="146"/>
      <c r="C155" s="146"/>
      <c r="D155" s="37"/>
      <c r="E155" s="146"/>
      <c r="F155" s="146"/>
      <c r="G155" s="37"/>
      <c r="H155" s="146"/>
      <c r="I155" s="146"/>
      <c r="J155" s="5"/>
    </row>
    <row r="156" spans="1:10" x14ac:dyDescent="0.2">
      <c r="A156" s="37"/>
      <c r="B156" s="146"/>
      <c r="C156" s="146"/>
      <c r="D156" s="37"/>
      <c r="E156" s="146"/>
      <c r="F156" s="146"/>
      <c r="G156" s="37"/>
      <c r="H156" s="146"/>
      <c r="I156" s="146"/>
      <c r="J156" s="5"/>
    </row>
    <row r="157" spans="1:10" x14ac:dyDescent="0.2">
      <c r="A157" s="37"/>
      <c r="B157" s="146"/>
      <c r="C157" s="146"/>
      <c r="D157" s="37"/>
      <c r="E157" s="146"/>
      <c r="F157" s="146"/>
      <c r="G157" s="37"/>
      <c r="H157" s="146"/>
      <c r="I157" s="146"/>
      <c r="J157" s="5"/>
    </row>
    <row r="158" spans="1:10" x14ac:dyDescent="0.2">
      <c r="A158" s="37"/>
      <c r="B158" s="146"/>
      <c r="C158" s="146"/>
      <c r="D158" s="37"/>
      <c r="E158" s="146"/>
      <c r="F158" s="146"/>
      <c r="G158" s="37"/>
      <c r="H158" s="146"/>
      <c r="I158" s="146"/>
      <c r="J158" s="5"/>
    </row>
    <row r="159" spans="1:10" x14ac:dyDescent="0.2">
      <c r="A159" s="37"/>
      <c r="B159" s="146"/>
      <c r="C159" s="146"/>
      <c r="D159" s="37"/>
      <c r="E159" s="146"/>
      <c r="F159" s="146"/>
      <c r="G159" s="37"/>
      <c r="H159" s="146"/>
      <c r="I159" s="146"/>
      <c r="J159" s="5"/>
    </row>
    <row r="160" spans="1:10" x14ac:dyDescent="0.2">
      <c r="A160" s="37"/>
      <c r="B160" s="146"/>
      <c r="C160" s="146"/>
      <c r="D160" s="37"/>
      <c r="E160" s="146"/>
      <c r="F160" s="146"/>
      <c r="G160" s="37"/>
      <c r="H160" s="146"/>
      <c r="I160" s="146"/>
      <c r="J160" s="5"/>
    </row>
    <row r="161" spans="1:10" x14ac:dyDescent="0.2">
      <c r="A161" s="37"/>
      <c r="B161" s="146"/>
      <c r="C161" s="146"/>
      <c r="D161" s="37"/>
      <c r="E161" s="146"/>
      <c r="F161" s="146"/>
      <c r="G161" s="37"/>
      <c r="H161" s="146"/>
      <c r="I161" s="146"/>
      <c r="J161" s="5"/>
    </row>
    <row r="162" spans="1:10" x14ac:dyDescent="0.2">
      <c r="A162" s="37"/>
      <c r="B162" s="146"/>
      <c r="C162" s="146"/>
      <c r="D162" s="37"/>
      <c r="E162" s="146"/>
      <c r="F162" s="146"/>
      <c r="G162" s="37"/>
      <c r="H162" s="146"/>
      <c r="I162" s="146"/>
      <c r="J162" s="5"/>
    </row>
    <row r="163" spans="1:10" x14ac:dyDescent="0.2">
      <c r="A163" s="37"/>
      <c r="B163" s="146"/>
      <c r="C163" s="146"/>
      <c r="D163" s="37"/>
      <c r="E163" s="146"/>
      <c r="F163" s="146"/>
      <c r="G163" s="37"/>
      <c r="H163" s="146"/>
      <c r="I163" s="146"/>
      <c r="J163" s="5"/>
    </row>
    <row r="164" spans="1:10" x14ac:dyDescent="0.2">
      <c r="A164" s="37"/>
      <c r="B164" s="146"/>
      <c r="C164" s="146"/>
      <c r="D164" s="37"/>
      <c r="E164" s="146"/>
      <c r="F164" s="146"/>
      <c r="G164" s="37"/>
      <c r="H164" s="146"/>
      <c r="I164" s="146"/>
      <c r="J164" s="5"/>
    </row>
    <row r="165" spans="1:10" x14ac:dyDescent="0.2">
      <c r="A165" s="37"/>
      <c r="B165" s="146"/>
      <c r="C165" s="146"/>
      <c r="D165" s="37"/>
      <c r="E165" s="146"/>
      <c r="F165" s="146"/>
      <c r="G165" s="37"/>
      <c r="H165" s="146"/>
      <c r="I165" s="146"/>
      <c r="J165" s="5"/>
    </row>
    <row r="166" spans="1:10" x14ac:dyDescent="0.2">
      <c r="A166" s="37"/>
      <c r="B166" s="146"/>
      <c r="C166" s="146"/>
      <c r="D166" s="37"/>
      <c r="E166" s="146"/>
      <c r="F166" s="146"/>
      <c r="G166" s="37"/>
      <c r="H166" s="146"/>
      <c r="I166" s="146"/>
      <c r="J166" s="5"/>
    </row>
    <row r="167" spans="1:10" x14ac:dyDescent="0.2">
      <c r="A167" s="37"/>
      <c r="B167" s="146"/>
      <c r="C167" s="146"/>
      <c r="D167" s="37"/>
      <c r="E167" s="146"/>
      <c r="F167" s="146"/>
      <c r="G167" s="37"/>
      <c r="H167" s="146"/>
      <c r="I167" s="146"/>
      <c r="J167" s="5"/>
    </row>
    <row r="168" spans="1:10" x14ac:dyDescent="0.2">
      <c r="A168" s="37"/>
      <c r="B168" s="146"/>
      <c r="C168" s="146"/>
      <c r="D168" s="37"/>
      <c r="E168" s="146"/>
      <c r="F168" s="146"/>
      <c r="G168" s="37"/>
      <c r="H168" s="146"/>
      <c r="I168" s="146"/>
      <c r="J168" s="5"/>
    </row>
    <row r="169" spans="1:10" x14ac:dyDescent="0.2">
      <c r="A169" s="37"/>
      <c r="B169" s="146"/>
      <c r="C169" s="146"/>
      <c r="D169" s="37"/>
      <c r="E169" s="146"/>
      <c r="F169" s="146"/>
      <c r="G169" s="37"/>
      <c r="H169" s="146"/>
      <c r="I169" s="146"/>
      <c r="J169" s="5"/>
    </row>
    <row r="170" spans="1:10" x14ac:dyDescent="0.2">
      <c r="A170" s="37"/>
      <c r="B170" s="146"/>
      <c r="C170" s="146"/>
      <c r="D170" s="37"/>
      <c r="E170" s="146"/>
      <c r="F170" s="146"/>
      <c r="G170" s="37"/>
      <c r="H170" s="146"/>
      <c r="I170" s="146"/>
      <c r="J170" s="5"/>
    </row>
    <row r="171" spans="1:10" x14ac:dyDescent="0.2">
      <c r="A171" s="37"/>
      <c r="B171" s="146"/>
      <c r="C171" s="146"/>
      <c r="D171" s="37"/>
      <c r="E171" s="146"/>
      <c r="F171" s="146"/>
      <c r="G171" s="37"/>
      <c r="H171" s="146"/>
      <c r="I171" s="146"/>
      <c r="J171" s="5"/>
    </row>
    <row r="172" spans="1:10" x14ac:dyDescent="0.2">
      <c r="A172" s="37"/>
      <c r="B172" s="146"/>
      <c r="C172" s="146"/>
      <c r="D172" s="37"/>
      <c r="E172" s="146"/>
      <c r="F172" s="146"/>
      <c r="G172" s="37"/>
      <c r="H172" s="146"/>
      <c r="I172" s="146"/>
      <c r="J172" s="5"/>
    </row>
    <row r="173" spans="1:10" x14ac:dyDescent="0.2">
      <c r="A173" s="37"/>
      <c r="B173" s="146"/>
      <c r="C173" s="146"/>
      <c r="D173" s="37"/>
      <c r="E173" s="146"/>
      <c r="F173" s="146"/>
      <c r="G173" s="37"/>
      <c r="H173" s="146"/>
      <c r="I173" s="146"/>
      <c r="J173" s="5"/>
    </row>
    <row r="174" spans="1:10" x14ac:dyDescent="0.2">
      <c r="A174" s="37"/>
      <c r="B174" s="146"/>
      <c r="C174" s="146"/>
      <c r="D174" s="37"/>
      <c r="E174" s="146"/>
      <c r="F174" s="146"/>
      <c r="G174" s="37"/>
      <c r="H174" s="146"/>
      <c r="I174" s="146"/>
      <c r="J174" s="5"/>
    </row>
    <row r="175" spans="1:10" x14ac:dyDescent="0.2">
      <c r="A175" s="37"/>
      <c r="B175" s="146"/>
      <c r="C175" s="146"/>
      <c r="D175" s="37"/>
      <c r="E175" s="146"/>
      <c r="F175" s="146"/>
      <c r="G175" s="37"/>
      <c r="H175" s="146"/>
      <c r="I175" s="146"/>
      <c r="J175" s="5"/>
    </row>
    <row r="176" spans="1:10" x14ac:dyDescent="0.2">
      <c r="A176" s="37"/>
      <c r="B176" s="146"/>
      <c r="C176" s="146"/>
      <c r="D176" s="37"/>
      <c r="E176" s="146"/>
      <c r="F176" s="146"/>
      <c r="G176" s="37"/>
      <c r="H176" s="146"/>
      <c r="I176" s="146"/>
      <c r="J176" s="5"/>
    </row>
    <row r="177" spans="1:10" x14ac:dyDescent="0.2">
      <c r="A177" s="37"/>
      <c r="B177" s="146"/>
      <c r="C177" s="146"/>
      <c r="D177" s="37"/>
      <c r="E177" s="146"/>
      <c r="F177" s="146"/>
      <c r="G177" s="37"/>
      <c r="H177" s="146"/>
      <c r="I177" s="146"/>
      <c r="J177" s="5"/>
    </row>
    <row r="178" spans="1:10" x14ac:dyDescent="0.2">
      <c r="A178" s="37"/>
      <c r="B178" s="146"/>
      <c r="C178" s="146"/>
      <c r="D178" s="37"/>
      <c r="E178" s="146"/>
      <c r="F178" s="146"/>
      <c r="G178" s="37"/>
      <c r="H178" s="146"/>
      <c r="I178" s="146"/>
      <c r="J178" s="5"/>
    </row>
    <row r="179" spans="1:10" x14ac:dyDescent="0.2">
      <c r="A179" s="37"/>
      <c r="B179" s="146"/>
      <c r="C179" s="146"/>
      <c r="D179" s="37"/>
      <c r="E179" s="146"/>
      <c r="F179" s="146"/>
      <c r="G179" s="37"/>
      <c r="H179" s="146"/>
      <c r="I179" s="146"/>
      <c r="J179" s="5"/>
    </row>
    <row r="180" spans="1:10" x14ac:dyDescent="0.2">
      <c r="A180" s="37"/>
      <c r="B180" s="146"/>
      <c r="C180" s="146"/>
      <c r="D180" s="37"/>
      <c r="E180" s="146"/>
      <c r="F180" s="146"/>
      <c r="G180" s="37"/>
      <c r="H180" s="146"/>
      <c r="I180" s="146"/>
      <c r="J180" s="5"/>
    </row>
    <row r="181" spans="1:10" x14ac:dyDescent="0.2">
      <c r="A181" s="37"/>
      <c r="B181" s="146"/>
      <c r="C181" s="146"/>
      <c r="D181" s="37"/>
      <c r="E181" s="146"/>
      <c r="F181" s="146"/>
      <c r="G181" s="37"/>
      <c r="H181" s="146"/>
      <c r="I181" s="146"/>
      <c r="J181" s="5"/>
    </row>
    <row r="182" spans="1:10" x14ac:dyDescent="0.2">
      <c r="A182" s="37"/>
      <c r="B182" s="146"/>
      <c r="C182" s="146"/>
      <c r="D182" s="37"/>
      <c r="E182" s="146"/>
      <c r="F182" s="146"/>
      <c r="G182" s="37"/>
      <c r="H182" s="146"/>
      <c r="I182" s="146"/>
      <c r="J182" s="5"/>
    </row>
    <row r="183" spans="1:10" x14ac:dyDescent="0.2">
      <c r="A183" s="37"/>
      <c r="B183" s="146"/>
      <c r="C183" s="146"/>
      <c r="D183" s="37"/>
      <c r="E183" s="146"/>
      <c r="F183" s="146"/>
      <c r="G183" s="37"/>
      <c r="H183" s="146"/>
      <c r="I183" s="146"/>
      <c r="J183" s="5"/>
    </row>
    <row r="184" spans="1:10" x14ac:dyDescent="0.2">
      <c r="A184" s="37"/>
      <c r="B184" s="146"/>
      <c r="C184" s="146"/>
      <c r="D184" s="37"/>
      <c r="E184" s="146"/>
      <c r="F184" s="146"/>
      <c r="G184" s="37"/>
      <c r="H184" s="146"/>
      <c r="I184" s="146"/>
      <c r="J184" s="5"/>
    </row>
    <row r="185" spans="1:10" x14ac:dyDescent="0.2">
      <c r="A185" s="37"/>
      <c r="B185" s="146"/>
      <c r="C185" s="146"/>
      <c r="D185" s="37"/>
      <c r="E185" s="146"/>
      <c r="F185" s="146"/>
      <c r="G185" s="37"/>
      <c r="H185" s="146"/>
      <c r="I185" s="146"/>
      <c r="J185" s="5"/>
    </row>
    <row r="186" spans="1:10" x14ac:dyDescent="0.2">
      <c r="A186" s="37"/>
      <c r="B186" s="146"/>
      <c r="C186" s="146"/>
      <c r="D186" s="37"/>
      <c r="E186" s="146"/>
      <c r="F186" s="146"/>
      <c r="G186" s="37"/>
      <c r="H186" s="146"/>
      <c r="I186" s="146"/>
      <c r="J186" s="5"/>
    </row>
    <row r="187" spans="1:10" x14ac:dyDescent="0.2">
      <c r="A187" s="37"/>
      <c r="B187" s="146"/>
      <c r="C187" s="146"/>
      <c r="D187" s="37"/>
      <c r="E187" s="146"/>
      <c r="F187" s="146"/>
      <c r="G187" s="37"/>
      <c r="H187" s="146"/>
      <c r="I187" s="146"/>
      <c r="J187" s="5"/>
    </row>
    <row r="188" spans="1:10" x14ac:dyDescent="0.2">
      <c r="A188" s="37"/>
      <c r="B188" s="146"/>
      <c r="C188" s="146"/>
      <c r="D188" s="37"/>
      <c r="E188" s="146"/>
      <c r="F188" s="146"/>
      <c r="G188" s="37"/>
      <c r="H188" s="146"/>
      <c r="I188" s="146"/>
      <c r="J188" s="5"/>
    </row>
    <row r="189" spans="1:10" x14ac:dyDescent="0.2">
      <c r="A189" s="37"/>
      <c r="B189" s="146"/>
      <c r="C189" s="146"/>
      <c r="D189" s="37"/>
      <c r="E189" s="146"/>
      <c r="F189" s="146"/>
      <c r="G189" s="37"/>
      <c r="H189" s="146"/>
      <c r="I189" s="146"/>
      <c r="J189" s="5"/>
    </row>
    <row r="190" spans="1:10" x14ac:dyDescent="0.2">
      <c r="A190" s="37"/>
      <c r="B190" s="146"/>
      <c r="C190" s="146"/>
      <c r="D190" s="37"/>
      <c r="E190" s="146"/>
      <c r="F190" s="146"/>
      <c r="G190" s="37"/>
      <c r="H190" s="146"/>
      <c r="I190" s="146"/>
      <c r="J190" s="5"/>
    </row>
    <row r="191" spans="1:10" x14ac:dyDescent="0.2">
      <c r="A191" s="37"/>
      <c r="B191" s="146"/>
      <c r="C191" s="146"/>
      <c r="D191" s="37"/>
      <c r="E191" s="146"/>
      <c r="F191" s="146"/>
      <c r="G191" s="37"/>
      <c r="H191" s="146"/>
      <c r="I191" s="146"/>
      <c r="J191" s="5"/>
    </row>
    <row r="192" spans="1:10" x14ac:dyDescent="0.2">
      <c r="A192" s="37"/>
      <c r="B192" s="146"/>
      <c r="C192" s="146"/>
      <c r="D192" s="37"/>
      <c r="E192" s="146"/>
      <c r="F192" s="146"/>
      <c r="G192" s="37"/>
      <c r="H192" s="146"/>
      <c r="I192" s="146"/>
      <c r="J192" s="5"/>
    </row>
    <row r="193" spans="1:10" x14ac:dyDescent="0.2">
      <c r="A193" s="37"/>
      <c r="B193" s="146"/>
      <c r="C193" s="146"/>
      <c r="D193" s="37"/>
      <c r="E193" s="146"/>
      <c r="F193" s="146"/>
      <c r="G193" s="37"/>
      <c r="H193" s="146"/>
      <c r="I193" s="146"/>
      <c r="J193" s="5"/>
    </row>
    <row r="194" spans="1:10" x14ac:dyDescent="0.2">
      <c r="A194" s="37"/>
      <c r="B194" s="146"/>
      <c r="C194" s="146"/>
      <c r="D194" s="37"/>
      <c r="E194" s="146"/>
      <c r="F194" s="146"/>
      <c r="G194" s="37"/>
      <c r="H194" s="146"/>
      <c r="I194" s="146"/>
      <c r="J194" s="5"/>
    </row>
    <row r="195" spans="1:10" x14ac:dyDescent="0.2">
      <c r="A195" s="37"/>
      <c r="B195" s="146"/>
      <c r="C195" s="146"/>
      <c r="D195" s="37"/>
      <c r="E195" s="146"/>
      <c r="F195" s="146"/>
      <c r="G195" s="37"/>
      <c r="H195" s="146"/>
      <c r="I195" s="146"/>
      <c r="J195" s="5"/>
    </row>
    <row r="196" spans="1:10" x14ac:dyDescent="0.2">
      <c r="A196" s="37"/>
      <c r="B196" s="146"/>
      <c r="C196" s="146"/>
      <c r="D196" s="37"/>
      <c r="E196" s="146"/>
      <c r="F196" s="146"/>
      <c r="G196" s="37"/>
      <c r="H196" s="146"/>
      <c r="I196" s="146"/>
      <c r="J196" s="5"/>
    </row>
    <row r="197" spans="1:10" x14ac:dyDescent="0.2">
      <c r="A197" s="37"/>
      <c r="B197" s="146"/>
      <c r="C197" s="146"/>
      <c r="D197" s="37"/>
      <c r="E197" s="146"/>
      <c r="F197" s="146"/>
      <c r="G197" s="37"/>
      <c r="H197" s="146"/>
      <c r="I197" s="146"/>
      <c r="J197" s="5"/>
    </row>
    <row r="198" spans="1:10" x14ac:dyDescent="0.2">
      <c r="A198" s="37"/>
      <c r="B198" s="146"/>
      <c r="C198" s="146"/>
      <c r="D198" s="37"/>
      <c r="E198" s="146"/>
      <c r="F198" s="146"/>
      <c r="G198" s="37"/>
      <c r="H198" s="146"/>
      <c r="I198" s="146"/>
      <c r="J198" s="5"/>
    </row>
    <row r="199" spans="1:10" x14ac:dyDescent="0.2">
      <c r="A199" s="37"/>
      <c r="B199" s="146"/>
      <c r="C199" s="146"/>
      <c r="D199" s="37"/>
      <c r="E199" s="146"/>
      <c r="F199" s="146"/>
      <c r="G199" s="37"/>
      <c r="H199" s="146"/>
      <c r="I199" s="146"/>
      <c r="J199" s="5"/>
    </row>
    <row r="200" spans="1:10" x14ac:dyDescent="0.2">
      <c r="A200" s="37"/>
      <c r="B200" s="146"/>
      <c r="C200" s="146"/>
      <c r="D200" s="37"/>
      <c r="E200" s="146"/>
      <c r="F200" s="146"/>
      <c r="G200" s="37"/>
      <c r="H200" s="146"/>
      <c r="I200" s="146"/>
      <c r="J200" s="5"/>
    </row>
    <row r="201" spans="1:10" x14ac:dyDescent="0.2">
      <c r="A201" s="37"/>
      <c r="B201" s="146"/>
      <c r="C201" s="146"/>
      <c r="D201" s="37"/>
      <c r="E201" s="146"/>
      <c r="F201" s="146"/>
      <c r="G201" s="37"/>
      <c r="H201" s="146"/>
      <c r="I201" s="146"/>
      <c r="J201" s="5"/>
    </row>
    <row r="202" spans="1:10" x14ac:dyDescent="0.2">
      <c r="A202" s="37"/>
      <c r="B202" s="146"/>
      <c r="C202" s="146"/>
      <c r="D202" s="37"/>
      <c r="E202" s="146"/>
      <c r="F202" s="146"/>
      <c r="G202" s="37"/>
      <c r="H202" s="146"/>
      <c r="I202" s="146"/>
      <c r="J202" s="5"/>
    </row>
    <row r="203" spans="1:10" x14ac:dyDescent="0.2">
      <c r="A203" s="37"/>
      <c r="B203" s="146"/>
      <c r="C203" s="146"/>
      <c r="D203" s="37"/>
      <c r="E203" s="146"/>
      <c r="F203" s="146"/>
      <c r="G203" s="37"/>
      <c r="H203" s="146"/>
      <c r="I203" s="146"/>
      <c r="J203" s="5"/>
    </row>
    <row r="204" spans="1:10" x14ac:dyDescent="0.2">
      <c r="A204" s="37"/>
      <c r="B204" s="146"/>
      <c r="C204" s="146"/>
      <c r="D204" s="37"/>
      <c r="E204" s="146"/>
      <c r="F204" s="146"/>
      <c r="G204" s="37"/>
      <c r="H204" s="146"/>
      <c r="I204" s="146"/>
      <c r="J204" s="5"/>
    </row>
    <row r="205" spans="1:10" x14ac:dyDescent="0.2">
      <c r="A205" s="37"/>
      <c r="B205" s="146"/>
      <c r="C205" s="146"/>
      <c r="D205" s="37"/>
      <c r="E205" s="146"/>
      <c r="F205" s="146"/>
      <c r="G205" s="37"/>
      <c r="H205" s="146"/>
      <c r="I205" s="146"/>
      <c r="J205" s="5"/>
    </row>
    <row r="206" spans="1:10" x14ac:dyDescent="0.2">
      <c r="A206" s="37"/>
      <c r="B206" s="146"/>
      <c r="C206" s="146"/>
      <c r="D206" s="37"/>
      <c r="E206" s="146"/>
      <c r="F206" s="146"/>
      <c r="G206" s="37"/>
      <c r="H206" s="146"/>
      <c r="I206" s="146"/>
      <c r="J206" s="5"/>
    </row>
    <row r="207" spans="1:10" x14ac:dyDescent="0.2">
      <c r="A207" s="37"/>
      <c r="B207" s="146"/>
      <c r="C207" s="146"/>
      <c r="D207" s="37"/>
      <c r="E207" s="146"/>
      <c r="F207" s="146"/>
      <c r="G207" s="37"/>
      <c r="H207" s="146"/>
      <c r="I207" s="146"/>
      <c r="J207" s="5"/>
    </row>
    <row r="291" spans="1:10" x14ac:dyDescent="0.2">
      <c r="A291" t="s">
        <v>498</v>
      </c>
      <c r="E291">
        <v>0</v>
      </c>
      <c r="H291" t="s">
        <v>352</v>
      </c>
      <c r="J291" t="s">
        <v>496</v>
      </c>
    </row>
    <row r="292" spans="1:10" x14ac:dyDescent="0.2">
      <c r="A292" t="s">
        <v>498</v>
      </c>
      <c r="E292">
        <v>0</v>
      </c>
      <c r="H292" t="s">
        <v>505</v>
      </c>
      <c r="J292" t="s">
        <v>496</v>
      </c>
    </row>
    <row r="293" spans="1:10" x14ac:dyDescent="0.2">
      <c r="A293" t="s">
        <v>498</v>
      </c>
      <c r="E293">
        <v>0</v>
      </c>
      <c r="H293" t="s">
        <v>506</v>
      </c>
      <c r="J293" t="s">
        <v>496</v>
      </c>
    </row>
    <row r="294" spans="1:10" x14ac:dyDescent="0.2">
      <c r="A294" t="s">
        <v>498</v>
      </c>
      <c r="E294">
        <v>0</v>
      </c>
      <c r="H294" t="s">
        <v>507</v>
      </c>
      <c r="J294" t="s">
        <v>496</v>
      </c>
    </row>
    <row r="295" spans="1:10" x14ac:dyDescent="0.2">
      <c r="A295" t="s">
        <v>498</v>
      </c>
      <c r="E295">
        <v>0</v>
      </c>
      <c r="H295" t="s">
        <v>44</v>
      </c>
      <c r="J295" t="s">
        <v>496</v>
      </c>
    </row>
    <row r="296" spans="1:10" x14ac:dyDescent="0.2">
      <c r="A296" t="s">
        <v>499</v>
      </c>
      <c r="E296">
        <v>0</v>
      </c>
      <c r="H296" t="s">
        <v>503</v>
      </c>
      <c r="J296" t="s">
        <v>496</v>
      </c>
    </row>
    <row r="297" spans="1:10" x14ac:dyDescent="0.2">
      <c r="A297" t="s">
        <v>499</v>
      </c>
      <c r="E297">
        <v>0</v>
      </c>
      <c r="H297" t="s">
        <v>504</v>
      </c>
      <c r="J297" t="s">
        <v>496</v>
      </c>
    </row>
    <row r="298" spans="1:10" x14ac:dyDescent="0.2">
      <c r="A298" t="s">
        <v>499</v>
      </c>
      <c r="E298">
        <v>0</v>
      </c>
      <c r="H298" t="s">
        <v>351</v>
      </c>
      <c r="J298" t="s">
        <v>496</v>
      </c>
    </row>
    <row r="299" spans="1:10" x14ac:dyDescent="0.2">
      <c r="A299" t="s">
        <v>499</v>
      </c>
      <c r="E299">
        <v>0</v>
      </c>
      <c r="H299" t="s">
        <v>477</v>
      </c>
      <c r="J299" t="s">
        <v>496</v>
      </c>
    </row>
    <row r="300" spans="1:10" x14ac:dyDescent="0.2">
      <c r="A300" t="s">
        <v>499</v>
      </c>
      <c r="E300">
        <v>0</v>
      </c>
      <c r="H300" t="s">
        <v>42</v>
      </c>
      <c r="J300" t="s">
        <v>496</v>
      </c>
    </row>
    <row r="301" spans="1:10" x14ac:dyDescent="0.2">
      <c r="A301" t="s">
        <v>499</v>
      </c>
      <c r="E301">
        <v>0</v>
      </c>
      <c r="H301" t="s">
        <v>194</v>
      </c>
      <c r="J301" t="s">
        <v>496</v>
      </c>
    </row>
    <row r="302" spans="1:10" x14ac:dyDescent="0.2">
      <c r="A302" t="s">
        <v>499</v>
      </c>
      <c r="E302">
        <v>0</v>
      </c>
      <c r="H302" t="s">
        <v>47</v>
      </c>
      <c r="J302" t="s">
        <v>496</v>
      </c>
    </row>
    <row r="303" spans="1:10" x14ac:dyDescent="0.2">
      <c r="A303" t="s">
        <v>499</v>
      </c>
      <c r="E303">
        <v>0</v>
      </c>
      <c r="H303" t="s">
        <v>352</v>
      </c>
      <c r="J303" t="s">
        <v>496</v>
      </c>
    </row>
    <row r="304" spans="1:10" x14ac:dyDescent="0.2">
      <c r="A304" t="s">
        <v>499</v>
      </c>
      <c r="E304">
        <v>0</v>
      </c>
      <c r="H304" t="s">
        <v>505</v>
      </c>
      <c r="J304" t="s">
        <v>496</v>
      </c>
    </row>
    <row r="305" spans="1:10" x14ac:dyDescent="0.2">
      <c r="A305" t="s">
        <v>499</v>
      </c>
      <c r="E305">
        <v>0</v>
      </c>
      <c r="H305" t="s">
        <v>506</v>
      </c>
      <c r="J305" t="s">
        <v>496</v>
      </c>
    </row>
    <row r="306" spans="1:10" x14ac:dyDescent="0.2">
      <c r="A306" t="s">
        <v>499</v>
      </c>
      <c r="E306">
        <v>0</v>
      </c>
      <c r="H306" t="s">
        <v>507</v>
      </c>
      <c r="J306" t="s">
        <v>496</v>
      </c>
    </row>
    <row r="307" spans="1:10" x14ac:dyDescent="0.2">
      <c r="A307" t="s">
        <v>499</v>
      </c>
      <c r="E307">
        <v>0</v>
      </c>
      <c r="H307" t="s">
        <v>44</v>
      </c>
      <c r="J307" t="s">
        <v>496</v>
      </c>
    </row>
    <row r="308" spans="1:10" x14ac:dyDescent="0.2">
      <c r="A308" t="s">
        <v>347</v>
      </c>
      <c r="E308">
        <v>-37</v>
      </c>
      <c r="H308" t="s">
        <v>503</v>
      </c>
      <c r="J308" t="s">
        <v>496</v>
      </c>
    </row>
    <row r="309" spans="1:10" x14ac:dyDescent="0.2">
      <c r="A309" t="s">
        <v>347</v>
      </c>
      <c r="E309">
        <v>3979128</v>
      </c>
      <c r="H309" t="s">
        <v>504</v>
      </c>
      <c r="J309" t="s">
        <v>496</v>
      </c>
    </row>
    <row r="310" spans="1:10" x14ac:dyDescent="0.2">
      <c r="A310" t="s">
        <v>347</v>
      </c>
      <c r="E310">
        <v>72</v>
      </c>
      <c r="H310" t="s">
        <v>351</v>
      </c>
      <c r="J310" t="s">
        <v>496</v>
      </c>
    </row>
    <row r="311" spans="1:10" x14ac:dyDescent="0.2">
      <c r="A311" t="s">
        <v>347</v>
      </c>
      <c r="E311">
        <v>-77242</v>
      </c>
      <c r="H311" t="s">
        <v>477</v>
      </c>
      <c r="J311" t="s">
        <v>496</v>
      </c>
    </row>
    <row r="312" spans="1:10" x14ac:dyDescent="0.2">
      <c r="A312" t="s">
        <v>347</v>
      </c>
      <c r="E312">
        <v>3586340</v>
      </c>
      <c r="H312" t="s">
        <v>42</v>
      </c>
      <c r="J312" t="s">
        <v>496</v>
      </c>
    </row>
    <row r="313" spans="1:10" x14ac:dyDescent="0.2">
      <c r="A313" t="s">
        <v>347</v>
      </c>
      <c r="E313">
        <v>4486</v>
      </c>
      <c r="H313" t="s">
        <v>194</v>
      </c>
      <c r="J313" t="s">
        <v>496</v>
      </c>
    </row>
    <row r="314" spans="1:10" x14ac:dyDescent="0.2">
      <c r="A314" t="s">
        <v>347</v>
      </c>
      <c r="E314">
        <v>-1</v>
      </c>
      <c r="H314" t="s">
        <v>47</v>
      </c>
      <c r="J314" t="s">
        <v>496</v>
      </c>
    </row>
    <row r="315" spans="1:10" x14ac:dyDescent="0.2">
      <c r="A315" t="s">
        <v>347</v>
      </c>
      <c r="E315">
        <v>-753382</v>
      </c>
      <c r="H315" t="s">
        <v>352</v>
      </c>
      <c r="J315" t="s">
        <v>496</v>
      </c>
    </row>
    <row r="316" spans="1:10" x14ac:dyDescent="0.2">
      <c r="A316" t="s">
        <v>347</v>
      </c>
      <c r="E316">
        <v>-107</v>
      </c>
      <c r="H316" t="s">
        <v>505</v>
      </c>
      <c r="J316" t="s">
        <v>496</v>
      </c>
    </row>
    <row r="317" spans="1:10" x14ac:dyDescent="0.2">
      <c r="A317" t="s">
        <v>347</v>
      </c>
      <c r="E317">
        <v>16958</v>
      </c>
      <c r="H317" t="s">
        <v>506</v>
      </c>
      <c r="J317" t="s">
        <v>496</v>
      </c>
    </row>
    <row r="318" spans="1:10" x14ac:dyDescent="0.2">
      <c r="A318" t="s">
        <v>347</v>
      </c>
      <c r="E318">
        <v>-5</v>
      </c>
      <c r="H318" t="s">
        <v>507</v>
      </c>
      <c r="J318" t="s">
        <v>496</v>
      </c>
    </row>
    <row r="319" spans="1:10" x14ac:dyDescent="0.2">
      <c r="A319" t="s">
        <v>347</v>
      </c>
      <c r="E319">
        <v>611810</v>
      </c>
      <c r="H319" t="s">
        <v>44</v>
      </c>
      <c r="J319" t="s">
        <v>496</v>
      </c>
    </row>
    <row r="320" spans="1:10" x14ac:dyDescent="0.2">
      <c r="A320" t="s">
        <v>348</v>
      </c>
      <c r="E320">
        <v>3979127.83</v>
      </c>
      <c r="H320" t="s">
        <v>42</v>
      </c>
      <c r="J320" t="s">
        <v>496</v>
      </c>
    </row>
    <row r="321" spans="1:10" x14ac:dyDescent="0.2">
      <c r="A321" t="s">
        <v>500</v>
      </c>
      <c r="E321">
        <v>88451.199999999997</v>
      </c>
      <c r="H321" t="s">
        <v>42</v>
      </c>
      <c r="J321" t="s">
        <v>496</v>
      </c>
    </row>
    <row r="322" spans="1:10" x14ac:dyDescent="0.2">
      <c r="A322" t="s">
        <v>349</v>
      </c>
      <c r="E322">
        <v>3890676.62</v>
      </c>
      <c r="H322" t="s">
        <v>42</v>
      </c>
      <c r="J322" t="s">
        <v>496</v>
      </c>
    </row>
    <row r="323" spans="1:10" x14ac:dyDescent="0.2">
      <c r="A323" t="s">
        <v>350</v>
      </c>
      <c r="E323">
        <v>0</v>
      </c>
      <c r="H323" t="s">
        <v>503</v>
      </c>
      <c r="J323" t="s">
        <v>496</v>
      </c>
    </row>
    <row r="324" spans="1:10" x14ac:dyDescent="0.2">
      <c r="A324" t="s">
        <v>350</v>
      </c>
      <c r="E324">
        <v>969</v>
      </c>
      <c r="H324" t="s">
        <v>504</v>
      </c>
      <c r="J324" t="s">
        <v>496</v>
      </c>
    </row>
    <row r="325" spans="1:10" x14ac:dyDescent="0.2">
      <c r="A325" t="s">
        <v>350</v>
      </c>
      <c r="E325">
        <v>0</v>
      </c>
      <c r="H325" t="s">
        <v>351</v>
      </c>
      <c r="J325" t="s">
        <v>496</v>
      </c>
    </row>
    <row r="326" spans="1:10" x14ac:dyDescent="0.2">
      <c r="A326" t="s">
        <v>350</v>
      </c>
      <c r="E326">
        <v>-50</v>
      </c>
      <c r="H326" t="s">
        <v>477</v>
      </c>
      <c r="J326" t="s">
        <v>496</v>
      </c>
    </row>
    <row r="327" spans="1:10" x14ac:dyDescent="0.2">
      <c r="A327" t="s">
        <v>350</v>
      </c>
      <c r="E327">
        <v>374</v>
      </c>
      <c r="H327" t="s">
        <v>42</v>
      </c>
      <c r="J327" t="s">
        <v>496</v>
      </c>
    </row>
    <row r="328" spans="1:10" x14ac:dyDescent="0.2">
      <c r="A328" t="s">
        <v>350</v>
      </c>
      <c r="E328">
        <v>0</v>
      </c>
      <c r="H328" t="s">
        <v>194</v>
      </c>
      <c r="J328" t="s">
        <v>496</v>
      </c>
    </row>
    <row r="329" spans="1:10" x14ac:dyDescent="0.2">
      <c r="A329" t="s">
        <v>350</v>
      </c>
      <c r="E329">
        <v>0</v>
      </c>
      <c r="H329" t="s">
        <v>47</v>
      </c>
      <c r="J329" t="s">
        <v>496</v>
      </c>
    </row>
    <row r="330" spans="1:10" x14ac:dyDescent="0.2">
      <c r="A330" t="s">
        <v>350</v>
      </c>
      <c r="E330">
        <v>0</v>
      </c>
      <c r="H330" t="s">
        <v>352</v>
      </c>
      <c r="J330" t="s">
        <v>496</v>
      </c>
    </row>
    <row r="331" spans="1:10" x14ac:dyDescent="0.2">
      <c r="A331" t="s">
        <v>350</v>
      </c>
      <c r="E331">
        <v>0</v>
      </c>
      <c r="H331" t="s">
        <v>505</v>
      </c>
      <c r="J331" t="s">
        <v>496</v>
      </c>
    </row>
    <row r="332" spans="1:10" x14ac:dyDescent="0.2">
      <c r="A332" t="s">
        <v>350</v>
      </c>
      <c r="E332">
        <v>0</v>
      </c>
      <c r="H332" t="s">
        <v>506</v>
      </c>
      <c r="J332" t="s">
        <v>496</v>
      </c>
    </row>
    <row r="333" spans="1:10" x14ac:dyDescent="0.2">
      <c r="A333" t="s">
        <v>350</v>
      </c>
      <c r="E333">
        <v>0</v>
      </c>
      <c r="H333" t="s">
        <v>507</v>
      </c>
      <c r="J333" t="s">
        <v>496</v>
      </c>
    </row>
    <row r="334" spans="1:10" x14ac:dyDescent="0.2">
      <c r="A334" t="s">
        <v>350</v>
      </c>
      <c r="E334">
        <v>857</v>
      </c>
      <c r="H334" t="s">
        <v>44</v>
      </c>
      <c r="J334" t="s">
        <v>496</v>
      </c>
    </row>
    <row r="335" spans="1:10" x14ac:dyDescent="0.2">
      <c r="A335" t="s">
        <v>501</v>
      </c>
      <c r="E335">
        <v>0</v>
      </c>
      <c r="H335" t="s">
        <v>503</v>
      </c>
      <c r="J335" t="s">
        <v>496</v>
      </c>
    </row>
    <row r="336" spans="1:10" x14ac:dyDescent="0.2">
      <c r="A336" t="s">
        <v>501</v>
      </c>
      <c r="E336">
        <v>0</v>
      </c>
      <c r="H336" t="s">
        <v>504</v>
      </c>
      <c r="J336" t="s">
        <v>496</v>
      </c>
    </row>
    <row r="337" spans="1:10" x14ac:dyDescent="0.2">
      <c r="A337" t="s">
        <v>501</v>
      </c>
      <c r="E337">
        <v>0</v>
      </c>
      <c r="H337" t="s">
        <v>351</v>
      </c>
      <c r="J337" t="s">
        <v>496</v>
      </c>
    </row>
    <row r="338" spans="1:10" x14ac:dyDescent="0.2">
      <c r="A338" t="s">
        <v>501</v>
      </c>
      <c r="E338">
        <v>0</v>
      </c>
      <c r="H338" t="s">
        <v>477</v>
      </c>
      <c r="J338" t="s">
        <v>496</v>
      </c>
    </row>
    <row r="339" spans="1:10" x14ac:dyDescent="0.2">
      <c r="A339" t="s">
        <v>501</v>
      </c>
      <c r="E339">
        <v>0</v>
      </c>
      <c r="H339" t="s">
        <v>42</v>
      </c>
      <c r="J339" t="s">
        <v>496</v>
      </c>
    </row>
    <row r="340" spans="1:10" x14ac:dyDescent="0.2">
      <c r="A340" t="s">
        <v>501</v>
      </c>
      <c r="E340">
        <v>0</v>
      </c>
      <c r="H340" t="s">
        <v>194</v>
      </c>
      <c r="J340" t="s">
        <v>496</v>
      </c>
    </row>
    <row r="341" spans="1:10" x14ac:dyDescent="0.2">
      <c r="A341" t="s">
        <v>501</v>
      </c>
      <c r="E341">
        <v>0</v>
      </c>
      <c r="H341" t="s">
        <v>47</v>
      </c>
      <c r="J341" t="s">
        <v>496</v>
      </c>
    </row>
    <row r="342" spans="1:10" x14ac:dyDescent="0.2">
      <c r="A342" t="s">
        <v>501</v>
      </c>
      <c r="E342">
        <v>0</v>
      </c>
      <c r="H342" t="s">
        <v>352</v>
      </c>
      <c r="J342" t="s">
        <v>496</v>
      </c>
    </row>
    <row r="343" spans="1:10" x14ac:dyDescent="0.2">
      <c r="A343" t="s">
        <v>501</v>
      </c>
      <c r="E343">
        <v>0</v>
      </c>
      <c r="H343" t="s">
        <v>505</v>
      </c>
      <c r="J343" t="s">
        <v>496</v>
      </c>
    </row>
    <row r="344" spans="1:10" x14ac:dyDescent="0.2">
      <c r="A344" t="s">
        <v>501</v>
      </c>
      <c r="E344">
        <v>0</v>
      </c>
      <c r="H344" t="s">
        <v>506</v>
      </c>
      <c r="J344" t="s">
        <v>496</v>
      </c>
    </row>
    <row r="345" spans="1:10" x14ac:dyDescent="0.2">
      <c r="A345" t="s">
        <v>501</v>
      </c>
      <c r="E345">
        <v>0</v>
      </c>
      <c r="H345" t="s">
        <v>507</v>
      </c>
      <c r="J345" t="s">
        <v>496</v>
      </c>
    </row>
    <row r="346" spans="1:10" x14ac:dyDescent="0.2">
      <c r="A346" t="s">
        <v>501</v>
      </c>
      <c r="E346">
        <v>0</v>
      </c>
      <c r="H346" t="s">
        <v>44</v>
      </c>
      <c r="J346" t="s">
        <v>496</v>
      </c>
    </row>
    <row r="347" spans="1:10" x14ac:dyDescent="0.2">
      <c r="A347" t="s">
        <v>502</v>
      </c>
      <c r="E347" t="b">
        <v>1</v>
      </c>
      <c r="J347" t="s">
        <v>496</v>
      </c>
    </row>
  </sheetData>
  <mergeCells count="9">
    <mergeCell ref="A1:J1"/>
    <mergeCell ref="A2:J3"/>
    <mergeCell ref="A4:J4"/>
    <mergeCell ref="L2:M2"/>
    <mergeCell ref="A7:C7"/>
    <mergeCell ref="D7:F7"/>
    <mergeCell ref="G7:I7"/>
    <mergeCell ref="A6:J6"/>
    <mergeCell ref="L6:M6"/>
  </mergeCells>
  <phoneticPr fontId="0" type="noConversion"/>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Sheet14.subscribeToAccts">
                <anchor moveWithCells="1">
                  <from>
                    <xdr:col>0</xdr:col>
                    <xdr:colOff>66675</xdr:colOff>
                    <xdr:row>1</xdr:row>
                    <xdr:rowOff>57150</xdr:rowOff>
                  </from>
                  <to>
                    <xdr:col>2</xdr:col>
                    <xdr:colOff>533400</xdr:colOff>
                    <xdr:row>2</xdr:row>
                    <xdr:rowOff>95250</xdr:rowOff>
                  </to>
                </anchor>
              </controlPr>
            </control>
          </mc:Choice>
        </mc:AlternateContent>
        <mc:AlternateContent xmlns:mc="http://schemas.openxmlformats.org/markup-compatibility/2006">
          <mc:Choice Requires="x14">
            <control shapeId="26626" r:id="rId5" name="Button 2">
              <controlPr defaultSize="0" print="0" autoFill="0" autoPict="0" macro="[0]!Sheet14.cancelAcctsSubscription">
                <anchor moveWithCells="1" sizeWithCells="1">
                  <from>
                    <xdr:col>2</xdr:col>
                    <xdr:colOff>638175</xdr:colOff>
                    <xdr:row>1</xdr:row>
                    <xdr:rowOff>57150</xdr:rowOff>
                  </from>
                  <to>
                    <xdr:col>5</xdr:col>
                    <xdr:colOff>304800</xdr:colOff>
                    <xdr:row>2</xdr:row>
                    <xdr:rowOff>95250</xdr:rowOff>
                  </to>
                </anchor>
              </controlPr>
            </control>
          </mc:Choice>
        </mc:AlternateContent>
        <mc:AlternateContent xmlns:mc="http://schemas.openxmlformats.org/markup-compatibility/2006">
          <mc:Choice Requires="x14">
            <control shapeId="26627" r:id="rId6" name="Button 3">
              <controlPr defaultSize="0" print="0" autoFill="0" autoPict="0" macro="[0]!Sheet14.clearAccts">
                <anchor moveWithCells="1" sizeWithCells="1">
                  <from>
                    <xdr:col>5</xdr:col>
                    <xdr:colOff>390525</xdr:colOff>
                    <xdr:row>1</xdr:row>
                    <xdr:rowOff>57150</xdr:rowOff>
                  </from>
                  <to>
                    <xdr:col>6</xdr:col>
                    <xdr:colOff>981075</xdr:colOff>
                    <xdr:row>2</xdr:row>
                    <xdr:rowOff>95250</xdr:rowOff>
                  </to>
                </anchor>
              </controlPr>
            </control>
          </mc:Choice>
        </mc:AlternateContent>
        <mc:AlternateContent xmlns:mc="http://schemas.openxmlformats.org/markup-compatibility/2006">
          <mc:Choice Requires="x14">
            <control shapeId="26628" r:id="rId7" name="Button 4">
              <controlPr defaultSize="0" print="0" autoFill="0" autoPict="0" macro="[0]!Sheet14.onShowError">
                <anchor moveWithCells="1" sizeWithCells="1">
                  <from>
                    <xdr:col>9</xdr:col>
                    <xdr:colOff>28575</xdr:colOff>
                    <xdr:row>1</xdr:row>
                    <xdr:rowOff>57150</xdr:rowOff>
                  </from>
                  <to>
                    <xdr:col>9</xdr:col>
                    <xdr:colOff>981075</xdr:colOff>
                    <xdr:row>2</xdr:row>
                    <xdr:rowOff>95250</xdr:rowOff>
                  </to>
                </anchor>
              </controlPr>
            </control>
          </mc:Choice>
        </mc:AlternateContent>
        <mc:AlternateContent xmlns:mc="http://schemas.openxmlformats.org/markup-compatibility/2006">
          <mc:Choice Requires="x14">
            <control shapeId="26629" r:id="rId8" name="Button 5">
              <controlPr defaultSize="0" print="0" autoFill="0" autoPict="0" macro="[0]!Sheet14.requestManagedAccts">
                <anchor moveWithCells="1" sizeWithCells="1">
                  <from>
                    <xdr:col>6</xdr:col>
                    <xdr:colOff>1066800</xdr:colOff>
                    <xdr:row>1</xdr:row>
                    <xdr:rowOff>57150</xdr:rowOff>
                  </from>
                  <to>
                    <xdr:col>8</xdr:col>
                    <xdr:colOff>904875</xdr:colOff>
                    <xdr:row>2</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W207"/>
  <sheetViews>
    <sheetView zoomScale="80" zoomScaleNormal="80" workbookViewId="0">
      <pane ySplit="5" topLeftCell="A6" activePane="bottomLeft" state="frozen"/>
      <selection activeCell="Q35" sqref="Q35"/>
      <selection pane="bottomLeft" activeCell="Q35" sqref="Q35"/>
    </sheetView>
  </sheetViews>
  <sheetFormatPr defaultRowHeight="12.75" x14ac:dyDescent="0.2"/>
  <cols>
    <col min="1" max="1" width="17.5703125" customWidth="1"/>
    <col min="2" max="2" width="17" customWidth="1"/>
    <col min="3" max="3" width="16.5703125" customWidth="1"/>
    <col min="4" max="4" width="11" customWidth="1"/>
    <col min="5" max="5" width="11.42578125" bestFit="1" customWidth="1"/>
    <col min="6" max="6" width="15.42578125" customWidth="1"/>
    <col min="7" max="7" width="16.7109375" bestFit="1" customWidth="1"/>
    <col min="8" max="8" width="25.7109375" customWidth="1"/>
    <col min="9" max="9" width="14.140625" customWidth="1"/>
    <col min="10" max="10" width="15.5703125" customWidth="1"/>
    <col min="11" max="14" width="14.28515625" customWidth="1"/>
    <col min="15" max="15" width="17" customWidth="1"/>
    <col min="16" max="16" width="16.85546875" customWidth="1"/>
    <col min="17" max="17" width="7" customWidth="1"/>
    <col min="19" max="19" width="12.42578125" customWidth="1"/>
    <col min="20" max="20" width="11.42578125" customWidth="1"/>
    <col min="21" max="21" width="10.7109375" customWidth="1"/>
  </cols>
  <sheetData>
    <row r="1" spans="1:23" x14ac:dyDescent="0.2">
      <c r="A1" s="454" t="s">
        <v>48</v>
      </c>
      <c r="B1" s="350"/>
      <c r="C1" s="350"/>
      <c r="D1" s="350"/>
      <c r="E1" s="350"/>
      <c r="F1" s="350"/>
      <c r="G1" s="350"/>
      <c r="H1" s="351"/>
      <c r="K1" s="7"/>
      <c r="N1" s="7"/>
      <c r="R1" s="7"/>
      <c r="U1" s="7"/>
      <c r="V1" s="7"/>
      <c r="W1" s="7"/>
    </row>
    <row r="2" spans="1:23" x14ac:dyDescent="0.2">
      <c r="A2" s="455"/>
      <c r="B2" s="274"/>
      <c r="C2" s="274"/>
      <c r="D2" s="274"/>
      <c r="E2" s="274"/>
      <c r="F2" s="274"/>
      <c r="G2" s="274"/>
      <c r="H2" s="275"/>
      <c r="J2" s="448" t="s">
        <v>314</v>
      </c>
      <c r="K2" s="448"/>
      <c r="M2" s="247" t="s">
        <v>516</v>
      </c>
      <c r="N2" s="248"/>
      <c r="O2" s="250"/>
    </row>
    <row r="3" spans="1:23" x14ac:dyDescent="0.2">
      <c r="A3" s="276"/>
      <c r="B3" s="277"/>
      <c r="C3" s="277"/>
      <c r="D3" s="277"/>
      <c r="E3" s="277"/>
      <c r="F3" s="277"/>
      <c r="G3" s="277"/>
      <c r="H3" s="278"/>
      <c r="J3" s="140" t="str">
        <f>[6]!id0?req?U1558233</f>
        <v>PROCESSING</v>
      </c>
      <c r="K3" s="143"/>
      <c r="M3" s="236" t="s">
        <v>25</v>
      </c>
      <c r="N3" s="7" t="s">
        <v>517</v>
      </c>
      <c r="O3" s="251" t="s">
        <v>518</v>
      </c>
    </row>
    <row r="4" spans="1:23" x14ac:dyDescent="0.2">
      <c r="A4" s="153" t="s">
        <v>52</v>
      </c>
      <c r="B4" s="154"/>
      <c r="C4" s="154"/>
      <c r="D4" s="154"/>
      <c r="E4" s="154"/>
      <c r="F4" s="154"/>
      <c r="G4" s="154"/>
      <c r="H4" s="152"/>
      <c r="K4" s="7"/>
      <c r="M4" s="249" t="e">
        <f>[5]!id</f>
        <v>#REF!</v>
      </c>
      <c r="N4" s="242" t="e">
        <f>[5]!errorCode</f>
        <v>#REF!</v>
      </c>
      <c r="O4" s="243" t="e">
        <f>[5]!errorMsg</f>
        <v>#REF!</v>
      </c>
    </row>
    <row r="5" spans="1:23" x14ac:dyDescent="0.2">
      <c r="A5" s="74" t="s">
        <v>59</v>
      </c>
      <c r="B5" s="233" t="s">
        <v>571</v>
      </c>
      <c r="C5" s="115"/>
      <c r="D5" s="144" t="s">
        <v>122</v>
      </c>
      <c r="E5" s="155" t="s">
        <v>568</v>
      </c>
      <c r="F5" s="127"/>
      <c r="G5" s="144" t="s">
        <v>327</v>
      </c>
      <c r="H5" s="156">
        <f>[3]!id1?acctTime</f>
        <v>0</v>
      </c>
      <c r="N5" s="50"/>
    </row>
    <row r="6" spans="1:23" x14ac:dyDescent="0.2">
      <c r="A6" s="456" t="s">
        <v>330</v>
      </c>
      <c r="B6" s="282"/>
      <c r="C6" s="282"/>
      <c r="D6" s="282"/>
      <c r="E6" s="282"/>
      <c r="F6" s="282"/>
      <c r="G6" s="282"/>
      <c r="H6" s="282"/>
      <c r="I6" s="282"/>
      <c r="J6" s="282"/>
      <c r="K6" s="282"/>
      <c r="L6" s="282"/>
      <c r="M6" s="282"/>
      <c r="N6" s="282"/>
      <c r="O6" s="282"/>
    </row>
    <row r="7" spans="1:23" x14ac:dyDescent="0.2">
      <c r="A7" s="102" t="s">
        <v>10</v>
      </c>
      <c r="B7" s="102" t="s">
        <v>65</v>
      </c>
      <c r="C7" s="102" t="s">
        <v>565</v>
      </c>
      <c r="D7" s="102" t="s">
        <v>11</v>
      </c>
      <c r="E7" s="102" t="s">
        <v>66</v>
      </c>
      <c r="F7" s="102" t="s">
        <v>87</v>
      </c>
      <c r="G7" s="102" t="s">
        <v>41</v>
      </c>
      <c r="H7" s="102" t="s">
        <v>128</v>
      </c>
      <c r="I7" s="102" t="s">
        <v>67</v>
      </c>
      <c r="J7" s="102" t="s">
        <v>79</v>
      </c>
      <c r="K7" s="102" t="s">
        <v>129</v>
      </c>
      <c r="L7" s="102" t="s">
        <v>121</v>
      </c>
      <c r="M7" s="102" t="s">
        <v>120</v>
      </c>
      <c r="N7" s="102" t="s">
        <v>119</v>
      </c>
      <c r="O7" s="102" t="s">
        <v>331</v>
      </c>
    </row>
    <row r="8" spans="1:23" ht="13.5" customHeight="1" x14ac:dyDescent="0.2">
      <c r="A8" s="118"/>
      <c r="B8" s="118"/>
      <c r="C8" s="118"/>
      <c r="D8" s="118"/>
      <c r="E8" s="118"/>
      <c r="F8" s="118"/>
      <c r="G8" s="118"/>
      <c r="H8" s="118"/>
      <c r="I8" s="118"/>
      <c r="J8" s="118"/>
      <c r="K8" s="118"/>
      <c r="L8" s="118"/>
      <c r="M8" s="118"/>
      <c r="N8" s="118"/>
      <c r="O8" s="118"/>
    </row>
    <row r="9" spans="1:23" x14ac:dyDescent="0.2">
      <c r="A9" s="118"/>
      <c r="B9" s="118"/>
      <c r="C9" s="118"/>
      <c r="D9" s="118"/>
      <c r="E9" s="118"/>
      <c r="F9" s="118"/>
      <c r="G9" s="118"/>
      <c r="H9" s="118"/>
      <c r="I9" s="118"/>
      <c r="J9" s="118"/>
      <c r="K9" s="118"/>
      <c r="L9" s="118"/>
      <c r="M9" s="118"/>
      <c r="N9" s="118"/>
      <c r="O9" s="118"/>
    </row>
    <row r="10" spans="1:23" x14ac:dyDescent="0.2">
      <c r="A10" s="118"/>
      <c r="B10" s="118"/>
      <c r="C10" s="118"/>
      <c r="D10" s="118"/>
      <c r="E10" s="118"/>
      <c r="F10" s="118"/>
      <c r="G10" s="118"/>
      <c r="H10" s="118"/>
      <c r="I10" s="118"/>
      <c r="J10" s="118"/>
      <c r="K10" s="118"/>
      <c r="L10" s="118"/>
      <c r="M10" s="118"/>
      <c r="N10" s="118"/>
      <c r="O10" s="118"/>
    </row>
    <row r="11" spans="1:23" x14ac:dyDescent="0.2">
      <c r="A11" s="118"/>
      <c r="B11" s="118"/>
      <c r="C11" s="118"/>
      <c r="D11" s="118"/>
      <c r="E11" s="118"/>
      <c r="F11" s="118"/>
      <c r="G11" s="118"/>
      <c r="H11" s="118"/>
      <c r="I11" s="118"/>
      <c r="J11" s="118"/>
      <c r="K11" s="118"/>
      <c r="L11" s="118"/>
      <c r="M11" s="118"/>
      <c r="N11" s="118"/>
      <c r="O11" s="118"/>
    </row>
    <row r="12" spans="1:23" x14ac:dyDescent="0.2">
      <c r="A12" s="118"/>
      <c r="B12" s="118"/>
      <c r="C12" s="118"/>
      <c r="D12" s="118"/>
      <c r="E12" s="118"/>
      <c r="F12" s="118"/>
      <c r="G12" s="118"/>
      <c r="H12" s="118"/>
      <c r="I12" s="118"/>
      <c r="J12" s="118"/>
      <c r="K12" s="118"/>
      <c r="L12" s="118"/>
      <c r="M12" s="118"/>
      <c r="N12" s="118"/>
      <c r="O12" s="118"/>
    </row>
    <row r="13" spans="1:23" x14ac:dyDescent="0.2">
      <c r="A13" s="118"/>
      <c r="B13" s="118"/>
      <c r="C13" s="118"/>
      <c r="D13" s="118"/>
      <c r="E13" s="118"/>
      <c r="F13" s="118"/>
      <c r="G13" s="118"/>
      <c r="H13" s="118"/>
      <c r="I13" s="118"/>
      <c r="J13" s="118"/>
      <c r="K13" s="118"/>
      <c r="L13" s="118"/>
      <c r="M13" s="118"/>
      <c r="N13" s="118"/>
      <c r="O13" s="118"/>
    </row>
    <row r="14" spans="1:23" x14ac:dyDescent="0.2">
      <c r="A14" s="118"/>
      <c r="B14" s="118"/>
      <c r="C14" s="118"/>
      <c r="D14" s="118"/>
      <c r="E14" s="118"/>
      <c r="F14" s="118"/>
      <c r="G14" s="118"/>
      <c r="H14" s="118"/>
      <c r="I14" s="118"/>
      <c r="J14" s="118"/>
      <c r="K14" s="118"/>
      <c r="L14" s="118"/>
      <c r="M14" s="118"/>
      <c r="N14" s="118"/>
      <c r="O14" s="118"/>
    </row>
    <row r="15" spans="1:23" x14ac:dyDescent="0.2">
      <c r="A15" s="118"/>
      <c r="B15" s="118"/>
      <c r="C15" s="118"/>
      <c r="D15" s="118"/>
      <c r="E15" s="118"/>
      <c r="F15" s="118"/>
      <c r="G15" s="118"/>
      <c r="H15" s="118"/>
      <c r="I15" s="118"/>
      <c r="J15" s="118"/>
      <c r="K15" s="118"/>
      <c r="L15" s="118"/>
      <c r="M15" s="118"/>
      <c r="N15" s="118"/>
      <c r="O15" s="118"/>
    </row>
    <row r="16" spans="1:23" x14ac:dyDescent="0.2">
      <c r="A16" s="118"/>
      <c r="B16" s="118"/>
      <c r="C16" s="118"/>
      <c r="D16" s="118"/>
      <c r="E16" s="118"/>
      <c r="F16" s="118"/>
      <c r="G16" s="118"/>
      <c r="H16" s="118"/>
      <c r="I16" s="118"/>
      <c r="J16" s="118"/>
      <c r="K16" s="118"/>
      <c r="L16" s="118"/>
      <c r="M16" s="118"/>
      <c r="N16" s="118"/>
      <c r="O16" s="118"/>
    </row>
    <row r="17" spans="1:15" x14ac:dyDescent="0.2">
      <c r="A17" s="118"/>
      <c r="B17" s="118"/>
      <c r="C17" s="118"/>
      <c r="D17" s="118"/>
      <c r="E17" s="118"/>
      <c r="F17" s="118"/>
      <c r="G17" s="118"/>
      <c r="H17" s="118"/>
      <c r="I17" s="118"/>
      <c r="J17" s="118"/>
      <c r="K17" s="118"/>
      <c r="L17" s="118"/>
      <c r="M17" s="118"/>
      <c r="N17" s="118"/>
      <c r="O17" s="118"/>
    </row>
    <row r="18" spans="1:15" x14ac:dyDescent="0.2">
      <c r="A18" s="118"/>
      <c r="B18" s="118"/>
      <c r="C18" s="118"/>
      <c r="D18" s="118"/>
      <c r="E18" s="118"/>
      <c r="F18" s="118"/>
      <c r="G18" s="118"/>
      <c r="H18" s="118"/>
      <c r="I18" s="118"/>
      <c r="J18" s="118"/>
      <c r="K18" s="118"/>
      <c r="L18" s="118"/>
      <c r="M18" s="118"/>
      <c r="N18" s="118"/>
      <c r="O18" s="118"/>
    </row>
    <row r="19" spans="1:15" x14ac:dyDescent="0.2">
      <c r="A19" s="118"/>
      <c r="B19" s="118"/>
      <c r="C19" s="118"/>
      <c r="D19" s="118"/>
      <c r="E19" s="118"/>
      <c r="F19" s="118"/>
      <c r="G19" s="118"/>
      <c r="H19" s="118"/>
      <c r="I19" s="118"/>
      <c r="J19" s="118"/>
      <c r="K19" s="118"/>
      <c r="L19" s="118"/>
      <c r="M19" s="118"/>
      <c r="N19" s="118"/>
      <c r="O19" s="118"/>
    </row>
    <row r="20" spans="1:15" x14ac:dyDescent="0.2">
      <c r="A20" s="118"/>
      <c r="B20" s="118"/>
      <c r="C20" s="118"/>
      <c r="D20" s="118"/>
      <c r="E20" s="118"/>
      <c r="F20" s="118"/>
      <c r="G20" s="118"/>
      <c r="H20" s="118"/>
      <c r="I20" s="118"/>
      <c r="J20" s="118"/>
      <c r="K20" s="118"/>
      <c r="L20" s="118"/>
      <c r="M20" s="118"/>
      <c r="N20" s="118"/>
      <c r="O20" s="118"/>
    </row>
    <row r="21" spans="1:15" x14ac:dyDescent="0.2">
      <c r="A21" s="118"/>
      <c r="B21" s="118"/>
      <c r="C21" s="118"/>
      <c r="D21" s="118"/>
      <c r="E21" s="118"/>
      <c r="F21" s="118"/>
      <c r="G21" s="118"/>
      <c r="H21" s="118"/>
      <c r="I21" s="118"/>
      <c r="J21" s="118"/>
      <c r="K21" s="118"/>
      <c r="L21" s="118"/>
      <c r="M21" s="118"/>
      <c r="N21" s="118"/>
      <c r="O21" s="118"/>
    </row>
    <row r="22" spans="1:15" x14ac:dyDescent="0.2">
      <c r="A22" s="118"/>
      <c r="B22" s="118"/>
      <c r="C22" s="118"/>
      <c r="D22" s="118"/>
      <c r="E22" s="118"/>
      <c r="F22" s="118"/>
      <c r="G22" s="118"/>
      <c r="H22" s="118"/>
      <c r="I22" s="118"/>
      <c r="J22" s="118"/>
      <c r="K22" s="118"/>
      <c r="L22" s="118"/>
      <c r="M22" s="118"/>
      <c r="N22" s="118"/>
      <c r="O22" s="118"/>
    </row>
    <row r="23" spans="1:15" x14ac:dyDescent="0.2">
      <c r="A23" s="118"/>
      <c r="B23" s="118"/>
      <c r="C23" s="118"/>
      <c r="D23" s="118"/>
      <c r="E23" s="118"/>
      <c r="F23" s="118"/>
      <c r="G23" s="118"/>
      <c r="H23" s="118"/>
      <c r="I23" s="118"/>
      <c r="J23" s="118"/>
      <c r="K23" s="118"/>
      <c r="L23" s="118"/>
      <c r="M23" s="118"/>
      <c r="N23" s="118"/>
      <c r="O23" s="118"/>
    </row>
    <row r="24" spans="1:15" x14ac:dyDescent="0.2">
      <c r="A24" s="118"/>
      <c r="B24" s="118"/>
      <c r="C24" s="118"/>
      <c r="D24" s="118"/>
      <c r="E24" s="118"/>
      <c r="F24" s="118"/>
      <c r="G24" s="118"/>
      <c r="H24" s="118"/>
      <c r="I24" s="118"/>
      <c r="J24" s="118"/>
      <c r="K24" s="118"/>
      <c r="L24" s="118"/>
      <c r="M24" s="118"/>
      <c r="N24" s="118"/>
      <c r="O24" s="118"/>
    </row>
    <row r="25" spans="1:15" x14ac:dyDescent="0.2">
      <c r="A25" s="118"/>
      <c r="B25" s="118"/>
      <c r="C25" s="118"/>
      <c r="D25" s="118"/>
      <c r="E25" s="118"/>
      <c r="F25" s="118"/>
      <c r="G25" s="118"/>
      <c r="H25" s="118"/>
      <c r="I25" s="118"/>
      <c r="J25" s="118"/>
      <c r="K25" s="118"/>
      <c r="L25" s="118"/>
      <c r="M25" s="118"/>
      <c r="N25" s="118"/>
      <c r="O25" s="118"/>
    </row>
    <row r="26" spans="1:15" x14ac:dyDescent="0.2">
      <c r="A26" s="118"/>
      <c r="B26" s="118"/>
      <c r="C26" s="118"/>
      <c r="D26" s="118"/>
      <c r="E26" s="118"/>
      <c r="F26" s="118"/>
      <c r="G26" s="118"/>
      <c r="H26" s="118"/>
      <c r="I26" s="118"/>
      <c r="J26" s="118"/>
      <c r="K26" s="118"/>
      <c r="L26" s="118"/>
      <c r="M26" s="118"/>
      <c r="N26" s="118"/>
      <c r="O26" s="118"/>
    </row>
    <row r="27" spans="1:15" x14ac:dyDescent="0.2">
      <c r="A27" s="118"/>
      <c r="B27" s="118"/>
      <c r="C27" s="118"/>
      <c r="D27" s="118"/>
      <c r="E27" s="118"/>
      <c r="F27" s="118"/>
      <c r="G27" s="118"/>
      <c r="H27" s="118"/>
      <c r="I27" s="118"/>
      <c r="J27" s="118"/>
      <c r="K27" s="118"/>
      <c r="L27" s="118"/>
      <c r="M27" s="118"/>
      <c r="N27" s="118"/>
      <c r="O27" s="118"/>
    </row>
    <row r="28" spans="1:15" x14ac:dyDescent="0.2">
      <c r="A28" s="118"/>
      <c r="B28" s="118"/>
      <c r="C28" s="118"/>
      <c r="D28" s="118"/>
      <c r="E28" s="118"/>
      <c r="F28" s="118"/>
      <c r="G28" s="118"/>
      <c r="H28" s="118"/>
      <c r="I28" s="118"/>
      <c r="J28" s="118"/>
      <c r="K28" s="118"/>
      <c r="L28" s="118"/>
      <c r="M28" s="118"/>
      <c r="N28" s="118"/>
      <c r="O28" s="118"/>
    </row>
    <row r="29" spans="1:15" x14ac:dyDescent="0.2">
      <c r="A29" s="118"/>
      <c r="B29" s="118"/>
      <c r="C29" s="118"/>
      <c r="D29" s="118"/>
      <c r="E29" s="118"/>
      <c r="F29" s="118"/>
      <c r="G29" s="118"/>
      <c r="H29" s="118"/>
      <c r="I29" s="118"/>
      <c r="J29" s="118"/>
      <c r="K29" s="118"/>
      <c r="L29" s="118"/>
      <c r="M29" s="118"/>
      <c r="N29" s="118"/>
      <c r="O29" s="118"/>
    </row>
    <row r="30" spans="1:15" x14ac:dyDescent="0.2">
      <c r="A30" s="118"/>
      <c r="B30" s="118"/>
      <c r="C30" s="118"/>
      <c r="D30" s="118"/>
      <c r="E30" s="118"/>
      <c r="F30" s="118"/>
      <c r="G30" s="118"/>
      <c r="H30" s="118"/>
      <c r="I30" s="118"/>
      <c r="J30" s="118"/>
      <c r="K30" s="118"/>
      <c r="L30" s="118"/>
      <c r="M30" s="118"/>
      <c r="N30" s="118"/>
      <c r="O30" s="118"/>
    </row>
    <row r="31" spans="1:15" x14ac:dyDescent="0.2">
      <c r="A31" s="118"/>
      <c r="B31" s="118"/>
      <c r="C31" s="118"/>
      <c r="D31" s="118"/>
      <c r="E31" s="118"/>
      <c r="F31" s="118"/>
      <c r="G31" s="118"/>
      <c r="H31" s="118"/>
      <c r="I31" s="118"/>
      <c r="J31" s="118"/>
      <c r="K31" s="118"/>
      <c r="L31" s="118"/>
      <c r="M31" s="118"/>
      <c r="N31" s="118"/>
      <c r="O31" s="118"/>
    </row>
    <row r="32" spans="1:15" x14ac:dyDescent="0.2">
      <c r="A32" s="118"/>
      <c r="B32" s="118"/>
      <c r="C32" s="118"/>
      <c r="D32" s="118"/>
      <c r="E32" s="118"/>
      <c r="F32" s="118"/>
      <c r="G32" s="118"/>
      <c r="H32" s="118"/>
      <c r="I32" s="118"/>
      <c r="J32" s="118"/>
      <c r="K32" s="118"/>
      <c r="L32" s="118"/>
      <c r="M32" s="118"/>
      <c r="N32" s="118"/>
      <c r="O32" s="118"/>
    </row>
    <row r="33" spans="1:15" x14ac:dyDescent="0.2">
      <c r="A33" s="118"/>
      <c r="B33" s="118"/>
      <c r="C33" s="118"/>
      <c r="D33" s="118"/>
      <c r="E33" s="118"/>
      <c r="F33" s="118"/>
      <c r="G33" s="118"/>
      <c r="H33" s="118"/>
      <c r="I33" s="118"/>
      <c r="J33" s="118"/>
      <c r="K33" s="118"/>
      <c r="L33" s="118"/>
      <c r="M33" s="118"/>
      <c r="N33" s="118"/>
      <c r="O33" s="118"/>
    </row>
    <row r="34" spans="1:15" x14ac:dyDescent="0.2">
      <c r="A34" s="118"/>
      <c r="B34" s="118"/>
      <c r="C34" s="118"/>
      <c r="D34" s="118"/>
      <c r="E34" s="118"/>
      <c r="F34" s="118"/>
      <c r="G34" s="118"/>
      <c r="H34" s="118"/>
      <c r="I34" s="118"/>
      <c r="J34" s="118"/>
      <c r="K34" s="118"/>
      <c r="L34" s="118"/>
      <c r="M34" s="118"/>
      <c r="N34" s="118"/>
      <c r="O34" s="118"/>
    </row>
    <row r="35" spans="1:15" x14ac:dyDescent="0.2">
      <c r="A35" s="118"/>
      <c r="B35" s="118"/>
      <c r="C35" s="118"/>
      <c r="D35" s="118"/>
      <c r="E35" s="118"/>
      <c r="F35" s="118"/>
      <c r="G35" s="118"/>
      <c r="H35" s="118"/>
      <c r="I35" s="118"/>
      <c r="J35" s="118"/>
      <c r="K35" s="118"/>
      <c r="L35" s="118"/>
      <c r="M35" s="118"/>
      <c r="N35" s="118"/>
      <c r="O35" s="118"/>
    </row>
    <row r="36" spans="1:15" x14ac:dyDescent="0.2">
      <c r="A36" s="118"/>
      <c r="B36" s="118"/>
      <c r="C36" s="118"/>
      <c r="D36" s="118"/>
      <c r="E36" s="118"/>
      <c r="F36" s="118"/>
      <c r="G36" s="118"/>
      <c r="H36" s="118"/>
      <c r="I36" s="118"/>
      <c r="J36" s="118"/>
      <c r="K36" s="118"/>
      <c r="L36" s="118"/>
      <c r="M36" s="118"/>
      <c r="N36" s="118"/>
      <c r="O36" s="118"/>
    </row>
    <row r="37" spans="1:15" x14ac:dyDescent="0.2">
      <c r="A37" s="118"/>
      <c r="B37" s="118"/>
      <c r="C37" s="118"/>
      <c r="D37" s="118"/>
      <c r="E37" s="118"/>
      <c r="F37" s="118"/>
      <c r="G37" s="118"/>
      <c r="H37" s="118"/>
      <c r="I37" s="118"/>
      <c r="J37" s="118"/>
      <c r="K37" s="118"/>
      <c r="L37" s="118"/>
      <c r="M37" s="118"/>
      <c r="N37" s="118"/>
      <c r="O37" s="118"/>
    </row>
    <row r="38" spans="1:15" x14ac:dyDescent="0.2">
      <c r="A38" s="118"/>
      <c r="B38" s="118"/>
      <c r="C38" s="118"/>
      <c r="D38" s="118"/>
      <c r="E38" s="118"/>
      <c r="F38" s="118"/>
      <c r="G38" s="118"/>
      <c r="H38" s="118"/>
      <c r="I38" s="118"/>
      <c r="J38" s="118"/>
      <c r="K38" s="118"/>
      <c r="L38" s="118"/>
      <c r="M38" s="118"/>
      <c r="N38" s="118"/>
      <c r="O38" s="118"/>
    </row>
    <row r="39" spans="1:15" x14ac:dyDescent="0.2">
      <c r="A39" s="118"/>
      <c r="B39" s="118"/>
      <c r="C39" s="118"/>
      <c r="D39" s="118"/>
      <c r="E39" s="118"/>
      <c r="F39" s="118"/>
      <c r="G39" s="118"/>
      <c r="H39" s="118"/>
      <c r="I39" s="118"/>
      <c r="J39" s="118"/>
      <c r="K39" s="118"/>
      <c r="L39" s="118"/>
      <c r="M39" s="118"/>
      <c r="N39" s="118"/>
      <c r="O39" s="118"/>
    </row>
    <row r="40" spans="1:15" x14ac:dyDescent="0.2">
      <c r="A40" s="118"/>
      <c r="B40" s="118"/>
      <c r="C40" s="118"/>
      <c r="D40" s="118"/>
      <c r="E40" s="118"/>
      <c r="F40" s="118"/>
      <c r="G40" s="118"/>
      <c r="H40" s="118"/>
      <c r="I40" s="118"/>
      <c r="J40" s="118"/>
      <c r="K40" s="118"/>
      <c r="L40" s="118"/>
      <c r="M40" s="118"/>
      <c r="N40" s="118"/>
      <c r="O40" s="118"/>
    </row>
    <row r="41" spans="1:15" x14ac:dyDescent="0.2">
      <c r="A41" s="118"/>
      <c r="B41" s="118"/>
      <c r="C41" s="118"/>
      <c r="D41" s="118"/>
      <c r="E41" s="118"/>
      <c r="F41" s="118"/>
      <c r="G41" s="118"/>
      <c r="H41" s="118"/>
      <c r="I41" s="118"/>
      <c r="J41" s="118"/>
      <c r="K41" s="118"/>
      <c r="L41" s="118"/>
      <c r="M41" s="118"/>
      <c r="N41" s="118"/>
      <c r="O41" s="118"/>
    </row>
    <row r="42" spans="1:15" x14ac:dyDescent="0.2">
      <c r="A42" s="118"/>
      <c r="B42" s="118"/>
      <c r="C42" s="118"/>
      <c r="D42" s="118"/>
      <c r="E42" s="118"/>
      <c r="F42" s="118"/>
      <c r="G42" s="118"/>
      <c r="H42" s="118"/>
      <c r="I42" s="118"/>
      <c r="J42" s="118"/>
      <c r="K42" s="118"/>
      <c r="L42" s="118"/>
      <c r="M42" s="118"/>
      <c r="N42" s="118"/>
      <c r="O42" s="118"/>
    </row>
    <row r="43" spans="1:15" x14ac:dyDescent="0.2">
      <c r="A43" s="118"/>
      <c r="B43" s="118"/>
      <c r="C43" s="118"/>
      <c r="D43" s="118"/>
      <c r="E43" s="118"/>
      <c r="F43" s="118"/>
      <c r="G43" s="118"/>
      <c r="H43" s="118"/>
      <c r="I43" s="118"/>
      <c r="J43" s="118"/>
      <c r="K43" s="118"/>
      <c r="L43" s="118"/>
      <c r="M43" s="118"/>
      <c r="N43" s="118"/>
      <c r="O43" s="118"/>
    </row>
    <row r="44" spans="1:15" x14ac:dyDescent="0.2">
      <c r="A44" s="118"/>
      <c r="B44" s="118"/>
      <c r="C44" s="118"/>
      <c r="D44" s="118"/>
      <c r="E44" s="118"/>
      <c r="F44" s="118"/>
      <c r="G44" s="118"/>
      <c r="H44" s="118"/>
      <c r="I44" s="118"/>
      <c r="J44" s="118"/>
      <c r="K44" s="118"/>
      <c r="L44" s="118"/>
      <c r="M44" s="118"/>
      <c r="N44" s="118"/>
      <c r="O44" s="118"/>
    </row>
    <row r="45" spans="1:15" x14ac:dyDescent="0.2">
      <c r="A45" s="118"/>
      <c r="B45" s="118"/>
      <c r="C45" s="118"/>
      <c r="D45" s="118"/>
      <c r="E45" s="118"/>
      <c r="F45" s="118"/>
      <c r="G45" s="118"/>
      <c r="H45" s="118"/>
      <c r="I45" s="118"/>
      <c r="J45" s="118"/>
      <c r="K45" s="118"/>
      <c r="L45" s="118"/>
      <c r="M45" s="118"/>
      <c r="N45" s="118"/>
      <c r="O45" s="118"/>
    </row>
    <row r="46" spans="1:15" x14ac:dyDescent="0.2">
      <c r="A46" s="118"/>
      <c r="B46" s="118"/>
      <c r="C46" s="118"/>
      <c r="D46" s="118"/>
      <c r="E46" s="118"/>
      <c r="F46" s="118"/>
      <c r="G46" s="118"/>
      <c r="H46" s="118"/>
      <c r="I46" s="118"/>
      <c r="J46" s="118"/>
      <c r="K46" s="118"/>
      <c r="L46" s="118"/>
      <c r="M46" s="118"/>
      <c r="N46" s="118"/>
      <c r="O46" s="118"/>
    </row>
    <row r="47" spans="1:15" x14ac:dyDescent="0.2">
      <c r="A47" s="118"/>
      <c r="B47" s="118"/>
      <c r="C47" s="118"/>
      <c r="D47" s="118"/>
      <c r="E47" s="118"/>
      <c r="F47" s="118"/>
      <c r="G47" s="118"/>
      <c r="H47" s="118"/>
      <c r="I47" s="118"/>
      <c r="J47" s="118"/>
      <c r="K47" s="118"/>
      <c r="L47" s="118"/>
      <c r="M47" s="118"/>
      <c r="N47" s="118"/>
      <c r="O47" s="118"/>
    </row>
    <row r="48" spans="1:15" x14ac:dyDescent="0.2">
      <c r="A48" s="118"/>
      <c r="B48" s="118"/>
      <c r="C48" s="118"/>
      <c r="D48" s="118"/>
      <c r="E48" s="118"/>
      <c r="F48" s="118"/>
      <c r="G48" s="118"/>
      <c r="H48" s="118"/>
      <c r="I48" s="118"/>
      <c r="J48" s="118"/>
      <c r="K48" s="118"/>
      <c r="L48" s="118"/>
      <c r="M48" s="118"/>
      <c r="N48" s="118"/>
      <c r="O48" s="118"/>
    </row>
    <row r="49" spans="1:15" x14ac:dyDescent="0.2">
      <c r="A49" s="118"/>
      <c r="B49" s="118"/>
      <c r="C49" s="118"/>
      <c r="D49" s="118"/>
      <c r="E49" s="118"/>
      <c r="F49" s="118"/>
      <c r="G49" s="118"/>
      <c r="H49" s="118"/>
      <c r="I49" s="118"/>
      <c r="J49" s="118"/>
      <c r="K49" s="118"/>
      <c r="L49" s="118"/>
      <c r="M49" s="118"/>
      <c r="N49" s="118"/>
      <c r="O49" s="118"/>
    </row>
    <row r="50" spans="1:15" x14ac:dyDescent="0.2">
      <c r="A50" s="118"/>
      <c r="B50" s="118"/>
      <c r="C50" s="118"/>
      <c r="D50" s="118"/>
      <c r="E50" s="118"/>
      <c r="F50" s="118"/>
      <c r="G50" s="118"/>
      <c r="H50" s="118"/>
      <c r="I50" s="118"/>
      <c r="J50" s="118"/>
      <c r="K50" s="118"/>
      <c r="L50" s="118"/>
      <c r="M50" s="118"/>
      <c r="N50" s="118"/>
      <c r="O50" s="118"/>
    </row>
    <row r="51" spans="1:15" x14ac:dyDescent="0.2">
      <c r="A51" s="118"/>
      <c r="B51" s="118"/>
      <c r="C51" s="118"/>
      <c r="D51" s="118"/>
      <c r="E51" s="118"/>
      <c r="F51" s="118"/>
      <c r="G51" s="118"/>
      <c r="H51" s="118"/>
      <c r="I51" s="118"/>
      <c r="J51" s="118"/>
      <c r="K51" s="118"/>
      <c r="L51" s="118"/>
      <c r="M51" s="118"/>
      <c r="N51" s="118"/>
      <c r="O51" s="118"/>
    </row>
    <row r="52" spans="1:15" x14ac:dyDescent="0.2">
      <c r="A52" s="118"/>
      <c r="B52" s="118"/>
      <c r="C52" s="118"/>
      <c r="D52" s="118"/>
      <c r="E52" s="118"/>
      <c r="F52" s="118"/>
      <c r="G52" s="118"/>
      <c r="H52" s="118"/>
      <c r="I52" s="118"/>
      <c r="J52" s="118"/>
      <c r="K52" s="118"/>
      <c r="L52" s="118"/>
      <c r="M52" s="118"/>
      <c r="N52" s="118"/>
      <c r="O52" s="118"/>
    </row>
    <row r="53" spans="1:15" x14ac:dyDescent="0.2">
      <c r="A53" s="118"/>
      <c r="B53" s="118"/>
      <c r="C53" s="118"/>
      <c r="D53" s="118"/>
      <c r="E53" s="118"/>
      <c r="F53" s="118"/>
      <c r="G53" s="118"/>
      <c r="H53" s="118"/>
      <c r="I53" s="118"/>
      <c r="J53" s="118"/>
      <c r="K53" s="118"/>
      <c r="L53" s="118"/>
      <c r="M53" s="118"/>
      <c r="N53" s="118"/>
      <c r="O53" s="118"/>
    </row>
    <row r="54" spans="1:15" x14ac:dyDescent="0.2">
      <c r="A54" s="118"/>
      <c r="B54" s="118"/>
      <c r="C54" s="118"/>
      <c r="D54" s="118"/>
      <c r="E54" s="118"/>
      <c r="F54" s="118"/>
      <c r="G54" s="118"/>
      <c r="H54" s="118"/>
      <c r="I54" s="118"/>
      <c r="J54" s="118"/>
      <c r="K54" s="118"/>
      <c r="L54" s="118"/>
      <c r="M54" s="118"/>
      <c r="N54" s="118"/>
      <c r="O54" s="118"/>
    </row>
    <row r="55" spans="1:15" x14ac:dyDescent="0.2">
      <c r="A55" s="118"/>
      <c r="B55" s="118"/>
      <c r="C55" s="118"/>
      <c r="D55" s="118"/>
      <c r="E55" s="118"/>
      <c r="F55" s="118"/>
      <c r="G55" s="118"/>
      <c r="H55" s="118"/>
      <c r="I55" s="118"/>
      <c r="J55" s="118"/>
      <c r="K55" s="118"/>
      <c r="L55" s="118"/>
      <c r="M55" s="118"/>
      <c r="N55" s="118"/>
      <c r="O55" s="118"/>
    </row>
    <row r="56" spans="1:15" x14ac:dyDescent="0.2">
      <c r="A56" s="118"/>
      <c r="B56" s="118"/>
      <c r="C56" s="118"/>
      <c r="D56" s="118"/>
      <c r="E56" s="118"/>
      <c r="F56" s="118"/>
      <c r="G56" s="118"/>
      <c r="H56" s="118"/>
      <c r="I56" s="118"/>
      <c r="J56" s="118"/>
      <c r="K56" s="118"/>
      <c r="L56" s="118"/>
      <c r="M56" s="118"/>
      <c r="N56" s="118"/>
      <c r="O56" s="118"/>
    </row>
    <row r="57" spans="1:15" x14ac:dyDescent="0.2">
      <c r="A57" s="118"/>
      <c r="B57" s="118"/>
      <c r="C57" s="118"/>
      <c r="D57" s="118"/>
      <c r="E57" s="118"/>
      <c r="F57" s="118"/>
      <c r="G57" s="118"/>
      <c r="H57" s="118"/>
      <c r="I57" s="118"/>
      <c r="J57" s="118"/>
      <c r="K57" s="118"/>
      <c r="L57" s="118"/>
      <c r="M57" s="118"/>
      <c r="N57" s="118"/>
      <c r="O57" s="118"/>
    </row>
    <row r="58" spans="1:15" x14ac:dyDescent="0.2">
      <c r="A58" s="118"/>
      <c r="B58" s="118"/>
      <c r="C58" s="118"/>
      <c r="D58" s="118"/>
      <c r="E58" s="118"/>
      <c r="F58" s="118"/>
      <c r="G58" s="118"/>
      <c r="H58" s="118"/>
      <c r="I58" s="118"/>
      <c r="J58" s="118"/>
      <c r="K58" s="118"/>
      <c r="L58" s="118"/>
      <c r="M58" s="118"/>
      <c r="N58" s="118"/>
      <c r="O58" s="118"/>
    </row>
    <row r="59" spans="1:15" x14ac:dyDescent="0.2">
      <c r="A59" s="118"/>
      <c r="B59" s="118"/>
      <c r="C59" s="118"/>
      <c r="D59" s="118"/>
      <c r="E59" s="118"/>
      <c r="F59" s="118"/>
      <c r="G59" s="118"/>
      <c r="H59" s="118"/>
      <c r="I59" s="118"/>
      <c r="J59" s="118"/>
      <c r="K59" s="118"/>
      <c r="L59" s="118"/>
      <c r="M59" s="118"/>
      <c r="N59" s="118"/>
      <c r="O59" s="118"/>
    </row>
    <row r="60" spans="1:15" x14ac:dyDescent="0.2">
      <c r="A60" s="118"/>
      <c r="B60" s="118"/>
      <c r="C60" s="118"/>
      <c r="D60" s="118"/>
      <c r="E60" s="118"/>
      <c r="F60" s="118"/>
      <c r="G60" s="118"/>
      <c r="H60" s="118"/>
      <c r="I60" s="118"/>
      <c r="J60" s="118"/>
      <c r="K60" s="118"/>
      <c r="L60" s="118"/>
      <c r="M60" s="118"/>
      <c r="N60" s="118"/>
      <c r="O60" s="118"/>
    </row>
    <row r="61" spans="1:15" x14ac:dyDescent="0.2">
      <c r="A61" s="118"/>
      <c r="B61" s="118"/>
      <c r="C61" s="118"/>
      <c r="D61" s="118"/>
      <c r="E61" s="118"/>
      <c r="F61" s="118"/>
      <c r="G61" s="118"/>
      <c r="H61" s="118"/>
      <c r="I61" s="118"/>
      <c r="J61" s="118"/>
      <c r="K61" s="118"/>
      <c r="L61" s="118"/>
      <c r="M61" s="118"/>
      <c r="N61" s="118"/>
      <c r="O61" s="118"/>
    </row>
    <row r="62" spans="1:15" x14ac:dyDescent="0.2">
      <c r="A62" s="118"/>
      <c r="B62" s="118"/>
      <c r="C62" s="118"/>
      <c r="D62" s="118"/>
      <c r="E62" s="118"/>
      <c r="F62" s="118"/>
      <c r="G62" s="118"/>
      <c r="H62" s="118"/>
      <c r="I62" s="118"/>
      <c r="J62" s="118"/>
      <c r="K62" s="118"/>
      <c r="L62" s="118"/>
      <c r="M62" s="118"/>
      <c r="N62" s="118"/>
      <c r="O62" s="118"/>
    </row>
    <row r="63" spans="1:15" x14ac:dyDescent="0.2">
      <c r="A63" s="118"/>
      <c r="B63" s="118"/>
      <c r="C63" s="118"/>
      <c r="D63" s="118"/>
      <c r="E63" s="118"/>
      <c r="F63" s="118"/>
      <c r="G63" s="118"/>
      <c r="H63" s="118"/>
      <c r="I63" s="118"/>
      <c r="J63" s="118"/>
      <c r="K63" s="118"/>
      <c r="L63" s="118"/>
      <c r="M63" s="118"/>
      <c r="N63" s="118"/>
      <c r="O63" s="118"/>
    </row>
    <row r="64" spans="1:15" x14ac:dyDescent="0.2">
      <c r="A64" s="118"/>
      <c r="B64" s="118"/>
      <c r="C64" s="118"/>
      <c r="D64" s="118"/>
      <c r="E64" s="118"/>
      <c r="F64" s="118"/>
      <c r="G64" s="118"/>
      <c r="H64" s="118"/>
      <c r="I64" s="118"/>
      <c r="J64" s="118"/>
      <c r="K64" s="118"/>
      <c r="L64" s="118"/>
      <c r="M64" s="118"/>
      <c r="N64" s="118"/>
      <c r="O64" s="118"/>
    </row>
    <row r="65" spans="1:15" x14ac:dyDescent="0.2">
      <c r="A65" s="118"/>
      <c r="B65" s="118"/>
      <c r="C65" s="118"/>
      <c r="D65" s="118"/>
      <c r="E65" s="118"/>
      <c r="F65" s="118"/>
      <c r="G65" s="118"/>
      <c r="H65" s="118"/>
      <c r="I65" s="118"/>
      <c r="J65" s="118"/>
      <c r="K65" s="118"/>
      <c r="L65" s="118"/>
      <c r="M65" s="118"/>
      <c r="N65" s="118"/>
      <c r="O65" s="118"/>
    </row>
    <row r="66" spans="1:15" x14ac:dyDescent="0.2">
      <c r="A66" s="118"/>
      <c r="B66" s="118"/>
      <c r="C66" s="118"/>
      <c r="D66" s="118"/>
      <c r="E66" s="118"/>
      <c r="F66" s="118"/>
      <c r="G66" s="118"/>
      <c r="H66" s="118"/>
      <c r="I66" s="118"/>
      <c r="J66" s="118"/>
      <c r="K66" s="118"/>
      <c r="L66" s="118"/>
      <c r="M66" s="118"/>
      <c r="N66" s="118"/>
      <c r="O66" s="118"/>
    </row>
    <row r="67" spans="1:15" x14ac:dyDescent="0.2">
      <c r="A67" s="118"/>
      <c r="B67" s="118"/>
      <c r="C67" s="118"/>
      <c r="D67" s="118"/>
      <c r="E67" s="118"/>
      <c r="F67" s="118"/>
      <c r="G67" s="118"/>
      <c r="H67" s="118"/>
      <c r="I67" s="118"/>
      <c r="J67" s="118"/>
      <c r="K67" s="118"/>
      <c r="L67" s="118"/>
      <c r="M67" s="118"/>
      <c r="N67" s="118"/>
      <c r="O67" s="118"/>
    </row>
    <row r="68" spans="1:15" x14ac:dyDescent="0.2">
      <c r="A68" s="118"/>
      <c r="B68" s="118"/>
      <c r="C68" s="118"/>
      <c r="D68" s="118"/>
      <c r="E68" s="118"/>
      <c r="F68" s="118"/>
      <c r="G68" s="118"/>
      <c r="H68" s="118"/>
      <c r="I68" s="118"/>
      <c r="J68" s="118"/>
      <c r="K68" s="118"/>
      <c r="L68" s="118"/>
      <c r="M68" s="118"/>
      <c r="N68" s="118"/>
      <c r="O68" s="118"/>
    </row>
    <row r="69" spans="1:15" x14ac:dyDescent="0.2">
      <c r="A69" s="118"/>
      <c r="B69" s="118"/>
      <c r="C69" s="118"/>
      <c r="D69" s="118"/>
      <c r="E69" s="118"/>
      <c r="F69" s="118"/>
      <c r="G69" s="118"/>
      <c r="H69" s="118"/>
      <c r="I69" s="118"/>
      <c r="J69" s="118"/>
      <c r="K69" s="118"/>
      <c r="L69" s="118"/>
      <c r="M69" s="118"/>
      <c r="N69" s="118"/>
      <c r="O69" s="118"/>
    </row>
    <row r="70" spans="1:15" x14ac:dyDescent="0.2">
      <c r="A70" s="118"/>
      <c r="B70" s="118"/>
      <c r="C70" s="118"/>
      <c r="D70" s="118"/>
      <c r="E70" s="118"/>
      <c r="F70" s="118"/>
      <c r="G70" s="118"/>
      <c r="H70" s="118"/>
      <c r="I70" s="118"/>
      <c r="J70" s="118"/>
      <c r="K70" s="118"/>
      <c r="L70" s="118"/>
      <c r="M70" s="118"/>
      <c r="N70" s="118"/>
      <c r="O70" s="118"/>
    </row>
    <row r="71" spans="1:15" x14ac:dyDescent="0.2">
      <c r="A71" s="118"/>
      <c r="B71" s="118"/>
      <c r="C71" s="118"/>
      <c r="D71" s="118"/>
      <c r="E71" s="118"/>
      <c r="F71" s="118"/>
      <c r="G71" s="118"/>
      <c r="H71" s="118"/>
      <c r="I71" s="118"/>
      <c r="J71" s="118"/>
      <c r="K71" s="118"/>
      <c r="L71" s="118"/>
      <c r="M71" s="118"/>
      <c r="N71" s="118"/>
      <c r="O71" s="118"/>
    </row>
    <row r="72" spans="1:15" x14ac:dyDescent="0.2">
      <c r="A72" s="118"/>
      <c r="B72" s="118"/>
      <c r="C72" s="118"/>
      <c r="D72" s="118"/>
      <c r="E72" s="118"/>
      <c r="F72" s="118"/>
      <c r="G72" s="118"/>
      <c r="H72" s="118"/>
      <c r="I72" s="118"/>
      <c r="J72" s="118"/>
      <c r="K72" s="118"/>
      <c r="L72" s="118"/>
      <c r="M72" s="118"/>
      <c r="N72" s="118"/>
      <c r="O72" s="118"/>
    </row>
    <row r="73" spans="1:15" x14ac:dyDescent="0.2">
      <c r="A73" s="118"/>
      <c r="B73" s="118"/>
      <c r="C73" s="118"/>
      <c r="D73" s="118"/>
      <c r="E73" s="118"/>
      <c r="F73" s="118"/>
      <c r="G73" s="118"/>
      <c r="H73" s="118"/>
      <c r="I73" s="118"/>
      <c r="J73" s="118"/>
      <c r="K73" s="118"/>
      <c r="L73" s="118"/>
      <c r="M73" s="118"/>
      <c r="N73" s="118"/>
      <c r="O73" s="118"/>
    </row>
    <row r="74" spans="1:15" x14ac:dyDescent="0.2">
      <c r="A74" s="118"/>
      <c r="B74" s="118"/>
      <c r="C74" s="118"/>
      <c r="D74" s="118"/>
      <c r="E74" s="118"/>
      <c r="F74" s="118"/>
      <c r="G74" s="118"/>
      <c r="H74" s="118"/>
      <c r="I74" s="118"/>
      <c r="J74" s="118"/>
      <c r="K74" s="118"/>
      <c r="L74" s="118"/>
      <c r="M74" s="118"/>
      <c r="N74" s="118"/>
      <c r="O74" s="118"/>
    </row>
    <row r="75" spans="1:15" x14ac:dyDescent="0.2">
      <c r="A75" s="118"/>
      <c r="B75" s="118"/>
      <c r="C75" s="118"/>
      <c r="D75" s="118"/>
      <c r="E75" s="118"/>
      <c r="F75" s="118"/>
      <c r="G75" s="118"/>
      <c r="H75" s="118"/>
      <c r="I75" s="118"/>
      <c r="J75" s="118"/>
      <c r="K75" s="118"/>
      <c r="L75" s="118"/>
      <c r="M75" s="118"/>
      <c r="N75" s="118"/>
      <c r="O75" s="118"/>
    </row>
    <row r="76" spans="1:15" x14ac:dyDescent="0.2">
      <c r="A76" s="118"/>
      <c r="B76" s="118"/>
      <c r="C76" s="118"/>
      <c r="D76" s="118"/>
      <c r="E76" s="118"/>
      <c r="F76" s="118"/>
      <c r="G76" s="118"/>
      <c r="H76" s="118"/>
      <c r="I76" s="118"/>
      <c r="J76" s="118"/>
      <c r="K76" s="118"/>
      <c r="L76" s="118"/>
      <c r="M76" s="118"/>
      <c r="N76" s="118"/>
      <c r="O76" s="118"/>
    </row>
    <row r="77" spans="1:15" x14ac:dyDescent="0.2">
      <c r="A77" s="118"/>
      <c r="B77" s="118"/>
      <c r="C77" s="118"/>
      <c r="D77" s="118"/>
      <c r="E77" s="118"/>
      <c r="F77" s="118"/>
      <c r="G77" s="118"/>
      <c r="H77" s="118"/>
      <c r="I77" s="118"/>
      <c r="J77" s="118"/>
      <c r="K77" s="118"/>
      <c r="L77" s="118"/>
      <c r="M77" s="118"/>
      <c r="N77" s="118"/>
      <c r="O77" s="118"/>
    </row>
    <row r="78" spans="1:15" x14ac:dyDescent="0.2">
      <c r="A78" s="118"/>
      <c r="B78" s="118"/>
      <c r="C78" s="118"/>
      <c r="D78" s="118"/>
      <c r="E78" s="118"/>
      <c r="F78" s="118"/>
      <c r="G78" s="118"/>
      <c r="H78" s="118"/>
      <c r="I78" s="118"/>
      <c r="J78" s="118"/>
      <c r="K78" s="118"/>
      <c r="L78" s="118"/>
      <c r="M78" s="118"/>
      <c r="N78" s="118"/>
      <c r="O78" s="118"/>
    </row>
    <row r="79" spans="1:15" x14ac:dyDescent="0.2">
      <c r="A79" s="118"/>
      <c r="B79" s="118"/>
      <c r="C79" s="118"/>
      <c r="D79" s="118"/>
      <c r="E79" s="118"/>
      <c r="F79" s="118"/>
      <c r="G79" s="118"/>
      <c r="H79" s="118"/>
      <c r="I79" s="118"/>
      <c r="J79" s="118"/>
      <c r="K79" s="118"/>
      <c r="L79" s="118"/>
      <c r="M79" s="118"/>
      <c r="N79" s="118"/>
      <c r="O79" s="118"/>
    </row>
    <row r="80" spans="1:15" x14ac:dyDescent="0.2">
      <c r="A80" s="118"/>
      <c r="B80" s="118"/>
      <c r="C80" s="118"/>
      <c r="D80" s="118"/>
      <c r="E80" s="118"/>
      <c r="F80" s="118"/>
      <c r="G80" s="118"/>
      <c r="H80" s="118"/>
      <c r="I80" s="118"/>
      <c r="J80" s="118"/>
      <c r="K80" s="118"/>
      <c r="L80" s="118"/>
      <c r="M80" s="118"/>
      <c r="N80" s="118"/>
      <c r="O80" s="118"/>
    </row>
    <row r="81" spans="1:15" x14ac:dyDescent="0.2">
      <c r="A81" s="118"/>
      <c r="B81" s="118"/>
      <c r="C81" s="118"/>
      <c r="D81" s="118"/>
      <c r="E81" s="118"/>
      <c r="F81" s="118"/>
      <c r="G81" s="118"/>
      <c r="H81" s="118"/>
      <c r="I81" s="118"/>
      <c r="J81" s="118"/>
      <c r="K81" s="118"/>
      <c r="L81" s="118"/>
      <c r="M81" s="118"/>
      <c r="N81" s="118"/>
      <c r="O81" s="118"/>
    </row>
    <row r="82" spans="1:15" x14ac:dyDescent="0.2">
      <c r="A82" s="118"/>
      <c r="B82" s="118"/>
      <c r="C82" s="118"/>
      <c r="D82" s="118"/>
      <c r="E82" s="118"/>
      <c r="F82" s="118"/>
      <c r="G82" s="118"/>
      <c r="H82" s="118"/>
      <c r="I82" s="118"/>
      <c r="J82" s="118"/>
      <c r="K82" s="118"/>
      <c r="L82" s="118"/>
      <c r="M82" s="118"/>
      <c r="N82" s="118"/>
      <c r="O82" s="118"/>
    </row>
    <row r="83" spans="1:15" x14ac:dyDescent="0.2">
      <c r="A83" s="118"/>
      <c r="B83" s="118"/>
      <c r="C83" s="118"/>
      <c r="D83" s="118"/>
      <c r="E83" s="118"/>
      <c r="F83" s="118"/>
      <c r="G83" s="118"/>
      <c r="H83" s="118"/>
      <c r="I83" s="118"/>
      <c r="J83" s="118"/>
      <c r="K83" s="118"/>
      <c r="L83" s="118"/>
      <c r="M83" s="118"/>
      <c r="N83" s="118"/>
      <c r="O83" s="118"/>
    </row>
    <row r="84" spans="1:15" x14ac:dyDescent="0.2">
      <c r="A84" s="118"/>
      <c r="B84" s="118"/>
      <c r="C84" s="118"/>
      <c r="D84" s="118"/>
      <c r="E84" s="118"/>
      <c r="F84" s="118"/>
      <c r="G84" s="118"/>
      <c r="H84" s="118"/>
      <c r="I84" s="118"/>
      <c r="J84" s="118"/>
      <c r="K84" s="118"/>
      <c r="L84" s="118"/>
      <c r="M84" s="118"/>
      <c r="N84" s="118"/>
      <c r="O84" s="118"/>
    </row>
    <row r="85" spans="1:15" x14ac:dyDescent="0.2">
      <c r="A85" s="118"/>
      <c r="B85" s="118"/>
      <c r="C85" s="118"/>
      <c r="D85" s="118"/>
      <c r="E85" s="118"/>
      <c r="F85" s="118"/>
      <c r="G85" s="118"/>
      <c r="H85" s="118"/>
      <c r="I85" s="118"/>
      <c r="J85" s="118"/>
      <c r="K85" s="118"/>
      <c r="L85" s="118"/>
      <c r="M85" s="118"/>
      <c r="N85" s="118"/>
      <c r="O85" s="118"/>
    </row>
    <row r="86" spans="1:15" x14ac:dyDescent="0.2">
      <c r="A86" s="118"/>
      <c r="B86" s="118"/>
      <c r="C86" s="118"/>
      <c r="D86" s="118"/>
      <c r="E86" s="118"/>
      <c r="F86" s="118"/>
      <c r="G86" s="118"/>
      <c r="H86" s="118"/>
      <c r="I86" s="118"/>
      <c r="J86" s="118"/>
      <c r="K86" s="118"/>
      <c r="L86" s="118"/>
      <c r="M86" s="118"/>
      <c r="N86" s="118"/>
      <c r="O86" s="118"/>
    </row>
    <row r="87" spans="1:15" x14ac:dyDescent="0.2">
      <c r="A87" s="118"/>
      <c r="B87" s="118"/>
      <c r="C87" s="118"/>
      <c r="D87" s="118"/>
      <c r="E87" s="118"/>
      <c r="F87" s="118"/>
      <c r="G87" s="118"/>
      <c r="H87" s="118"/>
      <c r="I87" s="118"/>
      <c r="J87" s="118"/>
      <c r="K87" s="118"/>
      <c r="L87" s="118"/>
      <c r="M87" s="118"/>
      <c r="N87" s="118"/>
      <c r="O87" s="118"/>
    </row>
    <row r="88" spans="1:15" x14ac:dyDescent="0.2">
      <c r="A88" s="118"/>
      <c r="B88" s="118"/>
      <c r="C88" s="118"/>
      <c r="D88" s="118"/>
      <c r="E88" s="118"/>
      <c r="F88" s="118"/>
      <c r="G88" s="118"/>
      <c r="H88" s="118"/>
      <c r="I88" s="118"/>
      <c r="J88" s="118"/>
      <c r="K88" s="118"/>
      <c r="L88" s="118"/>
      <c r="M88" s="118"/>
      <c r="N88" s="118"/>
      <c r="O88" s="118"/>
    </row>
    <row r="89" spans="1:15" x14ac:dyDescent="0.2">
      <c r="A89" s="118"/>
      <c r="B89" s="118"/>
      <c r="C89" s="118"/>
      <c r="D89" s="118"/>
      <c r="E89" s="118"/>
      <c r="F89" s="118"/>
      <c r="G89" s="118"/>
      <c r="H89" s="118"/>
      <c r="I89" s="118"/>
      <c r="J89" s="118"/>
      <c r="K89" s="118"/>
      <c r="L89" s="118"/>
      <c r="M89" s="118"/>
      <c r="N89" s="118"/>
      <c r="O89" s="118"/>
    </row>
    <row r="90" spans="1:15" x14ac:dyDescent="0.2">
      <c r="A90" s="118"/>
      <c r="B90" s="118"/>
      <c r="C90" s="118"/>
      <c r="D90" s="118"/>
      <c r="E90" s="118"/>
      <c r="F90" s="118"/>
      <c r="G90" s="118"/>
      <c r="H90" s="118"/>
      <c r="I90" s="118"/>
      <c r="J90" s="118"/>
      <c r="K90" s="118"/>
      <c r="L90" s="118"/>
      <c r="M90" s="118"/>
      <c r="N90" s="118"/>
      <c r="O90" s="118"/>
    </row>
    <row r="91" spans="1:15" x14ac:dyDescent="0.2">
      <c r="A91" s="118"/>
      <c r="B91" s="118"/>
      <c r="C91" s="118"/>
      <c r="D91" s="118"/>
      <c r="E91" s="118"/>
      <c r="F91" s="118"/>
      <c r="G91" s="118"/>
      <c r="H91" s="118"/>
      <c r="I91" s="118"/>
      <c r="J91" s="118"/>
      <c r="K91" s="118"/>
      <c r="L91" s="118"/>
      <c r="M91" s="118"/>
      <c r="N91" s="118"/>
      <c r="O91" s="118"/>
    </row>
    <row r="92" spans="1:15" x14ac:dyDescent="0.2">
      <c r="A92" s="118"/>
      <c r="B92" s="118"/>
      <c r="C92" s="118"/>
      <c r="D92" s="118"/>
      <c r="E92" s="118"/>
      <c r="F92" s="118"/>
      <c r="G92" s="118"/>
      <c r="H92" s="118"/>
      <c r="I92" s="118"/>
      <c r="J92" s="118"/>
      <c r="K92" s="118"/>
      <c r="L92" s="118"/>
      <c r="M92" s="118"/>
      <c r="N92" s="118"/>
      <c r="O92" s="118"/>
    </row>
    <row r="93" spans="1:15" x14ac:dyDescent="0.2">
      <c r="A93" s="118"/>
      <c r="B93" s="118"/>
      <c r="C93" s="118"/>
      <c r="D93" s="118"/>
      <c r="E93" s="118"/>
      <c r="F93" s="118"/>
      <c r="G93" s="118"/>
      <c r="H93" s="118"/>
      <c r="I93" s="118"/>
      <c r="J93" s="118"/>
      <c r="K93" s="118"/>
      <c r="L93" s="118"/>
      <c r="M93" s="118"/>
      <c r="N93" s="118"/>
      <c r="O93" s="118"/>
    </row>
    <row r="94" spans="1:15" x14ac:dyDescent="0.2">
      <c r="A94" s="118"/>
      <c r="B94" s="118"/>
      <c r="C94" s="118"/>
      <c r="D94" s="118"/>
      <c r="E94" s="118"/>
      <c r="F94" s="118"/>
      <c r="G94" s="118"/>
      <c r="H94" s="118"/>
      <c r="I94" s="118"/>
      <c r="J94" s="118"/>
      <c r="K94" s="118"/>
      <c r="L94" s="118"/>
      <c r="M94" s="118"/>
      <c r="N94" s="118"/>
      <c r="O94" s="118"/>
    </row>
    <row r="95" spans="1:15" x14ac:dyDescent="0.2">
      <c r="A95" s="118"/>
      <c r="B95" s="118"/>
      <c r="C95" s="118"/>
      <c r="D95" s="118"/>
      <c r="E95" s="118"/>
      <c r="F95" s="118"/>
      <c r="G95" s="118"/>
      <c r="H95" s="118"/>
      <c r="I95" s="118"/>
      <c r="J95" s="118"/>
      <c r="K95" s="118"/>
      <c r="L95" s="118"/>
      <c r="M95" s="118"/>
      <c r="N95" s="118"/>
      <c r="O95" s="118"/>
    </row>
    <row r="96" spans="1:15" x14ac:dyDescent="0.2">
      <c r="A96" s="118"/>
      <c r="B96" s="118"/>
      <c r="C96" s="118"/>
      <c r="D96" s="118"/>
      <c r="E96" s="118"/>
      <c r="F96" s="118"/>
      <c r="G96" s="118"/>
      <c r="H96" s="118"/>
      <c r="I96" s="118"/>
      <c r="J96" s="118"/>
      <c r="K96" s="118"/>
      <c r="L96" s="118"/>
      <c r="M96" s="118"/>
      <c r="N96" s="118"/>
      <c r="O96" s="118"/>
    </row>
    <row r="97" spans="1:15" x14ac:dyDescent="0.2">
      <c r="A97" s="118"/>
      <c r="B97" s="118"/>
      <c r="C97" s="118"/>
      <c r="D97" s="118"/>
      <c r="E97" s="118"/>
      <c r="F97" s="118"/>
      <c r="G97" s="118"/>
      <c r="H97" s="118"/>
      <c r="I97" s="118"/>
      <c r="J97" s="118"/>
      <c r="K97" s="118"/>
      <c r="L97" s="118"/>
      <c r="M97" s="118"/>
      <c r="N97" s="118"/>
      <c r="O97" s="118"/>
    </row>
    <row r="98" spans="1:15" x14ac:dyDescent="0.2">
      <c r="A98" s="118"/>
      <c r="B98" s="118"/>
      <c r="C98" s="118"/>
      <c r="D98" s="118"/>
      <c r="E98" s="118"/>
      <c r="F98" s="118"/>
      <c r="G98" s="118"/>
      <c r="H98" s="118"/>
      <c r="I98" s="118"/>
      <c r="J98" s="118"/>
      <c r="K98" s="118"/>
      <c r="L98" s="118"/>
      <c r="M98" s="118"/>
      <c r="N98" s="118"/>
      <c r="O98" s="118"/>
    </row>
    <row r="99" spans="1:15" x14ac:dyDescent="0.2">
      <c r="A99" s="118"/>
      <c r="B99" s="118"/>
      <c r="C99" s="118"/>
      <c r="D99" s="118"/>
      <c r="E99" s="118"/>
      <c r="F99" s="118"/>
      <c r="G99" s="118"/>
      <c r="H99" s="118"/>
      <c r="I99" s="118"/>
      <c r="J99" s="118"/>
      <c r="K99" s="118"/>
      <c r="L99" s="118"/>
      <c r="M99" s="118"/>
      <c r="N99" s="118"/>
      <c r="O99" s="118"/>
    </row>
    <row r="100" spans="1:15" x14ac:dyDescent="0.2">
      <c r="A100" s="118"/>
      <c r="B100" s="118"/>
      <c r="C100" s="118"/>
      <c r="D100" s="118"/>
      <c r="E100" s="118"/>
      <c r="F100" s="118"/>
      <c r="G100" s="118"/>
      <c r="H100" s="118"/>
      <c r="I100" s="118"/>
      <c r="J100" s="118"/>
      <c r="K100" s="118"/>
      <c r="L100" s="118"/>
      <c r="M100" s="118"/>
      <c r="N100" s="118"/>
      <c r="O100" s="118"/>
    </row>
    <row r="101" spans="1:15" x14ac:dyDescent="0.2">
      <c r="A101" s="118"/>
      <c r="B101" s="118"/>
      <c r="C101" s="118"/>
      <c r="D101" s="118"/>
      <c r="E101" s="118"/>
      <c r="F101" s="118"/>
      <c r="G101" s="118"/>
      <c r="H101" s="118"/>
      <c r="I101" s="118"/>
      <c r="J101" s="118"/>
      <c r="K101" s="118"/>
      <c r="L101" s="118"/>
      <c r="M101" s="118"/>
      <c r="N101" s="118"/>
      <c r="O101" s="118"/>
    </row>
    <row r="102" spans="1:15" x14ac:dyDescent="0.2">
      <c r="A102" s="118"/>
      <c r="B102" s="118"/>
      <c r="C102" s="118"/>
      <c r="D102" s="118"/>
      <c r="E102" s="118"/>
      <c r="F102" s="118"/>
      <c r="G102" s="118"/>
      <c r="H102" s="118"/>
      <c r="I102" s="118"/>
      <c r="J102" s="118"/>
      <c r="K102" s="118"/>
      <c r="L102" s="118"/>
      <c r="M102" s="118"/>
      <c r="N102" s="118"/>
      <c r="O102" s="118"/>
    </row>
    <row r="103" spans="1:15" x14ac:dyDescent="0.2">
      <c r="A103" s="118"/>
      <c r="B103" s="118"/>
      <c r="C103" s="118"/>
      <c r="D103" s="118"/>
      <c r="E103" s="118"/>
      <c r="F103" s="118"/>
      <c r="G103" s="118"/>
      <c r="H103" s="118"/>
      <c r="I103" s="118"/>
      <c r="J103" s="118"/>
      <c r="K103" s="118"/>
      <c r="L103" s="118"/>
      <c r="M103" s="118"/>
      <c r="N103" s="118"/>
      <c r="O103" s="118"/>
    </row>
    <row r="104" spans="1:15" x14ac:dyDescent="0.2">
      <c r="A104" s="118"/>
      <c r="B104" s="118"/>
      <c r="C104" s="118"/>
      <c r="D104" s="118"/>
      <c r="E104" s="118"/>
      <c r="F104" s="118"/>
      <c r="G104" s="118"/>
      <c r="H104" s="118"/>
      <c r="I104" s="118"/>
      <c r="J104" s="118"/>
      <c r="K104" s="118"/>
      <c r="L104" s="118"/>
      <c r="M104" s="118"/>
      <c r="N104" s="118"/>
      <c r="O104" s="118"/>
    </row>
    <row r="105" spans="1:15" x14ac:dyDescent="0.2">
      <c r="A105" s="118"/>
      <c r="B105" s="118"/>
      <c r="C105" s="118"/>
      <c r="D105" s="118"/>
      <c r="E105" s="118"/>
      <c r="F105" s="118"/>
      <c r="G105" s="118"/>
      <c r="H105" s="118"/>
      <c r="I105" s="118"/>
      <c r="J105" s="118"/>
      <c r="K105" s="118"/>
      <c r="L105" s="118"/>
      <c r="M105" s="118"/>
      <c r="N105" s="118"/>
      <c r="O105" s="118"/>
    </row>
    <row r="106" spans="1:15" x14ac:dyDescent="0.2">
      <c r="A106" s="118"/>
      <c r="B106" s="118"/>
      <c r="C106" s="118"/>
      <c r="D106" s="118"/>
      <c r="E106" s="118"/>
      <c r="F106" s="118"/>
      <c r="G106" s="118"/>
      <c r="H106" s="118"/>
      <c r="I106" s="118"/>
      <c r="J106" s="118"/>
      <c r="K106" s="118"/>
      <c r="L106" s="118"/>
      <c r="M106" s="118"/>
      <c r="N106" s="118"/>
      <c r="O106" s="118"/>
    </row>
    <row r="107" spans="1:15" x14ac:dyDescent="0.2">
      <c r="A107" s="118"/>
      <c r="B107" s="118"/>
      <c r="C107" s="118"/>
      <c r="D107" s="118"/>
      <c r="E107" s="118"/>
      <c r="F107" s="118"/>
      <c r="G107" s="118"/>
      <c r="H107" s="118"/>
      <c r="I107" s="118"/>
      <c r="J107" s="118"/>
      <c r="K107" s="118"/>
      <c r="L107" s="118"/>
      <c r="M107" s="118"/>
      <c r="N107" s="118"/>
      <c r="O107" s="118"/>
    </row>
    <row r="108" spans="1:15" x14ac:dyDescent="0.2">
      <c r="A108" s="118"/>
      <c r="B108" s="118"/>
      <c r="C108" s="118"/>
      <c r="D108" s="118"/>
      <c r="E108" s="118"/>
      <c r="F108" s="118"/>
      <c r="G108" s="118"/>
      <c r="H108" s="118"/>
      <c r="I108" s="118"/>
      <c r="J108" s="118"/>
      <c r="K108" s="118"/>
      <c r="L108" s="118"/>
      <c r="M108" s="118"/>
      <c r="N108" s="118"/>
      <c r="O108" s="118"/>
    </row>
    <row r="109" spans="1:15" x14ac:dyDescent="0.2">
      <c r="A109" s="118"/>
      <c r="B109" s="118"/>
      <c r="C109" s="118"/>
      <c r="D109" s="118"/>
      <c r="E109" s="118"/>
      <c r="F109" s="118"/>
      <c r="G109" s="118"/>
      <c r="H109" s="118"/>
      <c r="I109" s="118"/>
      <c r="J109" s="118"/>
      <c r="K109" s="118"/>
      <c r="L109" s="118"/>
      <c r="M109" s="118"/>
      <c r="N109" s="118"/>
      <c r="O109" s="118"/>
    </row>
    <row r="110" spans="1:15" x14ac:dyDescent="0.2">
      <c r="A110" s="118"/>
      <c r="B110" s="118"/>
      <c r="C110" s="118"/>
      <c r="D110" s="118"/>
      <c r="E110" s="118"/>
      <c r="F110" s="118"/>
      <c r="G110" s="118"/>
      <c r="H110" s="118"/>
      <c r="I110" s="118"/>
      <c r="J110" s="118"/>
      <c r="K110" s="118"/>
      <c r="L110" s="118"/>
      <c r="M110" s="118"/>
      <c r="N110" s="118"/>
      <c r="O110" s="118"/>
    </row>
    <row r="111" spans="1:15" x14ac:dyDescent="0.2">
      <c r="A111" s="118"/>
      <c r="B111" s="118"/>
      <c r="C111" s="118"/>
      <c r="D111" s="118"/>
      <c r="E111" s="118"/>
      <c r="F111" s="118"/>
      <c r="G111" s="118"/>
      <c r="H111" s="118"/>
      <c r="I111" s="118"/>
      <c r="J111" s="118"/>
      <c r="K111" s="118"/>
      <c r="L111" s="118"/>
      <c r="M111" s="118"/>
      <c r="N111" s="118"/>
      <c r="O111" s="118"/>
    </row>
    <row r="112" spans="1:15" x14ac:dyDescent="0.2">
      <c r="A112" s="118"/>
      <c r="B112" s="118"/>
      <c r="C112" s="118"/>
      <c r="D112" s="118"/>
      <c r="E112" s="118"/>
      <c r="F112" s="118"/>
      <c r="G112" s="118"/>
      <c r="H112" s="118"/>
      <c r="I112" s="118"/>
      <c r="J112" s="118"/>
      <c r="K112" s="118"/>
      <c r="L112" s="118"/>
      <c r="M112" s="118"/>
      <c r="N112" s="118"/>
      <c r="O112" s="118"/>
    </row>
    <row r="113" spans="1:15" x14ac:dyDescent="0.2">
      <c r="A113" s="118"/>
      <c r="B113" s="118"/>
      <c r="C113" s="118"/>
      <c r="D113" s="118"/>
      <c r="E113" s="118"/>
      <c r="F113" s="118"/>
      <c r="G113" s="118"/>
      <c r="H113" s="118"/>
      <c r="I113" s="118"/>
      <c r="J113" s="118"/>
      <c r="K113" s="118"/>
      <c r="L113" s="118"/>
      <c r="M113" s="118"/>
      <c r="N113" s="118"/>
      <c r="O113" s="118"/>
    </row>
    <row r="114" spans="1:15" x14ac:dyDescent="0.2">
      <c r="A114" s="118"/>
      <c r="B114" s="118"/>
      <c r="C114" s="118"/>
      <c r="D114" s="118"/>
      <c r="E114" s="118"/>
      <c r="F114" s="118"/>
      <c r="G114" s="118"/>
      <c r="H114" s="118"/>
      <c r="I114" s="118"/>
      <c r="J114" s="118"/>
      <c r="K114" s="118"/>
      <c r="L114" s="118"/>
      <c r="M114" s="118"/>
      <c r="N114" s="118"/>
      <c r="O114" s="118"/>
    </row>
    <row r="115" spans="1:15" x14ac:dyDescent="0.2">
      <c r="A115" s="118"/>
      <c r="B115" s="118"/>
      <c r="C115" s="118"/>
      <c r="D115" s="118"/>
      <c r="E115" s="118"/>
      <c r="F115" s="118"/>
      <c r="G115" s="118"/>
      <c r="H115" s="118"/>
      <c r="I115" s="118"/>
      <c r="J115" s="118"/>
      <c r="K115" s="118"/>
      <c r="L115" s="118"/>
      <c r="M115" s="118"/>
      <c r="N115" s="118"/>
      <c r="O115" s="118"/>
    </row>
    <row r="116" spans="1:15" x14ac:dyDescent="0.2">
      <c r="A116" s="118"/>
      <c r="B116" s="118"/>
      <c r="C116" s="118"/>
      <c r="D116" s="118"/>
      <c r="E116" s="118"/>
      <c r="F116" s="118"/>
      <c r="G116" s="118"/>
      <c r="H116" s="118"/>
      <c r="I116" s="118"/>
      <c r="J116" s="118"/>
      <c r="K116" s="118"/>
      <c r="L116" s="118"/>
      <c r="M116" s="118"/>
      <c r="N116" s="118"/>
      <c r="O116" s="118"/>
    </row>
    <row r="117" spans="1:15" x14ac:dyDescent="0.2">
      <c r="A117" s="118"/>
      <c r="B117" s="118"/>
      <c r="C117" s="118"/>
      <c r="D117" s="118"/>
      <c r="E117" s="118"/>
      <c r="F117" s="118"/>
      <c r="G117" s="118"/>
      <c r="H117" s="118"/>
      <c r="I117" s="118"/>
      <c r="J117" s="118"/>
      <c r="K117" s="118"/>
      <c r="L117" s="118"/>
      <c r="M117" s="118"/>
      <c r="N117" s="118"/>
      <c r="O117" s="118"/>
    </row>
    <row r="118" spans="1:15" x14ac:dyDescent="0.2">
      <c r="A118" s="118"/>
      <c r="B118" s="118"/>
      <c r="C118" s="118"/>
      <c r="D118" s="118"/>
      <c r="E118" s="118"/>
      <c r="F118" s="118"/>
      <c r="G118" s="118"/>
      <c r="H118" s="118"/>
      <c r="I118" s="118"/>
      <c r="J118" s="118"/>
      <c r="K118" s="118"/>
      <c r="L118" s="118"/>
      <c r="M118" s="118"/>
      <c r="N118" s="118"/>
      <c r="O118" s="118"/>
    </row>
    <row r="119" spans="1:15" x14ac:dyDescent="0.2">
      <c r="A119" s="118"/>
      <c r="B119" s="118"/>
      <c r="C119" s="118"/>
      <c r="D119" s="118"/>
      <c r="E119" s="118"/>
      <c r="F119" s="118"/>
      <c r="G119" s="118"/>
      <c r="H119" s="118"/>
      <c r="I119" s="118"/>
      <c r="J119" s="118"/>
      <c r="K119" s="118"/>
      <c r="L119" s="118"/>
      <c r="M119" s="118"/>
      <c r="N119" s="118"/>
      <c r="O119" s="118"/>
    </row>
    <row r="120" spans="1:15" x14ac:dyDescent="0.2">
      <c r="A120" s="118"/>
      <c r="B120" s="118"/>
      <c r="C120" s="118"/>
      <c r="D120" s="118"/>
      <c r="E120" s="118"/>
      <c r="F120" s="118"/>
      <c r="G120" s="118"/>
      <c r="H120" s="118"/>
      <c r="I120" s="118"/>
      <c r="J120" s="118"/>
      <c r="K120" s="118"/>
      <c r="L120" s="118"/>
      <c r="M120" s="118"/>
      <c r="N120" s="118"/>
      <c r="O120" s="118"/>
    </row>
    <row r="121" spans="1:15" x14ac:dyDescent="0.2">
      <c r="A121" s="118"/>
      <c r="B121" s="118"/>
      <c r="C121" s="118"/>
      <c r="D121" s="118"/>
      <c r="E121" s="118"/>
      <c r="F121" s="118"/>
      <c r="G121" s="118"/>
      <c r="H121" s="118"/>
      <c r="I121" s="118"/>
      <c r="J121" s="118"/>
      <c r="K121" s="118"/>
      <c r="L121" s="118"/>
      <c r="M121" s="118"/>
      <c r="N121" s="118"/>
      <c r="O121" s="118"/>
    </row>
    <row r="122" spans="1:15" x14ac:dyDescent="0.2">
      <c r="A122" s="118"/>
      <c r="B122" s="118"/>
      <c r="C122" s="118"/>
      <c r="D122" s="118"/>
      <c r="E122" s="118"/>
      <c r="F122" s="118"/>
      <c r="G122" s="118"/>
      <c r="H122" s="118"/>
      <c r="I122" s="118"/>
      <c r="J122" s="118"/>
      <c r="K122" s="118"/>
      <c r="L122" s="118"/>
      <c r="M122" s="118"/>
      <c r="N122" s="118"/>
      <c r="O122" s="118"/>
    </row>
    <row r="123" spans="1:15" x14ac:dyDescent="0.2">
      <c r="A123" s="118"/>
      <c r="B123" s="118"/>
      <c r="C123" s="118"/>
      <c r="D123" s="118"/>
      <c r="E123" s="118"/>
      <c r="F123" s="118"/>
      <c r="G123" s="118"/>
      <c r="H123" s="118"/>
      <c r="I123" s="118"/>
      <c r="J123" s="118"/>
      <c r="K123" s="118"/>
      <c r="L123" s="118"/>
      <c r="M123" s="118"/>
      <c r="N123" s="118"/>
      <c r="O123" s="118"/>
    </row>
    <row r="124" spans="1:15" x14ac:dyDescent="0.2">
      <c r="A124" s="118"/>
      <c r="B124" s="118"/>
      <c r="C124" s="118"/>
      <c r="D124" s="118"/>
      <c r="E124" s="118"/>
      <c r="F124" s="118"/>
      <c r="G124" s="118"/>
      <c r="H124" s="118"/>
      <c r="I124" s="118"/>
      <c r="J124" s="118"/>
      <c r="K124" s="118"/>
      <c r="L124" s="118"/>
      <c r="M124" s="118"/>
      <c r="N124" s="118"/>
      <c r="O124" s="118"/>
    </row>
    <row r="125" spans="1:15" x14ac:dyDescent="0.2">
      <c r="A125" s="118"/>
      <c r="B125" s="118"/>
      <c r="C125" s="118"/>
      <c r="D125" s="118"/>
      <c r="E125" s="118"/>
      <c r="F125" s="118"/>
      <c r="G125" s="118"/>
      <c r="H125" s="118"/>
      <c r="I125" s="118"/>
      <c r="J125" s="118"/>
      <c r="K125" s="118"/>
      <c r="L125" s="118"/>
      <c r="M125" s="118"/>
      <c r="N125" s="118"/>
      <c r="O125" s="118"/>
    </row>
    <row r="126" spans="1:15" x14ac:dyDescent="0.2">
      <c r="A126" s="118"/>
      <c r="B126" s="118"/>
      <c r="C126" s="118"/>
      <c r="D126" s="118"/>
      <c r="E126" s="118"/>
      <c r="F126" s="118"/>
      <c r="G126" s="118"/>
      <c r="H126" s="118"/>
      <c r="I126" s="118"/>
      <c r="J126" s="118"/>
      <c r="K126" s="118"/>
      <c r="L126" s="118"/>
      <c r="M126" s="118"/>
      <c r="N126" s="118"/>
      <c r="O126" s="118"/>
    </row>
    <row r="127" spans="1:15" x14ac:dyDescent="0.2">
      <c r="A127" s="118"/>
      <c r="B127" s="118"/>
      <c r="C127" s="118"/>
      <c r="D127" s="118"/>
      <c r="E127" s="118"/>
      <c r="F127" s="118"/>
      <c r="G127" s="118"/>
      <c r="H127" s="118"/>
      <c r="I127" s="118"/>
      <c r="J127" s="118"/>
      <c r="K127" s="118"/>
      <c r="L127" s="118"/>
      <c r="M127" s="118"/>
      <c r="N127" s="118"/>
      <c r="O127" s="118"/>
    </row>
    <row r="128" spans="1:15" x14ac:dyDescent="0.2">
      <c r="A128" s="118"/>
      <c r="B128" s="118"/>
      <c r="C128" s="118"/>
      <c r="D128" s="118"/>
      <c r="E128" s="118"/>
      <c r="F128" s="118"/>
      <c r="G128" s="118"/>
      <c r="H128" s="118"/>
      <c r="I128" s="118"/>
      <c r="J128" s="118"/>
      <c r="K128" s="118"/>
      <c r="L128" s="118"/>
      <c r="M128" s="118"/>
      <c r="N128" s="118"/>
      <c r="O128" s="118"/>
    </row>
    <row r="129" spans="1:15" x14ac:dyDescent="0.2">
      <c r="A129" s="118"/>
      <c r="B129" s="118"/>
      <c r="C129" s="118"/>
      <c r="D129" s="118"/>
      <c r="E129" s="118"/>
      <c r="F129" s="118"/>
      <c r="G129" s="118"/>
      <c r="H129" s="118"/>
      <c r="I129" s="118"/>
      <c r="J129" s="118"/>
      <c r="K129" s="118"/>
      <c r="L129" s="118"/>
      <c r="M129" s="118"/>
      <c r="N129" s="118"/>
      <c r="O129" s="118"/>
    </row>
    <row r="130" spans="1:15" x14ac:dyDescent="0.2">
      <c r="A130" s="118"/>
      <c r="B130" s="118"/>
      <c r="C130" s="118"/>
      <c r="D130" s="118"/>
      <c r="E130" s="118"/>
      <c r="F130" s="118"/>
      <c r="G130" s="118"/>
      <c r="H130" s="118"/>
      <c r="I130" s="118"/>
      <c r="J130" s="118"/>
      <c r="K130" s="118"/>
      <c r="L130" s="118"/>
      <c r="M130" s="118"/>
      <c r="N130" s="118"/>
      <c r="O130" s="118"/>
    </row>
    <row r="131" spans="1:15" x14ac:dyDescent="0.2">
      <c r="A131" s="118"/>
      <c r="B131" s="118"/>
      <c r="C131" s="118"/>
      <c r="D131" s="118"/>
      <c r="E131" s="118"/>
      <c r="F131" s="118"/>
      <c r="G131" s="118"/>
      <c r="H131" s="118"/>
      <c r="I131" s="118"/>
      <c r="J131" s="118"/>
      <c r="K131" s="118"/>
      <c r="L131" s="118"/>
      <c r="M131" s="118"/>
      <c r="N131" s="118"/>
      <c r="O131" s="118"/>
    </row>
    <row r="132" spans="1:15" x14ac:dyDescent="0.2">
      <c r="A132" s="118"/>
      <c r="B132" s="118"/>
      <c r="C132" s="118"/>
      <c r="D132" s="118"/>
      <c r="E132" s="118"/>
      <c r="F132" s="118"/>
      <c r="G132" s="118"/>
      <c r="H132" s="118"/>
      <c r="I132" s="118"/>
      <c r="J132" s="118"/>
      <c r="K132" s="118"/>
      <c r="L132" s="118"/>
      <c r="M132" s="118"/>
      <c r="N132" s="118"/>
      <c r="O132" s="118"/>
    </row>
    <row r="133" spans="1:15" x14ac:dyDescent="0.2">
      <c r="A133" s="118"/>
      <c r="B133" s="118"/>
      <c r="C133" s="118"/>
      <c r="D133" s="118"/>
      <c r="E133" s="118"/>
      <c r="F133" s="118"/>
      <c r="G133" s="118"/>
      <c r="H133" s="118"/>
      <c r="I133" s="118"/>
      <c r="J133" s="118"/>
      <c r="K133" s="118"/>
      <c r="L133" s="118"/>
      <c r="M133" s="118"/>
      <c r="N133" s="118"/>
      <c r="O133" s="118"/>
    </row>
    <row r="134" spans="1:15" x14ac:dyDescent="0.2">
      <c r="A134" s="118"/>
      <c r="B134" s="118"/>
      <c r="C134" s="118"/>
      <c r="D134" s="118"/>
      <c r="E134" s="118"/>
      <c r="F134" s="118"/>
      <c r="G134" s="118"/>
      <c r="H134" s="118"/>
      <c r="I134" s="118"/>
      <c r="J134" s="118"/>
      <c r="K134" s="118"/>
      <c r="L134" s="118"/>
      <c r="M134" s="118"/>
      <c r="N134" s="118"/>
      <c r="O134" s="118"/>
    </row>
    <row r="135" spans="1:15" x14ac:dyDescent="0.2">
      <c r="A135" s="118"/>
      <c r="B135" s="118"/>
      <c r="C135" s="118"/>
      <c r="D135" s="118"/>
      <c r="E135" s="118"/>
      <c r="F135" s="118"/>
      <c r="G135" s="118"/>
      <c r="H135" s="118"/>
      <c r="I135" s="118"/>
      <c r="J135" s="118"/>
      <c r="K135" s="118"/>
      <c r="L135" s="118"/>
      <c r="M135" s="118"/>
      <c r="N135" s="118"/>
      <c r="O135" s="118"/>
    </row>
    <row r="136" spans="1:15" x14ac:dyDescent="0.2">
      <c r="A136" s="118"/>
      <c r="B136" s="118"/>
      <c r="C136" s="118"/>
      <c r="D136" s="118"/>
      <c r="E136" s="118"/>
      <c r="F136" s="118"/>
      <c r="G136" s="118"/>
      <c r="H136" s="118"/>
      <c r="I136" s="118"/>
      <c r="J136" s="118"/>
      <c r="K136" s="118"/>
      <c r="L136" s="118"/>
      <c r="M136" s="118"/>
      <c r="N136" s="118"/>
      <c r="O136" s="118"/>
    </row>
    <row r="137" spans="1:15" x14ac:dyDescent="0.2">
      <c r="A137" s="118"/>
      <c r="B137" s="118"/>
      <c r="C137" s="118"/>
      <c r="D137" s="118"/>
      <c r="E137" s="118"/>
      <c r="F137" s="118"/>
      <c r="G137" s="118"/>
      <c r="H137" s="118"/>
      <c r="I137" s="118"/>
      <c r="J137" s="118"/>
      <c r="K137" s="118"/>
      <c r="L137" s="118"/>
      <c r="M137" s="118"/>
      <c r="N137" s="118"/>
      <c r="O137" s="118"/>
    </row>
    <row r="138" spans="1:15" x14ac:dyDescent="0.2">
      <c r="A138" s="118"/>
      <c r="B138" s="118"/>
      <c r="C138" s="118"/>
      <c r="D138" s="118"/>
      <c r="E138" s="118"/>
      <c r="F138" s="118"/>
      <c r="G138" s="118"/>
      <c r="H138" s="118"/>
      <c r="I138" s="118"/>
      <c r="J138" s="118"/>
      <c r="K138" s="118"/>
      <c r="L138" s="118"/>
      <c r="M138" s="118"/>
      <c r="N138" s="118"/>
      <c r="O138" s="118"/>
    </row>
    <row r="139" spans="1:15" x14ac:dyDescent="0.2">
      <c r="A139" s="118"/>
      <c r="B139" s="118"/>
      <c r="C139" s="118"/>
      <c r="D139" s="118"/>
      <c r="E139" s="118"/>
      <c r="F139" s="118"/>
      <c r="G139" s="118"/>
      <c r="H139" s="118"/>
      <c r="I139" s="118"/>
      <c r="J139" s="118"/>
      <c r="K139" s="118"/>
      <c r="L139" s="118"/>
      <c r="M139" s="118"/>
      <c r="N139" s="118"/>
      <c r="O139" s="118"/>
    </row>
    <row r="140" spans="1:15" x14ac:dyDescent="0.2">
      <c r="A140" s="118"/>
      <c r="B140" s="118"/>
      <c r="C140" s="118"/>
      <c r="D140" s="118"/>
      <c r="E140" s="118"/>
      <c r="F140" s="118"/>
      <c r="G140" s="118"/>
      <c r="H140" s="118"/>
      <c r="I140" s="118"/>
      <c r="J140" s="118"/>
      <c r="K140" s="118"/>
      <c r="L140" s="118"/>
      <c r="M140" s="118"/>
      <c r="N140" s="118"/>
      <c r="O140" s="118"/>
    </row>
    <row r="141" spans="1:15" x14ac:dyDescent="0.2">
      <c r="A141" s="118"/>
      <c r="B141" s="118"/>
      <c r="C141" s="118"/>
      <c r="D141" s="118"/>
      <c r="E141" s="118"/>
      <c r="F141" s="118"/>
      <c r="G141" s="118"/>
      <c r="H141" s="118"/>
      <c r="I141" s="118"/>
      <c r="J141" s="118"/>
      <c r="K141" s="118"/>
      <c r="L141" s="118"/>
      <c r="M141" s="118"/>
      <c r="N141" s="118"/>
      <c r="O141" s="118"/>
    </row>
    <row r="142" spans="1:15" x14ac:dyDescent="0.2">
      <c r="A142" s="118"/>
      <c r="B142" s="118"/>
      <c r="C142" s="118"/>
      <c r="D142" s="118"/>
      <c r="E142" s="118"/>
      <c r="F142" s="118"/>
      <c r="G142" s="118"/>
      <c r="H142" s="118"/>
      <c r="I142" s="118"/>
      <c r="J142" s="118"/>
      <c r="K142" s="118"/>
      <c r="L142" s="118"/>
      <c r="M142" s="118"/>
      <c r="N142" s="118"/>
      <c r="O142" s="118"/>
    </row>
    <row r="143" spans="1:15" x14ac:dyDescent="0.2">
      <c r="A143" s="118"/>
      <c r="B143" s="118"/>
      <c r="C143" s="118"/>
      <c r="D143" s="118"/>
      <c r="E143" s="118"/>
      <c r="F143" s="118"/>
      <c r="G143" s="118"/>
      <c r="H143" s="118"/>
      <c r="I143" s="118"/>
      <c r="J143" s="118"/>
      <c r="K143" s="118"/>
      <c r="L143" s="118"/>
      <c r="M143" s="118"/>
      <c r="N143" s="118"/>
      <c r="O143" s="118"/>
    </row>
    <row r="144" spans="1:15" x14ac:dyDescent="0.2">
      <c r="A144" s="118"/>
      <c r="B144" s="118"/>
      <c r="C144" s="118"/>
      <c r="D144" s="118"/>
      <c r="E144" s="118"/>
      <c r="F144" s="118"/>
      <c r="G144" s="118"/>
      <c r="H144" s="118"/>
      <c r="I144" s="118"/>
      <c r="J144" s="118"/>
      <c r="K144" s="118"/>
      <c r="L144" s="118"/>
      <c r="M144" s="118"/>
      <c r="N144" s="118"/>
      <c r="O144" s="118"/>
    </row>
    <row r="145" spans="1:15" x14ac:dyDescent="0.2">
      <c r="A145" s="118"/>
      <c r="B145" s="118"/>
      <c r="C145" s="118"/>
      <c r="D145" s="118"/>
      <c r="E145" s="118"/>
      <c r="F145" s="118"/>
      <c r="G145" s="118"/>
      <c r="H145" s="118"/>
      <c r="I145" s="118"/>
      <c r="J145" s="118"/>
      <c r="K145" s="118"/>
      <c r="L145" s="118"/>
      <c r="M145" s="118"/>
      <c r="N145" s="118"/>
      <c r="O145" s="118"/>
    </row>
    <row r="146" spans="1:15" x14ac:dyDescent="0.2">
      <c r="A146" s="118"/>
      <c r="B146" s="118"/>
      <c r="C146" s="118"/>
      <c r="D146" s="118"/>
      <c r="E146" s="118"/>
      <c r="F146" s="118"/>
      <c r="G146" s="118"/>
      <c r="H146" s="118"/>
      <c r="I146" s="118"/>
      <c r="J146" s="118"/>
      <c r="K146" s="118"/>
      <c r="L146" s="118"/>
      <c r="M146" s="118"/>
      <c r="N146" s="118"/>
      <c r="O146" s="118"/>
    </row>
    <row r="147" spans="1:15" x14ac:dyDescent="0.2">
      <c r="A147" s="118"/>
      <c r="B147" s="118"/>
      <c r="C147" s="118"/>
      <c r="D147" s="118"/>
      <c r="E147" s="118"/>
      <c r="F147" s="118"/>
      <c r="G147" s="118"/>
      <c r="H147" s="118"/>
      <c r="I147" s="118"/>
      <c r="J147" s="118"/>
      <c r="K147" s="118"/>
      <c r="L147" s="118"/>
      <c r="M147" s="118"/>
      <c r="N147" s="118"/>
      <c r="O147" s="118"/>
    </row>
    <row r="148" spans="1:15" x14ac:dyDescent="0.2">
      <c r="A148" s="118"/>
      <c r="B148" s="118"/>
      <c r="C148" s="118"/>
      <c r="D148" s="118"/>
      <c r="E148" s="118"/>
      <c r="F148" s="118"/>
      <c r="G148" s="118"/>
      <c r="H148" s="118"/>
      <c r="I148" s="118"/>
      <c r="J148" s="118"/>
      <c r="K148" s="118"/>
      <c r="L148" s="118"/>
      <c r="M148" s="118"/>
      <c r="N148" s="118"/>
      <c r="O148" s="118"/>
    </row>
    <row r="149" spans="1:15" x14ac:dyDescent="0.2">
      <c r="A149" s="118"/>
      <c r="B149" s="118"/>
      <c r="C149" s="118"/>
      <c r="D149" s="118"/>
      <c r="E149" s="118"/>
      <c r="F149" s="118"/>
      <c r="G149" s="118"/>
      <c r="H149" s="118"/>
      <c r="I149" s="118"/>
      <c r="J149" s="118"/>
      <c r="K149" s="118"/>
      <c r="L149" s="118"/>
      <c r="M149" s="118"/>
      <c r="N149" s="118"/>
      <c r="O149" s="118"/>
    </row>
    <row r="150" spans="1:15" x14ac:dyDescent="0.2">
      <c r="A150" s="118"/>
      <c r="B150" s="118"/>
      <c r="C150" s="118"/>
      <c r="D150" s="118"/>
      <c r="E150" s="118"/>
      <c r="F150" s="118"/>
      <c r="G150" s="118"/>
      <c r="H150" s="118"/>
      <c r="I150" s="118"/>
      <c r="J150" s="118"/>
      <c r="K150" s="118"/>
      <c r="L150" s="118"/>
      <c r="M150" s="118"/>
      <c r="N150" s="118"/>
      <c r="O150" s="118"/>
    </row>
    <row r="151" spans="1:15" x14ac:dyDescent="0.2">
      <c r="A151" s="118"/>
      <c r="B151" s="118"/>
      <c r="C151" s="118"/>
      <c r="D151" s="118"/>
      <c r="E151" s="118"/>
      <c r="F151" s="118"/>
      <c r="G151" s="118"/>
      <c r="H151" s="118"/>
      <c r="I151" s="118"/>
      <c r="J151" s="118"/>
      <c r="K151" s="118"/>
      <c r="L151" s="118"/>
      <c r="M151" s="118"/>
      <c r="N151" s="118"/>
      <c r="O151" s="118"/>
    </row>
    <row r="152" spans="1:15" x14ac:dyDescent="0.2">
      <c r="A152" s="118"/>
      <c r="B152" s="118"/>
      <c r="C152" s="118"/>
      <c r="D152" s="118"/>
      <c r="E152" s="118"/>
      <c r="F152" s="118"/>
      <c r="G152" s="118"/>
      <c r="H152" s="118"/>
      <c r="I152" s="118"/>
      <c r="J152" s="118"/>
      <c r="K152" s="118"/>
      <c r="L152" s="118"/>
      <c r="M152" s="118"/>
      <c r="N152" s="118"/>
      <c r="O152" s="118"/>
    </row>
    <row r="153" spans="1:15" x14ac:dyDescent="0.2">
      <c r="A153" s="118"/>
      <c r="B153" s="118"/>
      <c r="C153" s="118"/>
      <c r="D153" s="118"/>
      <c r="E153" s="118"/>
      <c r="F153" s="118"/>
      <c r="G153" s="118"/>
      <c r="H153" s="118"/>
      <c r="I153" s="118"/>
      <c r="J153" s="118"/>
      <c r="K153" s="118"/>
      <c r="L153" s="118"/>
      <c r="M153" s="118"/>
      <c r="N153" s="118"/>
      <c r="O153" s="118"/>
    </row>
    <row r="154" spans="1:15" x14ac:dyDescent="0.2">
      <c r="A154" s="118"/>
      <c r="B154" s="118"/>
      <c r="C154" s="118"/>
      <c r="D154" s="118"/>
      <c r="E154" s="118"/>
      <c r="F154" s="118"/>
      <c r="G154" s="118"/>
      <c r="H154" s="118"/>
      <c r="I154" s="118"/>
      <c r="J154" s="118"/>
      <c r="K154" s="118"/>
      <c r="L154" s="118"/>
      <c r="M154" s="118"/>
      <c r="N154" s="118"/>
      <c r="O154" s="118"/>
    </row>
    <row r="155" spans="1:15" x14ac:dyDescent="0.2">
      <c r="A155" s="118"/>
      <c r="B155" s="118"/>
      <c r="C155" s="118"/>
      <c r="D155" s="118"/>
      <c r="E155" s="118"/>
      <c r="F155" s="118"/>
      <c r="G155" s="118"/>
      <c r="H155" s="118"/>
      <c r="I155" s="118"/>
      <c r="J155" s="118"/>
      <c r="K155" s="118"/>
      <c r="L155" s="118"/>
      <c r="M155" s="118"/>
      <c r="N155" s="118"/>
      <c r="O155" s="118"/>
    </row>
    <row r="156" spans="1:15" x14ac:dyDescent="0.2">
      <c r="A156" s="118"/>
      <c r="B156" s="118"/>
      <c r="C156" s="118"/>
      <c r="D156" s="118"/>
      <c r="E156" s="118"/>
      <c r="F156" s="118"/>
      <c r="G156" s="118"/>
      <c r="H156" s="118"/>
      <c r="I156" s="118"/>
      <c r="J156" s="118"/>
      <c r="K156" s="118"/>
      <c r="L156" s="118"/>
      <c r="M156" s="118"/>
      <c r="N156" s="118"/>
      <c r="O156" s="118"/>
    </row>
    <row r="157" spans="1:15" x14ac:dyDescent="0.2">
      <c r="A157" s="118"/>
      <c r="B157" s="118"/>
      <c r="C157" s="118"/>
      <c r="D157" s="118"/>
      <c r="E157" s="118"/>
      <c r="F157" s="118"/>
      <c r="G157" s="118"/>
      <c r="H157" s="118"/>
      <c r="I157" s="118"/>
      <c r="J157" s="118"/>
      <c r="K157" s="118"/>
      <c r="L157" s="118"/>
      <c r="M157" s="118"/>
      <c r="N157" s="118"/>
      <c r="O157" s="118"/>
    </row>
    <row r="158" spans="1:15" x14ac:dyDescent="0.2">
      <c r="A158" s="118"/>
      <c r="B158" s="118"/>
      <c r="C158" s="118"/>
      <c r="D158" s="118"/>
      <c r="E158" s="118"/>
      <c r="F158" s="118"/>
      <c r="G158" s="118"/>
      <c r="H158" s="118"/>
      <c r="I158" s="118"/>
      <c r="J158" s="118"/>
      <c r="K158" s="118"/>
      <c r="L158" s="118"/>
      <c r="M158" s="118"/>
      <c r="N158" s="118"/>
      <c r="O158" s="118"/>
    </row>
    <row r="159" spans="1:15" x14ac:dyDescent="0.2">
      <c r="A159" s="118"/>
      <c r="B159" s="118"/>
      <c r="C159" s="118"/>
      <c r="D159" s="118"/>
      <c r="E159" s="118"/>
      <c r="F159" s="118"/>
      <c r="G159" s="118"/>
      <c r="H159" s="118"/>
      <c r="I159" s="118"/>
      <c r="J159" s="118"/>
      <c r="K159" s="118"/>
      <c r="L159" s="118"/>
      <c r="M159" s="118"/>
      <c r="N159" s="118"/>
      <c r="O159" s="118"/>
    </row>
    <row r="160" spans="1:15" x14ac:dyDescent="0.2">
      <c r="A160" s="118"/>
      <c r="B160" s="118"/>
      <c r="C160" s="118"/>
      <c r="D160" s="118"/>
      <c r="E160" s="118"/>
      <c r="F160" s="118"/>
      <c r="G160" s="118"/>
      <c r="H160" s="118"/>
      <c r="I160" s="118"/>
      <c r="J160" s="118"/>
      <c r="K160" s="118"/>
      <c r="L160" s="118"/>
      <c r="M160" s="118"/>
      <c r="N160" s="118"/>
      <c r="O160" s="118"/>
    </row>
    <row r="161" spans="1:15" x14ac:dyDescent="0.2">
      <c r="A161" s="118"/>
      <c r="B161" s="118"/>
      <c r="C161" s="118"/>
      <c r="D161" s="118"/>
      <c r="E161" s="118"/>
      <c r="F161" s="118"/>
      <c r="G161" s="118"/>
      <c r="H161" s="118"/>
      <c r="I161" s="118"/>
      <c r="J161" s="118"/>
      <c r="K161" s="118"/>
      <c r="L161" s="118"/>
      <c r="M161" s="118"/>
      <c r="N161" s="118"/>
      <c r="O161" s="118"/>
    </row>
    <row r="162" spans="1:15" x14ac:dyDescent="0.2">
      <c r="A162" s="118"/>
      <c r="B162" s="118"/>
      <c r="C162" s="118"/>
      <c r="D162" s="118"/>
      <c r="E162" s="118"/>
      <c r="F162" s="118"/>
      <c r="G162" s="118"/>
      <c r="H162" s="118"/>
      <c r="I162" s="118"/>
      <c r="J162" s="118"/>
      <c r="K162" s="118"/>
      <c r="L162" s="118"/>
      <c r="M162" s="118"/>
      <c r="N162" s="118"/>
      <c r="O162" s="118"/>
    </row>
    <row r="163" spans="1:15" x14ac:dyDescent="0.2">
      <c r="A163" s="118"/>
      <c r="B163" s="118"/>
      <c r="C163" s="118"/>
      <c r="D163" s="118"/>
      <c r="E163" s="118"/>
      <c r="F163" s="118"/>
      <c r="G163" s="118"/>
      <c r="H163" s="118"/>
      <c r="I163" s="118"/>
      <c r="J163" s="118"/>
      <c r="K163" s="118"/>
      <c r="L163" s="118"/>
      <c r="M163" s="118"/>
      <c r="N163" s="118"/>
      <c r="O163" s="118"/>
    </row>
    <row r="164" spans="1:15" x14ac:dyDescent="0.2">
      <c r="A164" s="118"/>
      <c r="B164" s="118"/>
      <c r="C164" s="118"/>
      <c r="D164" s="118"/>
      <c r="E164" s="118"/>
      <c r="F164" s="118"/>
      <c r="G164" s="118"/>
      <c r="H164" s="118"/>
      <c r="I164" s="118"/>
      <c r="J164" s="118"/>
      <c r="K164" s="118"/>
      <c r="L164" s="118"/>
      <c r="M164" s="118"/>
      <c r="N164" s="118"/>
      <c r="O164" s="118"/>
    </row>
    <row r="165" spans="1:15" x14ac:dyDescent="0.2">
      <c r="A165" s="118"/>
      <c r="B165" s="118"/>
      <c r="C165" s="118"/>
      <c r="D165" s="118"/>
      <c r="E165" s="118"/>
      <c r="F165" s="118"/>
      <c r="G165" s="118"/>
      <c r="H165" s="118"/>
      <c r="I165" s="118"/>
      <c r="J165" s="118"/>
      <c r="K165" s="118"/>
      <c r="L165" s="118"/>
      <c r="M165" s="118"/>
      <c r="N165" s="118"/>
      <c r="O165" s="118"/>
    </row>
    <row r="166" spans="1:15" x14ac:dyDescent="0.2">
      <c r="A166" s="118"/>
      <c r="B166" s="118"/>
      <c r="C166" s="118"/>
      <c r="D166" s="118"/>
      <c r="E166" s="118"/>
      <c r="F166" s="118"/>
      <c r="G166" s="118"/>
      <c r="H166" s="118"/>
      <c r="I166" s="118"/>
      <c r="J166" s="118"/>
      <c r="K166" s="118"/>
      <c r="L166" s="118"/>
      <c r="M166" s="118"/>
      <c r="N166" s="118"/>
      <c r="O166" s="118"/>
    </row>
    <row r="167" spans="1:15" x14ac:dyDescent="0.2">
      <c r="A167" s="118"/>
      <c r="B167" s="118"/>
      <c r="C167" s="118"/>
      <c r="D167" s="118"/>
      <c r="E167" s="118"/>
      <c r="F167" s="118"/>
      <c r="G167" s="118"/>
      <c r="H167" s="118"/>
      <c r="I167" s="118"/>
      <c r="J167" s="118"/>
      <c r="K167" s="118"/>
      <c r="L167" s="118"/>
      <c r="M167" s="118"/>
      <c r="N167" s="118"/>
      <c r="O167" s="118"/>
    </row>
    <row r="168" spans="1:15" x14ac:dyDescent="0.2">
      <c r="A168" s="118"/>
      <c r="B168" s="118"/>
      <c r="C168" s="118"/>
      <c r="D168" s="118"/>
      <c r="E168" s="118"/>
      <c r="F168" s="118"/>
      <c r="G168" s="118"/>
      <c r="H168" s="118"/>
      <c r="I168" s="118"/>
      <c r="J168" s="118"/>
      <c r="K168" s="118"/>
      <c r="L168" s="118"/>
      <c r="M168" s="118"/>
      <c r="N168" s="118"/>
      <c r="O168" s="118"/>
    </row>
    <row r="169" spans="1:15" x14ac:dyDescent="0.2">
      <c r="A169" s="118"/>
      <c r="B169" s="118"/>
      <c r="C169" s="118"/>
      <c r="D169" s="118"/>
      <c r="E169" s="118"/>
      <c r="F169" s="118"/>
      <c r="G169" s="118"/>
      <c r="H169" s="118"/>
      <c r="I169" s="118"/>
      <c r="J169" s="118"/>
      <c r="K169" s="118"/>
      <c r="L169" s="118"/>
      <c r="M169" s="118"/>
      <c r="N169" s="118"/>
      <c r="O169" s="118"/>
    </row>
    <row r="170" spans="1:15" x14ac:dyDescent="0.2">
      <c r="A170" s="118"/>
      <c r="B170" s="118"/>
      <c r="C170" s="118"/>
      <c r="D170" s="118"/>
      <c r="E170" s="118"/>
      <c r="F170" s="118"/>
      <c r="G170" s="118"/>
      <c r="H170" s="118"/>
      <c r="I170" s="118"/>
      <c r="J170" s="118"/>
      <c r="K170" s="118"/>
      <c r="L170" s="118"/>
      <c r="M170" s="118"/>
      <c r="N170" s="118"/>
      <c r="O170" s="118"/>
    </row>
    <row r="171" spans="1:15" x14ac:dyDescent="0.2">
      <c r="A171" s="118"/>
      <c r="B171" s="118"/>
      <c r="C171" s="118"/>
      <c r="D171" s="118"/>
      <c r="E171" s="118"/>
      <c r="F171" s="118"/>
      <c r="G171" s="118"/>
      <c r="H171" s="118"/>
      <c r="I171" s="118"/>
      <c r="J171" s="118"/>
      <c r="K171" s="118"/>
      <c r="L171" s="118"/>
      <c r="M171" s="118"/>
      <c r="N171" s="118"/>
      <c r="O171" s="118"/>
    </row>
    <row r="172" spans="1:15" x14ac:dyDescent="0.2">
      <c r="A172" s="118"/>
      <c r="B172" s="118"/>
      <c r="C172" s="118"/>
      <c r="D172" s="118"/>
      <c r="E172" s="118"/>
      <c r="F172" s="118"/>
      <c r="G172" s="118"/>
      <c r="H172" s="118"/>
      <c r="I172" s="118"/>
      <c r="J172" s="118"/>
      <c r="K172" s="118"/>
      <c r="L172" s="118"/>
      <c r="M172" s="118"/>
      <c r="N172" s="118"/>
      <c r="O172" s="118"/>
    </row>
    <row r="173" spans="1:15" x14ac:dyDescent="0.2">
      <c r="A173" s="118"/>
      <c r="B173" s="118"/>
      <c r="C173" s="118"/>
      <c r="D173" s="118"/>
      <c r="E173" s="118"/>
      <c r="F173" s="118"/>
      <c r="G173" s="118"/>
      <c r="H173" s="118"/>
      <c r="I173" s="118"/>
      <c r="J173" s="118"/>
      <c r="K173" s="118"/>
      <c r="L173" s="118"/>
      <c r="M173" s="118"/>
      <c r="N173" s="118"/>
      <c r="O173" s="118"/>
    </row>
    <row r="174" spans="1:15" x14ac:dyDescent="0.2">
      <c r="A174" s="118"/>
      <c r="B174" s="118"/>
      <c r="C174" s="118"/>
      <c r="D174" s="118"/>
      <c r="E174" s="118"/>
      <c r="F174" s="118"/>
      <c r="G174" s="118"/>
      <c r="H174" s="118"/>
      <c r="I174" s="118"/>
      <c r="J174" s="118"/>
      <c r="K174" s="118"/>
      <c r="L174" s="118"/>
      <c r="M174" s="118"/>
      <c r="N174" s="118"/>
      <c r="O174" s="118"/>
    </row>
    <row r="175" spans="1:15" x14ac:dyDescent="0.2">
      <c r="A175" s="118"/>
      <c r="B175" s="118"/>
      <c r="C175" s="118"/>
      <c r="D175" s="118"/>
      <c r="E175" s="118"/>
      <c r="F175" s="118"/>
      <c r="G175" s="118"/>
      <c r="H175" s="118"/>
      <c r="I175" s="118"/>
      <c r="J175" s="118"/>
      <c r="K175" s="118"/>
      <c r="L175" s="118"/>
      <c r="M175" s="118"/>
      <c r="N175" s="118"/>
      <c r="O175" s="118"/>
    </row>
    <row r="176" spans="1:15" x14ac:dyDescent="0.2">
      <c r="A176" s="118"/>
      <c r="B176" s="118"/>
      <c r="C176" s="118"/>
      <c r="D176" s="118"/>
      <c r="E176" s="118"/>
      <c r="F176" s="118"/>
      <c r="G176" s="118"/>
      <c r="H176" s="118"/>
      <c r="I176" s="118"/>
      <c r="J176" s="118"/>
      <c r="K176" s="118"/>
      <c r="L176" s="118"/>
      <c r="M176" s="118"/>
      <c r="N176" s="118"/>
      <c r="O176" s="118"/>
    </row>
    <row r="177" spans="1:15" x14ac:dyDescent="0.2">
      <c r="A177" s="118"/>
      <c r="B177" s="118"/>
      <c r="C177" s="118"/>
      <c r="D177" s="118"/>
      <c r="E177" s="118"/>
      <c r="F177" s="118"/>
      <c r="G177" s="118"/>
      <c r="H177" s="118"/>
      <c r="I177" s="118"/>
      <c r="J177" s="118"/>
      <c r="K177" s="118"/>
      <c r="L177" s="118"/>
      <c r="M177" s="118"/>
      <c r="N177" s="118"/>
      <c r="O177" s="118"/>
    </row>
    <row r="178" spans="1:15" x14ac:dyDescent="0.2">
      <c r="A178" s="118"/>
      <c r="B178" s="118"/>
      <c r="C178" s="118"/>
      <c r="D178" s="118"/>
      <c r="E178" s="118"/>
      <c r="F178" s="118"/>
      <c r="G178" s="118"/>
      <c r="H178" s="118"/>
      <c r="I178" s="118"/>
      <c r="J178" s="118"/>
      <c r="K178" s="118"/>
      <c r="L178" s="118"/>
      <c r="M178" s="118"/>
      <c r="N178" s="118"/>
      <c r="O178" s="118"/>
    </row>
    <row r="179" spans="1:15" x14ac:dyDescent="0.2">
      <c r="A179" s="118"/>
      <c r="B179" s="118"/>
      <c r="C179" s="118"/>
      <c r="D179" s="118"/>
      <c r="E179" s="118"/>
      <c r="F179" s="118"/>
      <c r="G179" s="118"/>
      <c r="H179" s="118"/>
      <c r="I179" s="118"/>
      <c r="J179" s="118"/>
      <c r="K179" s="118"/>
      <c r="L179" s="118"/>
      <c r="M179" s="118"/>
      <c r="N179" s="118"/>
      <c r="O179" s="118"/>
    </row>
    <row r="180" spans="1:15" x14ac:dyDescent="0.2">
      <c r="A180" s="118"/>
      <c r="B180" s="118"/>
      <c r="C180" s="118"/>
      <c r="D180" s="118"/>
      <c r="E180" s="118"/>
      <c r="F180" s="118"/>
      <c r="G180" s="118"/>
      <c r="H180" s="118"/>
      <c r="I180" s="118"/>
      <c r="J180" s="118"/>
      <c r="K180" s="118"/>
      <c r="L180" s="118"/>
      <c r="M180" s="118"/>
      <c r="N180" s="118"/>
      <c r="O180" s="118"/>
    </row>
    <row r="181" spans="1:15" x14ac:dyDescent="0.2">
      <c r="A181" s="118"/>
      <c r="B181" s="118"/>
      <c r="C181" s="118"/>
      <c r="D181" s="118"/>
      <c r="E181" s="118"/>
      <c r="F181" s="118"/>
      <c r="G181" s="118"/>
      <c r="H181" s="118"/>
      <c r="I181" s="118"/>
      <c r="J181" s="118"/>
      <c r="K181" s="118"/>
      <c r="L181" s="118"/>
      <c r="M181" s="118"/>
      <c r="N181" s="118"/>
      <c r="O181" s="118"/>
    </row>
    <row r="182" spans="1:15" x14ac:dyDescent="0.2">
      <c r="A182" s="118"/>
      <c r="B182" s="118"/>
      <c r="C182" s="118"/>
      <c r="D182" s="118"/>
      <c r="E182" s="118"/>
      <c r="F182" s="118"/>
      <c r="G182" s="118"/>
      <c r="H182" s="118"/>
      <c r="I182" s="118"/>
      <c r="J182" s="118"/>
      <c r="K182" s="118"/>
      <c r="L182" s="118"/>
      <c r="M182" s="118"/>
      <c r="N182" s="118"/>
      <c r="O182" s="118"/>
    </row>
    <row r="183" spans="1:15" x14ac:dyDescent="0.2">
      <c r="A183" s="118"/>
      <c r="B183" s="118"/>
      <c r="C183" s="118"/>
      <c r="D183" s="118"/>
      <c r="E183" s="118"/>
      <c r="F183" s="118"/>
      <c r="G183" s="118"/>
      <c r="H183" s="118"/>
      <c r="I183" s="118"/>
      <c r="J183" s="118"/>
      <c r="K183" s="118"/>
      <c r="L183" s="118"/>
      <c r="M183" s="118"/>
      <c r="N183" s="118"/>
      <c r="O183" s="118"/>
    </row>
    <row r="184" spans="1:15" x14ac:dyDescent="0.2">
      <c r="A184" s="118"/>
      <c r="B184" s="118"/>
      <c r="C184" s="118"/>
      <c r="D184" s="118"/>
      <c r="E184" s="118"/>
      <c r="F184" s="118"/>
      <c r="G184" s="118"/>
      <c r="H184" s="118"/>
      <c r="I184" s="118"/>
      <c r="J184" s="118"/>
      <c r="K184" s="118"/>
      <c r="L184" s="118"/>
      <c r="M184" s="118"/>
      <c r="N184" s="118"/>
      <c r="O184" s="118"/>
    </row>
    <row r="185" spans="1:15" x14ac:dyDescent="0.2">
      <c r="A185" s="118"/>
      <c r="B185" s="118"/>
      <c r="C185" s="118"/>
      <c r="D185" s="118"/>
      <c r="E185" s="118"/>
      <c r="F185" s="118"/>
      <c r="G185" s="118"/>
      <c r="H185" s="118"/>
      <c r="I185" s="118"/>
      <c r="J185" s="118"/>
      <c r="K185" s="118"/>
      <c r="L185" s="118"/>
      <c r="M185" s="118"/>
      <c r="N185" s="118"/>
      <c r="O185" s="118"/>
    </row>
    <row r="186" spans="1:15" x14ac:dyDescent="0.2">
      <c r="A186" s="118"/>
      <c r="B186" s="118"/>
      <c r="C186" s="118"/>
      <c r="D186" s="118"/>
      <c r="E186" s="118"/>
      <c r="F186" s="118"/>
      <c r="G186" s="118"/>
      <c r="H186" s="118"/>
      <c r="I186" s="118"/>
      <c r="J186" s="118"/>
      <c r="K186" s="118"/>
      <c r="L186" s="118"/>
      <c r="M186" s="118"/>
      <c r="N186" s="118"/>
      <c r="O186" s="118"/>
    </row>
    <row r="187" spans="1:15" x14ac:dyDescent="0.2">
      <c r="A187" s="118"/>
      <c r="B187" s="118"/>
      <c r="C187" s="118"/>
      <c r="D187" s="118"/>
      <c r="E187" s="118"/>
      <c r="F187" s="118"/>
      <c r="G187" s="118"/>
      <c r="H187" s="118"/>
      <c r="I187" s="118"/>
      <c r="J187" s="118"/>
      <c r="K187" s="118"/>
      <c r="L187" s="118"/>
      <c r="M187" s="118"/>
      <c r="N187" s="118"/>
      <c r="O187" s="118"/>
    </row>
    <row r="188" spans="1:15" x14ac:dyDescent="0.2">
      <c r="A188" s="118"/>
      <c r="B188" s="118"/>
      <c r="C188" s="118"/>
      <c r="D188" s="118"/>
      <c r="E188" s="118"/>
      <c r="F188" s="118"/>
      <c r="G188" s="118"/>
      <c r="H188" s="118"/>
      <c r="I188" s="118"/>
      <c r="J188" s="118"/>
      <c r="K188" s="118"/>
      <c r="L188" s="118"/>
      <c r="M188" s="118"/>
      <c r="N188" s="118"/>
      <c r="O188" s="118"/>
    </row>
    <row r="189" spans="1:15" x14ac:dyDescent="0.2">
      <c r="A189" s="118"/>
      <c r="B189" s="118"/>
      <c r="C189" s="118"/>
      <c r="D189" s="118"/>
      <c r="E189" s="118"/>
      <c r="F189" s="118"/>
      <c r="G189" s="118"/>
      <c r="H189" s="118"/>
      <c r="I189" s="118"/>
      <c r="J189" s="118"/>
      <c r="K189" s="118"/>
      <c r="L189" s="118"/>
      <c r="M189" s="118"/>
      <c r="N189" s="118"/>
      <c r="O189" s="118"/>
    </row>
    <row r="190" spans="1:15" x14ac:dyDescent="0.2">
      <c r="A190" s="118"/>
      <c r="B190" s="118"/>
      <c r="C190" s="118"/>
      <c r="D190" s="118"/>
      <c r="E190" s="118"/>
      <c r="F190" s="118"/>
      <c r="G190" s="118"/>
      <c r="H190" s="118"/>
      <c r="I190" s="118"/>
      <c r="J190" s="118"/>
      <c r="K190" s="118"/>
      <c r="L190" s="118"/>
      <c r="M190" s="118"/>
      <c r="N190" s="118"/>
      <c r="O190" s="118"/>
    </row>
    <row r="191" spans="1:15" x14ac:dyDescent="0.2">
      <c r="A191" s="118"/>
      <c r="B191" s="118"/>
      <c r="C191" s="118"/>
      <c r="D191" s="118"/>
      <c r="E191" s="118"/>
      <c r="F191" s="118"/>
      <c r="G191" s="118"/>
      <c r="H191" s="118"/>
      <c r="I191" s="118"/>
      <c r="J191" s="118"/>
      <c r="K191" s="118"/>
      <c r="L191" s="118"/>
      <c r="M191" s="118"/>
      <c r="N191" s="118"/>
      <c r="O191" s="118"/>
    </row>
    <row r="192" spans="1:15" x14ac:dyDescent="0.2">
      <c r="A192" s="118"/>
      <c r="B192" s="118"/>
      <c r="C192" s="118"/>
      <c r="D192" s="118"/>
      <c r="E192" s="118"/>
      <c r="F192" s="118"/>
      <c r="G192" s="118"/>
      <c r="H192" s="118"/>
      <c r="I192" s="118"/>
      <c r="J192" s="118"/>
      <c r="K192" s="118"/>
      <c r="L192" s="118"/>
      <c r="M192" s="118"/>
      <c r="N192" s="118"/>
      <c r="O192" s="118"/>
    </row>
    <row r="193" spans="1:15" x14ac:dyDescent="0.2">
      <c r="A193" s="118"/>
      <c r="B193" s="118"/>
      <c r="C193" s="118"/>
      <c r="D193" s="118"/>
      <c r="E193" s="118"/>
      <c r="F193" s="118"/>
      <c r="G193" s="118"/>
      <c r="H193" s="118"/>
      <c r="I193" s="118"/>
      <c r="J193" s="118"/>
      <c r="K193" s="118"/>
      <c r="L193" s="118"/>
      <c r="M193" s="118"/>
      <c r="N193" s="118"/>
      <c r="O193" s="118"/>
    </row>
    <row r="194" spans="1:15" x14ac:dyDescent="0.2">
      <c r="A194" s="118"/>
      <c r="B194" s="118"/>
      <c r="C194" s="118"/>
      <c r="D194" s="118"/>
      <c r="E194" s="118"/>
      <c r="F194" s="118"/>
      <c r="G194" s="118"/>
      <c r="H194" s="118"/>
      <c r="I194" s="118"/>
      <c r="J194" s="118"/>
      <c r="K194" s="118"/>
      <c r="L194" s="118"/>
      <c r="M194" s="118"/>
      <c r="N194" s="118"/>
      <c r="O194" s="118"/>
    </row>
    <row r="195" spans="1:15" x14ac:dyDescent="0.2">
      <c r="A195" s="118"/>
      <c r="B195" s="118"/>
      <c r="C195" s="118"/>
      <c r="D195" s="118"/>
      <c r="E195" s="118"/>
      <c r="F195" s="118"/>
      <c r="G195" s="118"/>
      <c r="H195" s="118"/>
      <c r="I195" s="118"/>
      <c r="J195" s="118"/>
      <c r="K195" s="118"/>
      <c r="L195" s="118"/>
      <c r="M195" s="118"/>
      <c r="N195" s="118"/>
      <c r="O195" s="118"/>
    </row>
    <row r="196" spans="1:15" x14ac:dyDescent="0.2">
      <c r="A196" s="118"/>
      <c r="B196" s="118"/>
      <c r="C196" s="118"/>
      <c r="D196" s="118"/>
      <c r="E196" s="118"/>
      <c r="F196" s="118"/>
      <c r="G196" s="118"/>
      <c r="H196" s="118"/>
      <c r="I196" s="118"/>
      <c r="J196" s="118"/>
      <c r="K196" s="118"/>
      <c r="L196" s="118"/>
      <c r="M196" s="118"/>
      <c r="N196" s="118"/>
      <c r="O196" s="118"/>
    </row>
    <row r="197" spans="1:15" x14ac:dyDescent="0.2">
      <c r="A197" s="118"/>
      <c r="B197" s="118"/>
      <c r="C197" s="118"/>
      <c r="D197" s="118"/>
      <c r="E197" s="118"/>
      <c r="F197" s="118"/>
      <c r="G197" s="118"/>
      <c r="H197" s="118"/>
      <c r="I197" s="118"/>
      <c r="J197" s="118"/>
      <c r="K197" s="118"/>
      <c r="L197" s="118"/>
      <c r="M197" s="118"/>
      <c r="N197" s="118"/>
      <c r="O197" s="118"/>
    </row>
    <row r="198" spans="1:15" x14ac:dyDescent="0.2">
      <c r="A198" s="118"/>
      <c r="B198" s="118"/>
      <c r="C198" s="118"/>
      <c r="D198" s="118"/>
      <c r="E198" s="118"/>
      <c r="F198" s="118"/>
      <c r="G198" s="118"/>
      <c r="H198" s="118"/>
      <c r="I198" s="118"/>
      <c r="J198" s="118"/>
      <c r="K198" s="118"/>
      <c r="L198" s="118"/>
      <c r="M198" s="118"/>
      <c r="N198" s="118"/>
      <c r="O198" s="118"/>
    </row>
    <row r="199" spans="1:15" x14ac:dyDescent="0.2">
      <c r="A199" s="118"/>
      <c r="B199" s="118"/>
      <c r="C199" s="118"/>
      <c r="D199" s="118"/>
      <c r="E199" s="118"/>
      <c r="F199" s="118"/>
      <c r="G199" s="118"/>
      <c r="H199" s="118"/>
      <c r="I199" s="118"/>
      <c r="J199" s="118"/>
      <c r="K199" s="118"/>
      <c r="L199" s="118"/>
      <c r="M199" s="118"/>
      <c r="N199" s="118"/>
      <c r="O199" s="118"/>
    </row>
    <row r="200" spans="1:15" x14ac:dyDescent="0.2">
      <c r="A200" s="235"/>
      <c r="B200" s="235"/>
      <c r="C200" s="235"/>
      <c r="D200" s="235"/>
      <c r="E200" s="235"/>
      <c r="F200" s="235"/>
      <c r="G200" s="235"/>
      <c r="H200" s="235"/>
      <c r="I200" s="235"/>
      <c r="J200" s="235"/>
      <c r="K200" s="235"/>
      <c r="L200" s="235"/>
      <c r="M200" s="235"/>
      <c r="N200" s="235"/>
      <c r="O200" s="235"/>
    </row>
    <row r="201" spans="1:15" x14ac:dyDescent="0.2">
      <c r="A201" s="118"/>
      <c r="B201" s="118"/>
      <c r="C201" s="118"/>
      <c r="D201" s="118"/>
      <c r="E201" s="118"/>
      <c r="F201" s="118"/>
      <c r="G201" s="118"/>
      <c r="H201" s="118"/>
      <c r="I201" s="118"/>
      <c r="J201" s="118"/>
      <c r="K201" s="118"/>
      <c r="L201" s="118"/>
      <c r="M201" s="118"/>
      <c r="N201" s="118"/>
      <c r="O201" s="118"/>
    </row>
    <row r="202" spans="1:15" x14ac:dyDescent="0.2">
      <c r="A202" s="118"/>
      <c r="B202" s="118"/>
      <c r="C202" s="118"/>
      <c r="D202" s="118"/>
      <c r="E202" s="118"/>
      <c r="F202" s="118"/>
      <c r="G202" s="118"/>
      <c r="H202" s="118"/>
      <c r="I202" s="118"/>
      <c r="J202" s="118"/>
      <c r="K202" s="118"/>
      <c r="L202" s="118"/>
      <c r="M202" s="118"/>
      <c r="N202" s="118"/>
      <c r="O202" s="118"/>
    </row>
    <row r="203" spans="1:15" x14ac:dyDescent="0.2">
      <c r="A203" s="118"/>
      <c r="B203" s="118"/>
      <c r="C203" s="118"/>
      <c r="D203" s="118"/>
      <c r="E203" s="118"/>
      <c r="F203" s="118"/>
      <c r="G203" s="118"/>
      <c r="H203" s="118"/>
      <c r="I203" s="118"/>
      <c r="J203" s="118"/>
      <c r="K203" s="118"/>
      <c r="L203" s="118"/>
      <c r="M203" s="118"/>
      <c r="N203" s="118"/>
      <c r="O203" s="118"/>
    </row>
    <row r="204" spans="1:15" x14ac:dyDescent="0.2">
      <c r="A204" s="118"/>
      <c r="B204" s="118"/>
      <c r="C204" s="118"/>
      <c r="D204" s="118"/>
      <c r="E204" s="118"/>
      <c r="F204" s="118"/>
      <c r="G204" s="118"/>
      <c r="H204" s="118"/>
      <c r="I204" s="118"/>
      <c r="J204" s="118"/>
      <c r="K204" s="118"/>
      <c r="L204" s="118"/>
      <c r="M204" s="118"/>
      <c r="N204" s="118"/>
      <c r="O204" s="118"/>
    </row>
    <row r="205" spans="1:15" x14ac:dyDescent="0.2">
      <c r="A205" s="118"/>
      <c r="B205" s="118"/>
      <c r="C205" s="118"/>
      <c r="D205" s="118"/>
      <c r="E205" s="118"/>
      <c r="F205" s="118"/>
      <c r="G205" s="118"/>
      <c r="H205" s="118"/>
      <c r="I205" s="118"/>
      <c r="J205" s="118"/>
      <c r="K205" s="118"/>
      <c r="L205" s="118"/>
      <c r="M205" s="118"/>
      <c r="N205" s="118"/>
      <c r="O205" s="118"/>
    </row>
    <row r="206" spans="1:15" x14ac:dyDescent="0.2">
      <c r="A206" s="118"/>
      <c r="B206" s="118"/>
      <c r="C206" s="118"/>
      <c r="D206" s="118"/>
      <c r="E206" s="118"/>
      <c r="F206" s="118"/>
      <c r="G206" s="118"/>
      <c r="H206" s="118"/>
      <c r="I206" s="118"/>
      <c r="J206" s="118"/>
      <c r="K206" s="118"/>
      <c r="L206" s="118"/>
      <c r="M206" s="118"/>
      <c r="N206" s="118"/>
      <c r="O206" s="118"/>
    </row>
    <row r="207" spans="1:15" x14ac:dyDescent="0.2">
      <c r="A207" s="118"/>
      <c r="B207" s="118"/>
      <c r="C207" s="118"/>
      <c r="D207" s="118"/>
      <c r="E207" s="118"/>
      <c r="F207" s="118"/>
      <c r="G207" s="118"/>
      <c r="H207" s="118"/>
      <c r="I207" s="118"/>
      <c r="J207" s="118"/>
      <c r="K207" s="118"/>
      <c r="L207" s="118"/>
      <c r="M207" s="118"/>
      <c r="N207" s="118"/>
      <c r="O207" s="118"/>
    </row>
  </sheetData>
  <mergeCells count="4">
    <mergeCell ref="J2:K2"/>
    <mergeCell ref="A1:H1"/>
    <mergeCell ref="A2:H3"/>
    <mergeCell ref="A6:O6"/>
  </mergeCells>
  <phoneticPr fontId="0" type="noConversion"/>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Sheet15.subscribeToPorts">
                <anchor moveWithCells="1">
                  <from>
                    <xdr:col>0</xdr:col>
                    <xdr:colOff>219075</xdr:colOff>
                    <xdr:row>1</xdr:row>
                    <xdr:rowOff>57150</xdr:rowOff>
                  </from>
                  <to>
                    <xdr:col>1</xdr:col>
                    <xdr:colOff>962025</xdr:colOff>
                    <xdr:row>2</xdr:row>
                    <xdr:rowOff>95250</xdr:rowOff>
                  </to>
                </anchor>
              </controlPr>
            </control>
          </mc:Choice>
        </mc:AlternateContent>
        <mc:AlternateContent xmlns:mc="http://schemas.openxmlformats.org/markup-compatibility/2006">
          <mc:Choice Requires="x14">
            <control shapeId="27650" r:id="rId5" name="Button 2">
              <controlPr defaultSize="0" print="0" autoFill="0" autoPict="0" macro="[0]!Sheet15.cancelPortsSubscription">
                <anchor moveWithCells="1" sizeWithCells="1">
                  <from>
                    <xdr:col>2</xdr:col>
                    <xdr:colOff>38100</xdr:colOff>
                    <xdr:row>1</xdr:row>
                    <xdr:rowOff>57150</xdr:rowOff>
                  </from>
                  <to>
                    <xdr:col>4</xdr:col>
                    <xdr:colOff>323850</xdr:colOff>
                    <xdr:row>2</xdr:row>
                    <xdr:rowOff>95250</xdr:rowOff>
                  </to>
                </anchor>
              </controlPr>
            </control>
          </mc:Choice>
        </mc:AlternateContent>
        <mc:AlternateContent xmlns:mc="http://schemas.openxmlformats.org/markup-compatibility/2006">
          <mc:Choice Requires="x14">
            <control shapeId="27651" r:id="rId6" name="Button 3">
              <controlPr defaultSize="0" print="0" autoFill="0" autoPict="0" macro="[0]!Sheet15.clearPorts">
                <anchor moveWithCells="1" sizeWithCells="1">
                  <from>
                    <xdr:col>4</xdr:col>
                    <xdr:colOff>638175</xdr:colOff>
                    <xdr:row>1</xdr:row>
                    <xdr:rowOff>57150</xdr:rowOff>
                  </from>
                  <to>
                    <xdr:col>6</xdr:col>
                    <xdr:colOff>466725</xdr:colOff>
                    <xdr:row>2</xdr:row>
                    <xdr:rowOff>95250</xdr:rowOff>
                  </to>
                </anchor>
              </controlPr>
            </control>
          </mc:Choice>
        </mc:AlternateContent>
        <mc:AlternateContent xmlns:mc="http://schemas.openxmlformats.org/markup-compatibility/2006">
          <mc:Choice Requires="x14">
            <control shapeId="27652" r:id="rId7" name="Button 4">
              <controlPr defaultSize="0" print="0" autoFill="0" autoPict="0" macro="[0]!Sheet15.onShowError">
                <anchor moveWithCells="1" sizeWithCells="1">
                  <from>
                    <xdr:col>6</xdr:col>
                    <xdr:colOff>790575</xdr:colOff>
                    <xdr:row>1</xdr:row>
                    <xdr:rowOff>57150</xdr:rowOff>
                  </from>
                  <to>
                    <xdr:col>7</xdr:col>
                    <xdr:colOff>628650</xdr:colOff>
                    <xdr:row>2</xdr:row>
                    <xdr:rowOff>95250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IV209"/>
  <sheetViews>
    <sheetView zoomScale="80" zoomScaleNormal="80" workbookViewId="0">
      <pane ySplit="9" topLeftCell="A10" activePane="bottomLeft" state="frozenSplit"/>
      <selection activeCell="Q35" sqref="Q35"/>
      <selection pane="bottomLeft" activeCell="Q35" sqref="Q35"/>
    </sheetView>
  </sheetViews>
  <sheetFormatPr defaultRowHeight="12.75" x14ac:dyDescent="0.2"/>
  <cols>
    <col min="1" max="1" width="14.5703125" customWidth="1"/>
    <col min="2" max="2" width="37" bestFit="1" customWidth="1"/>
    <col min="3" max="3" width="13.140625" bestFit="1" customWidth="1"/>
    <col min="4" max="4" width="35.7109375" customWidth="1"/>
    <col min="5" max="5" width="10.42578125" style="58" bestFit="1" customWidth="1"/>
    <col min="6" max="6" width="23.7109375" style="58" bestFit="1" customWidth="1"/>
    <col min="7" max="7" width="9.5703125" style="58" customWidth="1"/>
    <col min="8" max="8" width="16" style="58" customWidth="1"/>
    <col min="9" max="9" width="13.28515625" style="58" customWidth="1"/>
    <col min="10" max="10" width="11.85546875" customWidth="1"/>
    <col min="11" max="11" width="15.85546875" bestFit="1" customWidth="1"/>
    <col min="12" max="12" width="15" bestFit="1" customWidth="1"/>
    <col min="13" max="21" width="11.85546875" customWidth="1"/>
    <col min="22" max="22" width="13.140625" bestFit="1" customWidth="1"/>
    <col min="23" max="23" width="17.7109375" customWidth="1"/>
    <col min="24" max="24" width="13.140625" bestFit="1" customWidth="1"/>
    <col min="33" max="33" width="11.5703125" style="61" customWidth="1"/>
    <col min="34" max="34" width="10" style="61" bestFit="1" customWidth="1"/>
  </cols>
  <sheetData>
    <row r="1" spans="1:256" x14ac:dyDescent="0.2">
      <c r="A1" s="360" t="s">
        <v>48</v>
      </c>
      <c r="B1" s="274"/>
      <c r="C1" s="274"/>
      <c r="D1" s="275"/>
      <c r="E1" s="50"/>
      <c r="F1" s="50"/>
      <c r="G1" s="50"/>
      <c r="H1" s="26"/>
      <c r="I1" s="26"/>
      <c r="J1" s="26"/>
      <c r="K1" s="26"/>
      <c r="L1" s="26"/>
      <c r="M1" s="26"/>
      <c r="N1" s="26"/>
      <c r="O1" s="26"/>
      <c r="P1" s="26"/>
      <c r="Q1" s="26"/>
      <c r="R1" s="26"/>
      <c r="S1" s="26"/>
      <c r="T1" s="26"/>
      <c r="U1" s="26"/>
      <c r="V1" s="26"/>
      <c r="W1" s="26"/>
      <c r="X1" s="26"/>
      <c r="Y1" s="26"/>
      <c r="Z1" s="26"/>
      <c r="AA1" s="26"/>
      <c r="AG1"/>
      <c r="AH1"/>
    </row>
    <row r="2" spans="1:256" ht="28.5" customHeight="1" x14ac:dyDescent="0.2">
      <c r="A2" s="457"/>
      <c r="B2" s="277"/>
      <c r="C2" s="277"/>
      <c r="D2" s="278"/>
      <c r="E2" s="50"/>
      <c r="F2" s="458" t="s">
        <v>308</v>
      </c>
      <c r="G2" s="459"/>
      <c r="H2" s="459"/>
      <c r="I2" s="459"/>
      <c r="J2" s="459"/>
      <c r="K2" s="459"/>
      <c r="L2" s="460"/>
      <c r="O2" s="26"/>
      <c r="P2" s="26"/>
      <c r="Q2" s="26"/>
      <c r="R2" s="26"/>
      <c r="S2" s="26"/>
      <c r="T2" s="26"/>
      <c r="U2" s="26"/>
      <c r="V2" s="26"/>
      <c r="W2" s="26"/>
      <c r="X2" s="26"/>
      <c r="Y2" s="26"/>
      <c r="Z2" s="26"/>
      <c r="AG2"/>
      <c r="AH2"/>
    </row>
    <row r="3" spans="1:256" x14ac:dyDescent="0.2">
      <c r="A3" s="283"/>
      <c r="B3" s="283"/>
      <c r="C3" s="283"/>
      <c r="D3" s="283"/>
      <c r="E3" s="283"/>
      <c r="F3" s="283"/>
      <c r="G3" s="283"/>
      <c r="H3" s="283"/>
      <c r="I3" s="283"/>
      <c r="J3" s="19"/>
      <c r="K3" s="19"/>
      <c r="L3" s="19"/>
      <c r="M3" s="19"/>
      <c r="N3" s="19"/>
      <c r="O3" s="19"/>
      <c r="P3" s="19"/>
      <c r="Q3" s="19"/>
      <c r="R3" s="19"/>
      <c r="S3" s="19"/>
      <c r="T3" s="19"/>
      <c r="U3" s="19"/>
      <c r="V3" s="19"/>
      <c r="W3" s="19"/>
      <c r="X3" s="19"/>
      <c r="AG3"/>
      <c r="AH3"/>
    </row>
    <row r="4" spans="1:256" s="26" customFormat="1" x14ac:dyDescent="0.2">
      <c r="A4" s="86" t="s">
        <v>52</v>
      </c>
      <c r="B4" s="87"/>
      <c r="C4" s="87"/>
      <c r="D4" s="88"/>
      <c r="F4" s="74" t="s">
        <v>150</v>
      </c>
      <c r="G4" s="77">
        <v>10</v>
      </c>
      <c r="H4" s="18"/>
      <c r="J4"/>
      <c r="K4"/>
      <c r="L4"/>
      <c r="M4"/>
    </row>
    <row r="5" spans="1:256" s="26" customFormat="1" x14ac:dyDescent="0.2">
      <c r="A5" s="75" t="s">
        <v>59</v>
      </c>
      <c r="B5" s="179" t="s">
        <v>571</v>
      </c>
      <c r="C5" s="89"/>
      <c r="D5" s="115"/>
      <c r="F5" s="75" t="s">
        <v>151</v>
      </c>
      <c r="G5" s="23">
        <v>40</v>
      </c>
      <c r="H5" s="89"/>
      <c r="J5"/>
      <c r="K5"/>
      <c r="L5"/>
      <c r="M5"/>
    </row>
    <row r="6" spans="1:256" s="7" customFormat="1" x14ac:dyDescent="0.2">
      <c r="G6" s="26"/>
      <c r="H6" s="26"/>
      <c r="I6" s="26"/>
      <c r="J6"/>
      <c r="K6"/>
      <c r="L6"/>
      <c r="M6"/>
      <c r="N6" s="26"/>
      <c r="O6" s="26"/>
      <c r="P6" s="26"/>
      <c r="Q6" s="26"/>
      <c r="R6" s="26"/>
      <c r="S6" s="26"/>
      <c r="T6" s="26"/>
      <c r="U6" s="26"/>
      <c r="V6" s="26"/>
      <c r="W6" s="26"/>
      <c r="X6" s="26"/>
      <c r="Y6" s="26"/>
      <c r="Z6" s="26"/>
      <c r="AA6" s="26"/>
      <c r="AB6" s="26"/>
      <c r="AC6" s="26"/>
      <c r="AD6" s="26"/>
      <c r="AE6" s="26"/>
      <c r="AF6" s="26"/>
      <c r="AG6" s="26"/>
      <c r="AH6" s="26"/>
      <c r="AI6" s="26"/>
      <c r="AJ6" s="26"/>
      <c r="AK6" s="26"/>
      <c r="AL6" s="26"/>
      <c r="AM6" s="26"/>
      <c r="AN6" s="26"/>
      <c r="AO6" s="26"/>
      <c r="AP6" s="26"/>
      <c r="AQ6" s="26"/>
      <c r="AR6" s="26"/>
      <c r="AS6" s="26"/>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6"/>
      <c r="DD6" s="26"/>
      <c r="DE6" s="26"/>
      <c r="DF6" s="26"/>
      <c r="DG6" s="26"/>
      <c r="DH6" s="26"/>
      <c r="DI6" s="26"/>
      <c r="DJ6" s="26"/>
      <c r="DK6" s="26"/>
      <c r="DL6" s="26"/>
      <c r="DM6" s="26"/>
      <c r="DN6" s="26"/>
      <c r="DO6" s="26"/>
      <c r="DP6" s="26"/>
      <c r="DQ6" s="26"/>
      <c r="DR6" s="26"/>
      <c r="DS6" s="26"/>
      <c r="DT6" s="26"/>
      <c r="DU6" s="26"/>
      <c r="DV6" s="26"/>
      <c r="DW6" s="26"/>
      <c r="DX6" s="26"/>
      <c r="DY6" s="26"/>
      <c r="DZ6" s="26"/>
      <c r="EA6" s="26"/>
      <c r="EB6" s="26"/>
      <c r="EC6" s="26"/>
      <c r="ED6" s="26"/>
      <c r="EE6" s="26"/>
      <c r="EF6" s="26"/>
      <c r="EG6" s="26"/>
      <c r="EH6" s="26"/>
      <c r="EI6" s="26"/>
      <c r="EJ6" s="26"/>
      <c r="EK6" s="26"/>
      <c r="EL6" s="26"/>
      <c r="EM6" s="26"/>
      <c r="EN6" s="26"/>
      <c r="EO6" s="26"/>
      <c r="EP6" s="26"/>
      <c r="EQ6" s="26"/>
      <c r="ER6" s="26"/>
      <c r="ES6" s="26"/>
      <c r="ET6" s="26"/>
      <c r="EU6" s="26"/>
      <c r="EV6" s="26"/>
      <c r="EW6" s="26"/>
      <c r="EX6" s="26"/>
      <c r="EY6" s="26"/>
      <c r="EZ6" s="26"/>
      <c r="FA6" s="26"/>
      <c r="FB6" s="26"/>
      <c r="FC6" s="26"/>
      <c r="FD6" s="26"/>
      <c r="FE6" s="26"/>
      <c r="FF6" s="26"/>
      <c r="FG6" s="26"/>
      <c r="FH6" s="26"/>
      <c r="FI6" s="26"/>
      <c r="FJ6" s="26"/>
      <c r="FK6" s="26"/>
      <c r="FL6" s="26"/>
      <c r="FM6" s="26"/>
      <c r="FN6" s="26"/>
      <c r="FO6" s="26"/>
      <c r="FP6" s="26"/>
      <c r="FQ6" s="26"/>
      <c r="FR6" s="26"/>
      <c r="FS6" s="26"/>
      <c r="FT6" s="26"/>
      <c r="FU6" s="26"/>
      <c r="FV6" s="26"/>
      <c r="FW6" s="26"/>
      <c r="FX6" s="26"/>
      <c r="FY6" s="26"/>
      <c r="FZ6" s="26"/>
      <c r="GA6" s="26"/>
      <c r="GB6" s="26"/>
      <c r="GC6" s="26"/>
      <c r="GD6" s="26"/>
      <c r="GE6" s="26"/>
      <c r="GF6" s="26"/>
      <c r="GG6" s="26"/>
      <c r="GH6" s="26"/>
      <c r="GI6" s="26"/>
      <c r="GJ6" s="26"/>
      <c r="GK6" s="26"/>
      <c r="GL6" s="26"/>
      <c r="GM6" s="26"/>
      <c r="GN6" s="26"/>
      <c r="GO6" s="26"/>
      <c r="GP6" s="26"/>
      <c r="GQ6" s="26"/>
      <c r="GR6" s="26"/>
      <c r="GS6" s="26"/>
      <c r="GT6" s="26"/>
      <c r="GU6" s="26"/>
      <c r="GV6" s="26"/>
      <c r="GW6" s="26"/>
      <c r="GX6" s="26"/>
      <c r="GY6" s="26"/>
      <c r="GZ6" s="26"/>
      <c r="HA6" s="26"/>
      <c r="HB6" s="26"/>
      <c r="HC6" s="26"/>
      <c r="HD6" s="26"/>
      <c r="HE6" s="26"/>
      <c r="HF6" s="26"/>
      <c r="HG6" s="26"/>
      <c r="HH6" s="26"/>
      <c r="HI6" s="26"/>
      <c r="HJ6" s="26"/>
      <c r="HK6" s="26"/>
      <c r="HL6" s="26"/>
      <c r="HM6" s="26"/>
      <c r="HN6" s="26"/>
      <c r="HO6" s="26"/>
      <c r="HP6" s="26"/>
      <c r="HQ6" s="26"/>
      <c r="HR6" s="26"/>
      <c r="HS6" s="26"/>
      <c r="HT6" s="26"/>
      <c r="HU6" s="26"/>
      <c r="HV6" s="26"/>
      <c r="HW6" s="26"/>
      <c r="HX6" s="26"/>
      <c r="HY6" s="26"/>
      <c r="HZ6" s="26"/>
      <c r="IA6" s="26"/>
      <c r="IB6" s="26"/>
      <c r="IC6" s="26"/>
      <c r="ID6" s="26"/>
      <c r="IE6" s="26"/>
      <c r="IF6" s="26"/>
      <c r="IG6" s="26"/>
      <c r="IH6" s="26"/>
      <c r="II6" s="26"/>
      <c r="IJ6" s="26"/>
      <c r="IK6" s="26"/>
      <c r="IL6" s="26"/>
      <c r="IM6" s="26"/>
      <c r="IN6" s="26"/>
      <c r="IO6" s="26"/>
      <c r="IP6" s="26"/>
      <c r="IQ6" s="26"/>
      <c r="IR6" s="26"/>
      <c r="IS6" s="26"/>
      <c r="IT6" s="26"/>
      <c r="IU6" s="26"/>
      <c r="IV6" s="26"/>
    </row>
    <row r="7" spans="1:256" x14ac:dyDescent="0.2">
      <c r="A7" s="429" t="s">
        <v>225</v>
      </c>
      <c r="B7" s="289"/>
      <c r="C7" s="289"/>
      <c r="D7" s="289"/>
      <c r="E7" s="289"/>
      <c r="F7" s="289"/>
      <c r="G7" s="289"/>
      <c r="H7" s="289"/>
      <c r="I7" s="289"/>
      <c r="J7" s="289"/>
      <c r="K7" s="289"/>
      <c r="L7" s="289"/>
      <c r="M7" s="289"/>
      <c r="N7" s="289"/>
      <c r="O7" s="289"/>
      <c r="P7" s="289"/>
      <c r="Q7" s="289"/>
      <c r="R7" s="289"/>
      <c r="S7" s="289"/>
      <c r="T7" s="289"/>
      <c r="U7" s="289"/>
      <c r="V7" s="289"/>
      <c r="W7" s="266"/>
      <c r="X7" s="266"/>
      <c r="AG7"/>
      <c r="AH7"/>
    </row>
    <row r="8" spans="1:256" x14ac:dyDescent="0.2">
      <c r="A8" s="93" t="s">
        <v>23</v>
      </c>
      <c r="B8" s="93" t="s">
        <v>222</v>
      </c>
      <c r="C8" s="93" t="s">
        <v>262</v>
      </c>
      <c r="D8" s="94" t="s">
        <v>226</v>
      </c>
      <c r="E8" s="93" t="s">
        <v>227</v>
      </c>
      <c r="F8" s="93" t="s">
        <v>228</v>
      </c>
      <c r="G8" s="93" t="s">
        <v>242</v>
      </c>
      <c r="H8" s="93" t="s">
        <v>246</v>
      </c>
      <c r="I8" s="93" t="s">
        <v>35</v>
      </c>
      <c r="J8" s="93" t="s">
        <v>35</v>
      </c>
      <c r="K8" s="93" t="s">
        <v>248</v>
      </c>
      <c r="L8" s="93" t="s">
        <v>229</v>
      </c>
      <c r="M8" s="93" t="s">
        <v>231</v>
      </c>
      <c r="N8" s="93" t="s">
        <v>231</v>
      </c>
      <c r="O8" s="93" t="s">
        <v>234</v>
      </c>
      <c r="P8" s="93" t="s">
        <v>234</v>
      </c>
      <c r="Q8" s="93" t="s">
        <v>236</v>
      </c>
      <c r="R8" s="93" t="s">
        <v>236</v>
      </c>
      <c r="S8" s="93" t="s">
        <v>237</v>
      </c>
      <c r="T8" s="93" t="s">
        <v>237</v>
      </c>
      <c r="U8" s="93" t="s">
        <v>238</v>
      </c>
      <c r="V8" s="93" t="s">
        <v>238</v>
      </c>
      <c r="W8" s="93" t="s">
        <v>239</v>
      </c>
      <c r="X8" s="93" t="s">
        <v>240</v>
      </c>
      <c r="AG8"/>
      <c r="AH8"/>
      <c r="AK8" s="61"/>
    </row>
    <row r="9" spans="1:256" s="24" customFormat="1" x14ac:dyDescent="0.2">
      <c r="A9" s="93"/>
      <c r="B9" s="90"/>
      <c r="C9" s="90"/>
      <c r="D9" s="90"/>
      <c r="E9" s="90"/>
      <c r="F9" s="90"/>
      <c r="G9" s="90" t="s">
        <v>243</v>
      </c>
      <c r="H9" s="90" t="s">
        <v>247</v>
      </c>
      <c r="I9" s="90" t="s">
        <v>232</v>
      </c>
      <c r="J9" s="90" t="s">
        <v>233</v>
      </c>
      <c r="K9" s="90" t="s">
        <v>235</v>
      </c>
      <c r="L9" s="90" t="s">
        <v>230</v>
      </c>
      <c r="M9" s="90" t="s">
        <v>232</v>
      </c>
      <c r="N9" s="90" t="s">
        <v>233</v>
      </c>
      <c r="O9" s="90" t="s">
        <v>235</v>
      </c>
      <c r="P9" s="90" t="s">
        <v>233</v>
      </c>
      <c r="Q9" s="90" t="s">
        <v>235</v>
      </c>
      <c r="R9" s="90" t="s">
        <v>233</v>
      </c>
      <c r="S9" s="90" t="s">
        <v>235</v>
      </c>
      <c r="T9" s="90" t="s">
        <v>233</v>
      </c>
      <c r="U9" s="90" t="s">
        <v>235</v>
      </c>
      <c r="V9" s="90" t="s">
        <v>233</v>
      </c>
      <c r="W9" s="90" t="s">
        <v>181</v>
      </c>
      <c r="X9" s="90" t="s">
        <v>241</v>
      </c>
    </row>
    <row r="10" spans="1:256" x14ac:dyDescent="0.2">
      <c r="A10" s="6"/>
      <c r="B10" s="57" t="s">
        <v>358</v>
      </c>
      <c r="C10" s="13" t="b">
        <v>0</v>
      </c>
      <c r="D10" s="13" t="s">
        <v>358</v>
      </c>
      <c r="E10" s="13" t="s">
        <v>12</v>
      </c>
      <c r="F10" s="13" t="s">
        <v>485</v>
      </c>
      <c r="G10" s="13" t="s">
        <v>250</v>
      </c>
      <c r="H10" s="63">
        <v>20</v>
      </c>
      <c r="I10" s="63">
        <v>5</v>
      </c>
      <c r="J10" s="63"/>
      <c r="K10" s="63">
        <v>1000000</v>
      </c>
      <c r="L10" s="63">
        <v>200</v>
      </c>
      <c r="M10" s="13">
        <v>1000000000</v>
      </c>
      <c r="N10" s="13"/>
      <c r="O10" s="13"/>
      <c r="P10" s="13"/>
      <c r="Q10" s="13"/>
      <c r="R10" s="13"/>
      <c r="S10" s="13"/>
      <c r="T10" s="13"/>
      <c r="U10" s="13"/>
      <c r="V10" s="13"/>
      <c r="W10" s="13"/>
      <c r="X10" s="13"/>
      <c r="AG10"/>
      <c r="AH10"/>
    </row>
    <row r="11" spans="1:256" x14ac:dyDescent="0.2">
      <c r="A11" s="6"/>
      <c r="B11" s="57" t="s">
        <v>267</v>
      </c>
      <c r="C11" s="13" t="b">
        <v>0</v>
      </c>
      <c r="D11" s="13" t="s">
        <v>267</v>
      </c>
      <c r="E11" s="13" t="s">
        <v>12</v>
      </c>
      <c r="F11" s="13" t="s">
        <v>485</v>
      </c>
      <c r="G11" s="13" t="s">
        <v>250</v>
      </c>
      <c r="H11" s="63">
        <v>20</v>
      </c>
      <c r="I11" s="63">
        <v>5</v>
      </c>
      <c r="J11" s="63"/>
      <c r="K11" s="63">
        <v>1000000</v>
      </c>
      <c r="L11" s="63">
        <v>200</v>
      </c>
      <c r="M11" s="13">
        <v>1000000000</v>
      </c>
      <c r="N11" s="13"/>
      <c r="O11" s="13"/>
      <c r="P11" s="13"/>
      <c r="Q11" s="13"/>
      <c r="R11" s="13"/>
      <c r="S11" s="13"/>
      <c r="T11" s="13"/>
      <c r="U11" s="13"/>
      <c r="V11" s="13"/>
      <c r="W11" s="13"/>
      <c r="X11" s="13"/>
      <c r="AG11"/>
      <c r="AH11"/>
    </row>
    <row r="12" spans="1:256" x14ac:dyDescent="0.2">
      <c r="A12" s="6"/>
      <c r="B12" s="57" t="s">
        <v>268</v>
      </c>
      <c r="C12" s="13" t="b">
        <v>0</v>
      </c>
      <c r="D12" s="13" t="s">
        <v>268</v>
      </c>
      <c r="E12" s="13" t="s">
        <v>12</v>
      </c>
      <c r="F12" s="13" t="s">
        <v>485</v>
      </c>
      <c r="G12" s="13" t="s">
        <v>250</v>
      </c>
      <c r="H12" s="63">
        <v>20</v>
      </c>
      <c r="I12" s="63">
        <v>5</v>
      </c>
      <c r="J12" s="63"/>
      <c r="K12" s="63">
        <v>1000000</v>
      </c>
      <c r="L12" s="63">
        <v>200</v>
      </c>
      <c r="M12" s="13">
        <v>1000000000</v>
      </c>
      <c r="N12" s="13"/>
      <c r="O12" s="13"/>
      <c r="P12" s="13"/>
      <c r="Q12" s="13"/>
      <c r="R12" s="13"/>
      <c r="S12" s="13"/>
      <c r="T12" s="13"/>
      <c r="U12" s="13"/>
      <c r="V12" s="13"/>
      <c r="W12" s="13"/>
      <c r="X12" s="13"/>
      <c r="AG12"/>
      <c r="AH12"/>
    </row>
    <row r="13" spans="1:256" x14ac:dyDescent="0.2">
      <c r="A13" s="6"/>
      <c r="B13" s="57" t="s">
        <v>416</v>
      </c>
      <c r="C13" s="13" t="b">
        <v>0</v>
      </c>
      <c r="D13" s="13" t="s">
        <v>416</v>
      </c>
      <c r="E13" s="13" t="s">
        <v>12</v>
      </c>
      <c r="F13" s="13" t="s">
        <v>485</v>
      </c>
      <c r="G13" s="13" t="s">
        <v>250</v>
      </c>
      <c r="H13" s="63">
        <v>20</v>
      </c>
      <c r="I13" s="63">
        <v>5</v>
      </c>
      <c r="J13" s="63"/>
      <c r="K13" s="63">
        <v>1000000</v>
      </c>
      <c r="L13" s="63">
        <v>200</v>
      </c>
      <c r="M13" s="13">
        <v>1000000000</v>
      </c>
      <c r="N13" s="13"/>
      <c r="O13" s="13"/>
      <c r="P13" s="13"/>
      <c r="Q13" s="13"/>
      <c r="R13" s="13"/>
      <c r="S13" s="13"/>
      <c r="T13" s="13"/>
      <c r="U13" s="13"/>
      <c r="V13" s="13"/>
      <c r="W13" s="13"/>
      <c r="X13" s="13"/>
      <c r="AG13"/>
      <c r="AH13"/>
    </row>
    <row r="14" spans="1:256" x14ac:dyDescent="0.2">
      <c r="A14" s="6"/>
      <c r="B14" s="57" t="s">
        <v>269</v>
      </c>
      <c r="C14" s="13" t="b">
        <v>0</v>
      </c>
      <c r="D14" s="13" t="s">
        <v>269</v>
      </c>
      <c r="E14" s="13" t="s">
        <v>12</v>
      </c>
      <c r="F14" s="13" t="s">
        <v>485</v>
      </c>
      <c r="G14" s="13" t="s">
        <v>250</v>
      </c>
      <c r="H14" s="63">
        <v>20</v>
      </c>
      <c r="I14" s="63">
        <v>5</v>
      </c>
      <c r="J14" s="63"/>
      <c r="K14" s="63">
        <v>1000000</v>
      </c>
      <c r="L14" s="63">
        <v>200</v>
      </c>
      <c r="M14" s="13">
        <v>1000000000</v>
      </c>
      <c r="N14" s="13"/>
      <c r="O14" s="13"/>
      <c r="P14" s="13"/>
      <c r="Q14" s="13"/>
      <c r="R14" s="13"/>
      <c r="S14" s="13"/>
      <c r="T14" s="13"/>
      <c r="U14" s="13"/>
      <c r="V14" s="13"/>
      <c r="W14" s="13"/>
      <c r="X14" s="13"/>
      <c r="AG14"/>
      <c r="AH14"/>
    </row>
    <row r="15" spans="1:256" x14ac:dyDescent="0.2">
      <c r="A15" s="6"/>
      <c r="B15" s="57" t="s">
        <v>270</v>
      </c>
      <c r="C15" s="13" t="b">
        <v>0</v>
      </c>
      <c r="D15" s="13" t="s">
        <v>270</v>
      </c>
      <c r="E15" s="13" t="s">
        <v>12</v>
      </c>
      <c r="F15" s="13" t="s">
        <v>485</v>
      </c>
      <c r="G15" s="13" t="s">
        <v>250</v>
      </c>
      <c r="H15" s="63">
        <v>20</v>
      </c>
      <c r="I15" s="63">
        <v>5</v>
      </c>
      <c r="J15" s="63"/>
      <c r="K15" s="63">
        <v>1000000</v>
      </c>
      <c r="L15" s="63">
        <v>200</v>
      </c>
      <c r="M15" s="13">
        <v>1000000000</v>
      </c>
      <c r="N15" s="13"/>
      <c r="O15" s="13"/>
      <c r="P15" s="13"/>
      <c r="Q15" s="13"/>
      <c r="R15" s="13"/>
      <c r="S15" s="13"/>
      <c r="T15" s="13"/>
      <c r="U15" s="13"/>
      <c r="V15" s="13"/>
      <c r="W15" s="13"/>
      <c r="X15" s="13"/>
      <c r="AG15"/>
      <c r="AH15"/>
    </row>
    <row r="16" spans="1:256" x14ac:dyDescent="0.2">
      <c r="A16" s="6"/>
      <c r="B16" s="57" t="s">
        <v>271</v>
      </c>
      <c r="C16" s="13" t="b">
        <v>0</v>
      </c>
      <c r="D16" s="13" t="s">
        <v>271</v>
      </c>
      <c r="E16" s="13" t="s">
        <v>12</v>
      </c>
      <c r="F16" s="13" t="s">
        <v>485</v>
      </c>
      <c r="G16" s="13" t="s">
        <v>250</v>
      </c>
      <c r="H16" s="63">
        <v>20</v>
      </c>
      <c r="I16" s="63">
        <v>5</v>
      </c>
      <c r="J16" s="63"/>
      <c r="K16" s="63">
        <v>1000000</v>
      </c>
      <c r="L16" s="63">
        <v>200</v>
      </c>
      <c r="M16" s="13">
        <v>1000000000</v>
      </c>
      <c r="N16" s="13"/>
      <c r="O16" s="13"/>
      <c r="P16" s="13"/>
      <c r="Q16" s="13"/>
      <c r="R16" s="13"/>
      <c r="S16" s="13"/>
      <c r="T16" s="13"/>
      <c r="U16" s="13"/>
      <c r="V16" s="13"/>
      <c r="W16" s="13"/>
      <c r="X16" s="13"/>
      <c r="AG16"/>
      <c r="AH16"/>
    </row>
    <row r="17" spans="1:34" x14ac:dyDescent="0.2">
      <c r="A17" s="6"/>
      <c r="B17" s="57" t="s">
        <v>266</v>
      </c>
      <c r="C17" s="13" t="b">
        <v>0</v>
      </c>
      <c r="D17" s="13" t="s">
        <v>266</v>
      </c>
      <c r="E17" s="13" t="s">
        <v>12</v>
      </c>
      <c r="F17" s="13" t="s">
        <v>485</v>
      </c>
      <c r="G17" s="13" t="s">
        <v>250</v>
      </c>
      <c r="H17" s="63">
        <v>20</v>
      </c>
      <c r="I17" s="63">
        <v>5</v>
      </c>
      <c r="J17" s="63"/>
      <c r="K17" s="63">
        <v>1000000</v>
      </c>
      <c r="L17" s="63">
        <v>200</v>
      </c>
      <c r="M17" s="13">
        <v>1000000000</v>
      </c>
      <c r="N17" s="13"/>
      <c r="O17" s="13"/>
      <c r="P17" s="13"/>
      <c r="Q17" s="13"/>
      <c r="R17" s="13"/>
      <c r="S17" s="13"/>
      <c r="T17" s="13"/>
      <c r="U17" s="13"/>
      <c r="V17" s="13"/>
      <c r="W17" s="13"/>
      <c r="X17" s="13"/>
      <c r="AG17"/>
      <c r="AH17"/>
    </row>
    <row r="18" spans="1:34" x14ac:dyDescent="0.2">
      <c r="A18" s="6"/>
      <c r="B18" s="57" t="s">
        <v>272</v>
      </c>
      <c r="C18" s="13" t="b">
        <v>0</v>
      </c>
      <c r="D18" s="13" t="s">
        <v>272</v>
      </c>
      <c r="E18" s="13" t="s">
        <v>12</v>
      </c>
      <c r="F18" s="13" t="s">
        <v>485</v>
      </c>
      <c r="G18" s="13" t="s">
        <v>250</v>
      </c>
      <c r="H18" s="63">
        <v>20</v>
      </c>
      <c r="I18" s="63">
        <v>5</v>
      </c>
      <c r="J18" s="63"/>
      <c r="K18" s="63">
        <v>1000000</v>
      </c>
      <c r="L18" s="63">
        <v>200</v>
      </c>
      <c r="M18" s="13">
        <v>1000000000</v>
      </c>
      <c r="N18" s="13"/>
      <c r="O18" s="13"/>
      <c r="P18" s="13"/>
      <c r="Q18" s="13"/>
      <c r="R18" s="13"/>
      <c r="S18" s="13"/>
      <c r="T18" s="13"/>
      <c r="U18" s="13"/>
      <c r="V18" s="13"/>
      <c r="W18" s="13"/>
      <c r="X18" s="13"/>
      <c r="AG18"/>
      <c r="AH18"/>
    </row>
    <row r="19" spans="1:34" x14ac:dyDescent="0.2">
      <c r="A19" s="6"/>
      <c r="B19" s="57" t="s">
        <v>273</v>
      </c>
      <c r="C19" s="13" t="b">
        <v>0</v>
      </c>
      <c r="D19" s="13" t="s">
        <v>273</v>
      </c>
      <c r="E19" s="13" t="s">
        <v>12</v>
      </c>
      <c r="F19" s="13" t="s">
        <v>485</v>
      </c>
      <c r="G19" s="13" t="s">
        <v>250</v>
      </c>
      <c r="H19" s="63">
        <v>20</v>
      </c>
      <c r="I19" s="63">
        <v>5</v>
      </c>
      <c r="J19" s="63"/>
      <c r="K19" s="63">
        <v>1000000</v>
      </c>
      <c r="L19" s="63">
        <v>200</v>
      </c>
      <c r="M19" s="13">
        <v>1000000000</v>
      </c>
      <c r="N19" s="13"/>
      <c r="O19" s="13"/>
      <c r="P19" s="13"/>
      <c r="Q19" s="13"/>
      <c r="R19" s="13"/>
      <c r="S19" s="13"/>
      <c r="T19" s="13"/>
      <c r="U19" s="13"/>
      <c r="V19" s="13"/>
      <c r="W19" s="13"/>
      <c r="X19" s="13"/>
      <c r="AG19"/>
      <c r="AH19"/>
    </row>
    <row r="20" spans="1:34" x14ac:dyDescent="0.2">
      <c r="A20" s="6"/>
      <c r="B20" s="57" t="s">
        <v>361</v>
      </c>
      <c r="C20" s="13" t="b">
        <v>0</v>
      </c>
      <c r="D20" s="13" t="s">
        <v>359</v>
      </c>
      <c r="E20" s="13" t="s">
        <v>12</v>
      </c>
      <c r="F20" s="13" t="s">
        <v>485</v>
      </c>
      <c r="G20" s="13" t="s">
        <v>250</v>
      </c>
      <c r="H20" s="63">
        <v>20</v>
      </c>
      <c r="I20" s="63">
        <v>5</v>
      </c>
      <c r="J20" s="63"/>
      <c r="K20" s="63">
        <v>1000000</v>
      </c>
      <c r="L20" s="63">
        <v>200</v>
      </c>
      <c r="M20" s="13">
        <v>1000000000</v>
      </c>
      <c r="N20" s="13"/>
      <c r="O20" s="13"/>
      <c r="P20" s="13"/>
      <c r="Q20" s="13"/>
      <c r="R20" s="13"/>
      <c r="S20" s="13"/>
      <c r="T20" s="13"/>
      <c r="U20" s="13"/>
      <c r="V20" s="13"/>
      <c r="W20" s="13"/>
      <c r="X20" s="13"/>
      <c r="AG20"/>
      <c r="AH20"/>
    </row>
    <row r="21" spans="1:34" x14ac:dyDescent="0.2">
      <c r="A21" s="6"/>
      <c r="B21" s="57" t="s">
        <v>362</v>
      </c>
      <c r="C21" s="13" t="b">
        <v>0</v>
      </c>
      <c r="D21" s="13" t="s">
        <v>360</v>
      </c>
      <c r="E21" s="13" t="s">
        <v>12</v>
      </c>
      <c r="F21" s="13" t="s">
        <v>485</v>
      </c>
      <c r="G21" s="13" t="s">
        <v>250</v>
      </c>
      <c r="H21" s="63">
        <v>20</v>
      </c>
      <c r="I21" s="63">
        <v>5</v>
      </c>
      <c r="J21" s="63"/>
      <c r="K21" s="63">
        <v>1000000</v>
      </c>
      <c r="L21" s="63">
        <v>200</v>
      </c>
      <c r="M21" s="13">
        <v>1000000000</v>
      </c>
      <c r="N21" s="13"/>
      <c r="O21" s="13"/>
      <c r="P21" s="13"/>
      <c r="Q21" s="13"/>
      <c r="R21" s="13"/>
      <c r="S21" s="13"/>
      <c r="T21" s="13"/>
      <c r="U21" s="13"/>
      <c r="V21" s="13"/>
      <c r="W21" s="13"/>
      <c r="X21" s="13"/>
      <c r="AG21"/>
      <c r="AH21"/>
    </row>
    <row r="22" spans="1:34" x14ac:dyDescent="0.2">
      <c r="A22" s="6"/>
      <c r="B22" s="106" t="s">
        <v>252</v>
      </c>
      <c r="C22" s="13" t="b">
        <v>0</v>
      </c>
      <c r="D22" s="91" t="s">
        <v>249</v>
      </c>
      <c r="E22" s="91" t="s">
        <v>12</v>
      </c>
      <c r="F22" s="13" t="s">
        <v>485</v>
      </c>
      <c r="G22" s="91" t="s">
        <v>250</v>
      </c>
      <c r="H22" s="92">
        <v>20</v>
      </c>
      <c r="I22" s="92">
        <v>5</v>
      </c>
      <c r="J22" s="92"/>
      <c r="K22" s="92">
        <v>1000</v>
      </c>
      <c r="L22" s="92">
        <v>50</v>
      </c>
      <c r="M22" s="91">
        <v>10000000</v>
      </c>
      <c r="N22" s="91"/>
      <c r="O22" s="91"/>
      <c r="P22" s="91"/>
      <c r="Q22" s="91"/>
      <c r="R22" s="91"/>
      <c r="S22" s="91"/>
      <c r="T22" s="91"/>
      <c r="U22" s="91"/>
      <c r="V22" s="91"/>
      <c r="W22" s="91"/>
      <c r="X22" s="91"/>
      <c r="AG22"/>
      <c r="AH22"/>
    </row>
    <row r="23" spans="1:34" x14ac:dyDescent="0.2">
      <c r="A23" s="6"/>
      <c r="B23" s="57" t="s">
        <v>2</v>
      </c>
      <c r="C23" s="13" t="b">
        <v>0</v>
      </c>
      <c r="D23" s="13" t="s">
        <v>253</v>
      </c>
      <c r="E23" s="13" t="s">
        <v>12</v>
      </c>
      <c r="F23" s="13" t="s">
        <v>1</v>
      </c>
      <c r="G23" s="13" t="s">
        <v>251</v>
      </c>
      <c r="H23" s="63">
        <v>30</v>
      </c>
      <c r="I23" s="63">
        <v>5</v>
      </c>
      <c r="J23" s="63"/>
      <c r="K23" s="63"/>
      <c r="L23" s="63"/>
      <c r="M23" s="13"/>
      <c r="N23" s="13"/>
      <c r="O23" s="13"/>
      <c r="P23" s="13"/>
      <c r="Q23" s="13"/>
      <c r="R23" s="13"/>
      <c r="S23" s="13"/>
      <c r="T23" s="13"/>
      <c r="U23" s="13"/>
      <c r="V23" s="13"/>
      <c r="W23" s="13"/>
      <c r="X23" s="13"/>
      <c r="AG23"/>
      <c r="AH23"/>
    </row>
    <row r="24" spans="1:34" x14ac:dyDescent="0.2">
      <c r="A24" s="6"/>
      <c r="B24" s="57" t="s">
        <v>3</v>
      </c>
      <c r="C24" s="13" t="b">
        <v>0</v>
      </c>
      <c r="D24" s="13" t="s">
        <v>253</v>
      </c>
      <c r="E24" s="13" t="s">
        <v>12</v>
      </c>
      <c r="F24" s="13" t="s">
        <v>485</v>
      </c>
      <c r="G24" s="13" t="s">
        <v>251</v>
      </c>
      <c r="H24" s="63">
        <v>30</v>
      </c>
      <c r="I24" s="63">
        <v>5</v>
      </c>
      <c r="J24" s="63"/>
      <c r="K24" s="63"/>
      <c r="L24" s="63"/>
      <c r="M24" s="13"/>
      <c r="N24" s="13"/>
      <c r="O24" s="13"/>
      <c r="P24" s="13"/>
      <c r="Q24" s="13"/>
      <c r="R24" s="13"/>
      <c r="S24" s="13"/>
      <c r="T24" s="13"/>
      <c r="U24" s="13"/>
      <c r="V24" s="13"/>
      <c r="W24" s="13"/>
      <c r="X24" s="13"/>
      <c r="AG24"/>
      <c r="AH24"/>
    </row>
    <row r="25" spans="1:34" x14ac:dyDescent="0.2">
      <c r="A25" s="6"/>
      <c r="B25" s="57" t="s">
        <v>260</v>
      </c>
      <c r="C25" s="13" t="b">
        <v>0</v>
      </c>
      <c r="D25" s="13" t="s">
        <v>255</v>
      </c>
      <c r="E25" s="13" t="s">
        <v>254</v>
      </c>
      <c r="F25" s="13" t="s">
        <v>4</v>
      </c>
      <c r="G25" s="13"/>
      <c r="H25" s="63">
        <v>30</v>
      </c>
      <c r="I25" s="63">
        <v>5</v>
      </c>
      <c r="J25" s="63"/>
      <c r="K25" s="63"/>
      <c r="L25" s="63"/>
      <c r="M25" s="13"/>
      <c r="N25" s="13"/>
      <c r="O25" s="13"/>
      <c r="P25" s="13"/>
      <c r="Q25" s="13"/>
      <c r="R25" s="13"/>
      <c r="S25" s="13"/>
      <c r="T25" s="13"/>
      <c r="U25" s="13"/>
      <c r="V25" s="13"/>
      <c r="W25" s="13"/>
      <c r="X25" s="13"/>
      <c r="AG25"/>
      <c r="AH25"/>
    </row>
    <row r="26" spans="1:34" x14ac:dyDescent="0.2">
      <c r="A26" s="6"/>
      <c r="B26" s="57" t="s">
        <v>259</v>
      </c>
      <c r="C26" s="13" t="b">
        <v>0</v>
      </c>
      <c r="D26" s="13" t="s">
        <v>257</v>
      </c>
      <c r="E26" s="13" t="s">
        <v>12</v>
      </c>
      <c r="F26" s="13" t="s">
        <v>256</v>
      </c>
      <c r="G26" s="13" t="s">
        <v>250</v>
      </c>
      <c r="H26" s="63">
        <v>25</v>
      </c>
      <c r="I26" s="63">
        <v>5</v>
      </c>
      <c r="J26" s="63"/>
      <c r="K26" s="63"/>
      <c r="L26" s="63"/>
      <c r="M26" s="13"/>
      <c r="N26" s="13"/>
      <c r="O26" s="13"/>
      <c r="P26" s="13"/>
      <c r="Q26" s="13"/>
      <c r="R26" s="13"/>
      <c r="S26" s="13"/>
      <c r="T26" s="13"/>
      <c r="U26" s="13"/>
      <c r="V26" s="13"/>
      <c r="W26" s="13"/>
      <c r="X26" s="13"/>
      <c r="AG26"/>
      <c r="AH26"/>
    </row>
    <row r="27" spans="1:34" x14ac:dyDescent="0.2">
      <c r="A27" s="6"/>
      <c r="B27" s="57" t="s">
        <v>261</v>
      </c>
      <c r="C27" s="13" t="b">
        <v>0</v>
      </c>
      <c r="D27" s="13" t="s">
        <v>258</v>
      </c>
      <c r="E27" s="13" t="s">
        <v>12</v>
      </c>
      <c r="F27" s="13" t="s">
        <v>256</v>
      </c>
      <c r="G27" s="13" t="s">
        <v>245</v>
      </c>
      <c r="H27" s="63">
        <v>25</v>
      </c>
      <c r="I27" s="63">
        <v>5</v>
      </c>
      <c r="J27" s="63">
        <v>100</v>
      </c>
      <c r="K27" s="63"/>
      <c r="L27" s="63">
        <v>1000</v>
      </c>
      <c r="M27" s="91">
        <v>10000000</v>
      </c>
      <c r="N27" s="13"/>
      <c r="O27" s="13"/>
      <c r="P27" s="13"/>
      <c r="Q27" s="13"/>
      <c r="R27" s="13"/>
      <c r="S27" s="13"/>
      <c r="T27" s="13"/>
      <c r="U27" s="13"/>
      <c r="V27" s="13"/>
      <c r="W27" s="13"/>
      <c r="X27" s="13"/>
      <c r="AG27"/>
      <c r="AH27"/>
    </row>
    <row r="28" spans="1:34" x14ac:dyDescent="0.2">
      <c r="A28" s="6"/>
      <c r="B28" s="57" t="s">
        <v>6</v>
      </c>
      <c r="C28" s="13" t="b">
        <v>0</v>
      </c>
      <c r="D28" s="13" t="s">
        <v>249</v>
      </c>
      <c r="E28" s="13" t="s">
        <v>5</v>
      </c>
      <c r="F28" s="13" t="s">
        <v>5</v>
      </c>
      <c r="G28" s="13"/>
      <c r="H28" s="63">
        <v>40</v>
      </c>
      <c r="I28" s="63">
        <v>5</v>
      </c>
      <c r="J28" s="63"/>
      <c r="K28" s="63"/>
      <c r="L28" s="63"/>
      <c r="M28" s="13"/>
      <c r="N28" s="13"/>
      <c r="O28" s="13"/>
      <c r="P28" s="13"/>
      <c r="Q28" s="13"/>
      <c r="R28" s="13"/>
      <c r="S28" s="13"/>
      <c r="T28" s="13"/>
      <c r="U28" s="13"/>
      <c r="V28" s="13"/>
      <c r="W28" s="13"/>
      <c r="X28" s="13"/>
      <c r="AG28"/>
      <c r="AH28"/>
    </row>
    <row r="29" spans="1:34" x14ac:dyDescent="0.2">
      <c r="A29" s="6"/>
      <c r="B29" s="57" t="s">
        <v>7</v>
      </c>
      <c r="C29" s="181" t="b">
        <v>0</v>
      </c>
      <c r="D29" s="13" t="s">
        <v>249</v>
      </c>
      <c r="E29" s="5" t="s">
        <v>8</v>
      </c>
      <c r="F29" s="5" t="s">
        <v>0</v>
      </c>
      <c r="G29" s="5"/>
      <c r="H29" s="64">
        <v>20</v>
      </c>
      <c r="I29" s="63">
        <v>5</v>
      </c>
      <c r="J29" s="64"/>
      <c r="K29" s="64"/>
      <c r="L29" s="64"/>
      <c r="M29" s="13"/>
      <c r="N29" s="13"/>
      <c r="O29" s="13"/>
      <c r="P29" s="13"/>
      <c r="Q29" s="13"/>
      <c r="R29" s="13"/>
      <c r="S29" s="13"/>
      <c r="T29" s="13"/>
      <c r="U29" s="13"/>
      <c r="V29" s="13"/>
      <c r="W29" s="13"/>
      <c r="X29" s="13"/>
      <c r="AG29"/>
      <c r="AH29"/>
    </row>
    <row r="30" spans="1:34" x14ac:dyDescent="0.2">
      <c r="A30" s="6"/>
      <c r="B30" s="57" t="s">
        <v>410</v>
      </c>
      <c r="C30" s="13" t="b">
        <v>0</v>
      </c>
      <c r="D30" s="13" t="s">
        <v>410</v>
      </c>
      <c r="E30" s="13" t="s">
        <v>12</v>
      </c>
      <c r="F30" s="13" t="s">
        <v>485</v>
      </c>
      <c r="G30" s="13" t="s">
        <v>250</v>
      </c>
      <c r="H30" s="63">
        <v>25</v>
      </c>
      <c r="I30" s="63">
        <v>5</v>
      </c>
      <c r="J30" s="63"/>
      <c r="K30" s="63"/>
      <c r="L30" s="63"/>
      <c r="M30" s="13"/>
      <c r="N30" s="13"/>
      <c r="O30" s="13"/>
      <c r="P30" s="13"/>
      <c r="Q30" s="13"/>
      <c r="R30" s="13"/>
      <c r="S30" s="13"/>
      <c r="T30" s="13"/>
      <c r="U30" s="13"/>
      <c r="V30" s="13"/>
      <c r="W30" s="13"/>
      <c r="X30" s="13"/>
      <c r="AG30"/>
      <c r="AH30"/>
    </row>
    <row r="31" spans="1:34" x14ac:dyDescent="0.2">
      <c r="A31" s="6"/>
      <c r="B31" s="57" t="s">
        <v>411</v>
      </c>
      <c r="C31" s="13" t="b">
        <v>0</v>
      </c>
      <c r="D31" s="14" t="s">
        <v>411</v>
      </c>
      <c r="E31" s="14" t="s">
        <v>12</v>
      </c>
      <c r="F31" s="13" t="s">
        <v>485</v>
      </c>
      <c r="G31" s="14" t="s">
        <v>250</v>
      </c>
      <c r="H31" s="63">
        <v>25</v>
      </c>
      <c r="I31" s="63">
        <v>5</v>
      </c>
      <c r="J31" s="63"/>
      <c r="K31" s="63"/>
      <c r="L31" s="63"/>
      <c r="M31" s="13"/>
      <c r="N31" s="13"/>
      <c r="O31" s="13"/>
      <c r="P31" s="13"/>
      <c r="Q31" s="13"/>
      <c r="R31" s="13"/>
      <c r="S31" s="13"/>
      <c r="T31" s="13"/>
      <c r="U31" s="13"/>
      <c r="V31" s="13"/>
      <c r="W31" s="13"/>
      <c r="X31" s="13"/>
      <c r="AG31"/>
      <c r="AH31"/>
    </row>
    <row r="32" spans="1:34" x14ac:dyDescent="0.2">
      <c r="A32" s="6"/>
      <c r="B32" s="57" t="s">
        <v>412</v>
      </c>
      <c r="C32" s="13" t="b">
        <v>0</v>
      </c>
      <c r="D32" s="14" t="s">
        <v>412</v>
      </c>
      <c r="E32" s="14" t="s">
        <v>12</v>
      </c>
      <c r="F32" s="13" t="s">
        <v>485</v>
      </c>
      <c r="G32" s="14" t="s">
        <v>250</v>
      </c>
      <c r="H32" s="63">
        <v>25</v>
      </c>
      <c r="I32" s="63">
        <v>5</v>
      </c>
      <c r="J32" s="63"/>
      <c r="K32" s="63"/>
      <c r="L32" s="63"/>
      <c r="M32" s="63"/>
      <c r="N32" s="13"/>
      <c r="O32" s="13"/>
      <c r="P32" s="13"/>
      <c r="Q32" s="13"/>
      <c r="R32" s="13"/>
      <c r="S32" s="13"/>
      <c r="T32" s="13"/>
      <c r="U32" s="13"/>
      <c r="V32" s="13"/>
      <c r="W32" s="13"/>
      <c r="X32" s="13"/>
      <c r="AG32"/>
      <c r="AH32"/>
    </row>
    <row r="33" spans="1:34" x14ac:dyDescent="0.2">
      <c r="A33" s="6"/>
      <c r="B33" s="57" t="s">
        <v>413</v>
      </c>
      <c r="C33" s="13" t="b">
        <v>0</v>
      </c>
      <c r="D33" s="14" t="s">
        <v>413</v>
      </c>
      <c r="E33" s="14" t="s">
        <v>12</v>
      </c>
      <c r="F33" s="13" t="s">
        <v>485</v>
      </c>
      <c r="G33" s="14" t="s">
        <v>250</v>
      </c>
      <c r="H33" s="63">
        <v>25</v>
      </c>
      <c r="I33" s="63">
        <v>5</v>
      </c>
      <c r="J33" s="63"/>
      <c r="K33" s="63"/>
      <c r="L33" s="63"/>
      <c r="M33" s="63"/>
      <c r="N33" s="13"/>
      <c r="O33" s="13"/>
      <c r="P33" s="13"/>
      <c r="Q33" s="13"/>
      <c r="R33" s="13"/>
      <c r="S33" s="13"/>
      <c r="T33" s="13"/>
      <c r="U33" s="13"/>
      <c r="V33" s="13"/>
      <c r="W33" s="13"/>
      <c r="X33" s="13"/>
      <c r="AG33"/>
      <c r="AH33"/>
    </row>
    <row r="34" spans="1:34" x14ac:dyDescent="0.2">
      <c r="A34" s="6"/>
      <c r="B34" s="57" t="s">
        <v>414</v>
      </c>
      <c r="C34" s="13" t="b">
        <v>0</v>
      </c>
      <c r="D34" s="13" t="s">
        <v>414</v>
      </c>
      <c r="E34" s="14" t="s">
        <v>12</v>
      </c>
      <c r="F34" s="13" t="s">
        <v>485</v>
      </c>
      <c r="G34" s="14" t="s">
        <v>250</v>
      </c>
      <c r="H34" s="63">
        <v>25</v>
      </c>
      <c r="I34" s="63">
        <v>5</v>
      </c>
      <c r="J34" s="63"/>
      <c r="K34" s="63"/>
      <c r="L34" s="63"/>
      <c r="M34" s="63"/>
      <c r="N34" s="13"/>
      <c r="O34" s="13"/>
      <c r="P34" s="13"/>
      <c r="Q34" s="13"/>
      <c r="R34" s="13"/>
      <c r="S34" s="13"/>
      <c r="T34" s="13"/>
      <c r="U34" s="13"/>
      <c r="V34" s="13"/>
      <c r="W34" s="13"/>
      <c r="X34" s="13"/>
      <c r="AG34"/>
      <c r="AH34"/>
    </row>
    <row r="35" spans="1:34" x14ac:dyDescent="0.2">
      <c r="A35" s="6"/>
      <c r="B35" s="57" t="s">
        <v>415</v>
      </c>
      <c r="C35" s="13" t="b">
        <v>0</v>
      </c>
      <c r="D35" s="13" t="s">
        <v>415</v>
      </c>
      <c r="E35" s="14" t="s">
        <v>12</v>
      </c>
      <c r="F35" s="13" t="s">
        <v>485</v>
      </c>
      <c r="G35" s="14" t="s">
        <v>250</v>
      </c>
      <c r="H35" s="63">
        <v>25</v>
      </c>
      <c r="I35" s="63">
        <v>5</v>
      </c>
      <c r="J35" s="63"/>
      <c r="K35" s="63"/>
      <c r="L35" s="63"/>
      <c r="M35" s="63"/>
      <c r="N35" s="13"/>
      <c r="O35" s="13"/>
      <c r="P35" s="13"/>
      <c r="Q35" s="13"/>
      <c r="R35" s="13"/>
      <c r="S35" s="13"/>
      <c r="T35" s="13"/>
      <c r="U35" s="13"/>
      <c r="V35" s="13"/>
      <c r="W35" s="13"/>
      <c r="X35" s="13"/>
      <c r="AG35"/>
      <c r="AH35"/>
    </row>
    <row r="36" spans="1:34" x14ac:dyDescent="0.2">
      <c r="A36" s="6"/>
      <c r="B36" s="57" t="s">
        <v>417</v>
      </c>
      <c r="C36" s="13" t="b">
        <v>0</v>
      </c>
      <c r="D36" s="13" t="s">
        <v>417</v>
      </c>
      <c r="E36" s="14" t="s">
        <v>12</v>
      </c>
      <c r="F36" s="13" t="s">
        <v>485</v>
      </c>
      <c r="G36" s="14" t="s">
        <v>250</v>
      </c>
      <c r="H36" s="63">
        <v>25</v>
      </c>
      <c r="I36" s="63">
        <v>5</v>
      </c>
      <c r="J36" s="63"/>
      <c r="K36" s="63"/>
      <c r="L36" s="63"/>
      <c r="M36" s="63"/>
      <c r="N36" s="13"/>
      <c r="O36" s="13"/>
      <c r="P36" s="13"/>
      <c r="Q36" s="13"/>
      <c r="R36" s="13"/>
      <c r="S36" s="13"/>
      <c r="T36" s="13"/>
      <c r="U36" s="13"/>
      <c r="V36" s="13"/>
      <c r="W36" s="13"/>
      <c r="X36" s="13"/>
      <c r="AG36"/>
      <c r="AH36"/>
    </row>
    <row r="37" spans="1:34" x14ac:dyDescent="0.2">
      <c r="A37" s="6"/>
      <c r="B37" s="57" t="s">
        <v>418</v>
      </c>
      <c r="C37" s="13" t="b">
        <v>0</v>
      </c>
      <c r="D37" s="13" t="s">
        <v>418</v>
      </c>
      <c r="E37" s="14" t="s">
        <v>12</v>
      </c>
      <c r="F37" s="13" t="s">
        <v>485</v>
      </c>
      <c r="G37" s="14" t="s">
        <v>250</v>
      </c>
      <c r="H37" s="63">
        <v>25</v>
      </c>
      <c r="I37" s="63">
        <v>5</v>
      </c>
      <c r="J37" s="63"/>
      <c r="K37" s="63"/>
      <c r="L37" s="63"/>
      <c r="M37" s="63"/>
      <c r="N37" s="13"/>
      <c r="O37" s="13"/>
      <c r="P37" s="13"/>
      <c r="Q37" s="13"/>
      <c r="R37" s="13"/>
      <c r="S37" s="13"/>
      <c r="T37" s="13"/>
      <c r="U37" s="13"/>
      <c r="V37" s="13"/>
      <c r="W37" s="13"/>
      <c r="X37" s="13"/>
      <c r="AG37"/>
      <c r="AH37"/>
    </row>
    <row r="38" spans="1:34" x14ac:dyDescent="0.2">
      <c r="A38" s="6"/>
      <c r="B38" s="57" t="s">
        <v>419</v>
      </c>
      <c r="C38" s="13" t="b">
        <v>0</v>
      </c>
      <c r="D38" s="13" t="s">
        <v>419</v>
      </c>
      <c r="E38" s="14" t="s">
        <v>12</v>
      </c>
      <c r="F38" s="13" t="s">
        <v>485</v>
      </c>
      <c r="G38" s="14" t="s">
        <v>250</v>
      </c>
      <c r="H38" s="63">
        <v>25</v>
      </c>
      <c r="I38" s="63">
        <v>5</v>
      </c>
      <c r="J38" s="63"/>
      <c r="K38" s="63"/>
      <c r="L38" s="63"/>
      <c r="M38" s="63"/>
      <c r="N38" s="13"/>
      <c r="O38" s="13"/>
      <c r="P38" s="13"/>
      <c r="Q38" s="13"/>
      <c r="R38" s="13"/>
      <c r="S38" s="13"/>
      <c r="T38" s="13"/>
      <c r="U38" s="13"/>
      <c r="V38" s="13"/>
      <c r="W38" s="13"/>
      <c r="X38" s="13"/>
      <c r="AG38"/>
      <c r="AH38"/>
    </row>
    <row r="39" spans="1:34" x14ac:dyDescent="0.2">
      <c r="A39" s="6"/>
      <c r="B39" s="57" t="s">
        <v>420</v>
      </c>
      <c r="C39" s="13" t="b">
        <v>0</v>
      </c>
      <c r="D39" s="13" t="s">
        <v>420</v>
      </c>
      <c r="E39" s="14" t="s">
        <v>12</v>
      </c>
      <c r="F39" s="13" t="s">
        <v>485</v>
      </c>
      <c r="G39" s="14" t="s">
        <v>250</v>
      </c>
      <c r="H39" s="63">
        <v>25</v>
      </c>
      <c r="I39" s="63">
        <v>5</v>
      </c>
      <c r="J39" s="63"/>
      <c r="K39" s="63"/>
      <c r="L39" s="63"/>
      <c r="M39" s="63"/>
      <c r="N39" s="13"/>
      <c r="O39" s="13"/>
      <c r="P39" s="13"/>
      <c r="Q39" s="13"/>
      <c r="R39" s="13"/>
      <c r="S39" s="13"/>
      <c r="T39" s="13"/>
      <c r="U39" s="13"/>
      <c r="V39" s="13"/>
      <c r="W39" s="13"/>
      <c r="X39" s="13"/>
      <c r="AG39"/>
      <c r="AH39"/>
    </row>
    <row r="40" spans="1:34" x14ac:dyDescent="0.2">
      <c r="A40" s="6"/>
      <c r="B40" s="57" t="s">
        <v>421</v>
      </c>
      <c r="C40" s="13" t="b">
        <v>0</v>
      </c>
      <c r="D40" s="13" t="s">
        <v>421</v>
      </c>
      <c r="E40" s="14" t="s">
        <v>12</v>
      </c>
      <c r="F40" s="13" t="s">
        <v>485</v>
      </c>
      <c r="G40" s="14" t="s">
        <v>250</v>
      </c>
      <c r="H40" s="63">
        <v>25</v>
      </c>
      <c r="I40" s="63">
        <v>5</v>
      </c>
      <c r="J40" s="63"/>
      <c r="K40" s="63"/>
      <c r="L40" s="63"/>
      <c r="M40" s="63"/>
      <c r="N40" s="13"/>
      <c r="O40" s="13"/>
      <c r="P40" s="13"/>
      <c r="Q40" s="13"/>
      <c r="R40" s="13"/>
      <c r="S40" s="13"/>
      <c r="T40" s="13"/>
      <c r="U40" s="13"/>
      <c r="V40" s="13"/>
      <c r="W40" s="13"/>
      <c r="X40" s="13"/>
      <c r="AG40"/>
      <c r="AH40"/>
    </row>
    <row r="41" spans="1:34" x14ac:dyDescent="0.2">
      <c r="A41" s="6"/>
      <c r="B41" s="57" t="s">
        <v>422</v>
      </c>
      <c r="C41" s="13" t="b">
        <v>0</v>
      </c>
      <c r="D41" s="13" t="s">
        <v>422</v>
      </c>
      <c r="E41" s="14" t="s">
        <v>12</v>
      </c>
      <c r="F41" s="13" t="s">
        <v>485</v>
      </c>
      <c r="G41" s="14" t="s">
        <v>250</v>
      </c>
      <c r="H41" s="63">
        <v>25</v>
      </c>
      <c r="I41" s="63"/>
      <c r="J41" s="63"/>
      <c r="K41" s="63"/>
      <c r="L41" s="63"/>
      <c r="M41" s="63"/>
      <c r="N41" s="13"/>
      <c r="O41" s="13"/>
      <c r="P41" s="13"/>
      <c r="Q41" s="13"/>
      <c r="R41" s="13"/>
      <c r="S41" s="13"/>
      <c r="T41" s="13"/>
      <c r="U41" s="13"/>
      <c r="V41" s="13"/>
      <c r="W41" s="13"/>
      <c r="X41" s="13"/>
      <c r="AG41"/>
      <c r="AH41"/>
    </row>
    <row r="42" spans="1:34" x14ac:dyDescent="0.2">
      <c r="A42" s="6"/>
      <c r="B42" s="57" t="s">
        <v>269</v>
      </c>
      <c r="C42" s="13" t="b">
        <v>0</v>
      </c>
      <c r="D42" s="13" t="s">
        <v>269</v>
      </c>
      <c r="E42" s="14" t="s">
        <v>12</v>
      </c>
      <c r="F42" s="13" t="s">
        <v>485</v>
      </c>
      <c r="G42" s="14" t="s">
        <v>250</v>
      </c>
      <c r="H42" s="63">
        <v>25</v>
      </c>
      <c r="I42" s="63"/>
      <c r="J42" s="63"/>
      <c r="K42" s="63"/>
      <c r="L42" s="63"/>
      <c r="M42" s="63"/>
      <c r="N42" s="13"/>
      <c r="O42" s="13"/>
      <c r="P42" s="13"/>
      <c r="Q42" s="13"/>
      <c r="R42" s="13"/>
      <c r="S42" s="13"/>
      <c r="T42" s="13"/>
      <c r="U42" s="13"/>
      <c r="V42" s="13"/>
      <c r="W42" s="13"/>
      <c r="X42" s="13"/>
      <c r="AG42"/>
      <c r="AH42"/>
    </row>
    <row r="43" spans="1:34" x14ac:dyDescent="0.2">
      <c r="A43" s="6"/>
      <c r="B43" s="57" t="s">
        <v>270</v>
      </c>
      <c r="C43" s="13" t="b">
        <v>0</v>
      </c>
      <c r="D43" s="13" t="s">
        <v>270</v>
      </c>
      <c r="E43" s="14" t="s">
        <v>12</v>
      </c>
      <c r="F43" s="13" t="s">
        <v>485</v>
      </c>
      <c r="G43" s="14" t="s">
        <v>250</v>
      </c>
      <c r="H43" s="63">
        <v>25</v>
      </c>
      <c r="I43" s="63"/>
      <c r="J43" s="63"/>
      <c r="K43" s="63"/>
      <c r="L43" s="63"/>
      <c r="M43" s="63"/>
      <c r="N43" s="13"/>
      <c r="O43" s="13"/>
      <c r="P43" s="13"/>
      <c r="Q43" s="13"/>
      <c r="R43" s="13"/>
      <c r="S43" s="13"/>
      <c r="T43" s="13"/>
      <c r="U43" s="13"/>
      <c r="V43" s="13"/>
      <c r="W43" s="13"/>
      <c r="X43" s="13"/>
      <c r="AG43"/>
      <c r="AH43"/>
    </row>
    <row r="44" spans="1:34" x14ac:dyDescent="0.2">
      <c r="A44" s="6"/>
      <c r="B44" s="57"/>
      <c r="C44" s="13"/>
      <c r="D44" s="13"/>
      <c r="E44" s="14"/>
      <c r="F44" s="91"/>
      <c r="G44" s="14"/>
      <c r="H44" s="63"/>
      <c r="I44" s="63"/>
      <c r="J44" s="63"/>
      <c r="K44" s="63"/>
      <c r="L44" s="63"/>
      <c r="M44" s="63"/>
      <c r="N44" s="13"/>
      <c r="O44" s="13"/>
      <c r="P44" s="13"/>
      <c r="Q44" s="13"/>
      <c r="R44" s="13"/>
      <c r="S44" s="13"/>
      <c r="T44" s="13"/>
      <c r="U44" s="13"/>
      <c r="V44" s="13"/>
      <c r="W44" s="13"/>
      <c r="X44" s="13"/>
      <c r="AG44"/>
      <c r="AH44"/>
    </row>
    <row r="45" spans="1:34" x14ac:dyDescent="0.2">
      <c r="A45" s="6"/>
      <c r="B45" s="57"/>
      <c r="C45" s="13"/>
      <c r="D45" s="13"/>
      <c r="E45" s="14"/>
      <c r="F45" s="91"/>
      <c r="G45" s="14"/>
      <c r="H45" s="63"/>
      <c r="I45" s="63"/>
      <c r="J45" s="63"/>
      <c r="K45" s="63"/>
      <c r="L45" s="63"/>
      <c r="M45" s="63"/>
      <c r="N45" s="13"/>
      <c r="O45" s="13"/>
      <c r="P45" s="13"/>
      <c r="Q45" s="13"/>
      <c r="R45" s="13"/>
      <c r="S45" s="13"/>
      <c r="T45" s="13"/>
      <c r="U45" s="13"/>
      <c r="V45" s="13"/>
      <c r="W45" s="13"/>
      <c r="X45" s="13"/>
      <c r="AG45"/>
      <c r="AH45"/>
    </row>
    <row r="46" spans="1:34" x14ac:dyDescent="0.2">
      <c r="A46" s="6"/>
      <c r="B46" s="57"/>
      <c r="C46" s="13"/>
      <c r="D46" s="13"/>
      <c r="E46" s="14"/>
      <c r="F46" s="91"/>
      <c r="G46" s="14"/>
      <c r="H46" s="63"/>
      <c r="I46" s="63"/>
      <c r="J46" s="63"/>
      <c r="K46" s="63"/>
      <c r="L46" s="63"/>
      <c r="M46" s="63"/>
      <c r="N46" s="13"/>
      <c r="O46" s="13"/>
      <c r="P46" s="13"/>
      <c r="Q46" s="13"/>
      <c r="R46" s="13"/>
      <c r="S46" s="13"/>
      <c r="T46" s="13"/>
      <c r="U46" s="13"/>
      <c r="V46" s="13"/>
      <c r="W46" s="13"/>
      <c r="X46" s="13"/>
      <c r="AG46"/>
      <c r="AH46"/>
    </row>
    <row r="47" spans="1:34" x14ac:dyDescent="0.2">
      <c r="A47" s="6"/>
      <c r="B47" s="57"/>
      <c r="C47" s="13"/>
      <c r="D47" s="13"/>
      <c r="E47" s="14"/>
      <c r="F47" s="91"/>
      <c r="G47" s="14"/>
      <c r="H47" s="63"/>
      <c r="I47" s="63"/>
      <c r="J47" s="63"/>
      <c r="K47" s="63"/>
      <c r="L47" s="63"/>
      <c r="M47" s="63"/>
      <c r="N47" s="13"/>
      <c r="O47" s="13"/>
      <c r="P47" s="13"/>
      <c r="Q47" s="13"/>
      <c r="R47" s="13"/>
      <c r="S47" s="13"/>
      <c r="T47" s="13"/>
      <c r="U47" s="13"/>
      <c r="V47" s="13"/>
      <c r="W47" s="13"/>
      <c r="X47" s="13"/>
      <c r="AG47"/>
      <c r="AH47"/>
    </row>
    <row r="48" spans="1:34" x14ac:dyDescent="0.2">
      <c r="A48" s="6"/>
      <c r="B48" s="57"/>
      <c r="C48" s="13"/>
      <c r="D48" s="13"/>
      <c r="E48" s="14"/>
      <c r="F48" s="91"/>
      <c r="G48" s="14"/>
      <c r="H48" s="63"/>
      <c r="I48" s="63"/>
      <c r="J48" s="63"/>
      <c r="K48" s="63"/>
      <c r="L48" s="63"/>
      <c r="M48" s="63"/>
      <c r="N48" s="13"/>
      <c r="O48" s="13"/>
      <c r="P48" s="13"/>
      <c r="Q48" s="13"/>
      <c r="R48" s="13"/>
      <c r="S48" s="13"/>
      <c r="T48" s="13"/>
      <c r="U48" s="13"/>
      <c r="V48" s="13"/>
      <c r="W48" s="13"/>
      <c r="X48" s="13"/>
      <c r="AG48"/>
      <c r="AH48"/>
    </row>
    <row r="49" spans="1:34" x14ac:dyDescent="0.2">
      <c r="A49" s="6"/>
      <c r="B49" s="186"/>
      <c r="C49" s="13"/>
      <c r="D49" s="13"/>
      <c r="E49" s="14"/>
      <c r="F49" s="91"/>
      <c r="G49" s="14"/>
      <c r="H49" s="63"/>
      <c r="I49" s="63"/>
      <c r="J49" s="63"/>
      <c r="K49" s="63"/>
      <c r="L49" s="63"/>
      <c r="M49" s="63"/>
      <c r="N49" s="13"/>
      <c r="O49" s="13"/>
      <c r="P49" s="13"/>
      <c r="Q49" s="13"/>
      <c r="R49" s="13"/>
      <c r="S49" s="13"/>
      <c r="T49" s="13"/>
      <c r="U49" s="13"/>
      <c r="V49" s="13"/>
      <c r="W49" s="13"/>
      <c r="X49" s="13"/>
      <c r="AG49"/>
      <c r="AH49"/>
    </row>
    <row r="50" spans="1:34" x14ac:dyDescent="0.2">
      <c r="A50" s="6"/>
      <c r="B50" s="57"/>
      <c r="C50" s="13"/>
      <c r="D50" s="13"/>
      <c r="E50" s="14"/>
      <c r="F50" s="91"/>
      <c r="G50" s="14"/>
      <c r="H50" s="63"/>
      <c r="I50" s="63"/>
      <c r="J50" s="63"/>
      <c r="K50" s="63"/>
      <c r="L50" s="63"/>
      <c r="M50" s="63"/>
      <c r="N50" s="13"/>
      <c r="O50" s="13"/>
      <c r="P50" s="13"/>
      <c r="Q50" s="13"/>
      <c r="R50" s="13"/>
      <c r="S50" s="13"/>
      <c r="T50" s="13"/>
      <c r="U50" s="13"/>
      <c r="V50" s="13"/>
      <c r="W50" s="13"/>
      <c r="X50" s="13"/>
      <c r="AG50"/>
      <c r="AH50"/>
    </row>
    <row r="51" spans="1:34" x14ac:dyDescent="0.2">
      <c r="A51" s="6"/>
      <c r="B51" s="57"/>
      <c r="C51" s="13"/>
      <c r="D51" s="13"/>
      <c r="E51" s="13"/>
      <c r="F51" s="13"/>
      <c r="G51" s="187"/>
      <c r="H51" s="63"/>
      <c r="I51" s="63"/>
      <c r="J51" s="63"/>
      <c r="K51" s="63"/>
      <c r="L51" s="63"/>
      <c r="M51" s="63"/>
      <c r="N51" s="13"/>
      <c r="O51" s="13"/>
      <c r="P51" s="13"/>
      <c r="Q51" s="13"/>
      <c r="R51" s="13"/>
      <c r="S51" s="13"/>
      <c r="T51" s="13"/>
      <c r="U51" s="13"/>
      <c r="V51" s="13"/>
      <c r="W51" s="13"/>
      <c r="X51" s="13"/>
      <c r="AG51"/>
      <c r="AH51"/>
    </row>
    <row r="52" spans="1:34" x14ac:dyDescent="0.2">
      <c r="A52" s="6"/>
      <c r="B52" s="57"/>
      <c r="C52" s="13"/>
      <c r="D52" s="13"/>
      <c r="E52" s="13"/>
      <c r="F52" s="13"/>
      <c r="G52" s="63"/>
      <c r="H52" s="63"/>
      <c r="I52" s="63"/>
      <c r="J52" s="63"/>
      <c r="K52" s="63"/>
      <c r="L52" s="13"/>
      <c r="M52" s="13"/>
      <c r="N52" s="13"/>
      <c r="O52" s="13"/>
      <c r="P52" s="13"/>
      <c r="Q52" s="13"/>
      <c r="R52" s="13"/>
      <c r="S52" s="13"/>
      <c r="T52" s="13"/>
      <c r="U52" s="13"/>
      <c r="V52" s="13"/>
      <c r="W52" s="13"/>
      <c r="X52" s="13"/>
      <c r="AG52"/>
      <c r="AH52"/>
    </row>
    <row r="53" spans="1:34" x14ac:dyDescent="0.2">
      <c r="A53" s="6"/>
      <c r="B53" s="57"/>
      <c r="C53" s="13"/>
      <c r="D53" s="13"/>
      <c r="E53" s="13"/>
      <c r="F53" s="13"/>
      <c r="G53" s="63"/>
      <c r="H53" s="63"/>
      <c r="I53" s="63"/>
      <c r="J53" s="63"/>
      <c r="K53" s="63"/>
      <c r="L53" s="13"/>
      <c r="M53" s="13"/>
      <c r="N53" s="13"/>
      <c r="O53" s="13"/>
      <c r="P53" s="13"/>
      <c r="Q53" s="13"/>
      <c r="R53" s="13"/>
      <c r="S53" s="13"/>
      <c r="T53" s="13"/>
      <c r="U53" s="13"/>
      <c r="V53" s="13"/>
      <c r="W53" s="13"/>
      <c r="X53" s="13"/>
      <c r="AG53"/>
      <c r="AH53"/>
    </row>
    <row r="54" spans="1:34" x14ac:dyDescent="0.2">
      <c r="A54" s="6"/>
      <c r="B54" s="57"/>
      <c r="C54" s="13"/>
      <c r="D54" s="13"/>
      <c r="E54" s="13"/>
      <c r="F54" s="13"/>
      <c r="G54" s="63"/>
      <c r="H54" s="63"/>
      <c r="I54" s="63"/>
      <c r="J54" s="63"/>
      <c r="K54" s="63"/>
      <c r="L54" s="13"/>
      <c r="M54" s="13"/>
      <c r="N54" s="13"/>
      <c r="O54" s="13"/>
      <c r="P54" s="13"/>
      <c r="Q54" s="13"/>
      <c r="R54" s="13"/>
      <c r="S54" s="13"/>
      <c r="T54" s="13"/>
      <c r="U54" s="13"/>
      <c r="V54" s="13"/>
      <c r="W54" s="13"/>
      <c r="X54" s="13"/>
      <c r="AG54"/>
      <c r="AH54"/>
    </row>
    <row r="55" spans="1:34" x14ac:dyDescent="0.2">
      <c r="A55" s="6"/>
      <c r="B55" s="57"/>
      <c r="C55" s="13"/>
      <c r="D55" s="13"/>
      <c r="E55" s="13"/>
      <c r="F55" s="13"/>
      <c r="G55" s="63"/>
      <c r="H55" s="63"/>
      <c r="I55" s="63"/>
      <c r="J55" s="63"/>
      <c r="K55" s="63"/>
      <c r="L55" s="13"/>
      <c r="M55" s="13"/>
      <c r="N55" s="13"/>
      <c r="O55" s="13"/>
      <c r="P55" s="13"/>
      <c r="Q55" s="13"/>
      <c r="R55" s="13"/>
      <c r="S55" s="13"/>
      <c r="T55" s="13"/>
      <c r="U55" s="13"/>
      <c r="V55" s="13"/>
      <c r="W55" s="13"/>
      <c r="X55" s="13"/>
      <c r="AG55"/>
      <c r="AH55"/>
    </row>
    <row r="56" spans="1:34" x14ac:dyDescent="0.2">
      <c r="A56" s="6"/>
      <c r="B56" s="57"/>
      <c r="C56" s="13"/>
      <c r="D56" s="13"/>
      <c r="E56" s="13"/>
      <c r="F56" s="13"/>
      <c r="G56" s="63"/>
      <c r="H56" s="63"/>
      <c r="I56" s="63"/>
      <c r="J56" s="63"/>
      <c r="K56" s="63"/>
      <c r="L56" s="13"/>
      <c r="M56" s="13"/>
      <c r="N56" s="13"/>
      <c r="O56" s="13"/>
      <c r="P56" s="13"/>
      <c r="Q56" s="13"/>
      <c r="R56" s="13"/>
      <c r="S56" s="13"/>
      <c r="T56" s="13"/>
      <c r="U56" s="13"/>
      <c r="V56" s="13"/>
      <c r="W56" s="13"/>
      <c r="X56" s="13"/>
      <c r="AG56"/>
      <c r="AH56"/>
    </row>
    <row r="57" spans="1:34" x14ac:dyDescent="0.2">
      <c r="A57" s="6"/>
      <c r="B57" s="57"/>
      <c r="C57" s="13"/>
      <c r="D57" s="13"/>
      <c r="E57" s="13"/>
      <c r="F57" s="13"/>
      <c r="G57" s="63"/>
      <c r="H57" s="63"/>
      <c r="I57" s="63"/>
      <c r="J57" s="63"/>
      <c r="K57" s="63"/>
      <c r="L57" s="13"/>
      <c r="M57" s="13"/>
      <c r="N57" s="13"/>
      <c r="O57" s="13"/>
      <c r="P57" s="13"/>
      <c r="Q57" s="13"/>
      <c r="R57" s="13"/>
      <c r="S57" s="13"/>
      <c r="T57" s="13"/>
      <c r="U57" s="13"/>
      <c r="V57" s="13"/>
      <c r="W57" s="13"/>
      <c r="X57" s="13"/>
      <c r="AG57"/>
      <c r="AH57"/>
    </row>
    <row r="58" spans="1:34" x14ac:dyDescent="0.2">
      <c r="A58" s="6"/>
      <c r="B58" s="57"/>
      <c r="C58" s="13"/>
      <c r="D58" s="13"/>
      <c r="E58" s="13"/>
      <c r="F58" s="13"/>
      <c r="G58" s="63"/>
      <c r="H58" s="63"/>
      <c r="I58" s="63"/>
      <c r="J58" s="63"/>
      <c r="K58" s="63"/>
      <c r="L58" s="13"/>
      <c r="M58" s="13"/>
      <c r="N58" s="13"/>
      <c r="O58" s="13"/>
      <c r="P58" s="13"/>
      <c r="Q58" s="13"/>
      <c r="R58" s="13"/>
      <c r="S58" s="13"/>
      <c r="T58" s="13"/>
      <c r="U58" s="13"/>
      <c r="V58" s="13"/>
      <c r="W58" s="13"/>
      <c r="X58" s="13"/>
      <c r="AG58"/>
      <c r="AH58"/>
    </row>
    <row r="59" spans="1:34" x14ac:dyDescent="0.2">
      <c r="A59" s="6"/>
      <c r="B59" s="57"/>
      <c r="C59" s="13"/>
      <c r="D59" s="13"/>
      <c r="E59" s="13"/>
      <c r="F59" s="13"/>
      <c r="G59" s="63"/>
      <c r="H59" s="63"/>
      <c r="I59" s="63"/>
      <c r="J59" s="63"/>
      <c r="K59" s="63"/>
      <c r="L59" s="13"/>
      <c r="M59" s="13"/>
      <c r="N59" s="13"/>
      <c r="O59" s="13"/>
      <c r="P59" s="13"/>
      <c r="Q59" s="13"/>
      <c r="R59" s="13"/>
      <c r="S59" s="13"/>
      <c r="T59" s="13"/>
      <c r="U59" s="13"/>
      <c r="V59" s="13"/>
      <c r="W59" s="13"/>
      <c r="X59" s="13"/>
      <c r="AG59"/>
      <c r="AH59"/>
    </row>
    <row r="60" spans="1:34" x14ac:dyDescent="0.2">
      <c r="A60" s="6"/>
      <c r="B60" s="57"/>
      <c r="C60" s="13"/>
      <c r="D60" s="13"/>
      <c r="E60" s="13"/>
      <c r="F60" s="13"/>
      <c r="G60" s="63"/>
      <c r="H60" s="63"/>
      <c r="I60" s="63"/>
      <c r="J60" s="63"/>
      <c r="K60" s="63"/>
      <c r="L60" s="13"/>
      <c r="M60" s="13"/>
      <c r="N60" s="13"/>
      <c r="O60" s="13"/>
      <c r="P60" s="13"/>
      <c r="Q60" s="13"/>
      <c r="R60" s="13"/>
      <c r="S60" s="13"/>
      <c r="T60" s="13"/>
      <c r="U60" s="13"/>
      <c r="V60" s="13"/>
      <c r="W60" s="13"/>
      <c r="X60" s="13"/>
      <c r="AG60"/>
      <c r="AH60"/>
    </row>
    <row r="61" spans="1:34" x14ac:dyDescent="0.2">
      <c r="A61" s="6"/>
      <c r="B61" s="57"/>
      <c r="C61" s="13"/>
      <c r="D61" s="13"/>
      <c r="E61" s="13"/>
      <c r="F61" s="13"/>
      <c r="G61" s="63"/>
      <c r="H61" s="63"/>
      <c r="I61" s="63"/>
      <c r="J61" s="63"/>
      <c r="K61" s="63"/>
      <c r="L61" s="13"/>
      <c r="M61" s="13"/>
      <c r="N61" s="13"/>
      <c r="O61" s="13"/>
      <c r="P61" s="13"/>
      <c r="Q61" s="13"/>
      <c r="R61" s="13"/>
      <c r="S61" s="13"/>
      <c r="T61" s="13"/>
      <c r="U61" s="13"/>
      <c r="V61" s="13"/>
      <c r="W61" s="13"/>
      <c r="X61" s="13"/>
      <c r="AG61"/>
      <c r="AH61"/>
    </row>
    <row r="62" spans="1:34" x14ac:dyDescent="0.2">
      <c r="A62" s="6"/>
      <c r="B62" s="57"/>
      <c r="C62" s="13"/>
      <c r="D62" s="13"/>
      <c r="E62" s="13"/>
      <c r="F62" s="13"/>
      <c r="G62" s="63"/>
      <c r="H62" s="63"/>
      <c r="I62" s="63"/>
      <c r="J62" s="63"/>
      <c r="K62" s="63"/>
      <c r="L62" s="13"/>
      <c r="M62" s="13"/>
      <c r="N62" s="13"/>
      <c r="O62" s="13"/>
      <c r="P62" s="13"/>
      <c r="Q62" s="13"/>
      <c r="R62" s="13"/>
      <c r="S62" s="13"/>
      <c r="T62" s="13"/>
      <c r="U62" s="13"/>
      <c r="V62" s="13"/>
      <c r="W62" s="13"/>
      <c r="X62" s="13"/>
      <c r="AG62"/>
      <c r="AH62"/>
    </row>
    <row r="63" spans="1:34" x14ac:dyDescent="0.2">
      <c r="A63" s="6"/>
      <c r="B63" s="57"/>
      <c r="C63" s="13"/>
      <c r="D63" s="13"/>
      <c r="E63" s="13"/>
      <c r="F63" s="13"/>
      <c r="G63" s="63"/>
      <c r="H63" s="63"/>
      <c r="I63" s="63"/>
      <c r="J63" s="63"/>
      <c r="K63" s="63"/>
      <c r="L63" s="13"/>
      <c r="M63" s="13"/>
      <c r="N63" s="13"/>
      <c r="O63" s="13"/>
      <c r="P63" s="13"/>
      <c r="Q63" s="13"/>
      <c r="R63" s="13"/>
      <c r="S63" s="13"/>
      <c r="T63" s="13"/>
      <c r="U63" s="13"/>
      <c r="V63" s="13"/>
      <c r="W63" s="13"/>
      <c r="X63" s="13"/>
      <c r="AG63"/>
      <c r="AH63"/>
    </row>
    <row r="64" spans="1:34" x14ac:dyDescent="0.2">
      <c r="A64" s="6"/>
      <c r="B64" s="57"/>
      <c r="C64" s="13"/>
      <c r="D64" s="13"/>
      <c r="E64" s="13"/>
      <c r="F64" s="13"/>
      <c r="G64" s="63"/>
      <c r="H64" s="63"/>
      <c r="I64" s="63"/>
      <c r="J64" s="63"/>
      <c r="K64" s="63"/>
      <c r="L64" s="13"/>
      <c r="M64" s="13"/>
      <c r="N64" s="13"/>
      <c r="O64" s="13"/>
      <c r="P64" s="13"/>
      <c r="Q64" s="13"/>
      <c r="R64" s="13"/>
      <c r="S64" s="13"/>
      <c r="T64" s="13"/>
      <c r="U64" s="13"/>
      <c r="V64" s="13"/>
      <c r="W64" s="13"/>
      <c r="X64" s="13"/>
      <c r="AG64"/>
      <c r="AH64"/>
    </row>
    <row r="65" spans="1:34" x14ac:dyDescent="0.2">
      <c r="A65" s="6"/>
      <c r="B65" s="57"/>
      <c r="C65" s="13"/>
      <c r="D65" s="13"/>
      <c r="E65" s="13"/>
      <c r="F65" s="13"/>
      <c r="G65" s="63"/>
      <c r="H65" s="63"/>
      <c r="I65" s="63"/>
      <c r="J65" s="63"/>
      <c r="K65" s="63"/>
      <c r="L65" s="13"/>
      <c r="M65" s="13"/>
      <c r="N65" s="13"/>
      <c r="O65" s="13"/>
      <c r="P65" s="13"/>
      <c r="Q65" s="13"/>
      <c r="R65" s="13"/>
      <c r="S65" s="13"/>
      <c r="T65" s="13"/>
      <c r="U65" s="13"/>
      <c r="V65" s="13"/>
      <c r="W65" s="13"/>
      <c r="X65" s="13"/>
      <c r="AG65"/>
      <c r="AH65"/>
    </row>
    <row r="66" spans="1:34" x14ac:dyDescent="0.2">
      <c r="A66" s="6"/>
      <c r="B66" s="57"/>
      <c r="C66" s="13"/>
      <c r="D66" s="13"/>
      <c r="E66" s="13"/>
      <c r="F66" s="13"/>
      <c r="G66" s="63"/>
      <c r="H66" s="63"/>
      <c r="I66" s="63"/>
      <c r="J66" s="63"/>
      <c r="K66" s="63"/>
      <c r="L66" s="13"/>
      <c r="M66" s="13"/>
      <c r="N66" s="13"/>
      <c r="O66" s="13"/>
      <c r="P66" s="13"/>
      <c r="Q66" s="13"/>
      <c r="R66" s="13"/>
      <c r="S66" s="13"/>
      <c r="T66" s="13"/>
      <c r="U66" s="13"/>
      <c r="V66" s="13"/>
      <c r="W66" s="13"/>
      <c r="X66" s="13"/>
      <c r="AG66"/>
      <c r="AH66"/>
    </row>
    <row r="67" spans="1:34" x14ac:dyDescent="0.2">
      <c r="A67" s="6"/>
      <c r="B67" s="57"/>
      <c r="C67" s="13"/>
      <c r="D67" s="13"/>
      <c r="E67" s="13"/>
      <c r="F67" s="13"/>
      <c r="G67" s="63"/>
      <c r="H67" s="63"/>
      <c r="I67" s="63"/>
      <c r="J67" s="63"/>
      <c r="K67" s="63"/>
      <c r="L67" s="13"/>
      <c r="M67" s="13"/>
      <c r="N67" s="13"/>
      <c r="O67" s="13"/>
      <c r="P67" s="13"/>
      <c r="Q67" s="13"/>
      <c r="R67" s="13"/>
      <c r="S67" s="13"/>
      <c r="T67" s="13"/>
      <c r="U67" s="13"/>
      <c r="V67" s="13"/>
      <c r="W67" s="13"/>
      <c r="X67" s="13"/>
      <c r="AG67"/>
      <c r="AH67"/>
    </row>
    <row r="68" spans="1:34" x14ac:dyDescent="0.2">
      <c r="A68" s="6"/>
      <c r="B68" s="57"/>
      <c r="C68" s="13"/>
      <c r="D68" s="13"/>
      <c r="E68" s="13"/>
      <c r="F68" s="13"/>
      <c r="G68" s="63"/>
      <c r="H68" s="63"/>
      <c r="I68" s="63"/>
      <c r="J68" s="63"/>
      <c r="K68" s="63"/>
      <c r="L68" s="13"/>
      <c r="M68" s="13"/>
      <c r="N68" s="13"/>
      <c r="O68" s="13"/>
      <c r="P68" s="13"/>
      <c r="Q68" s="13"/>
      <c r="R68" s="13"/>
      <c r="S68" s="13"/>
      <c r="T68" s="13"/>
      <c r="U68" s="13"/>
      <c r="V68" s="13"/>
      <c r="W68" s="13"/>
      <c r="X68" s="13"/>
      <c r="AG68"/>
      <c r="AH68"/>
    </row>
    <row r="69" spans="1:34" x14ac:dyDescent="0.2">
      <c r="A69" s="6"/>
      <c r="B69" s="57"/>
      <c r="C69" s="13"/>
      <c r="D69" s="13"/>
      <c r="E69" s="13"/>
      <c r="F69" s="13"/>
      <c r="G69" s="63"/>
      <c r="H69" s="63"/>
      <c r="I69" s="63"/>
      <c r="J69" s="63"/>
      <c r="K69" s="63"/>
      <c r="L69" s="13"/>
      <c r="M69" s="13"/>
      <c r="N69" s="13"/>
      <c r="O69" s="13"/>
      <c r="P69" s="13"/>
      <c r="Q69" s="13"/>
      <c r="R69" s="13"/>
      <c r="S69" s="13"/>
      <c r="T69" s="13"/>
      <c r="U69" s="13"/>
      <c r="V69" s="13"/>
      <c r="W69" s="13"/>
      <c r="X69" s="13"/>
      <c r="AG69"/>
      <c r="AH69"/>
    </row>
    <row r="70" spans="1:34" x14ac:dyDescent="0.2">
      <c r="A70" s="6"/>
      <c r="B70" s="57"/>
      <c r="C70" s="13"/>
      <c r="D70" s="13"/>
      <c r="E70" s="13"/>
      <c r="F70" s="13"/>
      <c r="G70" s="63"/>
      <c r="H70" s="63"/>
      <c r="I70" s="63"/>
      <c r="J70" s="63"/>
      <c r="K70" s="63"/>
      <c r="L70" s="13"/>
      <c r="M70" s="13"/>
      <c r="N70" s="13"/>
      <c r="O70" s="13"/>
      <c r="P70" s="13"/>
      <c r="Q70" s="13"/>
      <c r="R70" s="13"/>
      <c r="S70" s="13"/>
      <c r="T70" s="13"/>
      <c r="U70" s="13"/>
      <c r="V70" s="13"/>
      <c r="W70" s="13"/>
      <c r="X70" s="13"/>
      <c r="AG70"/>
      <c r="AH70"/>
    </row>
    <row r="71" spans="1:34" x14ac:dyDescent="0.2">
      <c r="A71" s="6"/>
      <c r="B71" s="57"/>
      <c r="C71" s="13"/>
      <c r="D71" s="13"/>
      <c r="E71" s="13"/>
      <c r="F71" s="13"/>
      <c r="G71" s="63"/>
      <c r="H71" s="63"/>
      <c r="I71" s="63"/>
      <c r="J71" s="63"/>
      <c r="K71" s="63"/>
      <c r="L71" s="13"/>
      <c r="M71" s="13"/>
      <c r="N71" s="13"/>
      <c r="O71" s="13"/>
      <c r="P71" s="13"/>
      <c r="Q71" s="13"/>
      <c r="R71" s="13"/>
      <c r="S71" s="13"/>
      <c r="T71" s="13"/>
      <c r="U71" s="13"/>
      <c r="V71" s="13"/>
      <c r="W71" s="13"/>
      <c r="X71" s="13"/>
      <c r="AG71"/>
      <c r="AH71"/>
    </row>
    <row r="72" spans="1:34" x14ac:dyDescent="0.2">
      <c r="A72" s="6"/>
      <c r="B72" s="57"/>
      <c r="C72" s="13"/>
      <c r="D72" s="13"/>
      <c r="E72" s="13"/>
      <c r="F72" s="13"/>
      <c r="G72" s="63"/>
      <c r="H72" s="63"/>
      <c r="I72" s="63"/>
      <c r="J72" s="63"/>
      <c r="K72" s="63"/>
      <c r="L72" s="13"/>
      <c r="M72" s="13"/>
      <c r="N72" s="13"/>
      <c r="O72" s="13"/>
      <c r="P72" s="13"/>
      <c r="Q72" s="13"/>
      <c r="R72" s="13"/>
      <c r="S72" s="13"/>
      <c r="T72" s="13"/>
      <c r="U72" s="13"/>
      <c r="V72" s="13"/>
      <c r="W72" s="13"/>
      <c r="X72" s="13"/>
      <c r="AG72"/>
      <c r="AH72"/>
    </row>
    <row r="73" spans="1:34" x14ac:dyDescent="0.2">
      <c r="A73" s="6"/>
      <c r="B73" s="57"/>
      <c r="C73" s="13"/>
      <c r="D73" s="13"/>
      <c r="E73" s="13"/>
      <c r="F73" s="13"/>
      <c r="G73" s="63"/>
      <c r="H73" s="63"/>
      <c r="I73" s="63"/>
      <c r="J73" s="63"/>
      <c r="K73" s="63"/>
      <c r="L73" s="13"/>
      <c r="M73" s="13"/>
      <c r="N73" s="13"/>
      <c r="O73" s="13"/>
      <c r="P73" s="13"/>
      <c r="Q73" s="13"/>
      <c r="R73" s="13"/>
      <c r="S73" s="13"/>
      <c r="T73" s="13"/>
      <c r="U73" s="13"/>
      <c r="V73" s="13"/>
      <c r="W73" s="13"/>
      <c r="X73" s="13"/>
      <c r="AG73"/>
      <c r="AH73"/>
    </row>
    <row r="74" spans="1:34" x14ac:dyDescent="0.2">
      <c r="A74" s="6"/>
      <c r="B74" s="57"/>
      <c r="C74" s="13"/>
      <c r="D74" s="13"/>
      <c r="E74" s="13"/>
      <c r="F74" s="13"/>
      <c r="G74" s="63"/>
      <c r="H74" s="63"/>
      <c r="I74" s="63"/>
      <c r="J74" s="63"/>
      <c r="K74" s="63"/>
      <c r="L74" s="13"/>
      <c r="M74" s="13"/>
      <c r="N74" s="13"/>
      <c r="O74" s="13"/>
      <c r="P74" s="13"/>
      <c r="Q74" s="13"/>
      <c r="R74" s="13"/>
      <c r="S74" s="13"/>
      <c r="T74" s="13"/>
      <c r="U74" s="13"/>
      <c r="V74" s="13"/>
      <c r="W74" s="13"/>
      <c r="X74" s="13"/>
      <c r="AG74"/>
      <c r="AH74"/>
    </row>
    <row r="75" spans="1:34" x14ac:dyDescent="0.2">
      <c r="A75" s="6"/>
      <c r="B75" s="57"/>
      <c r="C75" s="13"/>
      <c r="D75" s="13"/>
      <c r="E75" s="13"/>
      <c r="F75" s="13"/>
      <c r="G75" s="63"/>
      <c r="H75" s="63"/>
      <c r="I75" s="63"/>
      <c r="J75" s="63"/>
      <c r="K75" s="63"/>
      <c r="L75" s="13"/>
      <c r="M75" s="13"/>
      <c r="N75" s="13"/>
      <c r="O75" s="13"/>
      <c r="P75" s="13"/>
      <c r="Q75" s="13"/>
      <c r="R75" s="13"/>
      <c r="S75" s="13"/>
      <c r="T75" s="13"/>
      <c r="U75" s="13"/>
      <c r="V75" s="13"/>
      <c r="W75" s="13"/>
      <c r="X75" s="13"/>
      <c r="AG75"/>
      <c r="AH75"/>
    </row>
    <row r="76" spans="1:34" x14ac:dyDescent="0.2">
      <c r="A76" s="6"/>
      <c r="B76" s="57"/>
      <c r="C76" s="13"/>
      <c r="D76" s="13"/>
      <c r="E76" s="13"/>
      <c r="F76" s="13"/>
      <c r="G76" s="63"/>
      <c r="H76" s="63"/>
      <c r="I76" s="63"/>
      <c r="J76" s="63"/>
      <c r="K76" s="63"/>
      <c r="L76" s="13"/>
      <c r="M76" s="13"/>
      <c r="N76" s="13"/>
      <c r="O76" s="13"/>
      <c r="P76" s="13"/>
      <c r="Q76" s="13"/>
      <c r="R76" s="13"/>
      <c r="S76" s="13"/>
      <c r="T76" s="13"/>
      <c r="U76" s="13"/>
      <c r="V76" s="13"/>
      <c r="W76" s="13"/>
      <c r="X76" s="13"/>
      <c r="AG76"/>
      <c r="AH76"/>
    </row>
    <row r="77" spans="1:34" x14ac:dyDescent="0.2">
      <c r="A77" s="6"/>
      <c r="B77" s="57"/>
      <c r="C77" s="13"/>
      <c r="D77" s="13"/>
      <c r="E77" s="13"/>
      <c r="F77" s="13"/>
      <c r="G77" s="63"/>
      <c r="H77" s="63"/>
      <c r="I77" s="63"/>
      <c r="J77" s="63"/>
      <c r="K77" s="63"/>
      <c r="L77" s="13"/>
      <c r="M77" s="13"/>
      <c r="N77" s="13"/>
      <c r="O77" s="13"/>
      <c r="P77" s="13"/>
      <c r="Q77" s="13"/>
      <c r="R77" s="13"/>
      <c r="S77" s="13"/>
      <c r="T77" s="13"/>
      <c r="U77" s="13"/>
      <c r="V77" s="13"/>
      <c r="W77" s="13"/>
      <c r="X77" s="13"/>
      <c r="AG77"/>
      <c r="AH77"/>
    </row>
    <row r="78" spans="1:34" x14ac:dyDescent="0.2">
      <c r="A78" s="6"/>
      <c r="B78" s="57"/>
      <c r="C78" s="13"/>
      <c r="D78" s="13"/>
      <c r="E78" s="13"/>
      <c r="F78" s="13"/>
      <c r="G78" s="63"/>
      <c r="H78" s="63"/>
      <c r="I78" s="63"/>
      <c r="J78" s="63"/>
      <c r="K78" s="63"/>
      <c r="L78" s="13"/>
      <c r="M78" s="13"/>
      <c r="N78" s="13"/>
      <c r="O78" s="13"/>
      <c r="P78" s="13"/>
      <c r="Q78" s="13"/>
      <c r="R78" s="13"/>
      <c r="S78" s="13"/>
      <c r="T78" s="13"/>
      <c r="U78" s="13"/>
      <c r="V78" s="13"/>
      <c r="W78" s="13"/>
      <c r="X78" s="13"/>
      <c r="AG78"/>
      <c r="AH78"/>
    </row>
    <row r="79" spans="1:34" x14ac:dyDescent="0.2">
      <c r="A79" s="6"/>
      <c r="B79" s="57"/>
      <c r="C79" s="13"/>
      <c r="D79" s="13"/>
      <c r="E79" s="13"/>
      <c r="F79" s="13"/>
      <c r="G79" s="63"/>
      <c r="H79" s="63"/>
      <c r="I79" s="63"/>
      <c r="J79" s="63"/>
      <c r="K79" s="63"/>
      <c r="L79" s="13"/>
      <c r="M79" s="13"/>
      <c r="N79" s="13"/>
      <c r="O79" s="13"/>
      <c r="P79" s="13"/>
      <c r="Q79" s="13"/>
      <c r="R79" s="13"/>
      <c r="S79" s="13"/>
      <c r="T79" s="13"/>
      <c r="U79" s="13"/>
      <c r="V79" s="13"/>
      <c r="W79" s="13"/>
      <c r="X79" s="13"/>
      <c r="AG79"/>
      <c r="AH79"/>
    </row>
    <row r="80" spans="1:34" x14ac:dyDescent="0.2">
      <c r="A80" s="6"/>
      <c r="B80" s="57"/>
      <c r="C80" s="13"/>
      <c r="D80" s="13"/>
      <c r="E80" s="13"/>
      <c r="F80" s="13"/>
      <c r="G80" s="63"/>
      <c r="H80" s="63"/>
      <c r="I80" s="63"/>
      <c r="J80" s="63"/>
      <c r="K80" s="63"/>
      <c r="L80" s="13"/>
      <c r="M80" s="13"/>
      <c r="N80" s="13"/>
      <c r="O80" s="13"/>
      <c r="P80" s="13"/>
      <c r="Q80" s="13"/>
      <c r="R80" s="13"/>
      <c r="S80" s="13"/>
      <c r="T80" s="13"/>
      <c r="U80" s="13"/>
      <c r="V80" s="13"/>
      <c r="W80" s="13"/>
      <c r="X80" s="13"/>
      <c r="AG80"/>
      <c r="AH80"/>
    </row>
    <row r="81" spans="1:34" x14ac:dyDescent="0.2">
      <c r="A81" s="6"/>
      <c r="B81" s="57"/>
      <c r="C81" s="13"/>
      <c r="D81" s="13"/>
      <c r="E81" s="13"/>
      <c r="F81" s="13"/>
      <c r="G81" s="63"/>
      <c r="H81" s="63"/>
      <c r="I81" s="63"/>
      <c r="J81" s="63"/>
      <c r="K81" s="63"/>
      <c r="L81" s="13"/>
      <c r="M81" s="13"/>
      <c r="N81" s="13"/>
      <c r="O81" s="13"/>
      <c r="P81" s="13"/>
      <c r="Q81" s="13"/>
      <c r="R81" s="13"/>
      <c r="S81" s="13"/>
      <c r="T81" s="13"/>
      <c r="U81" s="13"/>
      <c r="V81" s="13"/>
      <c r="W81" s="13"/>
      <c r="X81" s="13"/>
      <c r="AG81"/>
      <c r="AH81"/>
    </row>
    <row r="82" spans="1:34" x14ac:dyDescent="0.2">
      <c r="A82" s="6"/>
      <c r="B82" s="57"/>
      <c r="C82" s="13"/>
      <c r="D82" s="13"/>
      <c r="E82" s="13"/>
      <c r="F82" s="13"/>
      <c r="G82" s="63"/>
      <c r="H82" s="63"/>
      <c r="I82" s="63"/>
      <c r="J82" s="63"/>
      <c r="K82" s="63"/>
      <c r="L82" s="13"/>
      <c r="M82" s="13"/>
      <c r="N82" s="13"/>
      <c r="O82" s="13"/>
      <c r="P82" s="13"/>
      <c r="Q82" s="13"/>
      <c r="R82" s="13"/>
      <c r="S82" s="13"/>
      <c r="T82" s="13"/>
      <c r="U82" s="13"/>
      <c r="V82" s="13"/>
      <c r="W82" s="13"/>
      <c r="X82" s="13"/>
      <c r="AG82"/>
      <c r="AH82"/>
    </row>
    <row r="83" spans="1:34" x14ac:dyDescent="0.2">
      <c r="A83" s="6"/>
      <c r="B83" s="57"/>
      <c r="C83" s="13"/>
      <c r="D83" s="13"/>
      <c r="E83" s="13"/>
      <c r="F83" s="13"/>
      <c r="G83" s="63"/>
      <c r="H83" s="63"/>
      <c r="I83" s="63"/>
      <c r="J83" s="63"/>
      <c r="K83" s="63"/>
      <c r="L83" s="13"/>
      <c r="M83" s="13"/>
      <c r="N83" s="13"/>
      <c r="O83" s="13"/>
      <c r="P83" s="13"/>
      <c r="Q83" s="13"/>
      <c r="R83" s="13"/>
      <c r="S83" s="13"/>
      <c r="T83" s="13"/>
      <c r="U83" s="13"/>
      <c r="V83" s="13"/>
      <c r="W83" s="13"/>
      <c r="X83" s="13"/>
      <c r="AG83"/>
      <c r="AH83"/>
    </row>
    <row r="84" spans="1:34" x14ac:dyDescent="0.2">
      <c r="A84" s="6"/>
      <c r="B84" s="57"/>
      <c r="C84" s="13"/>
      <c r="D84" s="13"/>
      <c r="E84" s="13"/>
      <c r="F84" s="13"/>
      <c r="G84" s="63"/>
      <c r="H84" s="63"/>
      <c r="I84" s="63"/>
      <c r="J84" s="63"/>
      <c r="K84" s="63"/>
      <c r="L84" s="13"/>
      <c r="M84" s="13"/>
      <c r="N84" s="13"/>
      <c r="O84" s="13"/>
      <c r="P84" s="13"/>
      <c r="Q84" s="13"/>
      <c r="R84" s="13"/>
      <c r="S84" s="13"/>
      <c r="T84" s="13"/>
      <c r="U84" s="13"/>
      <c r="V84" s="13"/>
      <c r="W84" s="13"/>
      <c r="X84" s="13"/>
      <c r="AG84"/>
      <c r="AH84"/>
    </row>
    <row r="85" spans="1:34" x14ac:dyDescent="0.2">
      <c r="A85" s="6"/>
      <c r="B85" s="57"/>
      <c r="C85" s="13"/>
      <c r="D85" s="13"/>
      <c r="E85" s="13"/>
      <c r="F85" s="13"/>
      <c r="G85" s="63"/>
      <c r="H85" s="63"/>
      <c r="I85" s="63"/>
      <c r="J85" s="63"/>
      <c r="K85" s="63"/>
      <c r="L85" s="13"/>
      <c r="M85" s="13"/>
      <c r="N85" s="13"/>
      <c r="O85" s="13"/>
      <c r="P85" s="13"/>
      <c r="Q85" s="13"/>
      <c r="R85" s="13"/>
      <c r="S85" s="13"/>
      <c r="T85" s="13"/>
      <c r="U85" s="13"/>
      <c r="V85" s="13"/>
      <c r="W85" s="13"/>
      <c r="X85" s="13"/>
      <c r="AG85"/>
      <c r="AH85"/>
    </row>
    <row r="86" spans="1:34" x14ac:dyDescent="0.2">
      <c r="A86" s="6"/>
      <c r="B86" s="57"/>
      <c r="C86" s="13"/>
      <c r="D86" s="13"/>
      <c r="E86" s="13"/>
      <c r="F86" s="13"/>
      <c r="G86" s="63"/>
      <c r="H86" s="63"/>
      <c r="I86" s="63"/>
      <c r="J86" s="63"/>
      <c r="K86" s="63"/>
      <c r="L86" s="13"/>
      <c r="M86" s="13"/>
      <c r="N86" s="13"/>
      <c r="O86" s="13"/>
      <c r="P86" s="13"/>
      <c r="Q86" s="13"/>
      <c r="R86" s="13"/>
      <c r="S86" s="13"/>
      <c r="T86" s="13"/>
      <c r="U86" s="13"/>
      <c r="V86" s="13"/>
      <c r="W86" s="13"/>
      <c r="X86" s="13"/>
      <c r="AG86"/>
      <c r="AH86"/>
    </row>
    <row r="87" spans="1:34" x14ac:dyDescent="0.2">
      <c r="A87" s="6"/>
      <c r="B87" s="57"/>
      <c r="C87" s="13"/>
      <c r="D87" s="13"/>
      <c r="E87" s="13"/>
      <c r="F87" s="13"/>
      <c r="G87" s="63"/>
      <c r="H87" s="63"/>
      <c r="I87" s="63"/>
      <c r="J87" s="63"/>
      <c r="K87" s="63"/>
      <c r="L87" s="13"/>
      <c r="M87" s="13"/>
      <c r="N87" s="13"/>
      <c r="O87" s="13"/>
      <c r="P87" s="13"/>
      <c r="Q87" s="13"/>
      <c r="R87" s="13"/>
      <c r="S87" s="13"/>
      <c r="T87" s="13"/>
      <c r="U87" s="13"/>
      <c r="V87" s="13"/>
      <c r="W87" s="13"/>
      <c r="X87" s="13"/>
      <c r="AG87"/>
      <c r="AH87"/>
    </row>
    <row r="88" spans="1:34" x14ac:dyDescent="0.2">
      <c r="A88" s="6"/>
      <c r="B88" s="57"/>
      <c r="C88" s="13"/>
      <c r="D88" s="13"/>
      <c r="E88" s="13"/>
      <c r="F88" s="13"/>
      <c r="G88" s="63"/>
      <c r="H88" s="63"/>
      <c r="I88" s="63"/>
      <c r="J88" s="63"/>
      <c r="K88" s="63"/>
      <c r="L88" s="13"/>
      <c r="M88" s="13"/>
      <c r="N88" s="13"/>
      <c r="O88" s="13"/>
      <c r="P88" s="13"/>
      <c r="Q88" s="13"/>
      <c r="R88" s="13"/>
      <c r="S88" s="13"/>
      <c r="T88" s="13"/>
      <c r="U88" s="13"/>
      <c r="V88" s="13"/>
      <c r="W88" s="13"/>
      <c r="X88" s="13"/>
      <c r="AG88"/>
      <c r="AH88"/>
    </row>
    <row r="89" spans="1:34" x14ac:dyDescent="0.2">
      <c r="A89" s="6"/>
      <c r="B89" s="57"/>
      <c r="C89" s="13"/>
      <c r="D89" s="13"/>
      <c r="E89" s="13"/>
      <c r="F89" s="13"/>
      <c r="G89" s="63"/>
      <c r="H89" s="63"/>
      <c r="I89" s="63"/>
      <c r="J89" s="63"/>
      <c r="K89" s="63"/>
      <c r="L89" s="13"/>
      <c r="M89" s="13"/>
      <c r="N89" s="13"/>
      <c r="O89" s="13"/>
      <c r="P89" s="13"/>
      <c r="Q89" s="13"/>
      <c r="R89" s="13"/>
      <c r="S89" s="13"/>
      <c r="T89" s="13"/>
      <c r="U89" s="13"/>
      <c r="V89" s="13"/>
      <c r="W89" s="13"/>
      <c r="X89" s="13"/>
      <c r="AG89"/>
      <c r="AH89"/>
    </row>
    <row r="90" spans="1:34" x14ac:dyDescent="0.2">
      <c r="A90" s="6"/>
      <c r="B90" s="57"/>
      <c r="C90" s="13"/>
      <c r="D90" s="13"/>
      <c r="E90" s="13"/>
      <c r="F90" s="13"/>
      <c r="G90" s="63"/>
      <c r="H90" s="63"/>
      <c r="I90" s="63"/>
      <c r="J90" s="63"/>
      <c r="K90" s="63"/>
      <c r="L90" s="13"/>
      <c r="M90" s="13"/>
      <c r="N90" s="13"/>
      <c r="O90" s="13"/>
      <c r="P90" s="13"/>
      <c r="Q90" s="13"/>
      <c r="R90" s="13"/>
      <c r="S90" s="13"/>
      <c r="T90" s="13"/>
      <c r="U90" s="13"/>
      <c r="V90" s="13"/>
      <c r="W90" s="13"/>
      <c r="X90" s="13"/>
      <c r="AG90"/>
      <c r="AH90"/>
    </row>
    <row r="91" spans="1:34" x14ac:dyDescent="0.2">
      <c r="A91" s="6"/>
      <c r="B91" s="57"/>
      <c r="C91" s="13"/>
      <c r="D91" s="13"/>
      <c r="E91" s="13"/>
      <c r="F91" s="13"/>
      <c r="G91" s="63"/>
      <c r="H91" s="63"/>
      <c r="I91" s="63"/>
      <c r="J91" s="63"/>
      <c r="K91" s="63"/>
      <c r="L91" s="13"/>
      <c r="M91" s="13"/>
      <c r="N91" s="13"/>
      <c r="O91" s="13"/>
      <c r="P91" s="13"/>
      <c r="Q91" s="13"/>
      <c r="R91" s="13"/>
      <c r="S91" s="13"/>
      <c r="T91" s="13"/>
      <c r="U91" s="13"/>
      <c r="V91" s="13"/>
      <c r="W91" s="13"/>
      <c r="X91" s="13"/>
      <c r="AG91"/>
      <c r="AH91"/>
    </row>
    <row r="92" spans="1:34" x14ac:dyDescent="0.2">
      <c r="A92" s="6"/>
      <c r="B92" s="57"/>
      <c r="C92" s="13"/>
      <c r="D92" s="13"/>
      <c r="E92" s="13"/>
      <c r="F92" s="13"/>
      <c r="G92" s="63"/>
      <c r="H92" s="63"/>
      <c r="I92" s="63"/>
      <c r="J92" s="63"/>
      <c r="K92" s="63"/>
      <c r="L92" s="13"/>
      <c r="M92" s="13"/>
      <c r="N92" s="13"/>
      <c r="O92" s="13"/>
      <c r="P92" s="13"/>
      <c r="Q92" s="13"/>
      <c r="R92" s="13"/>
      <c r="S92" s="13"/>
      <c r="T92" s="13"/>
      <c r="U92" s="13"/>
      <c r="V92" s="13"/>
      <c r="W92" s="13"/>
      <c r="X92" s="13"/>
      <c r="AG92"/>
      <c r="AH92"/>
    </row>
    <row r="93" spans="1:34" x14ac:dyDescent="0.2">
      <c r="A93" s="6"/>
      <c r="B93" s="57"/>
      <c r="C93" s="13"/>
      <c r="D93" s="13"/>
      <c r="E93" s="13"/>
      <c r="F93" s="13"/>
      <c r="G93" s="63"/>
      <c r="H93" s="63"/>
      <c r="I93" s="63"/>
      <c r="J93" s="63"/>
      <c r="K93" s="63"/>
      <c r="L93" s="13"/>
      <c r="M93" s="13"/>
      <c r="N93" s="13"/>
      <c r="O93" s="13"/>
      <c r="P93" s="13"/>
      <c r="Q93" s="13"/>
      <c r="R93" s="13"/>
      <c r="S93" s="13"/>
      <c r="T93" s="13"/>
      <c r="U93" s="13"/>
      <c r="V93" s="13"/>
      <c r="W93" s="13"/>
      <c r="X93" s="13"/>
      <c r="AG93"/>
      <c r="AH93"/>
    </row>
    <row r="94" spans="1:34" x14ac:dyDescent="0.2">
      <c r="A94" s="6"/>
      <c r="B94" s="57"/>
      <c r="C94" s="13"/>
      <c r="D94" s="13"/>
      <c r="E94" s="13"/>
      <c r="F94" s="13"/>
      <c r="G94" s="63"/>
      <c r="H94" s="63"/>
      <c r="I94" s="63"/>
      <c r="J94" s="63"/>
      <c r="K94" s="63"/>
      <c r="L94" s="13"/>
      <c r="M94" s="13"/>
      <c r="N94" s="13"/>
      <c r="O94" s="13"/>
      <c r="P94" s="13"/>
      <c r="Q94" s="13"/>
      <c r="R94" s="13"/>
      <c r="S94" s="13"/>
      <c r="T94" s="13"/>
      <c r="U94" s="13"/>
      <c r="V94" s="13"/>
      <c r="W94" s="13"/>
      <c r="X94" s="13"/>
      <c r="AG94"/>
      <c r="AH94"/>
    </row>
    <row r="95" spans="1:34" x14ac:dyDescent="0.2">
      <c r="A95" s="6"/>
      <c r="B95" s="57"/>
      <c r="C95" s="13"/>
      <c r="D95" s="13"/>
      <c r="E95" s="13"/>
      <c r="F95" s="13"/>
      <c r="G95" s="63"/>
      <c r="H95" s="63"/>
      <c r="I95" s="63"/>
      <c r="J95" s="63"/>
      <c r="K95" s="63"/>
      <c r="L95" s="13"/>
      <c r="M95" s="13"/>
      <c r="N95" s="13"/>
      <c r="O95" s="13"/>
      <c r="P95" s="13"/>
      <c r="Q95" s="13"/>
      <c r="R95" s="13"/>
      <c r="S95" s="13"/>
      <c r="T95" s="13"/>
      <c r="U95" s="13"/>
      <c r="V95" s="13"/>
      <c r="W95" s="13"/>
      <c r="X95" s="13"/>
      <c r="AG95"/>
      <c r="AH95"/>
    </row>
    <row r="96" spans="1:34" x14ac:dyDescent="0.2">
      <c r="A96" s="6"/>
      <c r="B96" s="57"/>
      <c r="C96" s="13"/>
      <c r="D96" s="13"/>
      <c r="E96" s="13"/>
      <c r="F96" s="13"/>
      <c r="G96" s="63"/>
      <c r="H96" s="63"/>
      <c r="I96" s="63"/>
      <c r="J96" s="63"/>
      <c r="K96" s="63"/>
      <c r="L96" s="13"/>
      <c r="M96" s="13"/>
      <c r="N96" s="13"/>
      <c r="O96" s="13"/>
      <c r="P96" s="13"/>
      <c r="Q96" s="13"/>
      <c r="R96" s="13"/>
      <c r="S96" s="13"/>
      <c r="T96" s="13"/>
      <c r="U96" s="13"/>
      <c r="V96" s="13"/>
      <c r="W96" s="13"/>
      <c r="X96" s="13"/>
      <c r="AG96"/>
      <c r="AH96"/>
    </row>
    <row r="97" spans="1:34" x14ac:dyDescent="0.2">
      <c r="A97" s="6"/>
      <c r="B97" s="57"/>
      <c r="C97" s="13"/>
      <c r="D97" s="13"/>
      <c r="E97" s="13"/>
      <c r="F97" s="13"/>
      <c r="G97" s="63"/>
      <c r="H97" s="63"/>
      <c r="I97" s="63"/>
      <c r="J97" s="63"/>
      <c r="K97" s="63"/>
      <c r="L97" s="13"/>
      <c r="M97" s="13"/>
      <c r="N97" s="13"/>
      <c r="O97" s="13"/>
      <c r="P97" s="13"/>
      <c r="Q97" s="13"/>
      <c r="R97" s="13"/>
      <c r="S97" s="13"/>
      <c r="T97" s="13"/>
      <c r="U97" s="13"/>
      <c r="V97" s="13"/>
      <c r="W97" s="13"/>
      <c r="X97" s="13"/>
      <c r="AG97"/>
      <c r="AH97"/>
    </row>
    <row r="98" spans="1:34" x14ac:dyDescent="0.2">
      <c r="A98" s="6"/>
      <c r="B98" s="57"/>
      <c r="C98" s="13"/>
      <c r="D98" s="13"/>
      <c r="E98" s="13"/>
      <c r="F98" s="13"/>
      <c r="G98" s="63"/>
      <c r="H98" s="63"/>
      <c r="I98" s="63"/>
      <c r="J98" s="63"/>
      <c r="K98" s="63"/>
      <c r="L98" s="13"/>
      <c r="M98" s="13"/>
      <c r="N98" s="13"/>
      <c r="O98" s="13"/>
      <c r="P98" s="13"/>
      <c r="Q98" s="13"/>
      <c r="R98" s="13"/>
      <c r="S98" s="13"/>
      <c r="T98" s="13"/>
      <c r="U98" s="13"/>
      <c r="V98" s="13"/>
      <c r="W98" s="13"/>
      <c r="X98" s="13"/>
      <c r="AG98"/>
      <c r="AH98"/>
    </row>
    <row r="99" spans="1:34" x14ac:dyDescent="0.2">
      <c r="A99" s="6"/>
      <c r="B99" s="57"/>
      <c r="C99" s="13"/>
      <c r="D99" s="13"/>
      <c r="E99" s="13"/>
      <c r="F99" s="13"/>
      <c r="G99" s="63"/>
      <c r="H99" s="63"/>
      <c r="I99" s="63"/>
      <c r="J99" s="63"/>
      <c r="K99" s="63"/>
      <c r="L99" s="13"/>
      <c r="M99" s="13"/>
      <c r="N99" s="13"/>
      <c r="O99" s="13"/>
      <c r="P99" s="13"/>
      <c r="Q99" s="13"/>
      <c r="R99" s="13"/>
      <c r="S99" s="13"/>
      <c r="T99" s="13"/>
      <c r="U99" s="13"/>
      <c r="V99" s="13"/>
      <c r="W99" s="13"/>
      <c r="X99" s="13"/>
      <c r="AG99"/>
      <c r="AH99"/>
    </row>
    <row r="100" spans="1:34" x14ac:dyDescent="0.2">
      <c r="A100" s="6"/>
      <c r="B100" s="57"/>
      <c r="C100" s="13"/>
      <c r="D100" s="13"/>
      <c r="E100" s="13"/>
      <c r="F100" s="13"/>
      <c r="G100" s="63"/>
      <c r="H100" s="63"/>
      <c r="I100" s="63"/>
      <c r="J100" s="63"/>
      <c r="K100" s="63"/>
      <c r="L100" s="13"/>
      <c r="M100" s="13"/>
      <c r="N100" s="13"/>
      <c r="O100" s="13"/>
      <c r="P100" s="13"/>
      <c r="Q100" s="13"/>
      <c r="R100" s="13"/>
      <c r="S100" s="13"/>
      <c r="T100" s="13"/>
      <c r="U100" s="13"/>
      <c r="V100" s="13"/>
      <c r="W100" s="13"/>
      <c r="X100" s="13"/>
      <c r="AG100"/>
      <c r="AH100"/>
    </row>
    <row r="101" spans="1:34" x14ac:dyDescent="0.2">
      <c r="A101" s="6"/>
      <c r="B101" s="57"/>
      <c r="C101" s="13"/>
      <c r="D101" s="13"/>
      <c r="E101" s="13"/>
      <c r="F101" s="13"/>
      <c r="G101" s="63"/>
      <c r="H101" s="63"/>
      <c r="I101" s="63"/>
      <c r="J101" s="63"/>
      <c r="K101" s="63"/>
      <c r="L101" s="13"/>
      <c r="M101" s="13"/>
      <c r="N101" s="13"/>
      <c r="O101" s="13"/>
      <c r="P101" s="13"/>
      <c r="Q101" s="13"/>
      <c r="R101" s="13"/>
      <c r="S101" s="13"/>
      <c r="T101" s="13"/>
      <c r="U101" s="13"/>
      <c r="V101" s="13"/>
      <c r="W101" s="13"/>
      <c r="X101" s="13"/>
      <c r="AG101"/>
      <c r="AH101"/>
    </row>
    <row r="102" spans="1:34" x14ac:dyDescent="0.2">
      <c r="A102" s="6"/>
      <c r="B102" s="57"/>
      <c r="C102" s="13"/>
      <c r="D102" s="13"/>
      <c r="E102" s="13"/>
      <c r="F102" s="13"/>
      <c r="G102" s="63"/>
      <c r="H102" s="63"/>
      <c r="I102" s="63"/>
      <c r="J102" s="63"/>
      <c r="K102" s="63"/>
      <c r="L102" s="13"/>
      <c r="M102" s="13"/>
      <c r="N102" s="13"/>
      <c r="O102" s="13"/>
      <c r="P102" s="13"/>
      <c r="Q102" s="13"/>
      <c r="R102" s="13"/>
      <c r="S102" s="13"/>
      <c r="T102" s="13"/>
      <c r="U102" s="13"/>
      <c r="V102" s="13"/>
      <c r="W102" s="13"/>
      <c r="X102" s="13"/>
      <c r="AG102"/>
      <c r="AH102"/>
    </row>
    <row r="103" spans="1:34" x14ac:dyDescent="0.2">
      <c r="A103" s="6"/>
      <c r="B103" s="57"/>
      <c r="C103" s="13"/>
      <c r="D103" s="13"/>
      <c r="E103" s="13"/>
      <c r="F103" s="13"/>
      <c r="G103" s="63"/>
      <c r="H103" s="63"/>
      <c r="I103" s="63"/>
      <c r="J103" s="63"/>
      <c r="K103" s="63"/>
      <c r="L103" s="13"/>
      <c r="M103" s="13"/>
      <c r="N103" s="13"/>
      <c r="O103" s="13"/>
      <c r="P103" s="13"/>
      <c r="Q103" s="13"/>
      <c r="R103" s="13"/>
      <c r="S103" s="13"/>
      <c r="T103" s="13"/>
      <c r="U103" s="13"/>
      <c r="V103" s="13"/>
      <c r="W103" s="13"/>
      <c r="X103" s="13"/>
      <c r="AG103"/>
      <c r="AH103"/>
    </row>
    <row r="104" spans="1:34" x14ac:dyDescent="0.2">
      <c r="A104" s="6"/>
      <c r="B104" s="57"/>
      <c r="C104" s="13"/>
      <c r="D104" s="13"/>
      <c r="E104" s="13"/>
      <c r="F104" s="13"/>
      <c r="G104" s="63"/>
      <c r="H104" s="63"/>
      <c r="I104" s="63"/>
      <c r="J104" s="63"/>
      <c r="K104" s="63"/>
      <c r="L104" s="13"/>
      <c r="M104" s="13"/>
      <c r="N104" s="13"/>
      <c r="O104" s="13"/>
      <c r="P104" s="13"/>
      <c r="Q104" s="13"/>
      <c r="R104" s="13"/>
      <c r="S104" s="13"/>
      <c r="T104" s="13"/>
      <c r="U104" s="13"/>
      <c r="V104" s="13"/>
      <c r="W104" s="13"/>
      <c r="X104" s="13"/>
      <c r="AG104"/>
      <c r="AH104"/>
    </row>
    <row r="105" spans="1:34" x14ac:dyDescent="0.2">
      <c r="A105" s="6"/>
      <c r="B105" s="57"/>
      <c r="C105" s="13"/>
      <c r="D105" s="13"/>
      <c r="E105" s="13"/>
      <c r="F105" s="13"/>
      <c r="G105" s="63"/>
      <c r="H105" s="63"/>
      <c r="I105" s="63"/>
      <c r="J105" s="63"/>
      <c r="K105" s="63"/>
      <c r="L105" s="13"/>
      <c r="M105" s="13"/>
      <c r="N105" s="13"/>
      <c r="O105" s="13"/>
      <c r="P105" s="13"/>
      <c r="Q105" s="13"/>
      <c r="R105" s="13"/>
      <c r="S105" s="13"/>
      <c r="T105" s="13"/>
      <c r="U105" s="13"/>
      <c r="V105" s="13"/>
      <c r="W105" s="13"/>
      <c r="X105" s="13"/>
      <c r="AG105"/>
      <c r="AH105"/>
    </row>
    <row r="106" spans="1:34" x14ac:dyDescent="0.2">
      <c r="A106" s="6"/>
      <c r="B106" s="57"/>
      <c r="C106" s="13"/>
      <c r="D106" s="13"/>
      <c r="E106" s="13"/>
      <c r="F106" s="13"/>
      <c r="G106" s="63"/>
      <c r="H106" s="63"/>
      <c r="I106" s="63"/>
      <c r="J106" s="63"/>
      <c r="K106" s="63"/>
      <c r="L106" s="13"/>
      <c r="M106" s="13"/>
      <c r="N106" s="13"/>
      <c r="O106" s="13"/>
      <c r="P106" s="13"/>
      <c r="Q106" s="13"/>
      <c r="R106" s="13"/>
      <c r="S106" s="13"/>
      <c r="T106" s="13"/>
      <c r="U106" s="13"/>
      <c r="V106" s="13"/>
      <c r="W106" s="13"/>
      <c r="X106" s="13"/>
      <c r="AG106"/>
      <c r="AH106"/>
    </row>
    <row r="107" spans="1:34" x14ac:dyDescent="0.2">
      <c r="A107" s="6"/>
      <c r="B107" s="57"/>
      <c r="C107" s="13"/>
      <c r="D107" s="13"/>
      <c r="E107" s="13"/>
      <c r="F107" s="13"/>
      <c r="G107" s="63"/>
      <c r="H107" s="63"/>
      <c r="I107" s="63"/>
      <c r="J107" s="63"/>
      <c r="K107" s="63"/>
      <c r="L107" s="13"/>
      <c r="M107" s="13"/>
      <c r="N107" s="13"/>
      <c r="O107" s="13"/>
      <c r="P107" s="13"/>
      <c r="Q107" s="13"/>
      <c r="R107" s="13"/>
      <c r="S107" s="13"/>
      <c r="T107" s="13"/>
      <c r="U107" s="13"/>
      <c r="V107" s="13"/>
      <c r="W107" s="13"/>
      <c r="X107" s="13"/>
      <c r="AG107"/>
      <c r="AH107"/>
    </row>
    <row r="108" spans="1:34" x14ac:dyDescent="0.2">
      <c r="A108" s="6"/>
      <c r="B108" s="57"/>
      <c r="C108" s="13"/>
      <c r="D108" s="13"/>
      <c r="E108" s="13"/>
      <c r="F108" s="13"/>
      <c r="G108" s="63"/>
      <c r="H108" s="63"/>
      <c r="I108" s="63"/>
      <c r="J108" s="63"/>
      <c r="K108" s="63"/>
      <c r="L108" s="13"/>
      <c r="M108" s="13"/>
      <c r="N108" s="13"/>
      <c r="O108" s="13"/>
      <c r="P108" s="13"/>
      <c r="Q108" s="13"/>
      <c r="R108" s="13"/>
      <c r="S108" s="13"/>
      <c r="T108" s="13"/>
      <c r="U108" s="13"/>
      <c r="V108" s="13"/>
      <c r="W108" s="13"/>
      <c r="X108" s="13"/>
      <c r="AG108"/>
      <c r="AH108"/>
    </row>
    <row r="109" spans="1:34" x14ac:dyDescent="0.2">
      <c r="A109" s="6"/>
      <c r="B109" s="57"/>
      <c r="C109" s="13"/>
      <c r="D109" s="13"/>
      <c r="E109" s="13"/>
      <c r="F109" s="13"/>
      <c r="G109" s="63"/>
      <c r="H109" s="63"/>
      <c r="I109" s="63"/>
      <c r="J109" s="63"/>
      <c r="K109" s="63"/>
      <c r="L109" s="13"/>
      <c r="M109" s="13"/>
      <c r="N109" s="13"/>
      <c r="O109" s="13"/>
      <c r="P109" s="13"/>
      <c r="Q109" s="13"/>
      <c r="R109" s="13"/>
      <c r="S109" s="13"/>
      <c r="T109" s="13"/>
      <c r="U109" s="13"/>
      <c r="V109" s="13"/>
      <c r="W109" s="13"/>
      <c r="X109" s="13"/>
      <c r="AG109"/>
      <c r="AH109"/>
    </row>
    <row r="110" spans="1:34" x14ac:dyDescent="0.2">
      <c r="A110" s="6"/>
      <c r="B110" s="57"/>
      <c r="C110" s="13"/>
      <c r="D110" s="13"/>
      <c r="E110" s="13"/>
      <c r="F110" s="13"/>
      <c r="G110" s="63"/>
      <c r="H110" s="63"/>
      <c r="I110" s="63"/>
      <c r="J110" s="63"/>
      <c r="K110" s="63"/>
      <c r="L110" s="13"/>
      <c r="M110" s="13"/>
      <c r="N110" s="13"/>
      <c r="O110" s="13"/>
      <c r="P110" s="13"/>
      <c r="Q110" s="13"/>
      <c r="R110" s="13"/>
      <c r="S110" s="13"/>
      <c r="T110" s="13"/>
      <c r="U110" s="13"/>
      <c r="V110" s="13"/>
      <c r="W110" s="13"/>
      <c r="X110" s="13"/>
      <c r="AG110"/>
      <c r="AH110"/>
    </row>
    <row r="111" spans="1:34" x14ac:dyDescent="0.2">
      <c r="A111" s="6"/>
      <c r="B111" s="57"/>
      <c r="C111" s="13"/>
      <c r="D111" s="13"/>
      <c r="E111" s="13"/>
      <c r="F111" s="13"/>
      <c r="G111" s="63"/>
      <c r="H111" s="63"/>
      <c r="I111" s="63"/>
      <c r="J111" s="63"/>
      <c r="K111" s="63"/>
      <c r="L111" s="13"/>
      <c r="M111" s="13"/>
      <c r="N111" s="13"/>
      <c r="O111" s="13"/>
      <c r="P111" s="13"/>
      <c r="Q111" s="13"/>
      <c r="R111" s="13"/>
      <c r="S111" s="13"/>
      <c r="T111" s="13"/>
      <c r="U111" s="13"/>
      <c r="V111" s="13"/>
      <c r="W111" s="13"/>
      <c r="X111" s="13"/>
      <c r="AG111"/>
      <c r="AH111"/>
    </row>
    <row r="112" spans="1:34" x14ac:dyDescent="0.2">
      <c r="A112" s="6"/>
      <c r="B112" s="57"/>
      <c r="C112" s="13"/>
      <c r="D112" s="13"/>
      <c r="E112" s="13"/>
      <c r="F112" s="13"/>
      <c r="G112" s="63"/>
      <c r="H112" s="63"/>
      <c r="I112" s="63"/>
      <c r="J112" s="63"/>
      <c r="K112" s="63"/>
      <c r="L112" s="13"/>
      <c r="M112" s="13"/>
      <c r="N112" s="13"/>
      <c r="O112" s="13"/>
      <c r="P112" s="13"/>
      <c r="Q112" s="13"/>
      <c r="R112" s="13"/>
      <c r="S112" s="13"/>
      <c r="T112" s="13"/>
      <c r="U112" s="13"/>
      <c r="V112" s="13"/>
      <c r="W112" s="13"/>
      <c r="X112" s="13"/>
      <c r="AG112"/>
      <c r="AH112"/>
    </row>
    <row r="113" spans="1:34" x14ac:dyDescent="0.2">
      <c r="A113" s="6"/>
      <c r="B113" s="57"/>
      <c r="C113" s="13"/>
      <c r="D113" s="13"/>
      <c r="E113" s="13"/>
      <c r="F113" s="13"/>
      <c r="G113" s="63"/>
      <c r="H113" s="63"/>
      <c r="I113" s="63"/>
      <c r="J113" s="63"/>
      <c r="K113" s="63"/>
      <c r="L113" s="13"/>
      <c r="M113" s="13"/>
      <c r="N113" s="13"/>
      <c r="O113" s="13"/>
      <c r="P113" s="13"/>
      <c r="Q113" s="13"/>
      <c r="R113" s="13"/>
      <c r="S113" s="13"/>
      <c r="T113" s="13"/>
      <c r="U113" s="13"/>
      <c r="V113" s="13"/>
      <c r="W113" s="13"/>
      <c r="X113" s="13"/>
      <c r="AG113"/>
      <c r="AH113"/>
    </row>
    <row r="114" spans="1:34" x14ac:dyDescent="0.2">
      <c r="A114" s="6"/>
      <c r="B114" s="57"/>
      <c r="C114" s="13"/>
      <c r="D114" s="13"/>
      <c r="E114" s="13"/>
      <c r="F114" s="13"/>
      <c r="G114" s="63"/>
      <c r="H114" s="63"/>
      <c r="I114" s="63"/>
      <c r="J114" s="63"/>
      <c r="K114" s="63"/>
      <c r="L114" s="13"/>
      <c r="M114" s="13"/>
      <c r="N114" s="13"/>
      <c r="O114" s="13"/>
      <c r="P114" s="13"/>
      <c r="Q114" s="13"/>
      <c r="R114" s="13"/>
      <c r="S114" s="13"/>
      <c r="T114" s="13"/>
      <c r="U114" s="13"/>
      <c r="V114" s="13"/>
      <c r="W114" s="13"/>
      <c r="X114" s="13"/>
      <c r="AG114"/>
      <c r="AH114"/>
    </row>
    <row r="115" spans="1:34" x14ac:dyDescent="0.2">
      <c r="A115" s="6"/>
      <c r="B115" s="57"/>
      <c r="C115" s="13"/>
      <c r="D115" s="13"/>
      <c r="E115" s="13"/>
      <c r="F115" s="13"/>
      <c r="G115" s="63"/>
      <c r="H115" s="63"/>
      <c r="I115" s="63"/>
      <c r="J115" s="63"/>
      <c r="K115" s="63"/>
      <c r="L115" s="13"/>
      <c r="M115" s="13"/>
      <c r="N115" s="13"/>
      <c r="O115" s="13"/>
      <c r="P115" s="13"/>
      <c r="Q115" s="13"/>
      <c r="R115" s="13"/>
      <c r="S115" s="13"/>
      <c r="T115" s="13"/>
      <c r="U115" s="13"/>
      <c r="V115" s="13"/>
      <c r="W115" s="13"/>
      <c r="X115" s="13"/>
      <c r="AG115"/>
      <c r="AH115"/>
    </row>
    <row r="116" spans="1:34" x14ac:dyDescent="0.2">
      <c r="A116" s="6"/>
      <c r="B116" s="57"/>
      <c r="C116" s="13"/>
      <c r="D116" s="13"/>
      <c r="E116" s="13"/>
      <c r="F116" s="13"/>
      <c r="G116" s="63"/>
      <c r="H116" s="63"/>
      <c r="I116" s="63"/>
      <c r="J116" s="63"/>
      <c r="K116" s="63"/>
      <c r="L116" s="13"/>
      <c r="M116" s="13"/>
      <c r="N116" s="13"/>
      <c r="O116" s="13"/>
      <c r="P116" s="13"/>
      <c r="Q116" s="13"/>
      <c r="R116" s="13"/>
      <c r="S116" s="13"/>
      <c r="T116" s="13"/>
      <c r="U116" s="13"/>
      <c r="V116" s="13"/>
      <c r="W116" s="13"/>
      <c r="X116" s="13"/>
      <c r="AG116"/>
      <c r="AH116"/>
    </row>
    <row r="117" spans="1:34" x14ac:dyDescent="0.2">
      <c r="A117" s="6"/>
      <c r="B117" s="57"/>
      <c r="C117" s="13"/>
      <c r="D117" s="13"/>
      <c r="E117" s="13"/>
      <c r="F117" s="13"/>
      <c r="G117" s="63"/>
      <c r="H117" s="63"/>
      <c r="I117" s="63"/>
      <c r="J117" s="63"/>
      <c r="K117" s="63"/>
      <c r="L117" s="13"/>
      <c r="M117" s="13"/>
      <c r="N117" s="13"/>
      <c r="O117" s="13"/>
      <c r="P117" s="13"/>
      <c r="Q117" s="13"/>
      <c r="R117" s="13"/>
      <c r="S117" s="13"/>
      <c r="T117" s="13"/>
      <c r="U117" s="13"/>
      <c r="V117" s="13"/>
      <c r="W117" s="13"/>
      <c r="X117" s="13"/>
      <c r="AG117"/>
      <c r="AH117"/>
    </row>
    <row r="118" spans="1:34" x14ac:dyDescent="0.2">
      <c r="A118" s="6"/>
      <c r="B118" s="57"/>
      <c r="C118" s="13"/>
      <c r="D118" s="13"/>
      <c r="E118" s="13"/>
      <c r="F118" s="13"/>
      <c r="G118" s="63"/>
      <c r="H118" s="63"/>
      <c r="I118" s="63"/>
      <c r="J118" s="63"/>
      <c r="K118" s="63"/>
      <c r="L118" s="13"/>
      <c r="M118" s="13"/>
      <c r="N118" s="13"/>
      <c r="O118" s="13"/>
      <c r="P118" s="13"/>
      <c r="Q118" s="13"/>
      <c r="R118" s="13"/>
      <c r="S118" s="13"/>
      <c r="T118" s="13"/>
      <c r="U118" s="13"/>
      <c r="V118" s="13"/>
      <c r="W118" s="13"/>
      <c r="X118" s="13"/>
      <c r="AG118"/>
      <c r="AH118"/>
    </row>
    <row r="119" spans="1:34" x14ac:dyDescent="0.2">
      <c r="A119" s="6"/>
      <c r="B119" s="57"/>
      <c r="C119" s="13"/>
      <c r="D119" s="13"/>
      <c r="E119" s="13"/>
      <c r="F119" s="13"/>
      <c r="G119" s="63"/>
      <c r="H119" s="63"/>
      <c r="I119" s="63"/>
      <c r="J119" s="63"/>
      <c r="K119" s="63"/>
      <c r="L119" s="13"/>
      <c r="M119" s="13"/>
      <c r="N119" s="13"/>
      <c r="O119" s="13"/>
      <c r="P119" s="13"/>
      <c r="Q119" s="13"/>
      <c r="R119" s="13"/>
      <c r="S119" s="13"/>
      <c r="T119" s="13"/>
      <c r="U119" s="13"/>
      <c r="V119" s="13"/>
      <c r="W119" s="13"/>
      <c r="X119" s="13"/>
      <c r="AG119"/>
      <c r="AH119"/>
    </row>
    <row r="120" spans="1:34" x14ac:dyDescent="0.2">
      <c r="A120" s="6"/>
      <c r="B120" s="57"/>
      <c r="C120" s="13"/>
      <c r="D120" s="13"/>
      <c r="E120" s="13"/>
      <c r="F120" s="13"/>
      <c r="G120" s="63"/>
      <c r="H120" s="63"/>
      <c r="I120" s="63"/>
      <c r="J120" s="63"/>
      <c r="K120" s="63"/>
      <c r="L120" s="13"/>
      <c r="M120" s="13"/>
      <c r="N120" s="13"/>
      <c r="O120" s="13"/>
      <c r="P120" s="13"/>
      <c r="Q120" s="13"/>
      <c r="R120" s="13"/>
      <c r="S120" s="13"/>
      <c r="T120" s="13"/>
      <c r="U120" s="13"/>
      <c r="V120" s="13"/>
      <c r="W120" s="13"/>
      <c r="X120" s="13"/>
      <c r="AG120"/>
      <c r="AH120"/>
    </row>
    <row r="121" spans="1:34" x14ac:dyDescent="0.2">
      <c r="A121" s="6"/>
      <c r="B121" s="57"/>
      <c r="C121" s="13"/>
      <c r="D121" s="13"/>
      <c r="E121" s="13"/>
      <c r="F121" s="13"/>
      <c r="G121" s="63"/>
      <c r="H121" s="63"/>
      <c r="I121" s="63"/>
      <c r="J121" s="63"/>
      <c r="K121" s="63"/>
      <c r="L121" s="13"/>
      <c r="M121" s="13"/>
      <c r="N121" s="13"/>
      <c r="O121" s="13"/>
      <c r="P121" s="13"/>
      <c r="Q121" s="13"/>
      <c r="R121" s="13"/>
      <c r="S121" s="13"/>
      <c r="T121" s="13"/>
      <c r="U121" s="13"/>
      <c r="V121" s="13"/>
      <c r="W121" s="13"/>
      <c r="X121" s="13"/>
      <c r="AG121"/>
      <c r="AH121"/>
    </row>
    <row r="122" spans="1:34" x14ac:dyDescent="0.2">
      <c r="A122" s="6"/>
      <c r="B122" s="57"/>
      <c r="C122" s="13"/>
      <c r="D122" s="13"/>
      <c r="E122" s="13"/>
      <c r="F122" s="13"/>
      <c r="G122" s="63"/>
      <c r="H122" s="63"/>
      <c r="I122" s="63"/>
      <c r="J122" s="63"/>
      <c r="K122" s="63"/>
      <c r="L122" s="13"/>
      <c r="M122" s="13"/>
      <c r="N122" s="13"/>
      <c r="O122" s="13"/>
      <c r="P122" s="13"/>
      <c r="Q122" s="13"/>
      <c r="R122" s="13"/>
      <c r="S122" s="13"/>
      <c r="T122" s="13"/>
      <c r="U122" s="13"/>
      <c r="V122" s="13"/>
      <c r="W122" s="13"/>
      <c r="X122" s="13"/>
      <c r="AG122"/>
      <c r="AH122"/>
    </row>
    <row r="123" spans="1:34" x14ac:dyDescent="0.2">
      <c r="A123" s="6"/>
      <c r="B123" s="57"/>
      <c r="C123" s="13"/>
      <c r="D123" s="13"/>
      <c r="E123" s="13"/>
      <c r="F123" s="13"/>
      <c r="G123" s="63"/>
      <c r="H123" s="63"/>
      <c r="I123" s="63"/>
      <c r="J123" s="63"/>
      <c r="K123" s="63"/>
      <c r="L123" s="13"/>
      <c r="M123" s="13"/>
      <c r="N123" s="13"/>
      <c r="O123" s="13"/>
      <c r="P123" s="13"/>
      <c r="Q123" s="13"/>
      <c r="R123" s="13"/>
      <c r="S123" s="13"/>
      <c r="T123" s="13"/>
      <c r="U123" s="13"/>
      <c r="V123" s="13"/>
      <c r="W123" s="13"/>
      <c r="X123" s="13"/>
      <c r="AG123"/>
      <c r="AH123"/>
    </row>
    <row r="124" spans="1:34" x14ac:dyDescent="0.2">
      <c r="A124" s="6"/>
      <c r="B124" s="57"/>
      <c r="C124" s="13"/>
      <c r="D124" s="13"/>
      <c r="E124" s="13"/>
      <c r="F124" s="13"/>
      <c r="G124" s="63"/>
      <c r="H124" s="63"/>
      <c r="I124" s="63"/>
      <c r="J124" s="63"/>
      <c r="K124" s="63"/>
      <c r="L124" s="13"/>
      <c r="M124" s="13"/>
      <c r="N124" s="13"/>
      <c r="O124" s="13"/>
      <c r="P124" s="13"/>
      <c r="Q124" s="13"/>
      <c r="R124" s="13"/>
      <c r="S124" s="13"/>
      <c r="T124" s="13"/>
      <c r="U124" s="13"/>
      <c r="V124" s="13"/>
      <c r="W124" s="13"/>
      <c r="X124" s="13"/>
      <c r="AG124"/>
      <c r="AH124"/>
    </row>
    <row r="125" spans="1:34" x14ac:dyDescent="0.2">
      <c r="A125" s="6"/>
      <c r="B125" s="57"/>
      <c r="C125" s="13"/>
      <c r="D125" s="13"/>
      <c r="E125" s="13"/>
      <c r="F125" s="13"/>
      <c r="G125" s="63"/>
      <c r="H125" s="63"/>
      <c r="I125" s="63"/>
      <c r="J125" s="63"/>
      <c r="K125" s="63"/>
      <c r="L125" s="13"/>
      <c r="M125" s="13"/>
      <c r="N125" s="13"/>
      <c r="O125" s="13"/>
      <c r="P125" s="13"/>
      <c r="Q125" s="13"/>
      <c r="R125" s="13"/>
      <c r="S125" s="13"/>
      <c r="T125" s="13"/>
      <c r="U125" s="13"/>
      <c r="V125" s="13"/>
      <c r="W125" s="13"/>
      <c r="X125" s="13"/>
      <c r="AG125"/>
      <c r="AH125"/>
    </row>
    <row r="126" spans="1:34" x14ac:dyDescent="0.2">
      <c r="A126" s="6"/>
      <c r="B126" s="57"/>
      <c r="C126" s="13"/>
      <c r="D126" s="13"/>
      <c r="E126" s="13"/>
      <c r="F126" s="13"/>
      <c r="G126" s="63"/>
      <c r="H126" s="63"/>
      <c r="I126" s="63"/>
      <c r="J126" s="63"/>
      <c r="K126" s="63"/>
      <c r="L126" s="13"/>
      <c r="M126" s="13"/>
      <c r="N126" s="13"/>
      <c r="O126" s="13"/>
      <c r="P126" s="13"/>
      <c r="Q126" s="13"/>
      <c r="R126" s="13"/>
      <c r="S126" s="13"/>
      <c r="T126" s="13"/>
      <c r="U126" s="13"/>
      <c r="V126" s="13"/>
      <c r="W126" s="13"/>
      <c r="X126" s="13"/>
      <c r="AG126"/>
      <c r="AH126"/>
    </row>
    <row r="127" spans="1:34" x14ac:dyDescent="0.2">
      <c r="A127" s="6"/>
      <c r="B127" s="57"/>
      <c r="C127" s="13"/>
      <c r="D127" s="13"/>
      <c r="E127" s="13"/>
      <c r="F127" s="13"/>
      <c r="G127" s="63"/>
      <c r="H127" s="63"/>
      <c r="I127" s="63"/>
      <c r="J127" s="63"/>
      <c r="K127" s="63"/>
      <c r="L127" s="13"/>
      <c r="M127" s="13"/>
      <c r="N127" s="13"/>
      <c r="O127" s="13"/>
      <c r="P127" s="13"/>
      <c r="Q127" s="13"/>
      <c r="R127" s="13"/>
      <c r="S127" s="13"/>
      <c r="T127" s="13"/>
      <c r="U127" s="13"/>
      <c r="V127" s="13"/>
      <c r="W127" s="13"/>
      <c r="X127" s="13"/>
      <c r="AG127"/>
      <c r="AH127"/>
    </row>
    <row r="128" spans="1:34" x14ac:dyDescent="0.2">
      <c r="A128" s="6"/>
      <c r="B128" s="57"/>
      <c r="C128" s="13"/>
      <c r="D128" s="13"/>
      <c r="E128" s="13"/>
      <c r="F128" s="13"/>
      <c r="G128" s="63"/>
      <c r="H128" s="63"/>
      <c r="I128" s="63"/>
      <c r="J128" s="63"/>
      <c r="K128" s="63"/>
      <c r="L128" s="13"/>
      <c r="M128" s="13"/>
      <c r="N128" s="13"/>
      <c r="O128" s="13"/>
      <c r="P128" s="13"/>
      <c r="Q128" s="13"/>
      <c r="R128" s="13"/>
      <c r="S128" s="13"/>
      <c r="T128" s="13"/>
      <c r="U128" s="13"/>
      <c r="V128" s="13"/>
      <c r="W128" s="13"/>
      <c r="X128" s="13"/>
      <c r="AG128"/>
      <c r="AH128"/>
    </row>
    <row r="129" spans="1:34" x14ac:dyDescent="0.2">
      <c r="A129" s="6"/>
      <c r="B129" s="57"/>
      <c r="C129" s="13"/>
      <c r="D129" s="13"/>
      <c r="E129" s="13"/>
      <c r="F129" s="13"/>
      <c r="G129" s="63"/>
      <c r="H129" s="63"/>
      <c r="I129" s="63"/>
      <c r="J129" s="63"/>
      <c r="K129" s="63"/>
      <c r="L129" s="13"/>
      <c r="M129" s="13"/>
      <c r="N129" s="13"/>
      <c r="O129" s="13"/>
      <c r="P129" s="13"/>
      <c r="Q129" s="13"/>
      <c r="R129" s="13"/>
      <c r="S129" s="13"/>
      <c r="T129" s="13"/>
      <c r="U129" s="13"/>
      <c r="V129" s="13"/>
      <c r="W129" s="13"/>
      <c r="X129" s="13"/>
      <c r="AG129"/>
      <c r="AH129"/>
    </row>
    <row r="130" spans="1:34" x14ac:dyDescent="0.2">
      <c r="A130" s="6"/>
      <c r="B130" s="57"/>
      <c r="C130" s="13"/>
      <c r="D130" s="13"/>
      <c r="E130" s="13"/>
      <c r="F130" s="13"/>
      <c r="G130" s="63"/>
      <c r="H130" s="63"/>
      <c r="I130" s="63"/>
      <c r="J130" s="63"/>
      <c r="K130" s="63"/>
      <c r="L130" s="13"/>
      <c r="M130" s="13"/>
      <c r="N130" s="13"/>
      <c r="O130" s="13"/>
      <c r="P130" s="13"/>
      <c r="Q130" s="13"/>
      <c r="R130" s="13"/>
      <c r="S130" s="13"/>
      <c r="T130" s="13"/>
      <c r="U130" s="13"/>
      <c r="V130" s="13"/>
      <c r="W130" s="13"/>
      <c r="X130" s="13"/>
      <c r="AG130"/>
      <c r="AH130"/>
    </row>
    <row r="131" spans="1:34" x14ac:dyDescent="0.2">
      <c r="A131" s="6"/>
      <c r="B131" s="57"/>
      <c r="C131" s="13"/>
      <c r="D131" s="13"/>
      <c r="E131" s="13"/>
      <c r="F131" s="13"/>
      <c r="G131" s="63"/>
      <c r="H131" s="63"/>
      <c r="I131" s="63"/>
      <c r="J131" s="63"/>
      <c r="K131" s="63"/>
      <c r="L131" s="13"/>
      <c r="M131" s="13"/>
      <c r="N131" s="13"/>
      <c r="O131" s="13"/>
      <c r="P131" s="13"/>
      <c r="Q131" s="13"/>
      <c r="R131" s="13"/>
      <c r="S131" s="13"/>
      <c r="T131" s="13"/>
      <c r="U131" s="13"/>
      <c r="V131" s="13"/>
      <c r="W131" s="13"/>
      <c r="X131" s="13"/>
      <c r="AG131"/>
      <c r="AH131"/>
    </row>
    <row r="132" spans="1:34" x14ac:dyDescent="0.2">
      <c r="A132" s="6"/>
      <c r="B132" s="57"/>
      <c r="C132" s="13"/>
      <c r="D132" s="13"/>
      <c r="E132" s="13"/>
      <c r="F132" s="13"/>
      <c r="G132" s="63"/>
      <c r="H132" s="63"/>
      <c r="I132" s="63"/>
      <c r="J132" s="63"/>
      <c r="K132" s="63"/>
      <c r="L132" s="13"/>
      <c r="M132" s="13"/>
      <c r="N132" s="13"/>
      <c r="O132" s="13"/>
      <c r="P132" s="13"/>
      <c r="Q132" s="13"/>
      <c r="R132" s="13"/>
      <c r="S132" s="13"/>
      <c r="T132" s="13"/>
      <c r="U132" s="13"/>
      <c r="V132" s="13"/>
      <c r="W132" s="13"/>
      <c r="X132" s="13"/>
      <c r="AG132"/>
      <c r="AH132"/>
    </row>
    <row r="133" spans="1:34" x14ac:dyDescent="0.2">
      <c r="A133" s="6"/>
      <c r="B133" s="57"/>
      <c r="C133" s="13"/>
      <c r="D133" s="13"/>
      <c r="E133" s="13"/>
      <c r="F133" s="13"/>
      <c r="G133" s="63"/>
      <c r="H133" s="63"/>
      <c r="I133" s="63"/>
      <c r="J133" s="63"/>
      <c r="K133" s="63"/>
      <c r="L133" s="13"/>
      <c r="M133" s="13"/>
      <c r="N133" s="13"/>
      <c r="O133" s="13"/>
      <c r="P133" s="13"/>
      <c r="Q133" s="13"/>
      <c r="R133" s="13"/>
      <c r="S133" s="13"/>
      <c r="T133" s="13"/>
      <c r="U133" s="13"/>
      <c r="V133" s="13"/>
      <c r="W133" s="13"/>
      <c r="X133" s="13"/>
      <c r="AG133"/>
      <c r="AH133"/>
    </row>
    <row r="134" spans="1:34" x14ac:dyDescent="0.2">
      <c r="A134" s="6"/>
      <c r="B134" s="57"/>
      <c r="C134" s="13"/>
      <c r="D134" s="13"/>
      <c r="E134" s="13"/>
      <c r="F134" s="13"/>
      <c r="G134" s="63"/>
      <c r="H134" s="63"/>
      <c r="I134" s="63"/>
      <c r="J134" s="63"/>
      <c r="K134" s="63"/>
      <c r="L134" s="13"/>
      <c r="M134" s="13"/>
      <c r="N134" s="13"/>
      <c r="O134" s="13"/>
      <c r="P134" s="13"/>
      <c r="Q134" s="13"/>
      <c r="R134" s="13"/>
      <c r="S134" s="13"/>
      <c r="T134" s="13"/>
      <c r="U134" s="13"/>
      <c r="V134" s="13"/>
      <c r="W134" s="13"/>
      <c r="X134" s="13"/>
      <c r="AG134"/>
      <c r="AH134"/>
    </row>
    <row r="135" spans="1:34" x14ac:dyDescent="0.2">
      <c r="A135" s="6"/>
      <c r="B135" s="57"/>
      <c r="C135" s="13"/>
      <c r="D135" s="13"/>
      <c r="E135" s="13"/>
      <c r="F135" s="13"/>
      <c r="G135" s="63"/>
      <c r="H135" s="63"/>
      <c r="I135" s="63"/>
      <c r="J135" s="63"/>
      <c r="K135" s="63"/>
      <c r="L135" s="13"/>
      <c r="M135" s="13"/>
      <c r="N135" s="13"/>
      <c r="O135" s="13"/>
      <c r="P135" s="13"/>
      <c r="Q135" s="13"/>
      <c r="R135" s="13"/>
      <c r="S135" s="13"/>
      <c r="T135" s="13"/>
      <c r="U135" s="13"/>
      <c r="V135" s="13"/>
      <c r="W135" s="13"/>
      <c r="X135" s="13"/>
      <c r="AG135"/>
      <c r="AH135"/>
    </row>
    <row r="136" spans="1:34" x14ac:dyDescent="0.2">
      <c r="A136" s="6"/>
      <c r="B136" s="57"/>
      <c r="C136" s="13"/>
      <c r="D136" s="13"/>
      <c r="E136" s="13"/>
      <c r="F136" s="13"/>
      <c r="G136" s="63"/>
      <c r="H136" s="63"/>
      <c r="I136" s="63"/>
      <c r="J136" s="63"/>
      <c r="K136" s="63"/>
      <c r="L136" s="13"/>
      <c r="M136" s="13"/>
      <c r="N136" s="13"/>
      <c r="O136" s="13"/>
      <c r="P136" s="13"/>
      <c r="Q136" s="13"/>
      <c r="R136" s="13"/>
      <c r="S136" s="13"/>
      <c r="T136" s="13"/>
      <c r="U136" s="13"/>
      <c r="V136" s="13"/>
      <c r="W136" s="13"/>
      <c r="X136" s="13"/>
      <c r="AG136"/>
      <c r="AH136"/>
    </row>
    <row r="137" spans="1:34" x14ac:dyDescent="0.2">
      <c r="A137" s="6"/>
      <c r="B137" s="57"/>
      <c r="C137" s="13"/>
      <c r="D137" s="13"/>
      <c r="E137" s="13"/>
      <c r="F137" s="13"/>
      <c r="G137" s="63"/>
      <c r="H137" s="63"/>
      <c r="I137" s="63"/>
      <c r="J137" s="63"/>
      <c r="K137" s="63"/>
      <c r="L137" s="13"/>
      <c r="M137" s="13"/>
      <c r="N137" s="13"/>
      <c r="O137" s="13"/>
      <c r="P137" s="13"/>
      <c r="Q137" s="13"/>
      <c r="R137" s="13"/>
      <c r="S137" s="13"/>
      <c r="T137" s="13"/>
      <c r="U137" s="13"/>
      <c r="V137" s="13"/>
      <c r="W137" s="13"/>
      <c r="X137" s="13"/>
      <c r="AG137"/>
      <c r="AH137"/>
    </row>
    <row r="138" spans="1:34" x14ac:dyDescent="0.2">
      <c r="A138" s="6"/>
      <c r="B138" s="57"/>
      <c r="C138" s="13"/>
      <c r="D138" s="13"/>
      <c r="E138" s="13"/>
      <c r="F138" s="13"/>
      <c r="G138" s="63"/>
      <c r="H138" s="63"/>
      <c r="I138" s="63"/>
      <c r="J138" s="63"/>
      <c r="K138" s="63"/>
      <c r="L138" s="13"/>
      <c r="M138" s="13"/>
      <c r="N138" s="13"/>
      <c r="O138" s="13"/>
      <c r="P138" s="13"/>
      <c r="Q138" s="13"/>
      <c r="R138" s="13"/>
      <c r="S138" s="13"/>
      <c r="T138" s="13"/>
      <c r="U138" s="13"/>
      <c r="V138" s="13"/>
      <c r="W138" s="13"/>
      <c r="X138" s="13"/>
      <c r="AG138"/>
      <c r="AH138"/>
    </row>
    <row r="139" spans="1:34" x14ac:dyDescent="0.2">
      <c r="A139" s="6"/>
      <c r="B139" s="57"/>
      <c r="C139" s="13"/>
      <c r="D139" s="13"/>
      <c r="E139" s="13"/>
      <c r="F139" s="13"/>
      <c r="G139" s="63"/>
      <c r="H139" s="63"/>
      <c r="I139" s="63"/>
      <c r="J139" s="63"/>
      <c r="K139" s="63"/>
      <c r="L139" s="13"/>
      <c r="M139" s="13"/>
      <c r="N139" s="13"/>
      <c r="O139" s="13"/>
      <c r="P139" s="13"/>
      <c r="Q139" s="13"/>
      <c r="R139" s="13"/>
      <c r="S139" s="13"/>
      <c r="T139" s="13"/>
      <c r="U139" s="13"/>
      <c r="V139" s="13"/>
      <c r="W139" s="13"/>
      <c r="X139" s="13"/>
      <c r="AG139"/>
      <c r="AH139"/>
    </row>
    <row r="140" spans="1:34" x14ac:dyDescent="0.2">
      <c r="A140" s="6"/>
      <c r="B140" s="57"/>
      <c r="C140" s="13"/>
      <c r="D140" s="13"/>
      <c r="E140" s="13"/>
      <c r="F140" s="13"/>
      <c r="G140" s="63"/>
      <c r="H140" s="63"/>
      <c r="I140" s="63"/>
      <c r="J140" s="63"/>
      <c r="K140" s="63"/>
      <c r="L140" s="13"/>
      <c r="M140" s="13"/>
      <c r="N140" s="13"/>
      <c r="O140" s="13"/>
      <c r="P140" s="13"/>
      <c r="Q140" s="13"/>
      <c r="R140" s="13"/>
      <c r="S140" s="13"/>
      <c r="T140" s="13"/>
      <c r="U140" s="13"/>
      <c r="V140" s="13"/>
      <c r="W140" s="13"/>
      <c r="X140" s="13"/>
      <c r="AG140"/>
      <c r="AH140"/>
    </row>
    <row r="141" spans="1:34" x14ac:dyDescent="0.2">
      <c r="A141" s="6"/>
      <c r="B141" s="57"/>
      <c r="C141" s="13"/>
      <c r="D141" s="13"/>
      <c r="E141" s="13"/>
      <c r="F141" s="13"/>
      <c r="G141" s="63"/>
      <c r="H141" s="63"/>
      <c r="I141" s="63"/>
      <c r="J141" s="63"/>
      <c r="K141" s="63"/>
      <c r="L141" s="13"/>
      <c r="M141" s="13"/>
      <c r="N141" s="13"/>
      <c r="O141" s="13"/>
      <c r="P141" s="13"/>
      <c r="Q141" s="13"/>
      <c r="R141" s="13"/>
      <c r="S141" s="13"/>
      <c r="T141" s="13"/>
      <c r="U141" s="13"/>
      <c r="V141" s="13"/>
      <c r="W141" s="13"/>
      <c r="X141" s="13"/>
      <c r="AG141"/>
      <c r="AH141"/>
    </row>
    <row r="142" spans="1:34" x14ac:dyDescent="0.2">
      <c r="A142" s="6"/>
      <c r="B142" s="57"/>
      <c r="C142" s="13"/>
      <c r="D142" s="13"/>
      <c r="E142" s="13"/>
      <c r="F142" s="13"/>
      <c r="G142" s="63"/>
      <c r="H142" s="63"/>
      <c r="I142" s="63"/>
      <c r="J142" s="63"/>
      <c r="K142" s="63"/>
      <c r="L142" s="13"/>
      <c r="M142" s="13"/>
      <c r="N142" s="13"/>
      <c r="O142" s="13"/>
      <c r="P142" s="13"/>
      <c r="Q142" s="13"/>
      <c r="R142" s="13"/>
      <c r="S142" s="13"/>
      <c r="T142" s="13"/>
      <c r="U142" s="13"/>
      <c r="V142" s="13"/>
      <c r="W142" s="13"/>
      <c r="X142" s="13"/>
      <c r="AG142"/>
      <c r="AH142"/>
    </row>
    <row r="143" spans="1:34" x14ac:dyDescent="0.2">
      <c r="A143" s="6"/>
      <c r="B143" s="57"/>
      <c r="C143" s="13"/>
      <c r="D143" s="13"/>
      <c r="E143" s="13"/>
      <c r="F143" s="13"/>
      <c r="G143" s="63"/>
      <c r="H143" s="63"/>
      <c r="I143" s="63"/>
      <c r="J143" s="63"/>
      <c r="K143" s="63"/>
      <c r="L143" s="13"/>
      <c r="M143" s="13"/>
      <c r="N143" s="13"/>
      <c r="O143" s="13"/>
      <c r="P143" s="13"/>
      <c r="Q143" s="13"/>
      <c r="R143" s="13"/>
      <c r="S143" s="13"/>
      <c r="T143" s="13"/>
      <c r="U143" s="13"/>
      <c r="V143" s="13"/>
      <c r="W143" s="13"/>
      <c r="X143" s="13"/>
      <c r="AG143"/>
      <c r="AH143"/>
    </row>
    <row r="144" spans="1:34" x14ac:dyDescent="0.2">
      <c r="A144" s="6"/>
      <c r="B144" s="57"/>
      <c r="C144" s="13"/>
      <c r="D144" s="13"/>
      <c r="E144" s="13"/>
      <c r="F144" s="13"/>
      <c r="G144" s="63"/>
      <c r="H144" s="63"/>
      <c r="I144" s="63"/>
      <c r="J144" s="63"/>
      <c r="K144" s="63"/>
      <c r="L144" s="13"/>
      <c r="M144" s="13"/>
      <c r="N144" s="13"/>
      <c r="O144" s="13"/>
      <c r="P144" s="13"/>
      <c r="Q144" s="13"/>
      <c r="R144" s="13"/>
      <c r="S144" s="13"/>
      <c r="T144" s="13"/>
      <c r="U144" s="13"/>
      <c r="V144" s="13"/>
      <c r="W144" s="13"/>
      <c r="X144" s="13"/>
      <c r="AG144"/>
      <c r="AH144"/>
    </row>
    <row r="145" spans="1:34" x14ac:dyDescent="0.2">
      <c r="A145" s="6"/>
      <c r="B145" s="57"/>
      <c r="C145" s="13"/>
      <c r="D145" s="13"/>
      <c r="E145" s="13"/>
      <c r="F145" s="13"/>
      <c r="G145" s="63"/>
      <c r="H145" s="63"/>
      <c r="I145" s="63"/>
      <c r="J145" s="63"/>
      <c r="K145" s="63"/>
      <c r="L145" s="13"/>
      <c r="M145" s="13"/>
      <c r="N145" s="13"/>
      <c r="O145" s="13"/>
      <c r="P145" s="13"/>
      <c r="Q145" s="13"/>
      <c r="R145" s="13"/>
      <c r="S145" s="13"/>
      <c r="T145" s="13"/>
      <c r="U145" s="13"/>
      <c r="V145" s="13"/>
      <c r="W145" s="13"/>
      <c r="X145" s="13"/>
      <c r="AG145"/>
      <c r="AH145"/>
    </row>
    <row r="146" spans="1:34" x14ac:dyDescent="0.2">
      <c r="A146" s="6"/>
      <c r="B146" s="57"/>
      <c r="C146" s="13"/>
      <c r="D146" s="13"/>
      <c r="E146" s="13"/>
      <c r="F146" s="13"/>
      <c r="G146" s="63"/>
      <c r="H146" s="63"/>
      <c r="I146" s="63"/>
      <c r="J146" s="63"/>
      <c r="K146" s="63"/>
      <c r="L146" s="13"/>
      <c r="M146" s="13"/>
      <c r="N146" s="13"/>
      <c r="O146" s="13"/>
      <c r="P146" s="13"/>
      <c r="Q146" s="13"/>
      <c r="R146" s="13"/>
      <c r="S146" s="13"/>
      <c r="T146" s="13"/>
      <c r="U146" s="13"/>
      <c r="V146" s="13"/>
      <c r="W146" s="13"/>
      <c r="X146" s="13"/>
      <c r="AG146"/>
      <c r="AH146"/>
    </row>
    <row r="147" spans="1:34" x14ac:dyDescent="0.2">
      <c r="A147" s="6"/>
      <c r="B147" s="57"/>
      <c r="C147" s="13"/>
      <c r="D147" s="13"/>
      <c r="E147" s="13"/>
      <c r="F147" s="13"/>
      <c r="G147" s="63"/>
      <c r="H147" s="63"/>
      <c r="I147" s="63"/>
      <c r="J147" s="63"/>
      <c r="K147" s="63"/>
      <c r="L147" s="13"/>
      <c r="M147" s="13"/>
      <c r="N147" s="13"/>
      <c r="O147" s="13"/>
      <c r="P147" s="13"/>
      <c r="Q147" s="13"/>
      <c r="R147" s="13"/>
      <c r="S147" s="13"/>
      <c r="T147" s="13"/>
      <c r="U147" s="13"/>
      <c r="V147" s="13"/>
      <c r="W147" s="13"/>
      <c r="X147" s="13"/>
      <c r="AG147"/>
      <c r="AH147"/>
    </row>
    <row r="148" spans="1:34" x14ac:dyDescent="0.2">
      <c r="A148" s="6"/>
      <c r="B148" s="57"/>
      <c r="C148" s="13"/>
      <c r="D148" s="13"/>
      <c r="E148" s="13"/>
      <c r="F148" s="13"/>
      <c r="G148" s="63"/>
      <c r="H148" s="63"/>
      <c r="I148" s="63"/>
      <c r="J148" s="63"/>
      <c r="K148" s="63"/>
      <c r="L148" s="13"/>
      <c r="M148" s="13"/>
      <c r="N148" s="13"/>
      <c r="O148" s="13"/>
      <c r="P148" s="13"/>
      <c r="Q148" s="13"/>
      <c r="R148" s="13"/>
      <c r="S148" s="13"/>
      <c r="T148" s="13"/>
      <c r="U148" s="13"/>
      <c r="V148" s="13"/>
      <c r="W148" s="13"/>
      <c r="X148" s="13"/>
      <c r="AG148"/>
      <c r="AH148"/>
    </row>
    <row r="149" spans="1:34" x14ac:dyDescent="0.2">
      <c r="A149" s="6"/>
      <c r="B149" s="57"/>
      <c r="C149" s="13"/>
      <c r="D149" s="13"/>
      <c r="E149" s="13"/>
      <c r="F149" s="13"/>
      <c r="G149" s="63"/>
      <c r="H149" s="63"/>
      <c r="I149" s="63"/>
      <c r="J149" s="63"/>
      <c r="K149" s="63"/>
      <c r="L149" s="13"/>
      <c r="M149" s="13"/>
      <c r="N149" s="13"/>
      <c r="O149" s="13"/>
      <c r="P149" s="13"/>
      <c r="Q149" s="13"/>
      <c r="R149" s="13"/>
      <c r="S149" s="13"/>
      <c r="T149" s="13"/>
      <c r="U149" s="13"/>
      <c r="V149" s="13"/>
      <c r="W149" s="13"/>
      <c r="X149" s="13"/>
      <c r="AG149"/>
      <c r="AH149"/>
    </row>
    <row r="150" spans="1:34" x14ac:dyDescent="0.2">
      <c r="A150" s="6"/>
      <c r="B150" s="57"/>
      <c r="C150" s="13"/>
      <c r="D150" s="13"/>
      <c r="E150" s="13"/>
      <c r="F150" s="13"/>
      <c r="G150" s="63"/>
      <c r="H150" s="63"/>
      <c r="I150" s="63"/>
      <c r="J150" s="63"/>
      <c r="K150" s="63"/>
      <c r="L150" s="13"/>
      <c r="M150" s="13"/>
      <c r="N150" s="13"/>
      <c r="O150" s="13"/>
      <c r="P150" s="13"/>
      <c r="Q150" s="13"/>
      <c r="R150" s="13"/>
      <c r="S150" s="13"/>
      <c r="T150" s="13"/>
      <c r="U150" s="13"/>
      <c r="V150" s="13"/>
      <c r="W150" s="13"/>
      <c r="X150" s="13"/>
      <c r="AG150"/>
      <c r="AH150"/>
    </row>
    <row r="151" spans="1:34" x14ac:dyDescent="0.2">
      <c r="A151" s="6"/>
      <c r="B151" s="57"/>
      <c r="C151" s="13"/>
      <c r="D151" s="13"/>
      <c r="E151" s="13"/>
      <c r="F151" s="13"/>
      <c r="G151" s="63"/>
      <c r="H151" s="63"/>
      <c r="I151" s="63"/>
      <c r="J151" s="63"/>
      <c r="K151" s="63"/>
      <c r="L151" s="13"/>
      <c r="M151" s="13"/>
      <c r="N151" s="13"/>
      <c r="O151" s="13"/>
      <c r="P151" s="13"/>
      <c r="Q151" s="13"/>
      <c r="R151" s="13"/>
      <c r="S151" s="13"/>
      <c r="T151" s="13"/>
      <c r="U151" s="13"/>
      <c r="V151" s="13"/>
      <c r="W151" s="13"/>
      <c r="X151" s="13"/>
      <c r="AG151"/>
      <c r="AH151"/>
    </row>
    <row r="152" spans="1:34" x14ac:dyDescent="0.2">
      <c r="A152" s="6"/>
      <c r="B152" s="57"/>
      <c r="C152" s="13"/>
      <c r="D152" s="13"/>
      <c r="E152" s="13"/>
      <c r="F152" s="13"/>
      <c r="G152" s="63"/>
      <c r="H152" s="63"/>
      <c r="I152" s="63"/>
      <c r="J152" s="63"/>
      <c r="K152" s="63"/>
      <c r="L152" s="13"/>
      <c r="M152" s="13"/>
      <c r="N152" s="13"/>
      <c r="O152" s="13"/>
      <c r="P152" s="13"/>
      <c r="Q152" s="13"/>
      <c r="R152" s="13"/>
      <c r="S152" s="13"/>
      <c r="T152" s="13"/>
      <c r="U152" s="13"/>
      <c r="V152" s="13"/>
      <c r="W152" s="13"/>
      <c r="X152" s="13"/>
      <c r="AG152"/>
      <c r="AH152"/>
    </row>
    <row r="153" spans="1:34" x14ac:dyDescent="0.2">
      <c r="A153" s="6"/>
      <c r="B153" s="57"/>
      <c r="C153" s="13"/>
      <c r="D153" s="13"/>
      <c r="E153" s="13"/>
      <c r="F153" s="13"/>
      <c r="G153" s="63"/>
      <c r="H153" s="63"/>
      <c r="I153" s="63"/>
      <c r="J153" s="63"/>
      <c r="K153" s="63"/>
      <c r="L153" s="13"/>
      <c r="M153" s="13"/>
      <c r="N153" s="13"/>
      <c r="O153" s="13"/>
      <c r="P153" s="13"/>
      <c r="Q153" s="13"/>
      <c r="R153" s="13"/>
      <c r="S153" s="13"/>
      <c r="T153" s="13"/>
      <c r="U153" s="13"/>
      <c r="V153" s="13"/>
      <c r="W153" s="13"/>
      <c r="X153" s="13"/>
      <c r="AG153"/>
      <c r="AH153"/>
    </row>
    <row r="154" spans="1:34" x14ac:dyDescent="0.2">
      <c r="A154" s="6"/>
      <c r="B154" s="57"/>
      <c r="C154" s="13"/>
      <c r="D154" s="13"/>
      <c r="E154" s="13"/>
      <c r="F154" s="13"/>
      <c r="G154" s="63"/>
      <c r="H154" s="63"/>
      <c r="I154" s="63"/>
      <c r="J154" s="63"/>
      <c r="K154" s="63"/>
      <c r="L154" s="13"/>
      <c r="M154" s="13"/>
      <c r="N154" s="13"/>
      <c r="O154" s="13"/>
      <c r="P154" s="13"/>
      <c r="Q154" s="13"/>
      <c r="R154" s="13"/>
      <c r="S154" s="13"/>
      <c r="T154" s="13"/>
      <c r="U154" s="13"/>
      <c r="V154" s="13"/>
      <c r="W154" s="13"/>
      <c r="X154" s="13"/>
      <c r="AG154"/>
      <c r="AH154"/>
    </row>
    <row r="155" spans="1:34" x14ac:dyDescent="0.2">
      <c r="A155" s="6"/>
      <c r="B155" s="57"/>
      <c r="C155" s="13"/>
      <c r="D155" s="13"/>
      <c r="E155" s="13"/>
      <c r="F155" s="13"/>
      <c r="G155" s="63"/>
      <c r="H155" s="63"/>
      <c r="I155" s="63"/>
      <c r="J155" s="63"/>
      <c r="K155" s="63"/>
      <c r="L155" s="13"/>
      <c r="M155" s="13"/>
      <c r="N155" s="13"/>
      <c r="O155" s="13"/>
      <c r="P155" s="13"/>
      <c r="Q155" s="13"/>
      <c r="R155" s="13"/>
      <c r="S155" s="13"/>
      <c r="T155" s="13"/>
      <c r="U155" s="13"/>
      <c r="V155" s="13"/>
      <c r="W155" s="13"/>
      <c r="X155" s="13"/>
      <c r="AG155"/>
      <c r="AH155"/>
    </row>
    <row r="156" spans="1:34" x14ac:dyDescent="0.2">
      <c r="A156" s="6"/>
      <c r="B156" s="57"/>
      <c r="C156" s="13"/>
      <c r="D156" s="13"/>
      <c r="E156" s="13"/>
      <c r="F156" s="13"/>
      <c r="G156" s="63"/>
      <c r="H156" s="63"/>
      <c r="I156" s="63"/>
      <c r="J156" s="63"/>
      <c r="K156" s="63"/>
      <c r="L156" s="13"/>
      <c r="M156" s="13"/>
      <c r="N156" s="13"/>
      <c r="O156" s="13"/>
      <c r="P156" s="13"/>
      <c r="Q156" s="13"/>
      <c r="R156" s="13"/>
      <c r="S156" s="13"/>
      <c r="T156" s="13"/>
      <c r="U156" s="13"/>
      <c r="V156" s="13"/>
      <c r="W156" s="13"/>
      <c r="X156" s="13"/>
      <c r="AG156"/>
      <c r="AH156"/>
    </row>
    <row r="157" spans="1:34" x14ac:dyDescent="0.2">
      <c r="A157" s="6"/>
      <c r="B157" s="57"/>
      <c r="C157" s="13"/>
      <c r="D157" s="13"/>
      <c r="E157" s="13"/>
      <c r="F157" s="13"/>
      <c r="G157" s="63"/>
      <c r="H157" s="63"/>
      <c r="I157" s="63"/>
      <c r="J157" s="63"/>
      <c r="K157" s="63"/>
      <c r="L157" s="13"/>
      <c r="M157" s="13"/>
      <c r="N157" s="13"/>
      <c r="O157" s="13"/>
      <c r="P157" s="13"/>
      <c r="Q157" s="13"/>
      <c r="R157" s="13"/>
      <c r="S157" s="13"/>
      <c r="T157" s="13"/>
      <c r="U157" s="13"/>
      <c r="V157" s="13"/>
      <c r="W157" s="13"/>
      <c r="X157" s="13"/>
      <c r="AG157"/>
      <c r="AH157"/>
    </row>
    <row r="158" spans="1:34" x14ac:dyDescent="0.2">
      <c r="A158" s="6"/>
      <c r="B158" s="57"/>
      <c r="C158" s="13"/>
      <c r="D158" s="13"/>
      <c r="E158" s="13"/>
      <c r="F158" s="13"/>
      <c r="G158" s="63"/>
      <c r="H158" s="63"/>
      <c r="I158" s="63"/>
      <c r="J158" s="63"/>
      <c r="K158" s="63"/>
      <c r="L158" s="13"/>
      <c r="M158" s="13"/>
      <c r="N158" s="13"/>
      <c r="O158" s="13"/>
      <c r="P158" s="13"/>
      <c r="Q158" s="13"/>
      <c r="R158" s="13"/>
      <c r="S158" s="13"/>
      <c r="T158" s="13"/>
      <c r="U158" s="13"/>
      <c r="V158" s="13"/>
      <c r="W158" s="13"/>
      <c r="X158" s="13"/>
      <c r="AG158"/>
      <c r="AH158"/>
    </row>
    <row r="159" spans="1:34" x14ac:dyDescent="0.2">
      <c r="A159" s="6"/>
      <c r="B159" s="57"/>
      <c r="C159" s="13"/>
      <c r="D159" s="13"/>
      <c r="E159" s="13"/>
      <c r="F159" s="13"/>
      <c r="G159" s="63"/>
      <c r="H159" s="63"/>
      <c r="I159" s="63"/>
      <c r="J159" s="63"/>
      <c r="K159" s="63"/>
      <c r="L159" s="13"/>
      <c r="M159" s="13"/>
      <c r="N159" s="13"/>
      <c r="O159" s="13"/>
      <c r="P159" s="13"/>
      <c r="Q159" s="13"/>
      <c r="R159" s="13"/>
      <c r="S159" s="13"/>
      <c r="T159" s="13"/>
      <c r="U159" s="13"/>
      <c r="V159" s="13"/>
      <c r="W159" s="13"/>
      <c r="X159" s="13"/>
      <c r="AG159"/>
      <c r="AH159"/>
    </row>
    <row r="160" spans="1:34" x14ac:dyDescent="0.2">
      <c r="A160" s="6"/>
      <c r="B160" s="57"/>
      <c r="C160" s="13"/>
      <c r="D160" s="13"/>
      <c r="E160" s="13"/>
      <c r="F160" s="13"/>
      <c r="G160" s="63"/>
      <c r="H160" s="63"/>
      <c r="I160" s="63"/>
      <c r="J160" s="63"/>
      <c r="K160" s="63"/>
      <c r="L160" s="13"/>
      <c r="M160" s="13"/>
      <c r="N160" s="13"/>
      <c r="O160" s="13"/>
      <c r="P160" s="13"/>
      <c r="Q160" s="13"/>
      <c r="R160" s="13"/>
      <c r="S160" s="13"/>
      <c r="T160" s="13"/>
      <c r="U160" s="13"/>
      <c r="V160" s="13"/>
      <c r="W160" s="13"/>
      <c r="X160" s="13"/>
      <c r="AG160"/>
      <c r="AH160"/>
    </row>
    <row r="161" spans="1:34" x14ac:dyDescent="0.2">
      <c r="A161" s="6"/>
      <c r="B161" s="57"/>
      <c r="C161" s="13"/>
      <c r="D161" s="13"/>
      <c r="E161" s="13"/>
      <c r="F161" s="13"/>
      <c r="G161" s="63"/>
      <c r="H161" s="63"/>
      <c r="I161" s="63"/>
      <c r="J161" s="63"/>
      <c r="K161" s="63"/>
      <c r="L161" s="13"/>
      <c r="M161" s="13"/>
      <c r="N161" s="13"/>
      <c r="O161" s="13"/>
      <c r="P161" s="13"/>
      <c r="Q161" s="13"/>
      <c r="R161" s="13"/>
      <c r="S161" s="13"/>
      <c r="T161" s="13"/>
      <c r="U161" s="13"/>
      <c r="V161" s="13"/>
      <c r="W161" s="13"/>
      <c r="X161" s="13"/>
      <c r="AG161"/>
      <c r="AH161"/>
    </row>
    <row r="162" spans="1:34" x14ac:dyDescent="0.2">
      <c r="A162" s="6"/>
      <c r="B162" s="57"/>
      <c r="C162" s="13"/>
      <c r="D162" s="13"/>
      <c r="E162" s="13"/>
      <c r="F162" s="13"/>
      <c r="G162" s="63"/>
      <c r="H162" s="63"/>
      <c r="I162" s="63"/>
      <c r="J162" s="63"/>
      <c r="K162" s="63"/>
      <c r="L162" s="13"/>
      <c r="M162" s="13"/>
      <c r="N162" s="13"/>
      <c r="O162" s="13"/>
      <c r="P162" s="13"/>
      <c r="Q162" s="13"/>
      <c r="R162" s="13"/>
      <c r="S162" s="13"/>
      <c r="T162" s="13"/>
      <c r="U162" s="13"/>
      <c r="V162" s="13"/>
      <c r="W162" s="13"/>
      <c r="X162" s="13"/>
      <c r="AG162"/>
      <c r="AH162"/>
    </row>
    <row r="163" spans="1:34" x14ac:dyDescent="0.2">
      <c r="A163" s="6"/>
      <c r="B163" s="57"/>
      <c r="C163" s="13"/>
      <c r="D163" s="13"/>
      <c r="E163" s="13"/>
      <c r="F163" s="13"/>
      <c r="G163" s="63"/>
      <c r="H163" s="63"/>
      <c r="I163" s="63"/>
      <c r="J163" s="63"/>
      <c r="K163" s="63"/>
      <c r="L163" s="13"/>
      <c r="M163" s="13"/>
      <c r="N163" s="13"/>
      <c r="O163" s="13"/>
      <c r="P163" s="13"/>
      <c r="Q163" s="13"/>
      <c r="R163" s="13"/>
      <c r="S163" s="13"/>
      <c r="T163" s="13"/>
      <c r="U163" s="13"/>
      <c r="V163" s="13"/>
      <c r="W163" s="13"/>
      <c r="X163" s="13"/>
      <c r="AG163"/>
      <c r="AH163"/>
    </row>
    <row r="164" spans="1:34" x14ac:dyDescent="0.2">
      <c r="A164" s="6"/>
      <c r="B164" s="57"/>
      <c r="C164" s="13"/>
      <c r="D164" s="13"/>
      <c r="E164" s="13"/>
      <c r="F164" s="13"/>
      <c r="G164" s="63"/>
      <c r="H164" s="63"/>
      <c r="I164" s="63"/>
      <c r="J164" s="63"/>
      <c r="K164" s="63"/>
      <c r="L164" s="13"/>
      <c r="M164" s="13"/>
      <c r="N164" s="13"/>
      <c r="O164" s="13"/>
      <c r="P164" s="13"/>
      <c r="Q164" s="13"/>
      <c r="R164" s="13"/>
      <c r="S164" s="13"/>
      <c r="T164" s="13"/>
      <c r="U164" s="13"/>
      <c r="V164" s="13"/>
      <c r="W164" s="13"/>
      <c r="X164" s="13"/>
      <c r="AG164"/>
      <c r="AH164"/>
    </row>
    <row r="165" spans="1:34" x14ac:dyDescent="0.2">
      <c r="A165" s="6"/>
      <c r="B165" s="57"/>
      <c r="C165" s="13"/>
      <c r="D165" s="13"/>
      <c r="E165" s="13"/>
      <c r="F165" s="13"/>
      <c r="G165" s="63"/>
      <c r="H165" s="63"/>
      <c r="I165" s="63"/>
      <c r="J165" s="63"/>
      <c r="K165" s="63"/>
      <c r="L165" s="13"/>
      <c r="M165" s="13"/>
      <c r="N165" s="13"/>
      <c r="O165" s="13"/>
      <c r="P165" s="13"/>
      <c r="Q165" s="13"/>
      <c r="R165" s="13"/>
      <c r="S165" s="13"/>
      <c r="T165" s="13"/>
      <c r="U165" s="13"/>
      <c r="V165" s="13"/>
      <c r="W165" s="13"/>
      <c r="X165" s="13"/>
      <c r="AG165"/>
      <c r="AH165"/>
    </row>
    <row r="166" spans="1:34" x14ac:dyDescent="0.2">
      <c r="A166" s="6"/>
      <c r="B166" s="57"/>
      <c r="C166" s="13"/>
      <c r="D166" s="13"/>
      <c r="E166" s="13"/>
      <c r="F166" s="13"/>
      <c r="G166" s="63"/>
      <c r="H166" s="63"/>
      <c r="I166" s="63"/>
      <c r="J166" s="63"/>
      <c r="K166" s="63"/>
      <c r="L166" s="13"/>
      <c r="M166" s="13"/>
      <c r="N166" s="13"/>
      <c r="O166" s="13"/>
      <c r="P166" s="13"/>
      <c r="Q166" s="13"/>
      <c r="R166" s="13"/>
      <c r="S166" s="13"/>
      <c r="T166" s="13"/>
      <c r="U166" s="13"/>
      <c r="V166" s="13"/>
      <c r="W166" s="13"/>
      <c r="X166" s="13"/>
      <c r="AG166"/>
      <c r="AH166"/>
    </row>
    <row r="167" spans="1:34" x14ac:dyDescent="0.2">
      <c r="A167" s="6"/>
      <c r="B167" s="57"/>
      <c r="C167" s="13"/>
      <c r="D167" s="13"/>
      <c r="E167" s="13"/>
      <c r="F167" s="13"/>
      <c r="G167" s="63"/>
      <c r="H167" s="63"/>
      <c r="I167" s="63"/>
      <c r="J167" s="63"/>
      <c r="K167" s="63"/>
      <c r="L167" s="13"/>
      <c r="M167" s="13"/>
      <c r="N167" s="13"/>
      <c r="O167" s="13"/>
      <c r="P167" s="13"/>
      <c r="Q167" s="13"/>
      <c r="R167" s="13"/>
      <c r="S167" s="13"/>
      <c r="T167" s="13"/>
      <c r="U167" s="13"/>
      <c r="V167" s="13"/>
      <c r="W167" s="13"/>
      <c r="X167" s="13"/>
      <c r="AG167"/>
      <c r="AH167"/>
    </row>
    <row r="168" spans="1:34" x14ac:dyDescent="0.2">
      <c r="A168" s="6"/>
      <c r="B168" s="57"/>
      <c r="C168" s="13"/>
      <c r="D168" s="13"/>
      <c r="E168" s="13"/>
      <c r="F168" s="13"/>
      <c r="G168" s="63"/>
      <c r="H168" s="63"/>
      <c r="I168" s="63"/>
      <c r="J168" s="63"/>
      <c r="K168" s="63"/>
      <c r="L168" s="13"/>
      <c r="M168" s="13"/>
      <c r="N168" s="13"/>
      <c r="O168" s="13"/>
      <c r="P168" s="13"/>
      <c r="Q168" s="13"/>
      <c r="R168" s="13"/>
      <c r="S168" s="13"/>
      <c r="T168" s="13"/>
      <c r="U168" s="13"/>
      <c r="V168" s="13"/>
      <c r="W168" s="13"/>
      <c r="X168" s="13"/>
      <c r="AG168"/>
      <c r="AH168"/>
    </row>
    <row r="169" spans="1:34" x14ac:dyDescent="0.2">
      <c r="A169" s="6"/>
      <c r="B169" s="57"/>
      <c r="C169" s="13"/>
      <c r="D169" s="13"/>
      <c r="E169" s="13"/>
      <c r="F169" s="13"/>
      <c r="G169" s="63"/>
      <c r="H169" s="63"/>
      <c r="I169" s="63"/>
      <c r="J169" s="63"/>
      <c r="K169" s="63"/>
      <c r="L169" s="13"/>
      <c r="M169" s="13"/>
      <c r="N169" s="13"/>
      <c r="O169" s="13"/>
      <c r="P169" s="13"/>
      <c r="Q169" s="13"/>
      <c r="R169" s="13"/>
      <c r="S169" s="13"/>
      <c r="T169" s="13"/>
      <c r="U169" s="13"/>
      <c r="V169" s="13"/>
      <c r="W169" s="13"/>
      <c r="X169" s="13"/>
      <c r="AG169"/>
      <c r="AH169"/>
    </row>
    <row r="170" spans="1:34" x14ac:dyDescent="0.2">
      <c r="A170" s="6"/>
      <c r="B170" s="57"/>
      <c r="C170" s="13"/>
      <c r="D170" s="13"/>
      <c r="E170" s="13"/>
      <c r="F170" s="13"/>
      <c r="G170" s="63"/>
      <c r="H170" s="63"/>
      <c r="I170" s="63"/>
      <c r="J170" s="63"/>
      <c r="K170" s="63"/>
      <c r="L170" s="13"/>
      <c r="M170" s="13"/>
      <c r="N170" s="13"/>
      <c r="O170" s="13"/>
      <c r="P170" s="13"/>
      <c r="Q170" s="13"/>
      <c r="R170" s="13"/>
      <c r="S170" s="13"/>
      <c r="T170" s="13"/>
      <c r="U170" s="13"/>
      <c r="V170" s="13"/>
      <c r="W170" s="13"/>
      <c r="X170" s="13"/>
      <c r="AG170"/>
      <c r="AH170"/>
    </row>
    <row r="171" spans="1:34" x14ac:dyDescent="0.2">
      <c r="A171" s="6"/>
      <c r="B171" s="57"/>
      <c r="C171" s="13"/>
      <c r="D171" s="13"/>
      <c r="E171" s="13"/>
      <c r="F171" s="13"/>
      <c r="G171" s="63"/>
      <c r="H171" s="63"/>
      <c r="I171" s="63"/>
      <c r="J171" s="63"/>
      <c r="K171" s="63"/>
      <c r="L171" s="13"/>
      <c r="M171" s="13"/>
      <c r="N171" s="13"/>
      <c r="O171" s="13"/>
      <c r="P171" s="13"/>
      <c r="Q171" s="13"/>
      <c r="R171" s="13"/>
      <c r="S171" s="13"/>
      <c r="T171" s="13"/>
      <c r="U171" s="13"/>
      <c r="V171" s="13"/>
      <c r="W171" s="13"/>
      <c r="X171" s="13"/>
      <c r="AG171"/>
      <c r="AH171"/>
    </row>
    <row r="172" spans="1:34" x14ac:dyDescent="0.2">
      <c r="A172" s="6"/>
      <c r="B172" s="57"/>
      <c r="C172" s="13"/>
      <c r="D172" s="13"/>
      <c r="E172" s="13"/>
      <c r="F172" s="13"/>
      <c r="G172" s="63"/>
      <c r="H172" s="63"/>
      <c r="I172" s="63"/>
      <c r="J172" s="63"/>
      <c r="K172" s="63"/>
      <c r="L172" s="13"/>
      <c r="M172" s="13"/>
      <c r="N172" s="13"/>
      <c r="O172" s="13"/>
      <c r="P172" s="13"/>
      <c r="Q172" s="13"/>
      <c r="R172" s="13"/>
      <c r="S172" s="13"/>
      <c r="T172" s="13"/>
      <c r="U172" s="13"/>
      <c r="V172" s="13"/>
      <c r="W172" s="13"/>
      <c r="X172" s="13"/>
      <c r="AG172"/>
      <c r="AH172"/>
    </row>
    <row r="173" spans="1:34" x14ac:dyDescent="0.2">
      <c r="A173" s="6"/>
      <c r="B173" s="57"/>
      <c r="C173" s="13"/>
      <c r="D173" s="13"/>
      <c r="E173" s="13"/>
      <c r="F173" s="13"/>
      <c r="G173" s="63"/>
      <c r="H173" s="63"/>
      <c r="I173" s="63"/>
      <c r="J173" s="63"/>
      <c r="K173" s="63"/>
      <c r="L173" s="13"/>
      <c r="M173" s="13"/>
      <c r="N173" s="13"/>
      <c r="O173" s="13"/>
      <c r="P173" s="13"/>
      <c r="Q173" s="13"/>
      <c r="R173" s="13"/>
      <c r="S173" s="13"/>
      <c r="T173" s="13"/>
      <c r="U173" s="13"/>
      <c r="V173" s="13"/>
      <c r="W173" s="13"/>
      <c r="X173" s="13"/>
      <c r="AG173"/>
      <c r="AH173"/>
    </row>
    <row r="174" spans="1:34" x14ac:dyDescent="0.2">
      <c r="A174" s="6"/>
      <c r="B174" s="57"/>
      <c r="C174" s="13"/>
      <c r="D174" s="13"/>
      <c r="E174" s="13"/>
      <c r="F174" s="13"/>
      <c r="G174" s="63"/>
      <c r="H174" s="63"/>
      <c r="I174" s="63"/>
      <c r="J174" s="63"/>
      <c r="K174" s="63"/>
      <c r="L174" s="13"/>
      <c r="M174" s="13"/>
      <c r="N174" s="13"/>
      <c r="O174" s="13"/>
      <c r="P174" s="13"/>
      <c r="Q174" s="13"/>
      <c r="R174" s="13"/>
      <c r="S174" s="13"/>
      <c r="T174" s="13"/>
      <c r="U174" s="13"/>
      <c r="V174" s="13"/>
      <c r="W174" s="13"/>
      <c r="X174" s="13"/>
      <c r="AG174"/>
      <c r="AH174"/>
    </row>
    <row r="175" spans="1:34" x14ac:dyDescent="0.2">
      <c r="A175" s="6"/>
      <c r="B175" s="57"/>
      <c r="C175" s="13"/>
      <c r="D175" s="13"/>
      <c r="E175" s="13"/>
      <c r="F175" s="13"/>
      <c r="G175" s="63"/>
      <c r="H175" s="63"/>
      <c r="I175" s="63"/>
      <c r="J175" s="63"/>
      <c r="K175" s="63"/>
      <c r="L175" s="13"/>
      <c r="M175" s="13"/>
      <c r="N175" s="13"/>
      <c r="O175" s="13"/>
      <c r="P175" s="13"/>
      <c r="Q175" s="13"/>
      <c r="R175" s="13"/>
      <c r="S175" s="13"/>
      <c r="T175" s="13"/>
      <c r="U175" s="13"/>
      <c r="V175" s="13"/>
      <c r="W175" s="13"/>
      <c r="X175" s="13"/>
      <c r="AG175"/>
      <c r="AH175"/>
    </row>
    <row r="176" spans="1:34" x14ac:dyDescent="0.2">
      <c r="A176" s="6"/>
      <c r="B176" s="57"/>
      <c r="C176" s="13"/>
      <c r="D176" s="13"/>
      <c r="E176" s="13"/>
      <c r="F176" s="13"/>
      <c r="G176" s="63"/>
      <c r="H176" s="63"/>
      <c r="I176" s="63"/>
      <c r="J176" s="63"/>
      <c r="K176" s="63"/>
      <c r="L176" s="13"/>
      <c r="M176" s="13"/>
      <c r="N176" s="13"/>
      <c r="O176" s="13"/>
      <c r="P176" s="13"/>
      <c r="Q176" s="13"/>
      <c r="R176" s="13"/>
      <c r="S176" s="13"/>
      <c r="T176" s="13"/>
      <c r="U176" s="13"/>
      <c r="V176" s="13"/>
      <c r="W176" s="13"/>
      <c r="X176" s="13"/>
      <c r="AG176"/>
      <c r="AH176"/>
    </row>
    <row r="177" spans="1:34" x14ac:dyDescent="0.2">
      <c r="A177" s="6"/>
      <c r="B177" s="57"/>
      <c r="C177" s="13"/>
      <c r="D177" s="13"/>
      <c r="E177" s="13"/>
      <c r="F177" s="13"/>
      <c r="G177" s="63"/>
      <c r="H177" s="63"/>
      <c r="I177" s="63"/>
      <c r="J177" s="63"/>
      <c r="K177" s="63"/>
      <c r="L177" s="13"/>
      <c r="M177" s="13"/>
      <c r="N177" s="13"/>
      <c r="O177" s="13"/>
      <c r="P177" s="13"/>
      <c r="Q177" s="13"/>
      <c r="R177" s="13"/>
      <c r="S177" s="13"/>
      <c r="T177" s="13"/>
      <c r="U177" s="13"/>
      <c r="V177" s="13"/>
      <c r="W177" s="13"/>
      <c r="X177" s="13"/>
      <c r="AG177"/>
      <c r="AH177"/>
    </row>
    <row r="178" spans="1:34" x14ac:dyDescent="0.2">
      <c r="A178" s="6"/>
      <c r="B178" s="57"/>
      <c r="C178" s="13"/>
      <c r="D178" s="13"/>
      <c r="E178" s="13"/>
      <c r="F178" s="13"/>
      <c r="G178" s="63"/>
      <c r="H178" s="63"/>
      <c r="I178" s="63"/>
      <c r="J178" s="63"/>
      <c r="K178" s="63"/>
      <c r="L178" s="13"/>
      <c r="M178" s="13"/>
      <c r="N178" s="13"/>
      <c r="O178" s="13"/>
      <c r="P178" s="13"/>
      <c r="Q178" s="13"/>
      <c r="R178" s="13"/>
      <c r="S178" s="13"/>
      <c r="T178" s="13"/>
      <c r="U178" s="13"/>
      <c r="V178" s="13"/>
      <c r="W178" s="13"/>
      <c r="X178" s="13"/>
      <c r="AG178"/>
      <c r="AH178"/>
    </row>
    <row r="179" spans="1:34" x14ac:dyDescent="0.2">
      <c r="A179" s="6"/>
      <c r="B179" s="57"/>
      <c r="C179" s="13"/>
      <c r="D179" s="13"/>
      <c r="E179" s="13"/>
      <c r="F179" s="13"/>
      <c r="G179" s="63"/>
      <c r="H179" s="63"/>
      <c r="I179" s="63"/>
      <c r="J179" s="63"/>
      <c r="K179" s="63"/>
      <c r="L179" s="13"/>
      <c r="M179" s="13"/>
      <c r="N179" s="13"/>
      <c r="O179" s="13"/>
      <c r="P179" s="13"/>
      <c r="Q179" s="13"/>
      <c r="R179" s="13"/>
      <c r="S179" s="13"/>
      <c r="T179" s="13"/>
      <c r="U179" s="13"/>
      <c r="V179" s="13"/>
      <c r="W179" s="13"/>
      <c r="X179" s="13"/>
      <c r="AG179"/>
      <c r="AH179"/>
    </row>
    <row r="180" spans="1:34" x14ac:dyDescent="0.2">
      <c r="A180" s="6"/>
      <c r="B180" s="57"/>
      <c r="C180" s="13"/>
      <c r="D180" s="13"/>
      <c r="E180" s="13"/>
      <c r="F180" s="13"/>
      <c r="G180" s="63"/>
      <c r="H180" s="63"/>
      <c r="I180" s="63"/>
      <c r="J180" s="63"/>
      <c r="K180" s="63"/>
      <c r="L180" s="13"/>
      <c r="M180" s="13"/>
      <c r="N180" s="13"/>
      <c r="O180" s="13"/>
      <c r="P180" s="13"/>
      <c r="Q180" s="13"/>
      <c r="R180" s="13"/>
      <c r="S180" s="13"/>
      <c r="T180" s="13"/>
      <c r="U180" s="13"/>
      <c r="V180" s="13"/>
      <c r="W180" s="13"/>
      <c r="X180" s="13"/>
      <c r="AG180"/>
      <c r="AH180"/>
    </row>
    <row r="181" spans="1:34" x14ac:dyDescent="0.2">
      <c r="A181" s="6"/>
      <c r="B181" s="57"/>
      <c r="C181" s="13"/>
      <c r="D181" s="13"/>
      <c r="E181" s="13"/>
      <c r="F181" s="13"/>
      <c r="G181" s="63"/>
      <c r="H181" s="63"/>
      <c r="I181" s="63"/>
      <c r="J181" s="63"/>
      <c r="K181" s="63"/>
      <c r="L181" s="13"/>
      <c r="M181" s="13"/>
      <c r="N181" s="13"/>
      <c r="O181" s="13"/>
      <c r="P181" s="13"/>
      <c r="Q181" s="13"/>
      <c r="R181" s="13"/>
      <c r="S181" s="13"/>
      <c r="T181" s="13"/>
      <c r="U181" s="13"/>
      <c r="V181" s="13"/>
      <c r="W181" s="13"/>
      <c r="X181" s="13"/>
      <c r="AG181"/>
      <c r="AH181"/>
    </row>
    <row r="182" spans="1:34" x14ac:dyDescent="0.2">
      <c r="A182" s="6"/>
      <c r="B182" s="57"/>
      <c r="C182" s="13"/>
      <c r="D182" s="13"/>
      <c r="E182" s="13"/>
      <c r="F182" s="13"/>
      <c r="G182" s="63"/>
      <c r="H182" s="63"/>
      <c r="I182" s="63"/>
      <c r="J182" s="63"/>
      <c r="K182" s="63"/>
      <c r="L182" s="13"/>
      <c r="M182" s="13"/>
      <c r="N182" s="13"/>
      <c r="O182" s="13"/>
      <c r="P182" s="13"/>
      <c r="Q182" s="13"/>
      <c r="R182" s="13"/>
      <c r="S182" s="13"/>
      <c r="T182" s="13"/>
      <c r="U182" s="13"/>
      <c r="V182" s="13"/>
      <c r="W182" s="13"/>
      <c r="X182" s="13"/>
      <c r="AG182"/>
      <c r="AH182"/>
    </row>
    <row r="183" spans="1:34" x14ac:dyDescent="0.2">
      <c r="A183" s="6"/>
      <c r="B183" s="57"/>
      <c r="C183" s="13"/>
      <c r="D183" s="13"/>
      <c r="E183" s="13"/>
      <c r="F183" s="13"/>
      <c r="G183" s="63"/>
      <c r="H183" s="63"/>
      <c r="I183" s="63"/>
      <c r="J183" s="63"/>
      <c r="K183" s="63"/>
      <c r="L183" s="13"/>
      <c r="M183" s="13"/>
      <c r="N183" s="13"/>
      <c r="O183" s="13"/>
      <c r="P183" s="13"/>
      <c r="Q183" s="13"/>
      <c r="R183" s="13"/>
      <c r="S183" s="13"/>
      <c r="T183" s="13"/>
      <c r="U183" s="13"/>
      <c r="V183" s="13"/>
      <c r="W183" s="13"/>
      <c r="X183" s="13"/>
      <c r="AG183"/>
      <c r="AH183"/>
    </row>
    <row r="184" spans="1:34" x14ac:dyDescent="0.2">
      <c r="A184" s="6"/>
      <c r="B184" s="57"/>
      <c r="C184" s="13"/>
      <c r="D184" s="13"/>
      <c r="E184" s="13"/>
      <c r="F184" s="13"/>
      <c r="G184" s="63"/>
      <c r="H184" s="63"/>
      <c r="I184" s="63"/>
      <c r="J184" s="63"/>
      <c r="K184" s="63"/>
      <c r="L184" s="13"/>
      <c r="M184" s="13"/>
      <c r="N184" s="13"/>
      <c r="O184" s="13"/>
      <c r="P184" s="13"/>
      <c r="Q184" s="13"/>
      <c r="R184" s="13"/>
      <c r="S184" s="13"/>
      <c r="T184" s="13"/>
      <c r="U184" s="13"/>
      <c r="V184" s="13"/>
      <c r="W184" s="13"/>
      <c r="X184" s="13"/>
      <c r="AG184"/>
      <c r="AH184"/>
    </row>
    <row r="185" spans="1:34" x14ac:dyDescent="0.2">
      <c r="A185" s="6"/>
      <c r="B185" s="57"/>
      <c r="C185" s="13"/>
      <c r="D185" s="13"/>
      <c r="E185" s="13"/>
      <c r="F185" s="13"/>
      <c r="G185" s="63"/>
      <c r="H185" s="63"/>
      <c r="I185" s="63"/>
      <c r="J185" s="63"/>
      <c r="K185" s="63"/>
      <c r="L185" s="13"/>
      <c r="M185" s="13"/>
      <c r="N185" s="13"/>
      <c r="O185" s="13"/>
      <c r="P185" s="13"/>
      <c r="Q185" s="13"/>
      <c r="R185" s="13"/>
      <c r="S185" s="13"/>
      <c r="T185" s="13"/>
      <c r="U185" s="13"/>
      <c r="V185" s="13"/>
      <c r="W185" s="13"/>
      <c r="X185" s="13"/>
      <c r="AG185"/>
      <c r="AH185"/>
    </row>
    <row r="186" spans="1:34" x14ac:dyDescent="0.2">
      <c r="A186" s="6"/>
      <c r="B186" s="57"/>
      <c r="C186" s="13"/>
      <c r="D186" s="13"/>
      <c r="E186" s="13"/>
      <c r="F186" s="13"/>
      <c r="G186" s="63"/>
      <c r="H186" s="63"/>
      <c r="I186" s="63"/>
      <c r="J186" s="63"/>
      <c r="K186" s="63"/>
      <c r="L186" s="13"/>
      <c r="M186" s="13"/>
      <c r="N186" s="13"/>
      <c r="O186" s="13"/>
      <c r="P186" s="13"/>
      <c r="Q186" s="13"/>
      <c r="R186" s="13"/>
      <c r="S186" s="13"/>
      <c r="T186" s="13"/>
      <c r="U186" s="13"/>
      <c r="V186" s="13"/>
      <c r="W186" s="13"/>
      <c r="X186" s="13"/>
      <c r="AG186"/>
      <c r="AH186"/>
    </row>
    <row r="187" spans="1:34" x14ac:dyDescent="0.2">
      <c r="A187" s="6"/>
      <c r="B187" s="57"/>
      <c r="C187" s="13"/>
      <c r="D187" s="13"/>
      <c r="E187" s="13"/>
      <c r="F187" s="13"/>
      <c r="G187" s="63"/>
      <c r="H187" s="63"/>
      <c r="I187" s="63"/>
      <c r="J187" s="63"/>
      <c r="K187" s="63"/>
      <c r="L187" s="13"/>
      <c r="M187" s="13"/>
      <c r="N187" s="13"/>
      <c r="O187" s="13"/>
      <c r="P187" s="13"/>
      <c r="Q187" s="13"/>
      <c r="R187" s="13"/>
      <c r="S187" s="13"/>
      <c r="T187" s="13"/>
      <c r="U187" s="13"/>
      <c r="V187" s="13"/>
      <c r="W187" s="13"/>
      <c r="X187" s="13"/>
      <c r="AG187"/>
      <c r="AH187"/>
    </row>
    <row r="188" spans="1:34" x14ac:dyDescent="0.2">
      <c r="A188" s="6"/>
      <c r="B188" s="57"/>
      <c r="C188" s="13"/>
      <c r="D188" s="13"/>
      <c r="E188" s="13"/>
      <c r="F188" s="13"/>
      <c r="G188" s="63"/>
      <c r="H188" s="63"/>
      <c r="I188" s="63"/>
      <c r="J188" s="63"/>
      <c r="K188" s="63"/>
      <c r="L188" s="13"/>
      <c r="M188" s="13"/>
      <c r="N188" s="13"/>
      <c r="O188" s="13"/>
      <c r="P188" s="13"/>
      <c r="Q188" s="13"/>
      <c r="R188" s="13"/>
      <c r="S188" s="13"/>
      <c r="T188" s="13"/>
      <c r="U188" s="13"/>
      <c r="V188" s="13"/>
      <c r="W188" s="13"/>
      <c r="X188" s="13"/>
      <c r="AG188"/>
      <c r="AH188"/>
    </row>
    <row r="189" spans="1:34" x14ac:dyDescent="0.2">
      <c r="A189" s="6"/>
      <c r="B189" s="57"/>
      <c r="C189" s="13"/>
      <c r="D189" s="13"/>
      <c r="E189" s="13"/>
      <c r="F189" s="13"/>
      <c r="G189" s="63"/>
      <c r="H189" s="63"/>
      <c r="I189" s="63"/>
      <c r="J189" s="63"/>
      <c r="K189" s="63"/>
      <c r="L189" s="13"/>
      <c r="M189" s="13"/>
      <c r="N189" s="13"/>
      <c r="O189" s="13"/>
      <c r="P189" s="13"/>
      <c r="Q189" s="13"/>
      <c r="R189" s="13"/>
      <c r="S189" s="13"/>
      <c r="T189" s="13"/>
      <c r="U189" s="13"/>
      <c r="V189" s="13"/>
      <c r="W189" s="13"/>
      <c r="X189" s="13"/>
      <c r="AG189"/>
      <c r="AH189"/>
    </row>
    <row r="190" spans="1:34" x14ac:dyDescent="0.2">
      <c r="A190" s="6"/>
      <c r="B190" s="57"/>
      <c r="C190" s="13"/>
      <c r="D190" s="13"/>
      <c r="E190" s="13"/>
      <c r="F190" s="13"/>
      <c r="G190" s="63"/>
      <c r="H190" s="63"/>
      <c r="I190" s="63"/>
      <c r="J190" s="63"/>
      <c r="K190" s="63"/>
      <c r="L190" s="13"/>
      <c r="M190" s="13"/>
      <c r="N190" s="13"/>
      <c r="O190" s="13"/>
      <c r="P190" s="13"/>
      <c r="Q190" s="13"/>
      <c r="R190" s="13"/>
      <c r="S190" s="13"/>
      <c r="T190" s="13"/>
      <c r="U190" s="13"/>
      <c r="V190" s="13"/>
      <c r="W190" s="13"/>
      <c r="X190" s="13"/>
      <c r="AG190"/>
      <c r="AH190"/>
    </row>
    <row r="191" spans="1:34" x14ac:dyDescent="0.2">
      <c r="A191" s="6"/>
      <c r="B191" s="57"/>
      <c r="C191" s="13"/>
      <c r="D191" s="13"/>
      <c r="E191" s="13"/>
      <c r="F191" s="13"/>
      <c r="G191" s="63"/>
      <c r="H191" s="63"/>
      <c r="I191" s="63"/>
      <c r="J191" s="63"/>
      <c r="K191" s="63"/>
      <c r="L191" s="13"/>
      <c r="M191" s="13"/>
      <c r="N191" s="13"/>
      <c r="O191" s="13"/>
      <c r="P191" s="13"/>
      <c r="Q191" s="13"/>
      <c r="R191" s="13"/>
      <c r="S191" s="13"/>
      <c r="T191" s="13"/>
      <c r="U191" s="13"/>
      <c r="V191" s="13"/>
      <c r="W191" s="13"/>
      <c r="X191" s="13"/>
      <c r="AG191"/>
      <c r="AH191"/>
    </row>
    <row r="192" spans="1:34" x14ac:dyDescent="0.2">
      <c r="A192" s="6"/>
      <c r="B192" s="57"/>
      <c r="C192" s="13"/>
      <c r="D192" s="13"/>
      <c r="E192" s="13"/>
      <c r="F192" s="13"/>
      <c r="G192" s="63"/>
      <c r="H192" s="63"/>
      <c r="I192" s="63"/>
      <c r="J192" s="63"/>
      <c r="K192" s="63"/>
      <c r="L192" s="13"/>
      <c r="M192" s="13"/>
      <c r="N192" s="13"/>
      <c r="O192" s="13"/>
      <c r="P192" s="13"/>
      <c r="Q192" s="13"/>
      <c r="R192" s="13"/>
      <c r="S192" s="13"/>
      <c r="T192" s="13"/>
      <c r="U192" s="13"/>
      <c r="V192" s="13"/>
      <c r="W192" s="13"/>
      <c r="X192" s="13"/>
      <c r="AG192"/>
      <c r="AH192"/>
    </row>
    <row r="193" spans="1:34" x14ac:dyDescent="0.2">
      <c r="A193" s="6"/>
      <c r="B193" s="57"/>
      <c r="C193" s="13"/>
      <c r="D193" s="13"/>
      <c r="E193" s="13"/>
      <c r="F193" s="13"/>
      <c r="G193" s="63"/>
      <c r="H193" s="63"/>
      <c r="I193" s="63"/>
      <c r="J193" s="63"/>
      <c r="K193" s="63"/>
      <c r="L193" s="13"/>
      <c r="M193" s="13"/>
      <c r="N193" s="13"/>
      <c r="O193" s="13"/>
      <c r="P193" s="13"/>
      <c r="Q193" s="13"/>
      <c r="R193" s="13"/>
      <c r="S193" s="13"/>
      <c r="T193" s="13"/>
      <c r="U193" s="13"/>
      <c r="V193" s="13"/>
      <c r="W193" s="13"/>
      <c r="X193" s="13"/>
      <c r="AG193"/>
      <c r="AH193"/>
    </row>
    <row r="194" spans="1:34" x14ac:dyDescent="0.2">
      <c r="A194" s="6"/>
      <c r="B194" s="57"/>
      <c r="C194" s="13"/>
      <c r="D194" s="13"/>
      <c r="E194" s="13"/>
      <c r="F194" s="13"/>
      <c r="G194" s="63"/>
      <c r="H194" s="63"/>
      <c r="I194" s="63"/>
      <c r="J194" s="63"/>
      <c r="K194" s="63"/>
      <c r="L194" s="13"/>
      <c r="M194" s="13"/>
      <c r="N194" s="13"/>
      <c r="O194" s="13"/>
      <c r="P194" s="13"/>
      <c r="Q194" s="13"/>
      <c r="R194" s="13"/>
      <c r="S194" s="13"/>
      <c r="T194" s="13"/>
      <c r="U194" s="13"/>
      <c r="V194" s="13"/>
      <c r="W194" s="13"/>
      <c r="X194" s="13"/>
      <c r="AG194"/>
      <c r="AH194"/>
    </row>
    <row r="195" spans="1:34" x14ac:dyDescent="0.2">
      <c r="A195" s="6"/>
      <c r="B195" s="57"/>
      <c r="C195" s="13"/>
      <c r="D195" s="13"/>
      <c r="E195" s="13"/>
      <c r="F195" s="13"/>
      <c r="G195" s="63"/>
      <c r="H195" s="63"/>
      <c r="I195" s="63"/>
      <c r="J195" s="63"/>
      <c r="K195" s="63"/>
      <c r="L195" s="13"/>
      <c r="M195" s="13"/>
      <c r="N195" s="13"/>
      <c r="O195" s="13"/>
      <c r="P195" s="13"/>
      <c r="Q195" s="13"/>
      <c r="R195" s="13"/>
      <c r="S195" s="13"/>
      <c r="T195" s="13"/>
      <c r="U195" s="13"/>
      <c r="V195" s="13"/>
      <c r="W195" s="13"/>
      <c r="X195" s="13"/>
      <c r="AG195"/>
      <c r="AH195"/>
    </row>
    <row r="196" spans="1:34" x14ac:dyDescent="0.2">
      <c r="A196" s="6"/>
      <c r="B196" s="57"/>
      <c r="C196" s="13"/>
      <c r="D196" s="13"/>
      <c r="E196" s="13"/>
      <c r="F196" s="13"/>
      <c r="G196" s="63"/>
      <c r="H196" s="63"/>
      <c r="I196" s="63"/>
      <c r="J196" s="63"/>
      <c r="K196" s="63"/>
      <c r="L196" s="13"/>
      <c r="M196" s="13"/>
      <c r="N196" s="13"/>
      <c r="O196" s="13"/>
      <c r="P196" s="13"/>
      <c r="Q196" s="13"/>
      <c r="R196" s="13"/>
      <c r="S196" s="13"/>
      <c r="T196" s="13"/>
      <c r="U196" s="13"/>
      <c r="V196" s="13"/>
      <c r="W196" s="13"/>
      <c r="X196" s="13"/>
      <c r="AG196"/>
      <c r="AH196"/>
    </row>
    <row r="197" spans="1:34" x14ac:dyDescent="0.2">
      <c r="A197" s="6"/>
      <c r="B197" s="57"/>
      <c r="C197" s="13"/>
      <c r="D197" s="13"/>
      <c r="E197" s="13"/>
      <c r="F197" s="13"/>
      <c r="G197" s="63"/>
      <c r="H197" s="63"/>
      <c r="I197" s="63"/>
      <c r="J197" s="63"/>
      <c r="K197" s="63"/>
      <c r="L197" s="13"/>
      <c r="M197" s="13"/>
      <c r="N197" s="13"/>
      <c r="O197" s="13"/>
      <c r="P197" s="13"/>
      <c r="Q197" s="13"/>
      <c r="R197" s="13"/>
      <c r="S197" s="13"/>
      <c r="T197" s="13"/>
      <c r="U197" s="13"/>
      <c r="V197" s="13"/>
      <c r="W197" s="13"/>
      <c r="X197" s="13"/>
      <c r="AG197"/>
      <c r="AH197"/>
    </row>
    <row r="198" spans="1:34" x14ac:dyDescent="0.2">
      <c r="A198" s="6"/>
      <c r="B198" s="57"/>
      <c r="C198" s="13"/>
      <c r="D198" s="13"/>
      <c r="E198" s="13"/>
      <c r="F198" s="13"/>
      <c r="G198" s="63"/>
      <c r="H198" s="63"/>
      <c r="I198" s="63"/>
      <c r="J198" s="63"/>
      <c r="K198" s="63"/>
      <c r="L198" s="13"/>
      <c r="M198" s="13"/>
      <c r="N198" s="13"/>
      <c r="O198" s="13"/>
      <c r="P198" s="13"/>
      <c r="Q198" s="13"/>
      <c r="R198" s="13"/>
      <c r="S198" s="13"/>
      <c r="T198" s="13"/>
      <c r="U198" s="13"/>
      <c r="V198" s="13"/>
      <c r="W198" s="13"/>
      <c r="X198" s="13"/>
      <c r="AG198"/>
      <c r="AH198"/>
    </row>
    <row r="199" spans="1:34" x14ac:dyDescent="0.2">
      <c r="A199" s="6"/>
      <c r="B199" s="57"/>
      <c r="C199" s="13"/>
      <c r="D199" s="13"/>
      <c r="E199" s="13"/>
      <c r="F199" s="13"/>
      <c r="G199" s="63"/>
      <c r="H199" s="63"/>
      <c r="I199" s="63"/>
      <c r="J199" s="63"/>
      <c r="K199" s="63"/>
      <c r="L199" s="13"/>
      <c r="M199" s="13"/>
      <c r="N199" s="13"/>
      <c r="O199" s="13"/>
      <c r="P199" s="13"/>
      <c r="Q199" s="13"/>
      <c r="R199" s="13"/>
      <c r="S199" s="13"/>
      <c r="T199" s="13"/>
      <c r="U199" s="13"/>
      <c r="V199" s="13"/>
      <c r="W199" s="13"/>
      <c r="X199" s="13"/>
      <c r="AG199"/>
      <c r="AH199"/>
    </row>
    <row r="200" spans="1:34" x14ac:dyDescent="0.2">
      <c r="A200" s="6"/>
      <c r="B200" s="57"/>
      <c r="C200" s="13"/>
      <c r="D200" s="13"/>
      <c r="E200" s="13"/>
      <c r="F200" s="13"/>
      <c r="G200" s="63"/>
      <c r="H200" s="63"/>
      <c r="I200" s="63"/>
      <c r="J200" s="63"/>
      <c r="K200" s="63"/>
      <c r="L200" s="13"/>
      <c r="M200" s="13"/>
      <c r="N200" s="13"/>
      <c r="O200" s="13"/>
      <c r="P200" s="13"/>
      <c r="Q200" s="13"/>
      <c r="R200" s="13"/>
      <c r="S200" s="13"/>
      <c r="T200" s="13"/>
      <c r="U200" s="13"/>
      <c r="V200" s="13"/>
      <c r="W200" s="13"/>
      <c r="X200" s="13"/>
      <c r="AG200"/>
      <c r="AH200"/>
    </row>
    <row r="201" spans="1:34" x14ac:dyDescent="0.2">
      <c r="A201" s="6"/>
      <c r="B201" s="57"/>
      <c r="C201" s="13"/>
      <c r="D201" s="13"/>
      <c r="E201" s="13"/>
      <c r="F201" s="13"/>
      <c r="G201" s="63"/>
      <c r="H201" s="63"/>
      <c r="I201" s="63"/>
      <c r="J201" s="63"/>
      <c r="K201" s="63"/>
      <c r="L201" s="13"/>
      <c r="M201" s="13"/>
      <c r="N201" s="13"/>
      <c r="O201" s="13"/>
      <c r="P201" s="13"/>
      <c r="Q201" s="13"/>
      <c r="R201" s="13"/>
      <c r="S201" s="13"/>
      <c r="T201" s="13"/>
      <c r="U201" s="13"/>
      <c r="V201" s="13"/>
      <c r="W201" s="13"/>
      <c r="X201" s="13"/>
      <c r="AG201"/>
      <c r="AH201"/>
    </row>
    <row r="202" spans="1:34" x14ac:dyDescent="0.2">
      <c r="A202" s="6"/>
      <c r="B202" s="57"/>
      <c r="C202" s="13"/>
      <c r="D202" s="13"/>
      <c r="E202" s="13"/>
      <c r="F202" s="13"/>
      <c r="G202" s="63"/>
      <c r="H202" s="63"/>
      <c r="I202" s="63"/>
      <c r="J202" s="63"/>
      <c r="K202" s="63"/>
      <c r="L202" s="13"/>
      <c r="M202" s="13"/>
      <c r="N202" s="13"/>
      <c r="O202" s="13"/>
      <c r="P202" s="13"/>
      <c r="Q202" s="13"/>
      <c r="R202" s="13"/>
      <c r="S202" s="13"/>
      <c r="T202" s="13"/>
      <c r="U202" s="13"/>
      <c r="V202" s="13"/>
      <c r="W202" s="13"/>
      <c r="X202" s="13"/>
      <c r="AG202"/>
      <c r="AH202"/>
    </row>
    <row r="203" spans="1:34" x14ac:dyDescent="0.2">
      <c r="A203" s="6"/>
      <c r="B203" s="57"/>
      <c r="C203" s="13"/>
      <c r="D203" s="13"/>
      <c r="E203" s="13"/>
      <c r="F203" s="13"/>
      <c r="G203" s="63"/>
      <c r="H203" s="63"/>
      <c r="I203" s="63"/>
      <c r="J203" s="63"/>
      <c r="K203" s="63"/>
      <c r="L203" s="13"/>
      <c r="M203" s="13"/>
      <c r="N203" s="13"/>
      <c r="O203" s="13"/>
      <c r="P203" s="13"/>
      <c r="Q203" s="13"/>
      <c r="R203" s="13"/>
      <c r="S203" s="13"/>
      <c r="T203" s="13"/>
      <c r="U203" s="13"/>
      <c r="V203" s="13"/>
      <c r="W203" s="13"/>
      <c r="X203" s="13"/>
      <c r="AG203"/>
      <c r="AH203"/>
    </row>
    <row r="204" spans="1:34" x14ac:dyDescent="0.2">
      <c r="A204" s="6"/>
      <c r="B204" s="57"/>
      <c r="C204" s="13"/>
      <c r="D204" s="13"/>
      <c r="E204" s="13"/>
      <c r="F204" s="13"/>
      <c r="G204" s="63"/>
      <c r="H204" s="63"/>
      <c r="I204" s="63"/>
      <c r="J204" s="63"/>
      <c r="K204" s="63"/>
      <c r="L204" s="13"/>
      <c r="M204" s="13"/>
      <c r="N204" s="13"/>
      <c r="O204" s="13"/>
      <c r="P204" s="13"/>
      <c r="Q204" s="13"/>
      <c r="R204" s="13"/>
      <c r="S204" s="13"/>
      <c r="T204" s="13"/>
      <c r="U204" s="13"/>
      <c r="V204" s="13"/>
      <c r="W204" s="13"/>
      <c r="X204" s="13"/>
      <c r="AG204"/>
      <c r="AH204"/>
    </row>
    <row r="205" spans="1:34" x14ac:dyDescent="0.2">
      <c r="A205" s="6"/>
      <c r="B205" s="57"/>
      <c r="C205" s="13"/>
      <c r="D205" s="13"/>
      <c r="E205" s="13"/>
      <c r="F205" s="13"/>
      <c r="G205" s="63"/>
      <c r="H205" s="63"/>
      <c r="I205" s="63"/>
      <c r="J205" s="63"/>
      <c r="K205" s="63"/>
      <c r="L205" s="13"/>
      <c r="M205" s="13"/>
      <c r="N205" s="13"/>
      <c r="O205" s="13"/>
      <c r="P205" s="13"/>
      <c r="Q205" s="13"/>
      <c r="R205" s="13"/>
      <c r="S205" s="13"/>
      <c r="T205" s="13"/>
      <c r="U205" s="13"/>
      <c r="V205" s="13"/>
      <c r="W205" s="13"/>
      <c r="X205" s="13"/>
      <c r="AG205"/>
      <c r="AH205"/>
    </row>
    <row r="206" spans="1:34" x14ac:dyDescent="0.2">
      <c r="A206" s="6"/>
      <c r="B206" s="57"/>
      <c r="C206" s="13"/>
      <c r="D206" s="13"/>
      <c r="E206" s="13"/>
      <c r="F206" s="13"/>
      <c r="G206" s="63"/>
      <c r="H206" s="63"/>
      <c r="I206" s="63"/>
      <c r="J206" s="63"/>
      <c r="K206" s="63"/>
      <c r="L206" s="13"/>
      <c r="M206" s="13"/>
      <c r="N206" s="13"/>
      <c r="O206" s="13"/>
      <c r="P206" s="13"/>
      <c r="Q206" s="13"/>
      <c r="R206" s="13"/>
      <c r="S206" s="13"/>
      <c r="T206" s="13"/>
      <c r="U206" s="13"/>
      <c r="V206" s="13"/>
      <c r="W206" s="13"/>
      <c r="X206" s="13"/>
      <c r="AG206"/>
      <c r="AH206"/>
    </row>
    <row r="207" spans="1:34" x14ac:dyDescent="0.2">
      <c r="A207" s="6"/>
      <c r="B207" s="57"/>
      <c r="C207" s="13"/>
      <c r="D207" s="13"/>
      <c r="E207" s="13"/>
      <c r="F207" s="13"/>
      <c r="G207" s="63"/>
      <c r="H207" s="63"/>
      <c r="I207" s="63"/>
      <c r="J207" s="63"/>
      <c r="K207" s="63"/>
      <c r="L207" s="13"/>
      <c r="M207" s="13"/>
      <c r="N207" s="13"/>
      <c r="O207" s="13"/>
      <c r="P207" s="13"/>
      <c r="Q207" s="13"/>
      <c r="R207" s="13"/>
      <c r="S207" s="13"/>
      <c r="T207" s="13"/>
      <c r="U207" s="13"/>
      <c r="V207" s="13"/>
      <c r="W207" s="13"/>
      <c r="X207" s="13"/>
      <c r="AG207"/>
      <c r="AH207"/>
    </row>
    <row r="208" spans="1:34" x14ac:dyDescent="0.2">
      <c r="A208" s="6"/>
      <c r="B208" s="57"/>
      <c r="C208" s="13"/>
      <c r="D208" s="13"/>
      <c r="E208" s="13"/>
      <c r="F208" s="13"/>
      <c r="G208" s="63"/>
      <c r="H208" s="63"/>
      <c r="I208" s="63"/>
      <c r="J208" s="63"/>
      <c r="K208" s="63"/>
      <c r="L208" s="13"/>
      <c r="M208" s="13"/>
      <c r="N208" s="13"/>
      <c r="O208" s="13"/>
      <c r="P208" s="13"/>
      <c r="Q208" s="13"/>
      <c r="R208" s="13"/>
      <c r="S208" s="13"/>
      <c r="T208" s="13"/>
      <c r="U208" s="13"/>
      <c r="V208" s="13"/>
      <c r="W208" s="13"/>
      <c r="X208" s="13"/>
      <c r="AG208"/>
      <c r="AH208"/>
    </row>
    <row r="209" spans="1:1" x14ac:dyDescent="0.2">
      <c r="A209" s="6"/>
    </row>
  </sheetData>
  <dataConsolidate/>
  <mergeCells count="5">
    <mergeCell ref="A7:X7"/>
    <mergeCell ref="A3:I3"/>
    <mergeCell ref="A1:D1"/>
    <mergeCell ref="A2:D2"/>
    <mergeCell ref="F2:L2"/>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Sheet13.requestScannerData">
                <anchor moveWithCells="1">
                  <from>
                    <xdr:col>0</xdr:col>
                    <xdr:colOff>314325</xdr:colOff>
                    <xdr:row>1</xdr:row>
                    <xdr:rowOff>76200</xdr:rowOff>
                  </from>
                  <to>
                    <xdr:col>1</xdr:col>
                    <xdr:colOff>981075</xdr:colOff>
                    <xdr:row>1</xdr:row>
                    <xdr:rowOff>276225</xdr:rowOff>
                  </to>
                </anchor>
              </controlPr>
            </control>
          </mc:Choice>
        </mc:AlternateContent>
        <mc:AlternateContent xmlns:mc="http://schemas.openxmlformats.org/markup-compatibility/2006">
          <mc:Choice Requires="x14">
            <control shapeId="23556" r:id="rId5" name="Button 4">
              <controlPr defaultSize="0" print="0" autoFill="0" autoPict="0" macro="[0]!Sheet13.cancelScannerData">
                <anchor moveWithCells="1" sizeWithCells="1">
                  <from>
                    <xdr:col>1</xdr:col>
                    <xdr:colOff>1333500</xdr:colOff>
                    <xdr:row>1</xdr:row>
                    <xdr:rowOff>76200</xdr:rowOff>
                  </from>
                  <to>
                    <xdr:col>3</xdr:col>
                    <xdr:colOff>590550</xdr:colOff>
                    <xdr:row>1</xdr:row>
                    <xdr:rowOff>276225</xdr:rowOff>
                  </to>
                </anchor>
              </controlPr>
            </control>
          </mc:Choice>
        </mc:AlternateContent>
        <mc:AlternateContent xmlns:mc="http://schemas.openxmlformats.org/markup-compatibility/2006">
          <mc:Choice Requires="x14">
            <control shapeId="23557" r:id="rId6" name="Button 5">
              <controlPr defaultSize="0" print="0" autoFill="0" autoPict="0" macro="[0]!Sheet13.onShowError">
                <anchor moveWithCells="1">
                  <from>
                    <xdr:col>3</xdr:col>
                    <xdr:colOff>952500</xdr:colOff>
                    <xdr:row>1</xdr:row>
                    <xdr:rowOff>85725</xdr:rowOff>
                  </from>
                  <to>
                    <xdr:col>3</xdr:col>
                    <xdr:colOff>1752600</xdr:colOff>
                    <xdr:row>1</xdr:row>
                    <xdr:rowOff>285750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A213"/>
  <sheetViews>
    <sheetView zoomScale="80" zoomScaleNormal="80" workbookViewId="0">
      <pane ySplit="9" topLeftCell="A10" activePane="bottomLeft" state="frozenSplit"/>
      <selection activeCell="Q35" sqref="Q35"/>
      <selection pane="bottomLeft" activeCell="Q35" sqref="Q35"/>
    </sheetView>
  </sheetViews>
  <sheetFormatPr defaultRowHeight="12.75" x14ac:dyDescent="0.2"/>
  <cols>
    <col min="1" max="1" width="13.5703125" customWidth="1"/>
    <col min="3" max="3" width="11.42578125" bestFit="1" customWidth="1"/>
    <col min="5" max="5" width="6.5703125" customWidth="1"/>
    <col min="6" max="6" width="6.28515625" customWidth="1"/>
    <col min="7" max="7" width="8.42578125" bestFit="1" customWidth="1"/>
    <col min="8" max="8" width="7.85546875" bestFit="1" customWidth="1"/>
    <col min="9" max="9" width="9.85546875" bestFit="1" customWidth="1"/>
    <col min="10" max="10" width="10.28515625" bestFit="1" customWidth="1"/>
    <col min="11" max="11" width="7.7109375" bestFit="1" customWidth="1"/>
    <col min="12" max="12" width="10.5703125" bestFit="1" customWidth="1"/>
    <col min="13" max="13" width="12.7109375" bestFit="1" customWidth="1"/>
    <col min="14" max="14" width="10.85546875" bestFit="1" customWidth="1"/>
    <col min="16" max="16" width="7.42578125" bestFit="1" customWidth="1"/>
    <col min="17" max="17" width="13" bestFit="1" customWidth="1"/>
    <col min="18" max="18" width="12.140625" bestFit="1" customWidth="1"/>
    <col min="19" max="19" width="13" bestFit="1" customWidth="1"/>
    <col min="20" max="20" width="10.28515625" customWidth="1"/>
    <col min="21" max="21" width="9.85546875" customWidth="1"/>
    <col min="22" max="22" width="14.42578125" customWidth="1"/>
    <col min="23" max="23" width="14.140625" customWidth="1"/>
    <col min="24" max="24" width="15.85546875" bestFit="1" customWidth="1"/>
    <col min="25" max="25" width="16.28515625" bestFit="1" customWidth="1"/>
    <col min="26" max="26" width="17.140625" bestFit="1" customWidth="1"/>
    <col min="27" max="27" width="68.28515625" bestFit="1" customWidth="1"/>
  </cols>
  <sheetData>
    <row r="1" spans="1:27" x14ac:dyDescent="0.2">
      <c r="A1" s="360" t="s">
        <v>48</v>
      </c>
      <c r="B1" s="274"/>
      <c r="C1" s="274"/>
      <c r="D1" s="274"/>
      <c r="E1" s="275"/>
    </row>
    <row r="2" spans="1:27" ht="28.5" customHeight="1" x14ac:dyDescent="0.2">
      <c r="A2" s="457"/>
      <c r="B2" s="277"/>
      <c r="C2" s="277"/>
      <c r="D2" s="277"/>
      <c r="E2" s="278"/>
      <c r="M2" s="463" t="s">
        <v>309</v>
      </c>
      <c r="N2" s="464"/>
      <c r="O2" s="464"/>
      <c r="P2" s="464"/>
      <c r="Q2" s="464"/>
      <c r="R2" s="465"/>
    </row>
    <row r="3" spans="1:27" x14ac:dyDescent="0.2">
      <c r="R3" s="27"/>
    </row>
    <row r="4" spans="1:27" x14ac:dyDescent="0.2">
      <c r="A4" s="408" t="s">
        <v>52</v>
      </c>
      <c r="B4" s="424"/>
      <c r="C4" s="424"/>
      <c r="D4" s="424"/>
      <c r="E4" s="424"/>
      <c r="F4" s="408"/>
      <c r="G4" s="424"/>
      <c r="H4" s="424"/>
      <c r="I4" s="424"/>
      <c r="J4" s="424"/>
    </row>
    <row r="5" spans="1:27" x14ac:dyDescent="0.2">
      <c r="A5" s="323" t="s">
        <v>59</v>
      </c>
      <c r="B5" s="426"/>
      <c r="C5" s="350"/>
      <c r="D5" s="462"/>
      <c r="E5" s="462"/>
      <c r="F5" s="17"/>
      <c r="G5" s="17"/>
      <c r="H5" s="17"/>
      <c r="I5" s="17"/>
      <c r="J5" s="18"/>
    </row>
    <row r="7" spans="1:27" x14ac:dyDescent="0.2">
      <c r="A7" s="429" t="s">
        <v>94</v>
      </c>
      <c r="B7" s="289"/>
      <c r="C7" s="289"/>
      <c r="D7" s="289"/>
      <c r="E7" s="289"/>
      <c r="F7" s="289"/>
      <c r="G7" s="289"/>
      <c r="H7" s="289"/>
      <c r="I7" s="289"/>
      <c r="J7" s="289"/>
      <c r="K7" s="289"/>
      <c r="L7" s="289"/>
      <c r="M7" s="289"/>
      <c r="N7" s="289"/>
      <c r="O7" s="289"/>
      <c r="P7" s="289"/>
      <c r="Q7" s="289"/>
      <c r="R7" s="289"/>
      <c r="S7" s="289"/>
      <c r="T7" s="289"/>
      <c r="U7" s="289"/>
      <c r="V7" s="289"/>
      <c r="W7" s="265"/>
      <c r="X7" s="265"/>
      <c r="Y7" s="265"/>
      <c r="Z7" s="265"/>
      <c r="AA7" s="461"/>
    </row>
    <row r="8" spans="1:27" x14ac:dyDescent="0.2">
      <c r="A8" s="344" t="s">
        <v>95</v>
      </c>
      <c r="B8" s="345"/>
      <c r="C8" s="345"/>
      <c r="D8" s="345"/>
      <c r="E8" s="345"/>
      <c r="F8" s="279" t="s">
        <v>185</v>
      </c>
      <c r="G8" s="280"/>
      <c r="H8" s="280"/>
      <c r="I8" s="280"/>
      <c r="J8" s="280"/>
      <c r="K8" s="280"/>
      <c r="L8" s="280"/>
      <c r="M8" s="280"/>
      <c r="N8" s="280"/>
      <c r="O8" s="280"/>
      <c r="P8" s="280"/>
      <c r="Q8" s="280"/>
      <c r="R8" s="280"/>
      <c r="S8" s="280"/>
      <c r="T8" s="280"/>
      <c r="U8" s="280"/>
      <c r="V8" s="280"/>
      <c r="W8" s="277"/>
      <c r="X8" s="277"/>
      <c r="Y8" s="277"/>
      <c r="Z8" s="277"/>
      <c r="AA8" s="278"/>
    </row>
    <row r="9" spans="1:27" x14ac:dyDescent="0.2">
      <c r="A9" s="9" t="s">
        <v>174</v>
      </c>
      <c r="B9" s="9" t="s">
        <v>22</v>
      </c>
      <c r="C9" s="9" t="s">
        <v>13</v>
      </c>
      <c r="D9" s="9" t="s">
        <v>41</v>
      </c>
      <c r="E9" s="9"/>
      <c r="F9" s="103" t="s">
        <v>23</v>
      </c>
      <c r="G9" s="110" t="s">
        <v>10</v>
      </c>
      <c r="H9" s="110" t="s">
        <v>175</v>
      </c>
      <c r="I9" s="110" t="s">
        <v>176</v>
      </c>
      <c r="J9" s="110" t="s">
        <v>177</v>
      </c>
      <c r="K9" s="110" t="s">
        <v>178</v>
      </c>
      <c r="L9" s="110" t="s">
        <v>179</v>
      </c>
      <c r="M9" s="110" t="s">
        <v>180</v>
      </c>
      <c r="N9" s="110" t="s">
        <v>181</v>
      </c>
      <c r="O9" s="110" t="s">
        <v>182</v>
      </c>
      <c r="P9" s="110" t="s">
        <v>183</v>
      </c>
      <c r="Q9" s="110" t="s">
        <v>184</v>
      </c>
      <c r="R9" s="113" t="s">
        <v>86</v>
      </c>
      <c r="S9" s="111" t="s">
        <v>87</v>
      </c>
      <c r="T9" s="111" t="s">
        <v>90</v>
      </c>
      <c r="U9" s="113" t="s">
        <v>91</v>
      </c>
      <c r="V9" s="113" t="s">
        <v>93</v>
      </c>
      <c r="W9" s="111" t="s">
        <v>92</v>
      </c>
      <c r="X9" s="111" t="s">
        <v>337</v>
      </c>
      <c r="Y9" s="111" t="s">
        <v>338</v>
      </c>
      <c r="Z9" s="111" t="s">
        <v>339</v>
      </c>
      <c r="AA9" s="111" t="s">
        <v>336</v>
      </c>
    </row>
    <row r="10" spans="1:27" x14ac:dyDescent="0.2">
      <c r="A10" s="13" t="s">
        <v>187</v>
      </c>
      <c r="B10" s="13" t="s">
        <v>186</v>
      </c>
      <c r="C10" s="13" t="s">
        <v>68</v>
      </c>
      <c r="D10" s="13" t="s">
        <v>44</v>
      </c>
      <c r="E10" s="101"/>
      <c r="F10" s="6"/>
      <c r="G10" s="6"/>
      <c r="H10" s="6"/>
      <c r="I10" s="6"/>
      <c r="J10" s="6"/>
      <c r="K10" s="6"/>
      <c r="L10" s="6"/>
      <c r="M10" s="6"/>
      <c r="N10" s="6"/>
      <c r="O10" s="6"/>
      <c r="P10" s="6"/>
      <c r="Q10" s="6"/>
      <c r="R10" s="6"/>
      <c r="S10" s="6"/>
      <c r="T10" s="6"/>
      <c r="U10" s="6"/>
      <c r="V10" s="6"/>
      <c r="W10" s="6"/>
      <c r="X10" s="6"/>
      <c r="Y10" s="6"/>
      <c r="Z10" s="6"/>
      <c r="AA10" s="6"/>
    </row>
    <row r="11" spans="1:27" x14ac:dyDescent="0.2">
      <c r="A11" s="13" t="s">
        <v>188</v>
      </c>
      <c r="B11" s="13" t="s">
        <v>186</v>
      </c>
      <c r="C11" s="13" t="s">
        <v>189</v>
      </c>
      <c r="D11" s="13" t="s">
        <v>44</v>
      </c>
      <c r="E11" s="101"/>
      <c r="F11" s="6"/>
      <c r="G11" s="6"/>
      <c r="H11" s="6"/>
      <c r="I11" s="6"/>
      <c r="J11" s="6"/>
      <c r="K11" s="6"/>
      <c r="L11" s="6"/>
      <c r="M11" s="6"/>
      <c r="N11" s="6"/>
      <c r="O11" s="6"/>
      <c r="P11" s="6"/>
      <c r="Q11" s="6"/>
      <c r="R11" s="6"/>
      <c r="S11" s="6"/>
      <c r="T11" s="6"/>
      <c r="U11" s="6"/>
      <c r="V11" s="6"/>
      <c r="W11" s="6"/>
      <c r="X11" s="6"/>
      <c r="Y11" s="6"/>
      <c r="Z11" s="6"/>
      <c r="AA11" s="6"/>
    </row>
    <row r="12" spans="1:27" x14ac:dyDescent="0.2">
      <c r="A12" s="13" t="s">
        <v>335</v>
      </c>
      <c r="B12" s="13" t="s">
        <v>186</v>
      </c>
      <c r="C12" s="13" t="s">
        <v>68</v>
      </c>
      <c r="D12" s="13" t="s">
        <v>44</v>
      </c>
      <c r="E12" s="101"/>
      <c r="F12" s="6"/>
      <c r="G12" s="6"/>
      <c r="H12" s="6"/>
      <c r="I12" s="6"/>
      <c r="J12" s="6"/>
      <c r="K12" s="6"/>
      <c r="L12" s="6"/>
      <c r="M12" s="6"/>
      <c r="N12" s="6"/>
      <c r="O12" s="6"/>
      <c r="P12" s="6"/>
      <c r="Q12" s="6"/>
      <c r="R12" s="6"/>
      <c r="S12" s="6"/>
      <c r="T12" s="6"/>
      <c r="U12" s="6"/>
      <c r="V12" s="6"/>
      <c r="W12" s="6"/>
      <c r="X12" s="6"/>
      <c r="Y12" s="6"/>
      <c r="Z12" s="6"/>
      <c r="AA12" s="6"/>
    </row>
    <row r="13" spans="1:27" x14ac:dyDescent="0.2">
      <c r="A13" s="13"/>
      <c r="B13" s="13"/>
      <c r="C13" s="13"/>
      <c r="D13" s="13"/>
      <c r="E13" s="101"/>
      <c r="F13" s="6"/>
      <c r="G13" s="6"/>
      <c r="H13" s="6"/>
      <c r="I13" s="6"/>
      <c r="J13" s="6"/>
      <c r="K13" s="6"/>
      <c r="L13" s="6"/>
      <c r="M13" s="6"/>
      <c r="N13" s="6"/>
      <c r="O13" s="6"/>
      <c r="P13" s="6"/>
      <c r="Q13" s="6"/>
      <c r="R13" s="6"/>
      <c r="S13" s="6"/>
      <c r="T13" s="6"/>
      <c r="U13" s="6"/>
      <c r="V13" s="6"/>
      <c r="W13" s="6"/>
      <c r="X13" s="6"/>
      <c r="Y13" s="6"/>
      <c r="Z13" s="6"/>
      <c r="AA13" s="6"/>
    </row>
    <row r="14" spans="1:27" x14ac:dyDescent="0.2">
      <c r="A14" s="13"/>
      <c r="B14" s="13"/>
      <c r="C14" s="13"/>
      <c r="D14" s="13"/>
      <c r="E14" s="101"/>
      <c r="F14" s="6"/>
      <c r="G14" s="6"/>
      <c r="H14" s="6"/>
      <c r="I14" s="6"/>
      <c r="J14" s="6"/>
      <c r="K14" s="6"/>
      <c r="L14" s="6"/>
      <c r="M14" s="6"/>
      <c r="N14" s="6"/>
      <c r="O14" s="6"/>
      <c r="P14" s="6"/>
      <c r="Q14" s="6"/>
      <c r="R14" s="6"/>
      <c r="S14" s="6"/>
      <c r="T14" s="6"/>
      <c r="U14" s="6"/>
      <c r="V14" s="6"/>
      <c r="W14" s="6"/>
      <c r="X14" s="6"/>
      <c r="Y14" s="6"/>
      <c r="Z14" s="6"/>
      <c r="AA14" s="6"/>
    </row>
    <row r="15" spans="1:27" x14ac:dyDescent="0.2">
      <c r="A15" s="13"/>
      <c r="B15" s="13"/>
      <c r="C15" s="13"/>
      <c r="D15" s="13"/>
      <c r="E15" s="101"/>
      <c r="F15" s="6"/>
      <c r="G15" s="6"/>
      <c r="H15" s="6"/>
      <c r="I15" s="6"/>
      <c r="J15" s="6"/>
      <c r="K15" s="6"/>
      <c r="L15" s="6"/>
      <c r="M15" s="6"/>
      <c r="N15" s="6"/>
      <c r="O15" s="6"/>
      <c r="P15" s="6"/>
      <c r="Q15" s="6"/>
      <c r="R15" s="6"/>
      <c r="S15" s="6"/>
      <c r="T15" s="6"/>
      <c r="U15" s="6"/>
      <c r="V15" s="6"/>
      <c r="W15" s="6"/>
      <c r="X15" s="6"/>
      <c r="Y15" s="6"/>
      <c r="Z15" s="6"/>
      <c r="AA15" s="6"/>
    </row>
    <row r="16" spans="1:27" x14ac:dyDescent="0.2">
      <c r="A16" s="12"/>
      <c r="B16" s="13"/>
      <c r="C16" s="13"/>
      <c r="D16" s="13"/>
      <c r="E16" s="101"/>
      <c r="F16" s="6"/>
      <c r="G16" s="6"/>
      <c r="H16" s="6"/>
      <c r="I16" s="6"/>
      <c r="J16" s="6"/>
      <c r="K16" s="6"/>
      <c r="L16" s="6"/>
      <c r="M16" s="6"/>
      <c r="N16" s="6"/>
      <c r="O16" s="6"/>
      <c r="P16" s="6"/>
      <c r="Q16" s="6"/>
      <c r="R16" s="6"/>
      <c r="S16" s="6"/>
      <c r="T16" s="6"/>
      <c r="U16" s="6"/>
      <c r="V16" s="6"/>
      <c r="W16" s="6"/>
      <c r="X16" s="6"/>
      <c r="Y16" s="6"/>
      <c r="Z16" s="6"/>
      <c r="AA16" s="6"/>
    </row>
    <row r="17" spans="1:27" x14ac:dyDescent="0.2">
      <c r="A17" s="13"/>
      <c r="B17" s="13"/>
      <c r="C17" s="13"/>
      <c r="D17" s="13"/>
      <c r="E17" s="101"/>
      <c r="F17" s="6"/>
      <c r="G17" s="6"/>
      <c r="H17" s="6"/>
      <c r="I17" s="6"/>
      <c r="J17" s="6"/>
      <c r="K17" s="6"/>
      <c r="L17" s="6"/>
      <c r="M17" s="6"/>
      <c r="N17" s="6"/>
      <c r="O17" s="6"/>
      <c r="P17" s="6"/>
      <c r="Q17" s="6"/>
      <c r="R17" s="6"/>
      <c r="S17" s="6"/>
      <c r="T17" s="6"/>
      <c r="U17" s="6"/>
      <c r="V17" s="6"/>
      <c r="W17" s="6"/>
      <c r="X17" s="6"/>
      <c r="Y17" s="6"/>
      <c r="Z17" s="6"/>
      <c r="AA17" s="6"/>
    </row>
    <row r="18" spans="1:27" x14ac:dyDescent="0.2">
      <c r="A18" s="13"/>
      <c r="B18" s="13"/>
      <c r="C18" s="13"/>
      <c r="D18" s="13"/>
      <c r="E18" s="101"/>
      <c r="F18" s="6"/>
      <c r="G18" s="6"/>
      <c r="H18" s="6"/>
      <c r="I18" s="6"/>
      <c r="J18" s="6"/>
      <c r="K18" s="6"/>
      <c r="L18" s="6"/>
      <c r="M18" s="6"/>
      <c r="N18" s="6"/>
      <c r="O18" s="6"/>
      <c r="P18" s="6"/>
      <c r="Q18" s="6"/>
      <c r="R18" s="6"/>
      <c r="S18" s="6"/>
      <c r="T18" s="6"/>
      <c r="U18" s="6"/>
      <c r="V18" s="6"/>
      <c r="W18" s="6"/>
      <c r="X18" s="6"/>
      <c r="Y18" s="6"/>
      <c r="Z18" s="6"/>
      <c r="AA18" s="6"/>
    </row>
    <row r="19" spans="1:27" x14ac:dyDescent="0.2">
      <c r="A19" s="13"/>
      <c r="B19" s="13"/>
      <c r="C19" s="13"/>
      <c r="D19" s="13"/>
      <c r="E19" s="101"/>
      <c r="F19" s="6"/>
      <c r="G19" s="6"/>
      <c r="H19" s="6"/>
      <c r="I19" s="6"/>
      <c r="J19" s="6"/>
      <c r="K19" s="6"/>
      <c r="L19" s="6"/>
      <c r="M19" s="6"/>
      <c r="N19" s="6"/>
      <c r="O19" s="6"/>
      <c r="P19" s="6"/>
      <c r="Q19" s="6"/>
      <c r="R19" s="6"/>
      <c r="S19" s="6"/>
      <c r="T19" s="6"/>
      <c r="U19" s="6"/>
      <c r="V19" s="6"/>
      <c r="W19" s="6"/>
      <c r="X19" s="6"/>
      <c r="Y19" s="6"/>
      <c r="Z19" s="6"/>
      <c r="AA19" s="6"/>
    </row>
    <row r="20" spans="1:27" x14ac:dyDescent="0.2">
      <c r="A20" s="13"/>
      <c r="B20" s="13"/>
      <c r="C20" s="13"/>
      <c r="D20" s="13"/>
      <c r="E20" s="101"/>
      <c r="F20" s="6"/>
      <c r="G20" s="6"/>
      <c r="H20" s="6"/>
      <c r="I20" s="6"/>
      <c r="J20" s="6"/>
      <c r="K20" s="6"/>
      <c r="L20" s="6"/>
      <c r="M20" s="6"/>
      <c r="N20" s="6"/>
      <c r="O20" s="6"/>
      <c r="P20" s="6"/>
      <c r="Q20" s="6"/>
      <c r="R20" s="6"/>
      <c r="S20" s="6"/>
      <c r="T20" s="6"/>
      <c r="U20" s="6"/>
      <c r="V20" s="6"/>
      <c r="W20" s="6"/>
      <c r="X20" s="6"/>
      <c r="Y20" s="6"/>
      <c r="Z20" s="6"/>
      <c r="AA20" s="6"/>
    </row>
    <row r="21" spans="1:27" x14ac:dyDescent="0.2">
      <c r="A21" s="13"/>
      <c r="B21" s="13"/>
      <c r="C21" s="13"/>
      <c r="D21" s="13"/>
      <c r="E21" s="101"/>
      <c r="F21" s="6"/>
      <c r="G21" s="6"/>
      <c r="H21" s="6"/>
      <c r="I21" s="6"/>
      <c r="J21" s="6"/>
      <c r="K21" s="6"/>
      <c r="L21" s="6"/>
      <c r="M21" s="6"/>
      <c r="N21" s="6"/>
      <c r="O21" s="6"/>
      <c r="P21" s="6"/>
      <c r="Q21" s="6"/>
      <c r="R21" s="6"/>
      <c r="S21" s="6"/>
      <c r="T21" s="6"/>
      <c r="U21" s="6"/>
      <c r="V21" s="6"/>
      <c r="W21" s="6"/>
      <c r="X21" s="6"/>
      <c r="Y21" s="6"/>
      <c r="Z21" s="6"/>
      <c r="AA21" s="6"/>
    </row>
    <row r="22" spans="1:27" x14ac:dyDescent="0.2">
      <c r="A22" s="13"/>
      <c r="B22" s="13"/>
      <c r="C22" s="13"/>
      <c r="D22" s="13"/>
      <c r="E22" s="101"/>
      <c r="F22" s="6"/>
      <c r="G22" s="6"/>
      <c r="H22" s="6"/>
      <c r="I22" s="6"/>
      <c r="J22" s="6"/>
      <c r="K22" s="6"/>
      <c r="L22" s="6"/>
      <c r="M22" s="6"/>
      <c r="N22" s="6"/>
      <c r="O22" s="6"/>
      <c r="P22" s="6"/>
      <c r="Q22" s="6"/>
      <c r="R22" s="6"/>
      <c r="S22" s="6"/>
      <c r="T22" s="6"/>
      <c r="U22" s="6"/>
      <c r="V22" s="6"/>
      <c r="W22" s="6"/>
      <c r="X22" s="6"/>
      <c r="Y22" s="6"/>
      <c r="Z22" s="6"/>
      <c r="AA22" s="6"/>
    </row>
    <row r="23" spans="1:27" x14ac:dyDescent="0.2">
      <c r="A23" s="13"/>
      <c r="B23" s="13"/>
      <c r="C23" s="13"/>
      <c r="D23" s="13"/>
      <c r="E23" s="101"/>
      <c r="F23" s="6"/>
      <c r="G23" s="6"/>
      <c r="H23" s="6"/>
      <c r="I23" s="6"/>
      <c r="J23" s="6"/>
      <c r="K23" s="6"/>
      <c r="L23" s="6"/>
      <c r="M23" s="6"/>
      <c r="N23" s="6"/>
      <c r="O23" s="6"/>
      <c r="P23" s="6"/>
      <c r="Q23" s="6"/>
      <c r="R23" s="6"/>
      <c r="S23" s="6"/>
      <c r="T23" s="6"/>
      <c r="U23" s="6"/>
      <c r="V23" s="6"/>
      <c r="W23" s="6"/>
      <c r="X23" s="6"/>
      <c r="Y23" s="6"/>
      <c r="Z23" s="6"/>
      <c r="AA23" s="6"/>
    </row>
    <row r="24" spans="1:27" x14ac:dyDescent="0.2">
      <c r="A24" s="12"/>
      <c r="B24" s="13"/>
      <c r="C24" s="13"/>
      <c r="D24" s="13"/>
      <c r="E24" s="101"/>
      <c r="F24" s="6"/>
      <c r="G24" s="6"/>
      <c r="H24" s="6"/>
      <c r="I24" s="6"/>
      <c r="J24" s="6"/>
      <c r="K24" s="6"/>
      <c r="L24" s="6"/>
      <c r="M24" s="6"/>
      <c r="N24" s="6"/>
      <c r="O24" s="6"/>
      <c r="P24" s="6"/>
      <c r="Q24" s="6"/>
      <c r="R24" s="6"/>
      <c r="S24" s="6"/>
      <c r="T24" s="6"/>
      <c r="U24" s="6"/>
      <c r="V24" s="6"/>
      <c r="W24" s="6"/>
      <c r="X24" s="6"/>
      <c r="Y24" s="6"/>
      <c r="Z24" s="6"/>
      <c r="AA24" s="6"/>
    </row>
    <row r="25" spans="1:27" x14ac:dyDescent="0.2">
      <c r="A25" s="13"/>
      <c r="B25" s="13"/>
      <c r="C25" s="13"/>
      <c r="D25" s="13"/>
      <c r="E25" s="101"/>
      <c r="F25" s="6"/>
      <c r="G25" s="6"/>
      <c r="H25" s="6"/>
      <c r="I25" s="6"/>
      <c r="J25" s="6"/>
      <c r="K25" s="6"/>
      <c r="L25" s="6"/>
      <c r="M25" s="6"/>
      <c r="N25" s="6"/>
      <c r="O25" s="6"/>
      <c r="P25" s="6"/>
      <c r="Q25" s="6"/>
      <c r="R25" s="6"/>
      <c r="S25" s="6"/>
      <c r="T25" s="6"/>
      <c r="U25" s="6"/>
      <c r="V25" s="6"/>
      <c r="W25" s="6"/>
      <c r="X25" s="6"/>
      <c r="Y25" s="6"/>
      <c r="Z25" s="6"/>
      <c r="AA25" s="6"/>
    </row>
    <row r="26" spans="1:27" x14ac:dyDescent="0.2">
      <c r="A26" s="13"/>
      <c r="B26" s="13"/>
      <c r="C26" s="13"/>
      <c r="D26" s="13"/>
      <c r="E26" s="101"/>
      <c r="F26" s="6"/>
      <c r="G26" s="6"/>
      <c r="H26" s="6"/>
      <c r="I26" s="6"/>
      <c r="J26" s="6"/>
      <c r="K26" s="6"/>
      <c r="L26" s="6"/>
      <c r="M26" s="6"/>
      <c r="N26" s="6"/>
      <c r="O26" s="6"/>
      <c r="P26" s="6"/>
      <c r="Q26" s="6"/>
      <c r="R26" s="6"/>
      <c r="S26" s="6"/>
      <c r="T26" s="6"/>
      <c r="U26" s="6"/>
      <c r="V26" s="6"/>
      <c r="W26" s="6"/>
      <c r="X26" s="6"/>
      <c r="Y26" s="6"/>
      <c r="Z26" s="6"/>
      <c r="AA26" s="6"/>
    </row>
    <row r="27" spans="1:27" x14ac:dyDescent="0.2">
      <c r="A27" s="13"/>
      <c r="B27" s="13"/>
      <c r="C27" s="13"/>
      <c r="D27" s="13"/>
      <c r="E27" s="101"/>
      <c r="F27" s="6"/>
      <c r="G27" s="6"/>
      <c r="H27" s="6"/>
      <c r="I27" s="6"/>
      <c r="J27" s="6"/>
      <c r="K27" s="6"/>
      <c r="L27" s="6"/>
      <c r="M27" s="6"/>
      <c r="N27" s="6"/>
      <c r="O27" s="6"/>
      <c r="P27" s="6"/>
      <c r="Q27" s="6"/>
      <c r="R27" s="6"/>
      <c r="S27" s="6"/>
      <c r="T27" s="6"/>
      <c r="U27" s="6"/>
      <c r="V27" s="6"/>
      <c r="W27" s="6"/>
      <c r="X27" s="6"/>
      <c r="Y27" s="6"/>
      <c r="Z27" s="6"/>
      <c r="AA27" s="6"/>
    </row>
    <row r="28" spans="1:27" x14ac:dyDescent="0.2">
      <c r="A28" s="13"/>
      <c r="B28" s="13"/>
      <c r="C28" s="13"/>
      <c r="D28" s="13"/>
      <c r="E28" s="101"/>
      <c r="F28" s="6"/>
      <c r="G28" s="6"/>
      <c r="H28" s="6"/>
      <c r="I28" s="6"/>
      <c r="J28" s="6"/>
      <c r="K28" s="6"/>
      <c r="L28" s="6"/>
      <c r="M28" s="6"/>
      <c r="N28" s="6"/>
      <c r="O28" s="6"/>
      <c r="P28" s="6"/>
      <c r="Q28" s="6"/>
      <c r="R28" s="6"/>
      <c r="S28" s="6"/>
      <c r="T28" s="6"/>
      <c r="U28" s="6"/>
      <c r="V28" s="6"/>
      <c r="W28" s="6"/>
      <c r="X28" s="6"/>
      <c r="Y28" s="6"/>
      <c r="Z28" s="6"/>
      <c r="AA28" s="6"/>
    </row>
    <row r="29" spans="1:27" x14ac:dyDescent="0.2">
      <c r="A29" s="12"/>
      <c r="B29" s="13"/>
      <c r="C29" s="13"/>
      <c r="D29" s="13"/>
      <c r="E29" s="101"/>
      <c r="F29" s="6"/>
      <c r="G29" s="6"/>
      <c r="H29" s="6"/>
      <c r="I29" s="6"/>
      <c r="J29" s="6"/>
      <c r="K29" s="6"/>
      <c r="L29" s="6"/>
      <c r="M29" s="6"/>
      <c r="N29" s="6"/>
      <c r="O29" s="6"/>
      <c r="P29" s="6"/>
      <c r="Q29" s="6"/>
      <c r="R29" s="6"/>
      <c r="S29" s="6"/>
      <c r="T29" s="6"/>
      <c r="U29" s="6"/>
      <c r="V29" s="6"/>
      <c r="W29" s="6"/>
      <c r="X29" s="6"/>
      <c r="Y29" s="6"/>
      <c r="Z29" s="6"/>
      <c r="AA29" s="6"/>
    </row>
    <row r="30" spans="1:27" x14ac:dyDescent="0.2">
      <c r="A30" s="13"/>
      <c r="B30" s="13"/>
      <c r="C30" s="13"/>
      <c r="D30" s="13"/>
      <c r="E30" s="101"/>
      <c r="F30" s="6"/>
      <c r="G30" s="6"/>
      <c r="H30" s="6"/>
      <c r="I30" s="6"/>
      <c r="J30" s="6"/>
      <c r="K30" s="6"/>
      <c r="L30" s="6"/>
      <c r="M30" s="6"/>
      <c r="N30" s="6"/>
      <c r="O30" s="6"/>
      <c r="P30" s="6"/>
      <c r="Q30" s="6"/>
      <c r="R30" s="6"/>
      <c r="S30" s="6"/>
      <c r="T30" s="6"/>
      <c r="U30" s="6"/>
      <c r="V30" s="6"/>
      <c r="W30" s="6"/>
      <c r="X30" s="6"/>
      <c r="Y30" s="6"/>
      <c r="Z30" s="6"/>
      <c r="AA30" s="6"/>
    </row>
    <row r="31" spans="1:27" x14ac:dyDescent="0.2">
      <c r="A31" s="13"/>
      <c r="B31" s="13"/>
      <c r="C31" s="13"/>
      <c r="D31" s="13"/>
      <c r="E31" s="101"/>
      <c r="F31" s="6"/>
      <c r="G31" s="6"/>
      <c r="H31" s="6"/>
      <c r="I31" s="6"/>
      <c r="J31" s="6"/>
      <c r="K31" s="6"/>
      <c r="L31" s="6"/>
      <c r="M31" s="6"/>
      <c r="N31" s="6"/>
      <c r="O31" s="6"/>
      <c r="P31" s="6"/>
      <c r="Q31" s="6"/>
      <c r="R31" s="6"/>
      <c r="S31" s="6"/>
      <c r="T31" s="6"/>
      <c r="U31" s="6"/>
      <c r="V31" s="6"/>
      <c r="W31" s="6"/>
      <c r="X31" s="6"/>
      <c r="Y31" s="6"/>
      <c r="Z31" s="6"/>
      <c r="AA31" s="6"/>
    </row>
    <row r="32" spans="1:27" x14ac:dyDescent="0.2">
      <c r="A32" s="12"/>
      <c r="B32" s="13"/>
      <c r="C32" s="13"/>
      <c r="D32" s="13"/>
      <c r="E32" s="101"/>
      <c r="F32" s="6"/>
      <c r="G32" s="6"/>
      <c r="H32" s="6"/>
      <c r="I32" s="6"/>
      <c r="J32" s="6"/>
      <c r="K32" s="6"/>
      <c r="L32" s="6"/>
      <c r="M32" s="6"/>
      <c r="N32" s="6"/>
      <c r="O32" s="6"/>
      <c r="P32" s="6"/>
      <c r="Q32" s="6"/>
      <c r="R32" s="6"/>
      <c r="S32" s="6"/>
      <c r="T32" s="6"/>
      <c r="U32" s="6"/>
      <c r="V32" s="6"/>
      <c r="W32" s="6"/>
      <c r="X32" s="6"/>
      <c r="Y32" s="6"/>
      <c r="Z32" s="6"/>
      <c r="AA32" s="6"/>
    </row>
    <row r="33" spans="1:27" x14ac:dyDescent="0.2">
      <c r="A33" s="14"/>
      <c r="B33" s="13"/>
      <c r="C33" s="13"/>
      <c r="D33" s="13"/>
      <c r="E33" s="101"/>
      <c r="F33" s="6"/>
      <c r="G33" s="6"/>
      <c r="H33" s="6"/>
      <c r="I33" s="6"/>
      <c r="J33" s="6"/>
      <c r="K33" s="6"/>
      <c r="L33" s="6"/>
      <c r="M33" s="6"/>
      <c r="N33" s="6"/>
      <c r="O33" s="6"/>
      <c r="P33" s="6"/>
      <c r="Q33" s="6"/>
      <c r="R33" s="6"/>
      <c r="S33" s="6"/>
      <c r="T33" s="6"/>
      <c r="U33" s="6"/>
      <c r="V33" s="6"/>
      <c r="W33" s="6"/>
      <c r="X33" s="6"/>
      <c r="Y33" s="6"/>
      <c r="Z33" s="6"/>
      <c r="AA33" s="6"/>
    </row>
    <row r="34" spans="1:27" x14ac:dyDescent="0.2">
      <c r="A34" s="13"/>
      <c r="B34" s="13"/>
      <c r="C34" s="13"/>
      <c r="D34" s="13"/>
      <c r="E34" s="101"/>
      <c r="F34" s="6"/>
      <c r="G34" s="6"/>
      <c r="H34" s="6"/>
      <c r="I34" s="6"/>
      <c r="J34" s="6"/>
      <c r="K34" s="6"/>
      <c r="L34" s="6"/>
      <c r="M34" s="6"/>
      <c r="N34" s="6"/>
      <c r="O34" s="6"/>
      <c r="P34" s="6"/>
      <c r="Q34" s="6"/>
      <c r="R34" s="6"/>
      <c r="S34" s="6"/>
      <c r="T34" s="6"/>
      <c r="U34" s="6"/>
      <c r="V34" s="6"/>
      <c r="W34" s="6"/>
      <c r="X34" s="6"/>
      <c r="Y34" s="6"/>
      <c r="Z34" s="6"/>
      <c r="AA34" s="6"/>
    </row>
    <row r="35" spans="1:27" x14ac:dyDescent="0.2">
      <c r="A35" s="13"/>
      <c r="B35" s="13"/>
      <c r="C35" s="13"/>
      <c r="D35" s="13"/>
      <c r="E35" s="101"/>
      <c r="F35" s="6"/>
      <c r="G35" s="6"/>
      <c r="H35" s="6"/>
      <c r="I35" s="6"/>
      <c r="J35" s="6"/>
      <c r="K35" s="6"/>
      <c r="L35" s="6"/>
      <c r="M35" s="6"/>
      <c r="N35" s="6"/>
      <c r="O35" s="6"/>
      <c r="P35" s="6"/>
      <c r="Q35" s="6"/>
      <c r="R35" s="6"/>
      <c r="S35" s="6"/>
      <c r="T35" s="6"/>
      <c r="U35" s="6"/>
      <c r="V35" s="6"/>
      <c r="W35" s="6"/>
      <c r="X35" s="6"/>
      <c r="Y35" s="6"/>
      <c r="Z35" s="6"/>
      <c r="AA35" s="6"/>
    </row>
    <row r="36" spans="1:27" x14ac:dyDescent="0.2">
      <c r="A36" s="12"/>
      <c r="B36" s="13"/>
      <c r="C36" s="13"/>
      <c r="D36" s="13"/>
      <c r="E36" s="101"/>
      <c r="F36" s="6"/>
      <c r="G36" s="6"/>
      <c r="H36" s="6"/>
      <c r="I36" s="6"/>
      <c r="J36" s="6"/>
      <c r="K36" s="6"/>
      <c r="L36" s="6"/>
      <c r="M36" s="6"/>
      <c r="N36" s="6"/>
      <c r="O36" s="6"/>
      <c r="P36" s="6"/>
      <c r="Q36" s="6"/>
      <c r="R36" s="6"/>
      <c r="S36" s="6"/>
      <c r="T36" s="6"/>
      <c r="U36" s="6"/>
      <c r="V36" s="6"/>
      <c r="W36" s="6"/>
      <c r="X36" s="6"/>
      <c r="Y36" s="6"/>
      <c r="Z36" s="6"/>
      <c r="AA36" s="6"/>
    </row>
    <row r="37" spans="1:27" x14ac:dyDescent="0.2">
      <c r="A37" s="13"/>
      <c r="B37" s="13"/>
      <c r="C37" s="13"/>
      <c r="D37" s="13"/>
      <c r="E37" s="101"/>
      <c r="F37" s="6"/>
      <c r="G37" s="6"/>
      <c r="H37" s="6"/>
      <c r="I37" s="6"/>
      <c r="J37" s="6"/>
      <c r="K37" s="6"/>
      <c r="L37" s="6"/>
      <c r="M37" s="6"/>
      <c r="N37" s="6"/>
      <c r="O37" s="6"/>
      <c r="P37" s="6"/>
      <c r="Q37" s="6"/>
      <c r="R37" s="6"/>
      <c r="S37" s="6"/>
      <c r="T37" s="6"/>
      <c r="U37" s="6"/>
      <c r="V37" s="6"/>
      <c r="W37" s="6"/>
      <c r="X37" s="6"/>
      <c r="Y37" s="6"/>
      <c r="Z37" s="6"/>
      <c r="AA37" s="6"/>
    </row>
    <row r="38" spans="1:27" x14ac:dyDescent="0.2">
      <c r="A38" s="13"/>
      <c r="B38" s="13"/>
      <c r="C38" s="13"/>
      <c r="D38" s="13"/>
      <c r="E38" s="101"/>
      <c r="F38" s="6"/>
      <c r="G38" s="6"/>
      <c r="H38" s="6"/>
      <c r="I38" s="6"/>
      <c r="J38" s="6"/>
      <c r="K38" s="6"/>
      <c r="L38" s="6"/>
      <c r="M38" s="6"/>
      <c r="N38" s="6"/>
      <c r="O38" s="6"/>
      <c r="P38" s="6"/>
      <c r="Q38" s="6"/>
      <c r="R38" s="6"/>
      <c r="S38" s="6"/>
      <c r="T38" s="6"/>
      <c r="U38" s="6"/>
      <c r="V38" s="6"/>
      <c r="W38" s="6"/>
      <c r="X38" s="6"/>
      <c r="Y38" s="6"/>
      <c r="Z38" s="6"/>
      <c r="AA38" s="6"/>
    </row>
    <row r="39" spans="1:27" x14ac:dyDescent="0.2">
      <c r="A39" s="13"/>
      <c r="B39" s="13"/>
      <c r="C39" s="13"/>
      <c r="D39" s="13"/>
      <c r="E39" s="101"/>
      <c r="F39" s="6"/>
      <c r="G39" s="6"/>
      <c r="H39" s="6"/>
      <c r="I39" s="6"/>
      <c r="J39" s="6"/>
      <c r="K39" s="6"/>
      <c r="L39" s="6"/>
      <c r="M39" s="6"/>
      <c r="N39" s="6"/>
      <c r="O39" s="6"/>
      <c r="P39" s="6"/>
      <c r="Q39" s="6"/>
      <c r="R39" s="6"/>
      <c r="S39" s="6"/>
      <c r="T39" s="6"/>
      <c r="U39" s="6"/>
      <c r="V39" s="6"/>
      <c r="W39" s="6"/>
      <c r="X39" s="6"/>
      <c r="Y39" s="6"/>
      <c r="Z39" s="6"/>
      <c r="AA39" s="6"/>
    </row>
    <row r="40" spans="1:27" x14ac:dyDescent="0.2">
      <c r="A40" s="13"/>
      <c r="B40" s="13"/>
      <c r="C40" s="13"/>
      <c r="D40" s="13"/>
      <c r="E40" s="101"/>
      <c r="F40" s="6"/>
      <c r="G40" s="6"/>
      <c r="H40" s="6"/>
      <c r="I40" s="6"/>
      <c r="J40" s="6"/>
      <c r="K40" s="6"/>
      <c r="L40" s="6"/>
      <c r="M40" s="6"/>
      <c r="N40" s="6"/>
      <c r="O40" s="6"/>
      <c r="P40" s="6"/>
      <c r="Q40" s="6"/>
      <c r="R40" s="6"/>
      <c r="S40" s="6"/>
      <c r="T40" s="6"/>
      <c r="U40" s="6"/>
      <c r="V40" s="6"/>
      <c r="W40" s="6"/>
      <c r="X40" s="6"/>
      <c r="Y40" s="6"/>
      <c r="Z40" s="6"/>
      <c r="AA40" s="6"/>
    </row>
    <row r="41" spans="1:27" x14ac:dyDescent="0.2">
      <c r="A41" s="13"/>
      <c r="B41" s="13"/>
      <c r="C41" s="13"/>
      <c r="D41" s="13"/>
      <c r="E41" s="101"/>
      <c r="F41" s="6"/>
      <c r="G41" s="6"/>
      <c r="H41" s="6"/>
      <c r="I41" s="6"/>
      <c r="J41" s="6"/>
      <c r="K41" s="6"/>
      <c r="L41" s="6"/>
      <c r="M41" s="6"/>
      <c r="N41" s="6"/>
      <c r="O41" s="6"/>
      <c r="P41" s="6"/>
      <c r="Q41" s="6"/>
      <c r="R41" s="6"/>
      <c r="S41" s="6"/>
      <c r="T41" s="6"/>
      <c r="U41" s="6"/>
      <c r="V41" s="6"/>
      <c r="W41" s="6"/>
      <c r="X41" s="6"/>
      <c r="Y41" s="6"/>
      <c r="Z41" s="6"/>
      <c r="AA41" s="6"/>
    </row>
    <row r="42" spans="1:27" x14ac:dyDescent="0.2">
      <c r="A42" s="13"/>
      <c r="B42" s="13"/>
      <c r="C42" s="13"/>
      <c r="D42" s="13"/>
      <c r="E42" s="101"/>
      <c r="F42" s="6"/>
      <c r="G42" s="6"/>
      <c r="H42" s="6"/>
      <c r="I42" s="6"/>
      <c r="J42" s="6"/>
      <c r="K42" s="6"/>
      <c r="L42" s="6"/>
      <c r="M42" s="6"/>
      <c r="N42" s="6"/>
      <c r="O42" s="6"/>
      <c r="P42" s="6"/>
      <c r="Q42" s="6"/>
      <c r="R42" s="6"/>
      <c r="S42" s="6"/>
      <c r="T42" s="6"/>
      <c r="U42" s="6"/>
      <c r="V42" s="6"/>
      <c r="W42" s="6"/>
      <c r="X42" s="6"/>
      <c r="Y42" s="6"/>
      <c r="Z42" s="6"/>
      <c r="AA42" s="6"/>
    </row>
    <row r="43" spans="1:27" x14ac:dyDescent="0.2">
      <c r="A43" s="13"/>
      <c r="B43" s="13"/>
      <c r="C43" s="13"/>
      <c r="D43" s="13"/>
      <c r="E43" s="101"/>
      <c r="F43" s="6"/>
      <c r="G43" s="6"/>
      <c r="H43" s="6"/>
      <c r="I43" s="6"/>
      <c r="J43" s="6"/>
      <c r="K43" s="6"/>
      <c r="L43" s="6"/>
      <c r="M43" s="6"/>
      <c r="N43" s="6"/>
      <c r="O43" s="6"/>
      <c r="P43" s="6"/>
      <c r="Q43" s="6"/>
      <c r="R43" s="6"/>
      <c r="S43" s="6"/>
      <c r="T43" s="6"/>
      <c r="U43" s="6"/>
      <c r="V43" s="6"/>
      <c r="W43" s="6"/>
      <c r="X43" s="6"/>
      <c r="Y43" s="6"/>
      <c r="Z43" s="6"/>
      <c r="AA43" s="6"/>
    </row>
    <row r="44" spans="1:27" x14ac:dyDescent="0.2">
      <c r="A44" s="13"/>
      <c r="B44" s="13"/>
      <c r="C44" s="13"/>
      <c r="D44" s="13"/>
      <c r="E44" s="101"/>
      <c r="F44" s="6"/>
      <c r="G44" s="6"/>
      <c r="H44" s="6"/>
      <c r="I44" s="6"/>
      <c r="J44" s="6"/>
      <c r="K44" s="6"/>
      <c r="L44" s="6"/>
      <c r="M44" s="6"/>
      <c r="N44" s="6"/>
      <c r="O44" s="6"/>
      <c r="P44" s="6"/>
      <c r="Q44" s="6"/>
      <c r="R44" s="6"/>
      <c r="S44" s="6"/>
      <c r="T44" s="6"/>
      <c r="U44" s="6"/>
      <c r="V44" s="6"/>
      <c r="W44" s="6"/>
      <c r="X44" s="6"/>
      <c r="Y44" s="6"/>
      <c r="Z44" s="6"/>
      <c r="AA44" s="6"/>
    </row>
    <row r="45" spans="1:27" x14ac:dyDescent="0.2">
      <c r="A45" s="13"/>
      <c r="B45" s="13"/>
      <c r="C45" s="13"/>
      <c r="D45" s="13"/>
      <c r="E45" s="101"/>
      <c r="F45" s="6"/>
      <c r="G45" s="6"/>
      <c r="H45" s="6"/>
      <c r="I45" s="6"/>
      <c r="J45" s="6"/>
      <c r="K45" s="6"/>
      <c r="L45" s="6"/>
      <c r="M45" s="6"/>
      <c r="N45" s="6"/>
      <c r="O45" s="6"/>
      <c r="P45" s="6"/>
      <c r="Q45" s="6"/>
      <c r="R45" s="6"/>
      <c r="S45" s="6"/>
      <c r="T45" s="6"/>
      <c r="U45" s="6"/>
      <c r="V45" s="6"/>
      <c r="W45" s="6"/>
      <c r="X45" s="6"/>
      <c r="Y45" s="6"/>
      <c r="Z45" s="6"/>
      <c r="AA45" s="6"/>
    </row>
    <row r="46" spans="1:27" x14ac:dyDescent="0.2">
      <c r="A46" s="13"/>
      <c r="B46" s="13"/>
      <c r="C46" s="13"/>
      <c r="D46" s="13"/>
      <c r="E46" s="101"/>
      <c r="F46" s="6"/>
      <c r="G46" s="6"/>
      <c r="H46" s="6"/>
      <c r="I46" s="6"/>
      <c r="J46" s="6"/>
      <c r="K46" s="6"/>
      <c r="L46" s="6"/>
      <c r="M46" s="6"/>
      <c r="N46" s="6"/>
      <c r="O46" s="6"/>
      <c r="P46" s="6"/>
      <c r="Q46" s="6"/>
      <c r="R46" s="6"/>
      <c r="S46" s="6"/>
      <c r="T46" s="6"/>
      <c r="U46" s="6"/>
      <c r="V46" s="6"/>
      <c r="W46" s="6"/>
      <c r="X46" s="6"/>
      <c r="Y46" s="6"/>
      <c r="Z46" s="6"/>
      <c r="AA46" s="6"/>
    </row>
    <row r="47" spans="1:27" x14ac:dyDescent="0.2">
      <c r="A47" s="13"/>
      <c r="B47" s="13"/>
      <c r="C47" s="13"/>
      <c r="D47" s="13"/>
      <c r="E47" s="101"/>
      <c r="F47" s="6"/>
      <c r="G47" s="6"/>
      <c r="H47" s="6"/>
      <c r="I47" s="6"/>
      <c r="J47" s="6"/>
      <c r="K47" s="6"/>
      <c r="L47" s="6"/>
      <c r="M47" s="6"/>
      <c r="N47" s="6"/>
      <c r="O47" s="6"/>
      <c r="P47" s="6"/>
      <c r="Q47" s="6"/>
      <c r="R47" s="6"/>
      <c r="S47" s="6"/>
      <c r="T47" s="6"/>
      <c r="U47" s="6"/>
      <c r="V47" s="6"/>
      <c r="W47" s="6"/>
      <c r="X47" s="6"/>
      <c r="Y47" s="6"/>
      <c r="Z47" s="6"/>
      <c r="AA47" s="6"/>
    </row>
    <row r="48" spans="1:27" x14ac:dyDescent="0.2">
      <c r="A48" s="13"/>
      <c r="B48" s="13"/>
      <c r="C48" s="13"/>
      <c r="D48" s="13"/>
      <c r="E48" s="101"/>
      <c r="F48" s="6"/>
      <c r="G48" s="6"/>
      <c r="H48" s="6"/>
      <c r="I48" s="6"/>
      <c r="J48" s="6"/>
      <c r="K48" s="6"/>
      <c r="L48" s="6"/>
      <c r="M48" s="6"/>
      <c r="N48" s="6"/>
      <c r="O48" s="6"/>
      <c r="P48" s="6"/>
      <c r="Q48" s="6"/>
      <c r="R48" s="6"/>
      <c r="S48" s="6"/>
      <c r="T48" s="6"/>
      <c r="U48" s="6"/>
      <c r="V48" s="6"/>
      <c r="W48" s="6"/>
      <c r="X48" s="6"/>
      <c r="Y48" s="6"/>
      <c r="Z48" s="6"/>
      <c r="AA48" s="6"/>
    </row>
    <row r="49" spans="1:27" x14ac:dyDescent="0.2">
      <c r="A49" s="13"/>
      <c r="B49" s="13"/>
      <c r="C49" s="13"/>
      <c r="D49" s="13"/>
      <c r="E49" s="101"/>
      <c r="F49" s="6"/>
      <c r="G49" s="6"/>
      <c r="H49" s="6"/>
      <c r="I49" s="6"/>
      <c r="J49" s="6"/>
      <c r="K49" s="6"/>
      <c r="L49" s="6"/>
      <c r="M49" s="6"/>
      <c r="N49" s="6"/>
      <c r="O49" s="6"/>
      <c r="P49" s="6"/>
      <c r="Q49" s="6"/>
      <c r="R49" s="6"/>
      <c r="S49" s="6"/>
      <c r="T49" s="6"/>
      <c r="U49" s="6"/>
      <c r="V49" s="6"/>
      <c r="W49" s="6"/>
      <c r="X49" s="6"/>
      <c r="Y49" s="6"/>
      <c r="Z49" s="6"/>
      <c r="AA49" s="6"/>
    </row>
    <row r="50" spans="1:27" x14ac:dyDescent="0.2">
      <c r="A50" s="13"/>
      <c r="B50" s="13"/>
      <c r="C50" s="13"/>
      <c r="D50" s="13"/>
      <c r="E50" s="101"/>
      <c r="F50" s="6"/>
      <c r="G50" s="6"/>
      <c r="H50" s="6"/>
      <c r="I50" s="6"/>
      <c r="J50" s="6"/>
      <c r="K50" s="6"/>
      <c r="L50" s="6"/>
      <c r="M50" s="6"/>
      <c r="N50" s="6"/>
      <c r="O50" s="6"/>
      <c r="P50" s="6"/>
      <c r="Q50" s="6"/>
      <c r="R50" s="6"/>
      <c r="S50" s="6"/>
      <c r="T50" s="6"/>
      <c r="U50" s="6"/>
      <c r="V50" s="6"/>
      <c r="W50" s="6"/>
      <c r="X50" s="6"/>
      <c r="Y50" s="6"/>
      <c r="Z50" s="6"/>
      <c r="AA50" s="6"/>
    </row>
    <row r="51" spans="1:27" x14ac:dyDescent="0.2">
      <c r="A51" s="13"/>
      <c r="B51" s="13"/>
      <c r="C51" s="13"/>
      <c r="D51" s="13"/>
      <c r="E51" s="101"/>
      <c r="F51" s="6"/>
      <c r="G51" s="6"/>
      <c r="H51" s="6"/>
      <c r="I51" s="6"/>
      <c r="J51" s="6"/>
      <c r="K51" s="6"/>
      <c r="L51" s="6"/>
      <c r="M51" s="6"/>
      <c r="N51" s="6"/>
      <c r="O51" s="6"/>
      <c r="P51" s="6"/>
      <c r="Q51" s="6"/>
      <c r="R51" s="6"/>
      <c r="S51" s="6"/>
      <c r="T51" s="6"/>
      <c r="U51" s="6"/>
      <c r="V51" s="6"/>
      <c r="W51" s="6"/>
      <c r="X51" s="6"/>
      <c r="Y51" s="6"/>
      <c r="Z51" s="6"/>
      <c r="AA51" s="6"/>
    </row>
    <row r="52" spans="1:27" x14ac:dyDescent="0.2">
      <c r="A52" s="13"/>
      <c r="B52" s="13"/>
      <c r="C52" s="13"/>
      <c r="D52" s="13"/>
      <c r="E52" s="101"/>
      <c r="F52" s="6"/>
      <c r="G52" s="6"/>
      <c r="H52" s="6"/>
      <c r="I52" s="6"/>
      <c r="J52" s="6"/>
      <c r="K52" s="6"/>
      <c r="L52" s="6"/>
      <c r="M52" s="6"/>
      <c r="N52" s="6"/>
      <c r="O52" s="6"/>
      <c r="P52" s="6"/>
      <c r="Q52" s="6"/>
      <c r="R52" s="6"/>
      <c r="S52" s="6"/>
      <c r="T52" s="6"/>
      <c r="U52" s="6"/>
      <c r="V52" s="6"/>
      <c r="W52" s="6"/>
      <c r="X52" s="6"/>
      <c r="Y52" s="6"/>
      <c r="Z52" s="6"/>
      <c r="AA52" s="6"/>
    </row>
    <row r="53" spans="1:27" x14ac:dyDescent="0.2">
      <c r="A53" s="13"/>
      <c r="B53" s="13"/>
      <c r="C53" s="13"/>
      <c r="D53" s="13"/>
      <c r="E53" s="101"/>
      <c r="F53" s="6"/>
      <c r="G53" s="6"/>
      <c r="H53" s="6"/>
      <c r="I53" s="6"/>
      <c r="J53" s="6"/>
      <c r="K53" s="6"/>
      <c r="L53" s="6"/>
      <c r="M53" s="6"/>
      <c r="N53" s="6"/>
      <c r="O53" s="6"/>
      <c r="P53" s="6"/>
      <c r="Q53" s="6"/>
      <c r="R53" s="6"/>
      <c r="S53" s="6"/>
      <c r="T53" s="6"/>
      <c r="U53" s="6"/>
      <c r="V53" s="6"/>
      <c r="W53" s="6"/>
      <c r="X53" s="6"/>
      <c r="Y53" s="6"/>
      <c r="Z53" s="6"/>
      <c r="AA53" s="6"/>
    </row>
    <row r="54" spans="1:27" x14ac:dyDescent="0.2">
      <c r="A54" s="13"/>
      <c r="B54" s="13"/>
      <c r="C54" s="13"/>
      <c r="D54" s="13"/>
      <c r="E54" s="101"/>
      <c r="F54" s="6"/>
      <c r="G54" s="6"/>
      <c r="H54" s="6"/>
      <c r="I54" s="6"/>
      <c r="J54" s="6"/>
      <c r="K54" s="6"/>
      <c r="L54" s="6"/>
      <c r="M54" s="6"/>
      <c r="N54" s="6"/>
      <c r="O54" s="6"/>
      <c r="P54" s="6"/>
      <c r="Q54" s="6"/>
      <c r="R54" s="6"/>
      <c r="S54" s="6"/>
      <c r="T54" s="6"/>
      <c r="U54" s="6"/>
      <c r="V54" s="6"/>
      <c r="W54" s="6"/>
      <c r="X54" s="6"/>
      <c r="Y54" s="6"/>
      <c r="Z54" s="6"/>
      <c r="AA54" s="6"/>
    </row>
    <row r="55" spans="1:27" x14ac:dyDescent="0.2">
      <c r="A55" s="13"/>
      <c r="B55" s="13"/>
      <c r="C55" s="13"/>
      <c r="D55" s="13"/>
      <c r="E55" s="101"/>
      <c r="F55" s="6"/>
      <c r="G55" s="6"/>
      <c r="H55" s="6"/>
      <c r="I55" s="6"/>
      <c r="J55" s="6"/>
      <c r="K55" s="6"/>
      <c r="L55" s="6"/>
      <c r="M55" s="6"/>
      <c r="N55" s="6"/>
      <c r="O55" s="6"/>
      <c r="P55" s="6"/>
      <c r="Q55" s="6"/>
      <c r="R55" s="6"/>
      <c r="S55" s="6"/>
      <c r="T55" s="6"/>
      <c r="U55" s="6"/>
      <c r="V55" s="6"/>
      <c r="W55" s="6"/>
      <c r="X55" s="6"/>
      <c r="Y55" s="6"/>
      <c r="Z55" s="6"/>
      <c r="AA55" s="6"/>
    </row>
    <row r="56" spans="1:27" x14ac:dyDescent="0.2">
      <c r="A56" s="13"/>
      <c r="B56" s="13"/>
      <c r="C56" s="13"/>
      <c r="D56" s="13"/>
      <c r="E56" s="101"/>
      <c r="F56" s="6"/>
      <c r="G56" s="6"/>
      <c r="H56" s="6"/>
      <c r="I56" s="6"/>
      <c r="J56" s="6"/>
      <c r="K56" s="6"/>
      <c r="L56" s="6"/>
      <c r="M56" s="6"/>
      <c r="N56" s="6"/>
      <c r="O56" s="6"/>
      <c r="P56" s="6"/>
      <c r="Q56" s="6"/>
      <c r="R56" s="6"/>
      <c r="S56" s="6"/>
      <c r="T56" s="6"/>
      <c r="U56" s="6"/>
      <c r="V56" s="6"/>
      <c r="W56" s="6"/>
      <c r="X56" s="6"/>
      <c r="Y56" s="6"/>
      <c r="Z56" s="6"/>
      <c r="AA56" s="6"/>
    </row>
    <row r="57" spans="1:27" x14ac:dyDescent="0.2">
      <c r="A57" s="13"/>
      <c r="B57" s="13"/>
      <c r="C57" s="13"/>
      <c r="D57" s="13"/>
      <c r="E57" s="101"/>
      <c r="F57" s="6"/>
      <c r="G57" s="6"/>
      <c r="H57" s="6"/>
      <c r="I57" s="6"/>
      <c r="J57" s="6"/>
      <c r="K57" s="6"/>
      <c r="L57" s="6"/>
      <c r="M57" s="6"/>
      <c r="N57" s="6"/>
      <c r="O57" s="6"/>
      <c r="P57" s="6"/>
      <c r="Q57" s="6"/>
      <c r="R57" s="6"/>
      <c r="S57" s="6"/>
      <c r="T57" s="6"/>
      <c r="U57" s="6"/>
      <c r="V57" s="6"/>
      <c r="W57" s="6"/>
      <c r="X57" s="6"/>
      <c r="Y57" s="6"/>
      <c r="Z57" s="6"/>
      <c r="AA57" s="6"/>
    </row>
    <row r="58" spans="1:27" x14ac:dyDescent="0.2">
      <c r="A58" s="13"/>
      <c r="B58" s="13"/>
      <c r="C58" s="13"/>
      <c r="D58" s="13"/>
      <c r="E58" s="101"/>
      <c r="F58" s="6"/>
      <c r="G58" s="6"/>
      <c r="H58" s="6"/>
      <c r="I58" s="6"/>
      <c r="J58" s="6"/>
      <c r="K58" s="6"/>
      <c r="L58" s="6"/>
      <c r="M58" s="6"/>
      <c r="N58" s="6"/>
      <c r="O58" s="6"/>
      <c r="P58" s="6"/>
      <c r="Q58" s="6"/>
      <c r="R58" s="6"/>
      <c r="S58" s="6"/>
      <c r="T58" s="6"/>
      <c r="U58" s="6"/>
      <c r="V58" s="6"/>
      <c r="W58" s="6"/>
      <c r="X58" s="6"/>
      <c r="Y58" s="6"/>
      <c r="Z58" s="6"/>
      <c r="AA58" s="6"/>
    </row>
    <row r="59" spans="1:27" x14ac:dyDescent="0.2">
      <c r="A59" s="13"/>
      <c r="B59" s="13"/>
      <c r="C59" s="13"/>
      <c r="D59" s="13"/>
      <c r="E59" s="101"/>
      <c r="F59" s="6"/>
      <c r="G59" s="6"/>
      <c r="H59" s="6"/>
      <c r="I59" s="6"/>
      <c r="J59" s="6"/>
      <c r="K59" s="6"/>
      <c r="L59" s="6"/>
      <c r="M59" s="6"/>
      <c r="N59" s="6"/>
      <c r="O59" s="6"/>
      <c r="P59" s="6"/>
      <c r="Q59" s="6"/>
      <c r="R59" s="6"/>
      <c r="S59" s="6"/>
      <c r="T59" s="6"/>
      <c r="U59" s="6"/>
      <c r="V59" s="6"/>
      <c r="W59" s="6"/>
      <c r="X59" s="6"/>
      <c r="Y59" s="6"/>
      <c r="Z59" s="6"/>
      <c r="AA59" s="6"/>
    </row>
    <row r="60" spans="1:27" x14ac:dyDescent="0.2">
      <c r="A60" s="13"/>
      <c r="B60" s="13"/>
      <c r="C60" s="13"/>
      <c r="D60" s="13"/>
      <c r="E60" s="101"/>
      <c r="F60" s="6"/>
      <c r="G60" s="6"/>
      <c r="H60" s="6"/>
      <c r="I60" s="6"/>
      <c r="J60" s="6"/>
      <c r="K60" s="6"/>
      <c r="L60" s="6"/>
      <c r="M60" s="6"/>
      <c r="N60" s="6"/>
      <c r="O60" s="6"/>
      <c r="P60" s="6"/>
      <c r="Q60" s="6"/>
      <c r="R60" s="6"/>
      <c r="S60" s="6"/>
      <c r="T60" s="6"/>
      <c r="U60" s="6"/>
      <c r="V60" s="6"/>
      <c r="W60" s="6"/>
      <c r="X60" s="6"/>
      <c r="Y60" s="6"/>
      <c r="Z60" s="6"/>
      <c r="AA60" s="6"/>
    </row>
    <row r="61" spans="1:27" x14ac:dyDescent="0.2">
      <c r="A61" s="13"/>
      <c r="B61" s="13"/>
      <c r="C61" s="13"/>
      <c r="D61" s="13"/>
      <c r="E61" s="101"/>
      <c r="F61" s="6"/>
      <c r="G61" s="6"/>
      <c r="H61" s="6"/>
      <c r="I61" s="6"/>
      <c r="J61" s="6"/>
      <c r="K61" s="6"/>
      <c r="L61" s="6"/>
      <c r="M61" s="6"/>
      <c r="N61" s="6"/>
      <c r="O61" s="6"/>
      <c r="P61" s="6"/>
      <c r="Q61" s="6"/>
      <c r="R61" s="6"/>
      <c r="S61" s="6"/>
      <c r="T61" s="6"/>
      <c r="U61" s="6"/>
      <c r="V61" s="6"/>
      <c r="W61" s="6"/>
      <c r="X61" s="6"/>
      <c r="Y61" s="6"/>
      <c r="Z61" s="6"/>
      <c r="AA61" s="6"/>
    </row>
    <row r="62" spans="1:27" x14ac:dyDescent="0.2">
      <c r="A62" s="13"/>
      <c r="B62" s="13"/>
      <c r="C62" s="13"/>
      <c r="D62" s="13"/>
      <c r="E62" s="101"/>
      <c r="F62" s="6"/>
      <c r="G62" s="6"/>
      <c r="H62" s="6"/>
      <c r="I62" s="6"/>
      <c r="J62" s="6"/>
      <c r="K62" s="6"/>
      <c r="L62" s="6"/>
      <c r="M62" s="6"/>
      <c r="N62" s="6"/>
      <c r="O62" s="6"/>
      <c r="P62" s="6"/>
      <c r="Q62" s="6"/>
      <c r="R62" s="6"/>
      <c r="S62" s="6"/>
      <c r="T62" s="6"/>
      <c r="U62" s="6"/>
      <c r="V62" s="6"/>
      <c r="W62" s="6"/>
      <c r="X62" s="6"/>
      <c r="Y62" s="6"/>
      <c r="Z62" s="6"/>
      <c r="AA62" s="6"/>
    </row>
    <row r="63" spans="1:27" x14ac:dyDescent="0.2">
      <c r="A63" s="13"/>
      <c r="B63" s="13"/>
      <c r="C63" s="13"/>
      <c r="D63" s="13"/>
      <c r="E63" s="101"/>
      <c r="F63" s="6"/>
      <c r="G63" s="6"/>
      <c r="H63" s="6"/>
      <c r="I63" s="6"/>
      <c r="J63" s="6"/>
      <c r="K63" s="6"/>
      <c r="L63" s="6"/>
      <c r="M63" s="6"/>
      <c r="N63" s="6"/>
      <c r="O63" s="6"/>
      <c r="P63" s="6"/>
      <c r="Q63" s="6"/>
      <c r="R63" s="6"/>
      <c r="S63" s="6"/>
      <c r="T63" s="6"/>
      <c r="U63" s="6"/>
      <c r="V63" s="6"/>
      <c r="W63" s="6"/>
      <c r="X63" s="6"/>
      <c r="Y63" s="6"/>
      <c r="Z63" s="6"/>
      <c r="AA63" s="6"/>
    </row>
    <row r="64" spans="1:27" x14ac:dyDescent="0.2">
      <c r="A64" s="13"/>
      <c r="B64" s="13"/>
      <c r="C64" s="13"/>
      <c r="D64" s="13"/>
      <c r="E64" s="101"/>
      <c r="F64" s="6"/>
      <c r="G64" s="6"/>
      <c r="H64" s="6"/>
      <c r="I64" s="6"/>
      <c r="J64" s="6"/>
      <c r="K64" s="6"/>
      <c r="L64" s="6"/>
      <c r="M64" s="6"/>
      <c r="N64" s="6"/>
      <c r="O64" s="6"/>
      <c r="P64" s="6"/>
      <c r="Q64" s="6"/>
      <c r="R64" s="6"/>
      <c r="S64" s="6"/>
      <c r="T64" s="6"/>
      <c r="U64" s="6"/>
      <c r="V64" s="6"/>
      <c r="W64" s="6"/>
      <c r="X64" s="6"/>
      <c r="Y64" s="6"/>
      <c r="Z64" s="6"/>
      <c r="AA64" s="6"/>
    </row>
    <row r="65" spans="1:27" x14ac:dyDescent="0.2">
      <c r="A65" s="13"/>
      <c r="B65" s="13"/>
      <c r="C65" s="13"/>
      <c r="D65" s="13"/>
      <c r="E65" s="101"/>
      <c r="F65" s="6"/>
      <c r="G65" s="6"/>
      <c r="H65" s="6"/>
      <c r="I65" s="6"/>
      <c r="J65" s="6"/>
      <c r="K65" s="6"/>
      <c r="L65" s="6"/>
      <c r="M65" s="6"/>
      <c r="N65" s="6"/>
      <c r="O65" s="6"/>
      <c r="P65" s="6"/>
      <c r="Q65" s="6"/>
      <c r="R65" s="6"/>
      <c r="S65" s="6"/>
      <c r="T65" s="6"/>
      <c r="U65" s="6"/>
      <c r="V65" s="6"/>
      <c r="W65" s="6"/>
      <c r="X65" s="6"/>
      <c r="Y65" s="6"/>
      <c r="Z65" s="6"/>
      <c r="AA65" s="6"/>
    </row>
    <row r="66" spans="1:27" x14ac:dyDescent="0.2">
      <c r="A66" s="13"/>
      <c r="B66" s="13"/>
      <c r="C66" s="13"/>
      <c r="D66" s="13"/>
      <c r="E66" s="101"/>
      <c r="F66" s="6"/>
      <c r="G66" s="6"/>
      <c r="H66" s="6"/>
      <c r="I66" s="6"/>
      <c r="J66" s="6"/>
      <c r="K66" s="6"/>
      <c r="L66" s="6"/>
      <c r="M66" s="6"/>
      <c r="N66" s="6"/>
      <c r="O66" s="6"/>
      <c r="P66" s="6"/>
      <c r="Q66" s="6"/>
      <c r="R66" s="6"/>
      <c r="S66" s="6"/>
      <c r="T66" s="6"/>
      <c r="U66" s="6"/>
      <c r="V66" s="6"/>
      <c r="W66" s="6"/>
      <c r="X66" s="6"/>
      <c r="Y66" s="6"/>
      <c r="Z66" s="6"/>
      <c r="AA66" s="6"/>
    </row>
    <row r="67" spans="1:27" x14ac:dyDescent="0.2">
      <c r="A67" s="13"/>
      <c r="B67" s="13"/>
      <c r="C67" s="13"/>
      <c r="D67" s="13"/>
      <c r="E67" s="101"/>
      <c r="F67" s="6"/>
      <c r="G67" s="6"/>
      <c r="H67" s="6"/>
      <c r="I67" s="6"/>
      <c r="J67" s="6"/>
      <c r="K67" s="6"/>
      <c r="L67" s="6"/>
      <c r="M67" s="6"/>
      <c r="N67" s="6"/>
      <c r="O67" s="6"/>
      <c r="P67" s="6"/>
      <c r="Q67" s="6"/>
      <c r="R67" s="6"/>
      <c r="S67" s="6"/>
      <c r="T67" s="6"/>
      <c r="U67" s="6"/>
      <c r="V67" s="6"/>
      <c r="W67" s="6"/>
      <c r="X67" s="6"/>
      <c r="Y67" s="6"/>
      <c r="Z67" s="6"/>
      <c r="AA67" s="6"/>
    </row>
    <row r="68" spans="1:27" x14ac:dyDescent="0.2">
      <c r="A68" s="13"/>
      <c r="B68" s="13"/>
      <c r="C68" s="13"/>
      <c r="D68" s="13"/>
      <c r="E68" s="101"/>
      <c r="F68" s="6"/>
      <c r="G68" s="6"/>
      <c r="H68" s="6"/>
      <c r="I68" s="6"/>
      <c r="J68" s="6"/>
      <c r="K68" s="6"/>
      <c r="L68" s="6"/>
      <c r="M68" s="6"/>
      <c r="N68" s="6"/>
      <c r="O68" s="6"/>
      <c r="P68" s="6"/>
      <c r="Q68" s="6"/>
      <c r="R68" s="6"/>
      <c r="S68" s="6"/>
      <c r="T68" s="6"/>
      <c r="U68" s="6"/>
      <c r="V68" s="6"/>
      <c r="W68" s="6"/>
      <c r="X68" s="6"/>
      <c r="Y68" s="6"/>
      <c r="Z68" s="6"/>
      <c r="AA68" s="6"/>
    </row>
    <row r="69" spans="1:27" x14ac:dyDescent="0.2">
      <c r="A69" s="13"/>
      <c r="B69" s="13"/>
      <c r="C69" s="13"/>
      <c r="D69" s="13"/>
      <c r="E69" s="101"/>
      <c r="F69" s="6"/>
      <c r="G69" s="6"/>
      <c r="H69" s="6"/>
      <c r="I69" s="6"/>
      <c r="J69" s="6"/>
      <c r="K69" s="6"/>
      <c r="L69" s="6"/>
      <c r="M69" s="6"/>
      <c r="N69" s="6"/>
      <c r="O69" s="6"/>
      <c r="P69" s="6"/>
      <c r="Q69" s="6"/>
      <c r="R69" s="6"/>
      <c r="S69" s="6"/>
      <c r="T69" s="6"/>
      <c r="U69" s="6"/>
      <c r="V69" s="6"/>
      <c r="W69" s="6"/>
      <c r="X69" s="6"/>
      <c r="Y69" s="6"/>
      <c r="Z69" s="6"/>
      <c r="AA69" s="6"/>
    </row>
    <row r="70" spans="1:27" x14ac:dyDescent="0.2">
      <c r="A70" s="13"/>
      <c r="B70" s="13"/>
      <c r="C70" s="13"/>
      <c r="D70" s="13"/>
      <c r="E70" s="101"/>
      <c r="F70" s="6"/>
      <c r="G70" s="6"/>
      <c r="H70" s="6"/>
      <c r="I70" s="6"/>
      <c r="J70" s="6"/>
      <c r="K70" s="6"/>
      <c r="L70" s="6"/>
      <c r="M70" s="6"/>
      <c r="N70" s="6"/>
      <c r="O70" s="6"/>
      <c r="P70" s="6"/>
      <c r="Q70" s="6"/>
      <c r="R70" s="6"/>
      <c r="S70" s="6"/>
      <c r="T70" s="6"/>
      <c r="U70" s="6"/>
      <c r="V70" s="6"/>
      <c r="W70" s="6"/>
      <c r="X70" s="6"/>
      <c r="Y70" s="6"/>
      <c r="Z70" s="6"/>
      <c r="AA70" s="6"/>
    </row>
    <row r="71" spans="1:27" x14ac:dyDescent="0.2">
      <c r="A71" s="13"/>
      <c r="B71" s="13"/>
      <c r="C71" s="13"/>
      <c r="D71" s="13"/>
      <c r="E71" s="101"/>
      <c r="F71" s="6"/>
      <c r="G71" s="6"/>
      <c r="H71" s="6"/>
      <c r="I71" s="6"/>
      <c r="J71" s="6"/>
      <c r="K71" s="6"/>
      <c r="L71" s="6"/>
      <c r="M71" s="6"/>
      <c r="N71" s="6"/>
      <c r="O71" s="6"/>
      <c r="P71" s="6"/>
      <c r="Q71" s="6"/>
      <c r="R71" s="6"/>
      <c r="S71" s="6"/>
      <c r="T71" s="6"/>
      <c r="U71" s="6"/>
      <c r="V71" s="6"/>
      <c r="W71" s="6"/>
      <c r="X71" s="6"/>
      <c r="Y71" s="6"/>
      <c r="Z71" s="6"/>
      <c r="AA71" s="6"/>
    </row>
    <row r="72" spans="1:27" x14ac:dyDescent="0.2">
      <c r="A72" s="13"/>
      <c r="B72" s="13"/>
      <c r="C72" s="13"/>
      <c r="D72" s="13"/>
      <c r="E72" s="101"/>
      <c r="F72" s="6"/>
      <c r="G72" s="6"/>
      <c r="H72" s="6"/>
      <c r="I72" s="6"/>
      <c r="J72" s="6"/>
      <c r="K72" s="6"/>
      <c r="L72" s="6"/>
      <c r="M72" s="6"/>
      <c r="N72" s="6"/>
      <c r="O72" s="6"/>
      <c r="P72" s="6"/>
      <c r="Q72" s="6"/>
      <c r="R72" s="6"/>
      <c r="S72" s="6"/>
      <c r="T72" s="6"/>
      <c r="U72" s="6"/>
      <c r="V72" s="6"/>
      <c r="W72" s="6"/>
      <c r="X72" s="6"/>
      <c r="Y72" s="6"/>
      <c r="Z72" s="6"/>
      <c r="AA72" s="6"/>
    </row>
    <row r="73" spans="1:27" x14ac:dyDescent="0.2">
      <c r="A73" s="13"/>
      <c r="B73" s="13"/>
      <c r="C73" s="13"/>
      <c r="D73" s="13"/>
      <c r="E73" s="101"/>
      <c r="F73" s="6"/>
      <c r="G73" s="6"/>
      <c r="H73" s="6"/>
      <c r="I73" s="6"/>
      <c r="J73" s="6"/>
      <c r="K73" s="6"/>
      <c r="L73" s="6"/>
      <c r="M73" s="6"/>
      <c r="N73" s="6"/>
      <c r="O73" s="6"/>
      <c r="P73" s="6"/>
      <c r="Q73" s="6"/>
      <c r="R73" s="6"/>
      <c r="S73" s="6"/>
      <c r="T73" s="6"/>
      <c r="U73" s="6"/>
      <c r="V73" s="6"/>
      <c r="W73" s="6"/>
      <c r="X73" s="6"/>
      <c r="Y73" s="6"/>
      <c r="Z73" s="6"/>
      <c r="AA73" s="6"/>
    </row>
    <row r="74" spans="1:27" x14ac:dyDescent="0.2">
      <c r="A74" s="13"/>
      <c r="B74" s="13"/>
      <c r="C74" s="13"/>
      <c r="D74" s="13"/>
      <c r="E74" s="101"/>
      <c r="F74" s="6"/>
      <c r="G74" s="6"/>
      <c r="H74" s="6"/>
      <c r="I74" s="6"/>
      <c r="J74" s="6"/>
      <c r="K74" s="6"/>
      <c r="L74" s="6"/>
      <c r="M74" s="6"/>
      <c r="N74" s="6"/>
      <c r="O74" s="6"/>
      <c r="P74" s="6"/>
      <c r="Q74" s="6"/>
      <c r="R74" s="6"/>
      <c r="S74" s="6"/>
      <c r="T74" s="6"/>
      <c r="U74" s="6"/>
      <c r="V74" s="6"/>
      <c r="W74" s="6"/>
      <c r="X74" s="6"/>
      <c r="Y74" s="6"/>
      <c r="Z74" s="6"/>
      <c r="AA74" s="6"/>
    </row>
    <row r="75" spans="1:27" x14ac:dyDescent="0.2">
      <c r="A75" s="13"/>
      <c r="B75" s="13"/>
      <c r="C75" s="13"/>
      <c r="D75" s="13"/>
      <c r="E75" s="101"/>
      <c r="F75" s="6"/>
      <c r="G75" s="6"/>
      <c r="H75" s="6"/>
      <c r="I75" s="6"/>
      <c r="J75" s="6"/>
      <c r="K75" s="6"/>
      <c r="L75" s="6"/>
      <c r="M75" s="6"/>
      <c r="N75" s="6"/>
      <c r="O75" s="6"/>
      <c r="P75" s="6"/>
      <c r="Q75" s="6"/>
      <c r="R75" s="6"/>
      <c r="S75" s="6"/>
      <c r="T75" s="6"/>
      <c r="U75" s="6"/>
      <c r="V75" s="6"/>
      <c r="W75" s="6"/>
      <c r="X75" s="6"/>
      <c r="Y75" s="6"/>
      <c r="Z75" s="6"/>
      <c r="AA75" s="6"/>
    </row>
    <row r="76" spans="1:27" x14ac:dyDescent="0.2">
      <c r="A76" s="13"/>
      <c r="B76" s="13"/>
      <c r="C76" s="13"/>
      <c r="D76" s="13"/>
      <c r="E76" s="101"/>
      <c r="F76" s="6"/>
      <c r="G76" s="6"/>
      <c r="H76" s="6"/>
      <c r="I76" s="6"/>
      <c r="J76" s="6"/>
      <c r="K76" s="6"/>
      <c r="L76" s="6"/>
      <c r="M76" s="6"/>
      <c r="N76" s="6"/>
      <c r="O76" s="6"/>
      <c r="P76" s="6"/>
      <c r="Q76" s="6"/>
      <c r="R76" s="6"/>
      <c r="S76" s="6"/>
      <c r="T76" s="6"/>
      <c r="U76" s="6"/>
      <c r="V76" s="6"/>
      <c r="W76" s="6"/>
      <c r="X76" s="6"/>
      <c r="Y76" s="6"/>
      <c r="Z76" s="6"/>
      <c r="AA76" s="6"/>
    </row>
    <row r="77" spans="1:27" x14ac:dyDescent="0.2">
      <c r="A77" s="13"/>
      <c r="B77" s="13"/>
      <c r="C77" s="13"/>
      <c r="D77" s="13"/>
      <c r="E77" s="101"/>
      <c r="F77" s="6"/>
      <c r="G77" s="6"/>
      <c r="H77" s="6"/>
      <c r="I77" s="6"/>
      <c r="J77" s="6"/>
      <c r="K77" s="6"/>
      <c r="L77" s="6"/>
      <c r="M77" s="6"/>
      <c r="N77" s="6"/>
      <c r="O77" s="6"/>
      <c r="P77" s="6"/>
      <c r="Q77" s="6"/>
      <c r="R77" s="6"/>
      <c r="S77" s="6"/>
      <c r="T77" s="6"/>
      <c r="U77" s="6"/>
      <c r="V77" s="6"/>
      <c r="W77" s="6"/>
      <c r="X77" s="6"/>
      <c r="Y77" s="6"/>
      <c r="Z77" s="6"/>
      <c r="AA77" s="6"/>
    </row>
    <row r="78" spans="1:27" x14ac:dyDescent="0.2">
      <c r="A78" s="13"/>
      <c r="B78" s="13"/>
      <c r="C78" s="13"/>
      <c r="D78" s="13"/>
      <c r="E78" s="101"/>
      <c r="F78" s="6"/>
      <c r="G78" s="6"/>
      <c r="H78" s="6"/>
      <c r="I78" s="6"/>
      <c r="J78" s="6"/>
      <c r="K78" s="6"/>
      <c r="L78" s="6"/>
      <c r="M78" s="6"/>
      <c r="N78" s="6"/>
      <c r="O78" s="6"/>
      <c r="P78" s="6"/>
      <c r="Q78" s="6"/>
      <c r="R78" s="6"/>
      <c r="S78" s="6"/>
      <c r="T78" s="6"/>
      <c r="U78" s="6"/>
      <c r="V78" s="6"/>
      <c r="W78" s="6"/>
      <c r="X78" s="6"/>
      <c r="Y78" s="6"/>
      <c r="Z78" s="6"/>
      <c r="AA78" s="6"/>
    </row>
    <row r="79" spans="1:27" x14ac:dyDescent="0.2">
      <c r="A79" s="13"/>
      <c r="B79" s="13"/>
      <c r="C79" s="13"/>
      <c r="D79" s="13"/>
      <c r="E79" s="101"/>
      <c r="F79" s="6"/>
      <c r="G79" s="6"/>
      <c r="H79" s="6"/>
      <c r="I79" s="6"/>
      <c r="J79" s="6"/>
      <c r="K79" s="6"/>
      <c r="L79" s="6"/>
      <c r="M79" s="6"/>
      <c r="N79" s="6"/>
      <c r="O79" s="6"/>
      <c r="P79" s="6"/>
      <c r="Q79" s="6"/>
      <c r="R79" s="6"/>
      <c r="S79" s="6"/>
      <c r="T79" s="6"/>
      <c r="U79" s="6"/>
      <c r="V79" s="6"/>
      <c r="W79" s="6"/>
      <c r="X79" s="6"/>
      <c r="Y79" s="6"/>
      <c r="Z79" s="6"/>
      <c r="AA79" s="6"/>
    </row>
    <row r="80" spans="1:27" x14ac:dyDescent="0.2">
      <c r="A80" s="13"/>
      <c r="B80" s="13"/>
      <c r="C80" s="13"/>
      <c r="D80" s="13"/>
      <c r="E80" s="101"/>
      <c r="F80" s="6"/>
      <c r="G80" s="6"/>
      <c r="H80" s="6"/>
      <c r="I80" s="6"/>
      <c r="J80" s="6"/>
      <c r="K80" s="6"/>
      <c r="L80" s="6"/>
      <c r="M80" s="6"/>
      <c r="N80" s="6"/>
      <c r="O80" s="6"/>
      <c r="P80" s="6"/>
      <c r="Q80" s="6"/>
      <c r="R80" s="6"/>
      <c r="S80" s="6"/>
      <c r="T80" s="6"/>
      <c r="U80" s="6"/>
      <c r="V80" s="6"/>
      <c r="W80" s="6"/>
      <c r="X80" s="6"/>
      <c r="Y80" s="6"/>
      <c r="Z80" s="6"/>
      <c r="AA80" s="6"/>
    </row>
    <row r="81" spans="1:27" x14ac:dyDescent="0.2">
      <c r="A81" s="13"/>
      <c r="B81" s="13"/>
      <c r="C81" s="13"/>
      <c r="D81" s="13"/>
      <c r="E81" s="101"/>
      <c r="F81" s="6"/>
      <c r="G81" s="6"/>
      <c r="H81" s="6"/>
      <c r="I81" s="6"/>
      <c r="J81" s="6"/>
      <c r="K81" s="6"/>
      <c r="L81" s="6"/>
      <c r="M81" s="6"/>
      <c r="N81" s="6"/>
      <c r="O81" s="6"/>
      <c r="P81" s="6"/>
      <c r="Q81" s="6"/>
      <c r="R81" s="6"/>
      <c r="S81" s="6"/>
      <c r="T81" s="6"/>
      <c r="U81" s="6"/>
      <c r="V81" s="6"/>
      <c r="W81" s="6"/>
      <c r="X81" s="6"/>
      <c r="Y81" s="6"/>
      <c r="Z81" s="6"/>
      <c r="AA81" s="6"/>
    </row>
    <row r="82" spans="1:27" x14ac:dyDescent="0.2">
      <c r="A82" s="13"/>
      <c r="B82" s="13"/>
      <c r="C82" s="13"/>
      <c r="D82" s="13"/>
      <c r="E82" s="101"/>
      <c r="F82" s="6"/>
      <c r="G82" s="6"/>
      <c r="H82" s="6"/>
      <c r="I82" s="6"/>
      <c r="J82" s="6"/>
      <c r="K82" s="6"/>
      <c r="L82" s="6"/>
      <c r="M82" s="6"/>
      <c r="N82" s="6"/>
      <c r="O82" s="6"/>
      <c r="P82" s="6"/>
      <c r="Q82" s="6"/>
      <c r="R82" s="6"/>
      <c r="S82" s="6"/>
      <c r="T82" s="6"/>
      <c r="U82" s="6"/>
      <c r="V82" s="6"/>
      <c r="W82" s="6"/>
      <c r="X82" s="6"/>
      <c r="Y82" s="6"/>
      <c r="Z82" s="6"/>
      <c r="AA82" s="6"/>
    </row>
    <row r="83" spans="1:27" x14ac:dyDescent="0.2">
      <c r="A83" s="13"/>
      <c r="B83" s="13"/>
      <c r="C83" s="13"/>
      <c r="D83" s="13"/>
      <c r="E83" s="101"/>
      <c r="F83" s="6"/>
      <c r="G83" s="6"/>
      <c r="H83" s="6"/>
      <c r="I83" s="6"/>
      <c r="J83" s="6"/>
      <c r="K83" s="6"/>
      <c r="L83" s="6"/>
      <c r="M83" s="6"/>
      <c r="N83" s="6"/>
      <c r="O83" s="6"/>
      <c r="P83" s="6"/>
      <c r="Q83" s="6"/>
      <c r="R83" s="6"/>
      <c r="S83" s="6"/>
      <c r="T83" s="6"/>
      <c r="U83" s="6"/>
      <c r="V83" s="6"/>
      <c r="W83" s="6"/>
      <c r="X83" s="6"/>
      <c r="Y83" s="6"/>
      <c r="Z83" s="6"/>
      <c r="AA83" s="6"/>
    </row>
    <row r="84" spans="1:27" x14ac:dyDescent="0.2">
      <c r="A84" s="13"/>
      <c r="B84" s="13"/>
      <c r="C84" s="13"/>
      <c r="D84" s="13"/>
      <c r="E84" s="101"/>
      <c r="F84" s="6"/>
      <c r="G84" s="6"/>
      <c r="H84" s="6"/>
      <c r="I84" s="6"/>
      <c r="J84" s="6"/>
      <c r="K84" s="6"/>
      <c r="L84" s="6"/>
      <c r="M84" s="6"/>
      <c r="N84" s="6"/>
      <c r="O84" s="6"/>
      <c r="P84" s="6"/>
      <c r="Q84" s="6"/>
      <c r="R84" s="6"/>
      <c r="S84" s="6"/>
      <c r="T84" s="6"/>
      <c r="U84" s="6"/>
      <c r="V84" s="6"/>
      <c r="W84" s="6"/>
      <c r="X84" s="6"/>
      <c r="Y84" s="6"/>
      <c r="Z84" s="6"/>
      <c r="AA84" s="6"/>
    </row>
    <row r="85" spans="1:27" x14ac:dyDescent="0.2">
      <c r="A85" s="13"/>
      <c r="B85" s="13"/>
      <c r="C85" s="13"/>
      <c r="D85" s="13"/>
      <c r="E85" s="101"/>
      <c r="F85" s="6"/>
      <c r="G85" s="6"/>
      <c r="H85" s="6"/>
      <c r="I85" s="6"/>
      <c r="J85" s="6"/>
      <c r="K85" s="6"/>
      <c r="L85" s="6"/>
      <c r="M85" s="6"/>
      <c r="N85" s="6"/>
      <c r="O85" s="6"/>
      <c r="P85" s="6"/>
      <c r="Q85" s="6"/>
      <c r="R85" s="6"/>
      <c r="S85" s="6"/>
      <c r="T85" s="6"/>
      <c r="U85" s="6"/>
      <c r="V85" s="6"/>
      <c r="W85" s="6"/>
      <c r="X85" s="6"/>
      <c r="Y85" s="6"/>
      <c r="Z85" s="6"/>
      <c r="AA85" s="6"/>
    </row>
    <row r="86" spans="1:27" x14ac:dyDescent="0.2">
      <c r="A86" s="13"/>
      <c r="B86" s="13"/>
      <c r="C86" s="13"/>
      <c r="D86" s="13"/>
      <c r="E86" s="101"/>
      <c r="F86" s="6"/>
      <c r="G86" s="6"/>
      <c r="H86" s="6"/>
      <c r="I86" s="6"/>
      <c r="J86" s="6"/>
      <c r="K86" s="6"/>
      <c r="L86" s="6"/>
      <c r="M86" s="6"/>
      <c r="N86" s="6"/>
      <c r="O86" s="6"/>
      <c r="P86" s="6"/>
      <c r="Q86" s="6"/>
      <c r="R86" s="6"/>
      <c r="S86" s="6"/>
      <c r="T86" s="6"/>
      <c r="U86" s="6"/>
      <c r="V86" s="6"/>
      <c r="W86" s="6"/>
      <c r="X86" s="6"/>
      <c r="Y86" s="6"/>
      <c r="Z86" s="6"/>
      <c r="AA86" s="6"/>
    </row>
    <row r="87" spans="1:27" x14ac:dyDescent="0.2">
      <c r="A87" s="13"/>
      <c r="B87" s="13"/>
      <c r="C87" s="13"/>
      <c r="D87" s="13"/>
      <c r="E87" s="101"/>
      <c r="F87" s="6"/>
      <c r="G87" s="6"/>
      <c r="H87" s="6"/>
      <c r="I87" s="6"/>
      <c r="J87" s="6"/>
      <c r="K87" s="6"/>
      <c r="L87" s="6"/>
      <c r="M87" s="6"/>
      <c r="N87" s="6"/>
      <c r="O87" s="6"/>
      <c r="P87" s="6"/>
      <c r="Q87" s="6"/>
      <c r="R87" s="6"/>
      <c r="S87" s="6"/>
      <c r="T87" s="6"/>
      <c r="U87" s="6"/>
      <c r="V87" s="6"/>
      <c r="W87" s="6"/>
      <c r="X87" s="6"/>
      <c r="Y87" s="6"/>
      <c r="Z87" s="6"/>
      <c r="AA87" s="6"/>
    </row>
    <row r="88" spans="1:27" x14ac:dyDescent="0.2">
      <c r="A88" s="13"/>
      <c r="B88" s="13"/>
      <c r="C88" s="13"/>
      <c r="D88" s="13"/>
      <c r="E88" s="101"/>
      <c r="F88" s="6"/>
      <c r="G88" s="6"/>
      <c r="H88" s="6"/>
      <c r="I88" s="6"/>
      <c r="J88" s="6"/>
      <c r="K88" s="6"/>
      <c r="L88" s="6"/>
      <c r="M88" s="6"/>
      <c r="N88" s="6"/>
      <c r="O88" s="6"/>
      <c r="P88" s="6"/>
      <c r="Q88" s="6"/>
      <c r="R88" s="6"/>
      <c r="S88" s="6"/>
      <c r="T88" s="6"/>
      <c r="U88" s="6"/>
      <c r="V88" s="6"/>
      <c r="W88" s="6"/>
      <c r="X88" s="6"/>
      <c r="Y88" s="6"/>
      <c r="Z88" s="6"/>
      <c r="AA88" s="6"/>
    </row>
    <row r="89" spans="1:27" x14ac:dyDescent="0.2">
      <c r="A89" s="13"/>
      <c r="B89" s="13"/>
      <c r="C89" s="13"/>
      <c r="D89" s="13"/>
      <c r="E89" s="101"/>
      <c r="F89" s="6"/>
      <c r="G89" s="6"/>
      <c r="H89" s="6"/>
      <c r="I89" s="6"/>
      <c r="J89" s="6"/>
      <c r="K89" s="6"/>
      <c r="L89" s="6"/>
      <c r="M89" s="6"/>
      <c r="N89" s="6"/>
      <c r="O89" s="6"/>
      <c r="P89" s="6"/>
      <c r="Q89" s="6"/>
      <c r="R89" s="6"/>
      <c r="S89" s="6"/>
      <c r="T89" s="6"/>
      <c r="U89" s="6"/>
      <c r="V89" s="6"/>
      <c r="W89" s="6"/>
      <c r="X89" s="6"/>
      <c r="Y89" s="6"/>
      <c r="Z89" s="6"/>
      <c r="AA89" s="6"/>
    </row>
    <row r="90" spans="1:27" x14ac:dyDescent="0.2">
      <c r="A90" s="13"/>
      <c r="B90" s="13"/>
      <c r="C90" s="13"/>
      <c r="D90" s="13"/>
      <c r="E90" s="101"/>
      <c r="F90" s="6"/>
      <c r="G90" s="6"/>
      <c r="H90" s="6"/>
      <c r="I90" s="6"/>
      <c r="J90" s="6"/>
      <c r="K90" s="6"/>
      <c r="L90" s="6"/>
      <c r="M90" s="6"/>
      <c r="N90" s="6"/>
      <c r="O90" s="6"/>
      <c r="P90" s="6"/>
      <c r="Q90" s="6"/>
      <c r="R90" s="6"/>
      <c r="S90" s="6"/>
      <c r="T90" s="6"/>
      <c r="U90" s="6"/>
      <c r="V90" s="6"/>
      <c r="W90" s="6"/>
      <c r="X90" s="6"/>
      <c r="Y90" s="6"/>
      <c r="Z90" s="6"/>
      <c r="AA90" s="6"/>
    </row>
    <row r="91" spans="1:27" x14ac:dyDescent="0.2">
      <c r="A91" s="13"/>
      <c r="B91" s="13"/>
      <c r="C91" s="13"/>
      <c r="D91" s="13"/>
      <c r="E91" s="101"/>
      <c r="F91" s="6"/>
      <c r="G91" s="6"/>
      <c r="H91" s="6"/>
      <c r="I91" s="6"/>
      <c r="J91" s="6"/>
      <c r="K91" s="6"/>
      <c r="L91" s="6"/>
      <c r="M91" s="6"/>
      <c r="N91" s="6"/>
      <c r="O91" s="6"/>
      <c r="P91" s="6"/>
      <c r="Q91" s="6"/>
      <c r="R91" s="6"/>
      <c r="S91" s="6"/>
      <c r="T91" s="6"/>
      <c r="U91" s="6"/>
      <c r="V91" s="6"/>
      <c r="W91" s="6"/>
      <c r="X91" s="6"/>
      <c r="Y91" s="6"/>
      <c r="Z91" s="6"/>
      <c r="AA91" s="6"/>
    </row>
    <row r="92" spans="1:27" x14ac:dyDescent="0.2">
      <c r="A92" s="13"/>
      <c r="B92" s="13"/>
      <c r="C92" s="13"/>
      <c r="D92" s="13"/>
      <c r="E92" s="101"/>
      <c r="F92" s="6"/>
      <c r="G92" s="6"/>
      <c r="H92" s="6"/>
      <c r="I92" s="6"/>
      <c r="J92" s="6"/>
      <c r="K92" s="6"/>
      <c r="L92" s="6"/>
      <c r="M92" s="6"/>
      <c r="N92" s="6"/>
      <c r="O92" s="6"/>
      <c r="P92" s="6"/>
      <c r="Q92" s="6"/>
      <c r="R92" s="6"/>
      <c r="S92" s="6"/>
      <c r="T92" s="6"/>
      <c r="U92" s="6"/>
      <c r="V92" s="6"/>
      <c r="W92" s="6"/>
      <c r="X92" s="6"/>
      <c r="Y92" s="6"/>
      <c r="Z92" s="6"/>
      <c r="AA92" s="6"/>
    </row>
    <row r="93" spans="1:27" x14ac:dyDescent="0.2">
      <c r="A93" s="13"/>
      <c r="B93" s="13"/>
      <c r="C93" s="13"/>
      <c r="D93" s="13"/>
      <c r="E93" s="101"/>
      <c r="F93" s="6"/>
      <c r="G93" s="6"/>
      <c r="H93" s="6"/>
      <c r="I93" s="6"/>
      <c r="J93" s="6"/>
      <c r="K93" s="6"/>
      <c r="L93" s="6"/>
      <c r="M93" s="6"/>
      <c r="N93" s="6"/>
      <c r="O93" s="6"/>
      <c r="P93" s="6"/>
      <c r="Q93" s="6"/>
      <c r="R93" s="6"/>
      <c r="S93" s="6"/>
      <c r="T93" s="6"/>
      <c r="U93" s="6"/>
      <c r="V93" s="6"/>
      <c r="W93" s="6"/>
      <c r="X93" s="6"/>
      <c r="Y93" s="6"/>
      <c r="Z93" s="6"/>
      <c r="AA93" s="6"/>
    </row>
    <row r="94" spans="1:27" x14ac:dyDescent="0.2">
      <c r="A94" s="13"/>
      <c r="B94" s="13"/>
      <c r="C94" s="13"/>
      <c r="D94" s="13"/>
      <c r="E94" s="101"/>
      <c r="F94" s="6"/>
      <c r="G94" s="6"/>
      <c r="H94" s="6"/>
      <c r="I94" s="6"/>
      <c r="J94" s="6"/>
      <c r="K94" s="6"/>
      <c r="L94" s="6"/>
      <c r="M94" s="6"/>
      <c r="N94" s="6"/>
      <c r="O94" s="6"/>
      <c r="P94" s="6"/>
      <c r="Q94" s="6"/>
      <c r="R94" s="6"/>
      <c r="S94" s="6"/>
      <c r="T94" s="6"/>
      <c r="U94" s="6"/>
      <c r="V94" s="6"/>
      <c r="W94" s="6"/>
      <c r="X94" s="6"/>
      <c r="Y94" s="6"/>
      <c r="Z94" s="6"/>
      <c r="AA94" s="6"/>
    </row>
    <row r="95" spans="1:27" x14ac:dyDescent="0.2">
      <c r="A95" s="13"/>
      <c r="B95" s="13"/>
      <c r="C95" s="13"/>
      <c r="D95" s="13"/>
      <c r="E95" s="101"/>
      <c r="F95" s="6"/>
      <c r="G95" s="6"/>
      <c r="H95" s="6"/>
      <c r="I95" s="6"/>
      <c r="J95" s="6"/>
      <c r="K95" s="6"/>
      <c r="L95" s="6"/>
      <c r="M95" s="6"/>
      <c r="N95" s="6"/>
      <c r="O95" s="6"/>
      <c r="P95" s="6"/>
      <c r="Q95" s="6"/>
      <c r="R95" s="6"/>
      <c r="S95" s="6"/>
      <c r="T95" s="6"/>
      <c r="U95" s="6"/>
      <c r="V95" s="6"/>
      <c r="W95" s="6"/>
      <c r="X95" s="6"/>
      <c r="Y95" s="6"/>
      <c r="Z95" s="6"/>
      <c r="AA95" s="6"/>
    </row>
    <row r="96" spans="1:27" x14ac:dyDescent="0.2">
      <c r="A96" s="13"/>
      <c r="B96" s="13"/>
      <c r="C96" s="13"/>
      <c r="D96" s="13"/>
      <c r="E96" s="101"/>
      <c r="F96" s="6"/>
      <c r="G96" s="6"/>
      <c r="H96" s="6"/>
      <c r="I96" s="6"/>
      <c r="J96" s="6"/>
      <c r="K96" s="6"/>
      <c r="L96" s="6"/>
      <c r="M96" s="6"/>
      <c r="N96" s="6"/>
      <c r="O96" s="6"/>
      <c r="P96" s="6"/>
      <c r="Q96" s="6"/>
      <c r="R96" s="6"/>
      <c r="S96" s="6"/>
      <c r="T96" s="6"/>
      <c r="U96" s="6"/>
      <c r="V96" s="6"/>
      <c r="W96" s="6"/>
      <c r="X96" s="6"/>
      <c r="Y96" s="6"/>
      <c r="Z96" s="6"/>
      <c r="AA96" s="6"/>
    </row>
    <row r="97" spans="1:27" x14ac:dyDescent="0.2">
      <c r="A97" s="13"/>
      <c r="B97" s="13"/>
      <c r="C97" s="13"/>
      <c r="D97" s="13"/>
      <c r="E97" s="101"/>
      <c r="F97" s="6"/>
      <c r="G97" s="6"/>
      <c r="H97" s="6"/>
      <c r="I97" s="6"/>
      <c r="J97" s="6"/>
      <c r="K97" s="6"/>
      <c r="L97" s="6"/>
      <c r="M97" s="6"/>
      <c r="N97" s="6"/>
      <c r="O97" s="6"/>
      <c r="P97" s="6"/>
      <c r="Q97" s="6"/>
      <c r="R97" s="6"/>
      <c r="S97" s="6"/>
      <c r="T97" s="6"/>
      <c r="U97" s="6"/>
      <c r="V97" s="6"/>
      <c r="W97" s="6"/>
      <c r="X97" s="6"/>
      <c r="Y97" s="6"/>
      <c r="Z97" s="6"/>
      <c r="AA97" s="6"/>
    </row>
    <row r="98" spans="1:27" x14ac:dyDescent="0.2">
      <c r="A98" s="13"/>
      <c r="B98" s="13"/>
      <c r="C98" s="13"/>
      <c r="D98" s="13"/>
      <c r="E98" s="101"/>
      <c r="F98" s="6"/>
      <c r="G98" s="6"/>
      <c r="H98" s="6"/>
      <c r="I98" s="6"/>
      <c r="J98" s="6"/>
      <c r="K98" s="6"/>
      <c r="L98" s="6"/>
      <c r="M98" s="6"/>
      <c r="N98" s="6"/>
      <c r="O98" s="6"/>
      <c r="P98" s="6"/>
      <c r="Q98" s="6"/>
      <c r="R98" s="6"/>
      <c r="S98" s="6"/>
      <c r="T98" s="6"/>
      <c r="U98" s="6"/>
      <c r="V98" s="6"/>
      <c r="W98" s="6"/>
      <c r="X98" s="6"/>
      <c r="Y98" s="6"/>
      <c r="Z98" s="6"/>
      <c r="AA98" s="6"/>
    </row>
    <row r="99" spans="1:27" x14ac:dyDescent="0.2">
      <c r="A99" s="13"/>
      <c r="B99" s="13"/>
      <c r="C99" s="13"/>
      <c r="D99" s="13"/>
      <c r="E99" s="101"/>
      <c r="F99" s="6"/>
      <c r="G99" s="6"/>
      <c r="H99" s="6"/>
      <c r="I99" s="6"/>
      <c r="J99" s="6"/>
      <c r="K99" s="6"/>
      <c r="L99" s="6"/>
      <c r="M99" s="6"/>
      <c r="N99" s="6"/>
      <c r="O99" s="6"/>
      <c r="P99" s="6"/>
      <c r="Q99" s="6"/>
      <c r="R99" s="6"/>
      <c r="S99" s="6"/>
      <c r="T99" s="6"/>
      <c r="U99" s="6"/>
      <c r="V99" s="6"/>
      <c r="W99" s="6"/>
      <c r="X99" s="6"/>
      <c r="Y99" s="6"/>
      <c r="Z99" s="6"/>
      <c r="AA99" s="6"/>
    </row>
    <row r="100" spans="1:27" x14ac:dyDescent="0.2">
      <c r="A100" s="13"/>
      <c r="B100" s="13"/>
      <c r="C100" s="13"/>
      <c r="D100" s="13"/>
      <c r="E100" s="101"/>
      <c r="F100" s="6"/>
      <c r="G100" s="6"/>
      <c r="H100" s="6"/>
      <c r="I100" s="6"/>
      <c r="J100" s="6"/>
      <c r="K100" s="6"/>
      <c r="L100" s="6"/>
      <c r="M100" s="6"/>
      <c r="N100" s="6"/>
      <c r="O100" s="6"/>
      <c r="P100" s="6"/>
      <c r="Q100" s="6"/>
      <c r="R100" s="6"/>
      <c r="S100" s="6"/>
      <c r="T100" s="6"/>
      <c r="U100" s="6"/>
      <c r="V100" s="6"/>
      <c r="W100" s="6"/>
      <c r="X100" s="6"/>
      <c r="Y100" s="6"/>
      <c r="Z100" s="6"/>
      <c r="AA100" s="6"/>
    </row>
    <row r="101" spans="1:27" x14ac:dyDescent="0.2">
      <c r="A101" s="13"/>
      <c r="B101" s="13"/>
      <c r="C101" s="13"/>
      <c r="D101" s="13"/>
      <c r="E101" s="101"/>
      <c r="F101" s="6"/>
      <c r="G101" s="6"/>
      <c r="H101" s="6"/>
      <c r="I101" s="6"/>
      <c r="J101" s="6"/>
      <c r="K101" s="6"/>
      <c r="L101" s="6"/>
      <c r="M101" s="6"/>
      <c r="N101" s="6"/>
      <c r="O101" s="6"/>
      <c r="P101" s="6"/>
      <c r="Q101" s="6"/>
      <c r="R101" s="6"/>
      <c r="S101" s="6"/>
      <c r="T101" s="6"/>
      <c r="U101" s="6"/>
      <c r="V101" s="6"/>
      <c r="W101" s="6"/>
      <c r="X101" s="6"/>
      <c r="Y101" s="6"/>
      <c r="Z101" s="6"/>
      <c r="AA101" s="6"/>
    </row>
    <row r="102" spans="1:27" x14ac:dyDescent="0.2">
      <c r="A102" s="13"/>
      <c r="B102" s="13"/>
      <c r="C102" s="13"/>
      <c r="D102" s="13"/>
      <c r="E102" s="101"/>
      <c r="F102" s="6"/>
      <c r="G102" s="6"/>
      <c r="H102" s="6"/>
      <c r="I102" s="6"/>
      <c r="J102" s="6"/>
      <c r="K102" s="6"/>
      <c r="L102" s="6"/>
      <c r="M102" s="6"/>
      <c r="N102" s="6"/>
      <c r="O102" s="6"/>
      <c r="P102" s="6"/>
      <c r="Q102" s="6"/>
      <c r="R102" s="6"/>
      <c r="S102" s="6"/>
      <c r="T102" s="6"/>
      <c r="U102" s="6"/>
      <c r="V102" s="6"/>
      <c r="W102" s="6"/>
      <c r="X102" s="6"/>
      <c r="Y102" s="6"/>
      <c r="Z102" s="6"/>
      <c r="AA102" s="6"/>
    </row>
    <row r="103" spans="1:27" x14ac:dyDescent="0.2">
      <c r="A103" s="13"/>
      <c r="B103" s="13"/>
      <c r="C103" s="13"/>
      <c r="D103" s="13"/>
      <c r="E103" s="101"/>
      <c r="F103" s="6"/>
      <c r="G103" s="6"/>
      <c r="H103" s="6"/>
      <c r="I103" s="6"/>
      <c r="J103" s="6"/>
      <c r="K103" s="6"/>
      <c r="L103" s="6"/>
      <c r="M103" s="6"/>
      <c r="N103" s="6"/>
      <c r="O103" s="6"/>
      <c r="P103" s="6"/>
      <c r="Q103" s="6"/>
      <c r="R103" s="6"/>
      <c r="S103" s="6"/>
      <c r="T103" s="6"/>
      <c r="U103" s="6"/>
      <c r="V103" s="6"/>
      <c r="W103" s="6"/>
      <c r="X103" s="6"/>
      <c r="Y103" s="6"/>
      <c r="Z103" s="6"/>
      <c r="AA103" s="6"/>
    </row>
    <row r="104" spans="1:27" x14ac:dyDescent="0.2">
      <c r="A104" s="13"/>
      <c r="B104" s="13"/>
      <c r="C104" s="13"/>
      <c r="D104" s="13"/>
      <c r="E104" s="101"/>
      <c r="F104" s="6"/>
      <c r="G104" s="6"/>
      <c r="H104" s="6"/>
      <c r="I104" s="6"/>
      <c r="J104" s="6"/>
      <c r="K104" s="6"/>
      <c r="L104" s="6"/>
      <c r="M104" s="6"/>
      <c r="N104" s="6"/>
      <c r="O104" s="6"/>
      <c r="P104" s="6"/>
      <c r="Q104" s="6"/>
      <c r="R104" s="6"/>
      <c r="S104" s="6"/>
      <c r="T104" s="6"/>
      <c r="U104" s="6"/>
      <c r="V104" s="6"/>
      <c r="W104" s="6"/>
      <c r="X104" s="6"/>
      <c r="Y104" s="6"/>
      <c r="Z104" s="6"/>
      <c r="AA104" s="6"/>
    </row>
    <row r="105" spans="1:27" x14ac:dyDescent="0.2">
      <c r="A105" s="13"/>
      <c r="B105" s="13"/>
      <c r="C105" s="13"/>
      <c r="D105" s="13"/>
      <c r="E105" s="101"/>
      <c r="F105" s="6"/>
      <c r="G105" s="6"/>
      <c r="H105" s="6"/>
      <c r="I105" s="6"/>
      <c r="J105" s="6"/>
      <c r="K105" s="6"/>
      <c r="L105" s="6"/>
      <c r="M105" s="6"/>
      <c r="N105" s="6"/>
      <c r="O105" s="6"/>
      <c r="P105" s="6"/>
      <c r="Q105" s="6"/>
      <c r="R105" s="6"/>
      <c r="S105" s="6"/>
      <c r="T105" s="6"/>
      <c r="U105" s="6"/>
      <c r="V105" s="6"/>
      <c r="W105" s="6"/>
      <c r="X105" s="6"/>
      <c r="Y105" s="6"/>
      <c r="Z105" s="6"/>
      <c r="AA105" s="6"/>
    </row>
    <row r="106" spans="1:27" x14ac:dyDescent="0.2">
      <c r="A106" s="13"/>
      <c r="B106" s="13"/>
      <c r="C106" s="13"/>
      <c r="D106" s="13"/>
      <c r="E106" s="101"/>
      <c r="F106" s="6"/>
      <c r="G106" s="6"/>
      <c r="H106" s="6"/>
      <c r="I106" s="6"/>
      <c r="J106" s="6"/>
      <c r="K106" s="6"/>
      <c r="L106" s="6"/>
      <c r="M106" s="6"/>
      <c r="N106" s="6"/>
      <c r="O106" s="6"/>
      <c r="P106" s="6"/>
      <c r="Q106" s="6"/>
      <c r="R106" s="6"/>
      <c r="S106" s="6"/>
      <c r="T106" s="6"/>
      <c r="U106" s="6"/>
      <c r="V106" s="6"/>
      <c r="W106" s="6"/>
      <c r="X106" s="6"/>
      <c r="Y106" s="6"/>
      <c r="Z106" s="6"/>
      <c r="AA106" s="6"/>
    </row>
    <row r="107" spans="1:27" x14ac:dyDescent="0.2">
      <c r="A107" s="13"/>
      <c r="B107" s="13"/>
      <c r="C107" s="13"/>
      <c r="D107" s="13"/>
      <c r="E107" s="101"/>
      <c r="F107" s="6"/>
      <c r="G107" s="6"/>
      <c r="H107" s="6"/>
      <c r="I107" s="6"/>
      <c r="J107" s="6"/>
      <c r="K107" s="6"/>
      <c r="L107" s="6"/>
      <c r="M107" s="6"/>
      <c r="N107" s="6"/>
      <c r="O107" s="6"/>
      <c r="P107" s="6"/>
      <c r="Q107" s="6"/>
      <c r="R107" s="6"/>
      <c r="S107" s="6"/>
      <c r="T107" s="6"/>
      <c r="U107" s="6"/>
      <c r="V107" s="6"/>
      <c r="W107" s="6"/>
      <c r="X107" s="6"/>
      <c r="Y107" s="6"/>
      <c r="Z107" s="6"/>
      <c r="AA107" s="6"/>
    </row>
    <row r="108" spans="1:27" x14ac:dyDescent="0.2">
      <c r="A108" s="13"/>
      <c r="B108" s="13"/>
      <c r="C108" s="13"/>
      <c r="D108" s="13"/>
      <c r="E108" s="101"/>
      <c r="F108" s="6"/>
      <c r="G108" s="6"/>
      <c r="H108" s="6"/>
      <c r="I108" s="6"/>
      <c r="J108" s="6"/>
      <c r="K108" s="6"/>
      <c r="L108" s="6"/>
      <c r="M108" s="6"/>
      <c r="N108" s="6"/>
      <c r="O108" s="6"/>
      <c r="P108" s="6"/>
      <c r="Q108" s="6"/>
      <c r="R108" s="6"/>
      <c r="S108" s="6"/>
      <c r="T108" s="6"/>
      <c r="U108" s="6"/>
      <c r="V108" s="6"/>
      <c r="W108" s="6"/>
      <c r="X108" s="6"/>
      <c r="Y108" s="6"/>
      <c r="Z108" s="6"/>
      <c r="AA108" s="6"/>
    </row>
    <row r="109" spans="1:27" x14ac:dyDescent="0.2">
      <c r="A109" s="13"/>
      <c r="B109" s="13"/>
      <c r="C109" s="13"/>
      <c r="D109" s="13"/>
      <c r="E109" s="101"/>
      <c r="F109" s="6"/>
      <c r="G109" s="6"/>
      <c r="H109" s="6"/>
      <c r="I109" s="6"/>
      <c r="J109" s="6"/>
      <c r="K109" s="6"/>
      <c r="L109" s="6"/>
      <c r="M109" s="6"/>
      <c r="N109" s="6"/>
      <c r="O109" s="6"/>
      <c r="P109" s="6"/>
      <c r="Q109" s="6"/>
      <c r="R109" s="6"/>
      <c r="S109" s="6"/>
      <c r="T109" s="6"/>
      <c r="U109" s="6"/>
      <c r="V109" s="6"/>
      <c r="W109" s="6"/>
      <c r="X109" s="6"/>
      <c r="Y109" s="6"/>
      <c r="Z109" s="6"/>
      <c r="AA109" s="6"/>
    </row>
    <row r="110" spans="1:27" x14ac:dyDescent="0.2">
      <c r="A110" s="13"/>
      <c r="B110" s="13"/>
      <c r="C110" s="13"/>
      <c r="D110" s="13"/>
      <c r="E110" s="101"/>
      <c r="F110" s="6"/>
      <c r="G110" s="6"/>
      <c r="H110" s="6"/>
      <c r="I110" s="6"/>
      <c r="J110" s="6"/>
      <c r="K110" s="6"/>
      <c r="L110" s="6"/>
      <c r="M110" s="6"/>
      <c r="N110" s="6"/>
      <c r="O110" s="6"/>
      <c r="P110" s="6"/>
      <c r="Q110" s="6"/>
      <c r="R110" s="6"/>
      <c r="S110" s="6"/>
      <c r="T110" s="6"/>
      <c r="U110" s="6"/>
      <c r="V110" s="6"/>
      <c r="W110" s="6"/>
      <c r="X110" s="6"/>
      <c r="Y110" s="6"/>
      <c r="Z110" s="6"/>
      <c r="AA110" s="6"/>
    </row>
    <row r="111" spans="1:27" x14ac:dyDescent="0.2">
      <c r="A111" s="13"/>
      <c r="B111" s="13"/>
      <c r="C111" s="13"/>
      <c r="D111" s="13"/>
      <c r="E111" s="101"/>
      <c r="F111" s="6"/>
      <c r="G111" s="6"/>
      <c r="H111" s="6"/>
      <c r="I111" s="6"/>
      <c r="J111" s="6"/>
      <c r="K111" s="6"/>
      <c r="L111" s="6"/>
      <c r="M111" s="6"/>
      <c r="N111" s="6"/>
      <c r="O111" s="6"/>
      <c r="P111" s="6"/>
      <c r="Q111" s="6"/>
      <c r="R111" s="6"/>
      <c r="S111" s="6"/>
      <c r="T111" s="6"/>
      <c r="U111" s="6"/>
      <c r="V111" s="6"/>
      <c r="W111" s="6"/>
      <c r="X111" s="6"/>
      <c r="Y111" s="6"/>
      <c r="Z111" s="6"/>
      <c r="AA111" s="6"/>
    </row>
    <row r="112" spans="1:27" x14ac:dyDescent="0.2">
      <c r="A112" s="13"/>
      <c r="B112" s="13"/>
      <c r="C112" s="13"/>
      <c r="D112" s="13"/>
      <c r="E112" s="101"/>
      <c r="F112" s="6"/>
      <c r="G112" s="6"/>
      <c r="H112" s="6"/>
      <c r="I112" s="6"/>
      <c r="J112" s="6"/>
      <c r="K112" s="6"/>
      <c r="L112" s="6"/>
      <c r="M112" s="6"/>
      <c r="N112" s="6"/>
      <c r="O112" s="6"/>
      <c r="P112" s="6"/>
      <c r="Q112" s="6"/>
      <c r="R112" s="6"/>
      <c r="S112" s="6"/>
      <c r="T112" s="6"/>
      <c r="U112" s="6"/>
      <c r="V112" s="6"/>
      <c r="W112" s="6"/>
      <c r="X112" s="6"/>
      <c r="Y112" s="6"/>
      <c r="Z112" s="6"/>
      <c r="AA112" s="6"/>
    </row>
    <row r="113" spans="1:27" x14ac:dyDescent="0.2">
      <c r="A113" s="13"/>
      <c r="B113" s="13"/>
      <c r="C113" s="13"/>
      <c r="D113" s="13"/>
      <c r="E113" s="101"/>
      <c r="F113" s="6"/>
      <c r="G113" s="6"/>
      <c r="H113" s="6"/>
      <c r="I113" s="6"/>
      <c r="J113" s="6"/>
      <c r="K113" s="6"/>
      <c r="L113" s="6"/>
      <c r="M113" s="6"/>
      <c r="N113" s="6"/>
      <c r="O113" s="6"/>
      <c r="P113" s="6"/>
      <c r="Q113" s="6"/>
      <c r="R113" s="6"/>
      <c r="S113" s="6"/>
      <c r="T113" s="6"/>
      <c r="U113" s="6"/>
      <c r="V113" s="6"/>
      <c r="W113" s="6"/>
      <c r="X113" s="6"/>
      <c r="Y113" s="6"/>
      <c r="Z113" s="6"/>
      <c r="AA113" s="6"/>
    </row>
    <row r="114" spans="1:27" x14ac:dyDescent="0.2">
      <c r="A114" s="13"/>
      <c r="B114" s="13"/>
      <c r="C114" s="13"/>
      <c r="D114" s="13"/>
      <c r="E114" s="101"/>
      <c r="F114" s="6"/>
      <c r="G114" s="6"/>
      <c r="H114" s="6"/>
      <c r="I114" s="6"/>
      <c r="J114" s="6"/>
      <c r="K114" s="6"/>
      <c r="L114" s="6"/>
      <c r="M114" s="6"/>
      <c r="N114" s="6"/>
      <c r="O114" s="6"/>
      <c r="P114" s="6"/>
      <c r="Q114" s="6"/>
      <c r="R114" s="6"/>
      <c r="S114" s="6"/>
      <c r="T114" s="6"/>
      <c r="U114" s="6"/>
      <c r="V114" s="6"/>
      <c r="W114" s="6"/>
      <c r="X114" s="6"/>
      <c r="Y114" s="6"/>
      <c r="Z114" s="6"/>
      <c r="AA114" s="6"/>
    </row>
    <row r="115" spans="1:27" x14ac:dyDescent="0.2">
      <c r="A115" s="13"/>
      <c r="B115" s="13"/>
      <c r="C115" s="13"/>
      <c r="D115" s="13"/>
      <c r="E115" s="101"/>
      <c r="F115" s="6"/>
      <c r="G115" s="6"/>
      <c r="H115" s="6"/>
      <c r="I115" s="6"/>
      <c r="J115" s="6"/>
      <c r="K115" s="6"/>
      <c r="L115" s="6"/>
      <c r="M115" s="6"/>
      <c r="N115" s="6"/>
      <c r="O115" s="6"/>
      <c r="P115" s="6"/>
      <c r="Q115" s="6"/>
      <c r="R115" s="6"/>
      <c r="S115" s="6"/>
      <c r="T115" s="6"/>
      <c r="U115" s="6"/>
      <c r="V115" s="6"/>
      <c r="W115" s="6"/>
      <c r="X115" s="6"/>
      <c r="Y115" s="6"/>
      <c r="Z115" s="6"/>
      <c r="AA115" s="6"/>
    </row>
    <row r="116" spans="1:27" x14ac:dyDescent="0.2">
      <c r="A116" s="13"/>
      <c r="B116" s="13"/>
      <c r="C116" s="13"/>
      <c r="D116" s="13"/>
      <c r="E116" s="101"/>
      <c r="F116" s="6"/>
      <c r="G116" s="6"/>
      <c r="H116" s="6"/>
      <c r="I116" s="6"/>
      <c r="J116" s="6"/>
      <c r="K116" s="6"/>
      <c r="L116" s="6"/>
      <c r="M116" s="6"/>
      <c r="N116" s="6"/>
      <c r="O116" s="6"/>
      <c r="P116" s="6"/>
      <c r="Q116" s="6"/>
      <c r="R116" s="6"/>
      <c r="S116" s="6"/>
      <c r="T116" s="6"/>
      <c r="U116" s="6"/>
      <c r="V116" s="6"/>
      <c r="W116" s="6"/>
      <c r="X116" s="6"/>
      <c r="Y116" s="6"/>
      <c r="Z116" s="6"/>
      <c r="AA116" s="6"/>
    </row>
    <row r="117" spans="1:27" x14ac:dyDescent="0.2">
      <c r="A117" s="13"/>
      <c r="B117" s="13"/>
      <c r="C117" s="13"/>
      <c r="D117" s="13"/>
      <c r="E117" s="101"/>
      <c r="F117" s="6"/>
      <c r="G117" s="6"/>
      <c r="H117" s="6"/>
      <c r="I117" s="6"/>
      <c r="J117" s="6"/>
      <c r="K117" s="6"/>
      <c r="L117" s="6"/>
      <c r="M117" s="6"/>
      <c r="N117" s="6"/>
      <c r="O117" s="6"/>
      <c r="P117" s="6"/>
      <c r="Q117" s="6"/>
      <c r="R117" s="6"/>
      <c r="S117" s="6"/>
      <c r="T117" s="6"/>
      <c r="U117" s="6"/>
      <c r="V117" s="6"/>
      <c r="W117" s="6"/>
      <c r="X117" s="6"/>
      <c r="Y117" s="6"/>
      <c r="Z117" s="6"/>
      <c r="AA117" s="6"/>
    </row>
    <row r="118" spans="1:27" x14ac:dyDescent="0.2">
      <c r="A118" s="13"/>
      <c r="B118" s="13"/>
      <c r="C118" s="13"/>
      <c r="D118" s="13"/>
      <c r="E118" s="101"/>
      <c r="F118" s="6"/>
      <c r="G118" s="6"/>
      <c r="H118" s="6"/>
      <c r="I118" s="6"/>
      <c r="J118" s="6"/>
      <c r="K118" s="6"/>
      <c r="L118" s="6"/>
      <c r="M118" s="6"/>
      <c r="N118" s="6"/>
      <c r="O118" s="6"/>
      <c r="P118" s="6"/>
      <c r="Q118" s="6"/>
      <c r="R118" s="6"/>
      <c r="S118" s="6"/>
      <c r="T118" s="6"/>
      <c r="U118" s="6"/>
      <c r="V118" s="6"/>
      <c r="W118" s="6"/>
      <c r="X118" s="6"/>
      <c r="Y118" s="6"/>
      <c r="Z118" s="6"/>
      <c r="AA118" s="6"/>
    </row>
    <row r="119" spans="1:27" x14ac:dyDescent="0.2">
      <c r="A119" s="13"/>
      <c r="B119" s="13"/>
      <c r="C119" s="13"/>
      <c r="D119" s="13"/>
      <c r="E119" s="101"/>
      <c r="F119" s="6"/>
      <c r="G119" s="6"/>
      <c r="H119" s="6"/>
      <c r="I119" s="6"/>
      <c r="J119" s="6"/>
      <c r="K119" s="6"/>
      <c r="L119" s="6"/>
      <c r="M119" s="6"/>
      <c r="N119" s="6"/>
      <c r="O119" s="6"/>
      <c r="P119" s="6"/>
      <c r="Q119" s="6"/>
      <c r="R119" s="6"/>
      <c r="S119" s="6"/>
      <c r="T119" s="6"/>
      <c r="U119" s="6"/>
      <c r="V119" s="6"/>
      <c r="W119" s="6"/>
      <c r="X119" s="6"/>
      <c r="Y119" s="6"/>
      <c r="Z119" s="6"/>
      <c r="AA119" s="6"/>
    </row>
    <row r="120" spans="1:27" x14ac:dyDescent="0.2">
      <c r="A120" s="13"/>
      <c r="B120" s="13"/>
      <c r="C120" s="13"/>
      <c r="D120" s="13"/>
      <c r="E120" s="101"/>
      <c r="F120" s="6"/>
      <c r="G120" s="6"/>
      <c r="H120" s="6"/>
      <c r="I120" s="6"/>
      <c r="J120" s="6"/>
      <c r="K120" s="6"/>
      <c r="L120" s="6"/>
      <c r="M120" s="6"/>
      <c r="N120" s="6"/>
      <c r="O120" s="6"/>
      <c r="P120" s="6"/>
      <c r="Q120" s="6"/>
      <c r="R120" s="6"/>
      <c r="S120" s="6"/>
      <c r="T120" s="6"/>
      <c r="U120" s="6"/>
      <c r="V120" s="6"/>
      <c r="W120" s="6"/>
      <c r="X120" s="6"/>
      <c r="Y120" s="6"/>
      <c r="Z120" s="6"/>
      <c r="AA120" s="6"/>
    </row>
    <row r="121" spans="1:27" x14ac:dyDescent="0.2">
      <c r="A121" s="13"/>
      <c r="B121" s="13"/>
      <c r="C121" s="13"/>
      <c r="D121" s="13"/>
      <c r="E121" s="101"/>
      <c r="F121" s="6"/>
      <c r="G121" s="6"/>
      <c r="H121" s="6"/>
      <c r="I121" s="6"/>
      <c r="J121" s="6"/>
      <c r="K121" s="6"/>
      <c r="L121" s="6"/>
      <c r="M121" s="6"/>
      <c r="N121" s="6"/>
      <c r="O121" s="6"/>
      <c r="P121" s="6"/>
      <c r="Q121" s="6"/>
      <c r="R121" s="6"/>
      <c r="S121" s="6"/>
      <c r="T121" s="6"/>
      <c r="U121" s="6"/>
      <c r="V121" s="6"/>
      <c r="W121" s="6"/>
      <c r="X121" s="6"/>
      <c r="Y121" s="6"/>
      <c r="Z121" s="6"/>
      <c r="AA121" s="6"/>
    </row>
    <row r="122" spans="1:27" x14ac:dyDescent="0.2">
      <c r="A122" s="13"/>
      <c r="B122" s="13"/>
      <c r="C122" s="13"/>
      <c r="D122" s="13"/>
      <c r="E122" s="101"/>
      <c r="F122" s="6"/>
      <c r="G122" s="6"/>
      <c r="H122" s="6"/>
      <c r="I122" s="6"/>
      <c r="J122" s="6"/>
      <c r="K122" s="6"/>
      <c r="L122" s="6"/>
      <c r="M122" s="6"/>
      <c r="N122" s="6"/>
      <c r="O122" s="6"/>
      <c r="P122" s="6"/>
      <c r="Q122" s="6"/>
      <c r="R122" s="6"/>
      <c r="S122" s="6"/>
      <c r="T122" s="6"/>
      <c r="U122" s="6"/>
      <c r="V122" s="6"/>
      <c r="W122" s="6"/>
      <c r="X122" s="6"/>
      <c r="Y122" s="6"/>
      <c r="Z122" s="6"/>
      <c r="AA122" s="6"/>
    </row>
    <row r="123" spans="1:27" x14ac:dyDescent="0.2">
      <c r="A123" s="13"/>
      <c r="B123" s="13"/>
      <c r="C123" s="13"/>
      <c r="D123" s="13"/>
      <c r="E123" s="101"/>
      <c r="F123" s="6"/>
      <c r="G123" s="6"/>
      <c r="H123" s="6"/>
      <c r="I123" s="6"/>
      <c r="J123" s="6"/>
      <c r="K123" s="6"/>
      <c r="L123" s="6"/>
      <c r="M123" s="6"/>
      <c r="N123" s="6"/>
      <c r="O123" s="6"/>
      <c r="P123" s="6"/>
      <c r="Q123" s="6"/>
      <c r="R123" s="6"/>
      <c r="S123" s="6"/>
      <c r="T123" s="6"/>
      <c r="U123" s="6"/>
      <c r="V123" s="6"/>
      <c r="W123" s="6"/>
      <c r="X123" s="6"/>
      <c r="Y123" s="6"/>
      <c r="Z123" s="6"/>
      <c r="AA123" s="6"/>
    </row>
    <row r="124" spans="1:27" x14ac:dyDescent="0.2">
      <c r="A124" s="13"/>
      <c r="B124" s="13"/>
      <c r="C124" s="13"/>
      <c r="D124" s="13"/>
      <c r="E124" s="101"/>
      <c r="F124" s="6"/>
      <c r="G124" s="6"/>
      <c r="H124" s="6"/>
      <c r="I124" s="6"/>
      <c r="J124" s="6"/>
      <c r="K124" s="6"/>
      <c r="L124" s="6"/>
      <c r="M124" s="6"/>
      <c r="N124" s="6"/>
      <c r="O124" s="6"/>
      <c r="P124" s="6"/>
      <c r="Q124" s="6"/>
      <c r="R124" s="6"/>
      <c r="S124" s="6"/>
      <c r="T124" s="6"/>
      <c r="U124" s="6"/>
      <c r="V124" s="6"/>
      <c r="W124" s="6"/>
      <c r="X124" s="6"/>
      <c r="Y124" s="6"/>
      <c r="Z124" s="6"/>
      <c r="AA124" s="6"/>
    </row>
    <row r="125" spans="1:27" x14ac:dyDescent="0.2">
      <c r="A125" s="13"/>
      <c r="B125" s="13"/>
      <c r="C125" s="13"/>
      <c r="D125" s="13"/>
      <c r="E125" s="101"/>
      <c r="F125" s="6"/>
      <c r="G125" s="6"/>
      <c r="H125" s="6"/>
      <c r="I125" s="6"/>
      <c r="J125" s="6"/>
      <c r="K125" s="6"/>
      <c r="L125" s="6"/>
      <c r="M125" s="6"/>
      <c r="N125" s="6"/>
      <c r="O125" s="6"/>
      <c r="P125" s="6"/>
      <c r="Q125" s="6"/>
      <c r="R125" s="6"/>
      <c r="S125" s="6"/>
      <c r="T125" s="6"/>
      <c r="U125" s="6"/>
      <c r="V125" s="6"/>
      <c r="W125" s="6"/>
      <c r="X125" s="6"/>
      <c r="Y125" s="6"/>
      <c r="Z125" s="6"/>
      <c r="AA125" s="6"/>
    </row>
    <row r="126" spans="1:27" x14ac:dyDescent="0.2">
      <c r="A126" s="13"/>
      <c r="B126" s="13"/>
      <c r="C126" s="13"/>
      <c r="D126" s="13"/>
      <c r="E126" s="101"/>
      <c r="F126" s="6"/>
      <c r="G126" s="6"/>
      <c r="H126" s="6"/>
      <c r="I126" s="6"/>
      <c r="J126" s="6"/>
      <c r="K126" s="6"/>
      <c r="L126" s="6"/>
      <c r="M126" s="6"/>
      <c r="N126" s="6"/>
      <c r="O126" s="6"/>
      <c r="P126" s="6"/>
      <c r="Q126" s="6"/>
      <c r="R126" s="6"/>
      <c r="S126" s="6"/>
      <c r="T126" s="6"/>
      <c r="U126" s="6"/>
      <c r="V126" s="6"/>
      <c r="W126" s="6"/>
      <c r="X126" s="6"/>
      <c r="Y126" s="6"/>
      <c r="Z126" s="6"/>
      <c r="AA126" s="6"/>
    </row>
    <row r="127" spans="1:27" x14ac:dyDescent="0.2">
      <c r="A127" s="13"/>
      <c r="B127" s="13"/>
      <c r="C127" s="13"/>
      <c r="D127" s="13"/>
      <c r="E127" s="101"/>
      <c r="F127" s="6"/>
      <c r="G127" s="6"/>
      <c r="H127" s="6"/>
      <c r="I127" s="6"/>
      <c r="J127" s="6"/>
      <c r="K127" s="6"/>
      <c r="L127" s="6"/>
      <c r="M127" s="6"/>
      <c r="N127" s="6"/>
      <c r="O127" s="6"/>
      <c r="P127" s="6"/>
      <c r="Q127" s="6"/>
      <c r="R127" s="6"/>
      <c r="S127" s="6"/>
      <c r="T127" s="6"/>
      <c r="U127" s="6"/>
      <c r="V127" s="6"/>
      <c r="W127" s="6"/>
      <c r="X127" s="6"/>
      <c r="Y127" s="6"/>
      <c r="Z127" s="6"/>
      <c r="AA127" s="6"/>
    </row>
    <row r="128" spans="1:27" x14ac:dyDescent="0.2">
      <c r="A128" s="13"/>
      <c r="B128" s="13"/>
      <c r="C128" s="13"/>
      <c r="D128" s="13"/>
      <c r="E128" s="101"/>
      <c r="F128" s="6"/>
      <c r="G128" s="6"/>
      <c r="H128" s="6"/>
      <c r="I128" s="6"/>
      <c r="J128" s="6"/>
      <c r="K128" s="6"/>
      <c r="L128" s="6"/>
      <c r="M128" s="6"/>
      <c r="N128" s="6"/>
      <c r="O128" s="6"/>
      <c r="P128" s="6"/>
      <c r="Q128" s="6"/>
      <c r="R128" s="6"/>
      <c r="S128" s="6"/>
      <c r="T128" s="6"/>
      <c r="U128" s="6"/>
      <c r="V128" s="6"/>
      <c r="W128" s="6"/>
      <c r="X128" s="6"/>
      <c r="Y128" s="6"/>
      <c r="Z128" s="6"/>
      <c r="AA128" s="6"/>
    </row>
    <row r="129" spans="1:27" x14ac:dyDescent="0.2">
      <c r="A129" s="13"/>
      <c r="B129" s="13"/>
      <c r="C129" s="13"/>
      <c r="D129" s="13"/>
      <c r="E129" s="101"/>
      <c r="F129" s="6"/>
      <c r="G129" s="6"/>
      <c r="H129" s="6"/>
      <c r="I129" s="6"/>
      <c r="J129" s="6"/>
      <c r="K129" s="6"/>
      <c r="L129" s="6"/>
      <c r="M129" s="6"/>
      <c r="N129" s="6"/>
      <c r="O129" s="6"/>
      <c r="P129" s="6"/>
      <c r="Q129" s="6"/>
      <c r="R129" s="6"/>
      <c r="S129" s="6"/>
      <c r="T129" s="6"/>
      <c r="U129" s="6"/>
      <c r="V129" s="6"/>
      <c r="W129" s="6"/>
      <c r="X129" s="6"/>
      <c r="Y129" s="6"/>
      <c r="Z129" s="6"/>
      <c r="AA129" s="6"/>
    </row>
    <row r="130" spans="1:27" x14ac:dyDescent="0.2">
      <c r="A130" s="13"/>
      <c r="B130" s="13"/>
      <c r="C130" s="13"/>
      <c r="D130" s="13"/>
      <c r="E130" s="101"/>
      <c r="F130" s="6"/>
      <c r="G130" s="6"/>
      <c r="H130" s="6"/>
      <c r="I130" s="6"/>
      <c r="J130" s="6"/>
      <c r="K130" s="6"/>
      <c r="L130" s="6"/>
      <c r="M130" s="6"/>
      <c r="N130" s="6"/>
      <c r="O130" s="6"/>
      <c r="P130" s="6"/>
      <c r="Q130" s="6"/>
      <c r="R130" s="6"/>
      <c r="S130" s="6"/>
      <c r="T130" s="6"/>
      <c r="U130" s="6"/>
      <c r="V130" s="6"/>
      <c r="W130" s="6"/>
      <c r="X130" s="6"/>
      <c r="Y130" s="6"/>
      <c r="Z130" s="6"/>
      <c r="AA130" s="6"/>
    </row>
    <row r="131" spans="1:27" x14ac:dyDescent="0.2">
      <c r="A131" s="13"/>
      <c r="B131" s="13"/>
      <c r="C131" s="13"/>
      <c r="D131" s="13"/>
      <c r="E131" s="101"/>
      <c r="F131" s="6"/>
      <c r="G131" s="6"/>
      <c r="H131" s="6"/>
      <c r="I131" s="6"/>
      <c r="J131" s="6"/>
      <c r="K131" s="6"/>
      <c r="L131" s="6"/>
      <c r="M131" s="6"/>
      <c r="N131" s="6"/>
      <c r="O131" s="6"/>
      <c r="P131" s="6"/>
      <c r="Q131" s="6"/>
      <c r="R131" s="6"/>
      <c r="S131" s="6"/>
      <c r="T131" s="6"/>
      <c r="U131" s="6"/>
      <c r="V131" s="6"/>
      <c r="W131" s="6"/>
      <c r="X131" s="6"/>
      <c r="Y131" s="6"/>
      <c r="Z131" s="6"/>
      <c r="AA131" s="6"/>
    </row>
    <row r="132" spans="1:27" x14ac:dyDescent="0.2">
      <c r="A132" s="13"/>
      <c r="B132" s="13"/>
      <c r="C132" s="13"/>
      <c r="D132" s="13"/>
      <c r="E132" s="101"/>
      <c r="F132" s="6"/>
      <c r="G132" s="6"/>
      <c r="H132" s="6"/>
      <c r="I132" s="6"/>
      <c r="J132" s="6"/>
      <c r="K132" s="6"/>
      <c r="L132" s="6"/>
      <c r="M132" s="6"/>
      <c r="N132" s="6"/>
      <c r="O132" s="6"/>
      <c r="P132" s="6"/>
      <c r="Q132" s="6"/>
      <c r="R132" s="6"/>
      <c r="S132" s="6"/>
      <c r="T132" s="6"/>
      <c r="U132" s="6"/>
      <c r="V132" s="6"/>
      <c r="W132" s="6"/>
      <c r="X132" s="6"/>
      <c r="Y132" s="6"/>
      <c r="Z132" s="6"/>
      <c r="AA132" s="6"/>
    </row>
    <row r="133" spans="1:27" x14ac:dyDescent="0.2">
      <c r="A133" s="13"/>
      <c r="B133" s="13"/>
      <c r="C133" s="13"/>
      <c r="D133" s="13"/>
      <c r="E133" s="101"/>
      <c r="F133" s="6"/>
      <c r="G133" s="6"/>
      <c r="H133" s="6"/>
      <c r="I133" s="6"/>
      <c r="J133" s="6"/>
      <c r="K133" s="6"/>
      <c r="L133" s="6"/>
      <c r="M133" s="6"/>
      <c r="N133" s="6"/>
      <c r="O133" s="6"/>
      <c r="P133" s="6"/>
      <c r="Q133" s="6"/>
      <c r="R133" s="6"/>
      <c r="S133" s="6"/>
      <c r="T133" s="6"/>
      <c r="U133" s="6"/>
      <c r="V133" s="6"/>
      <c r="W133" s="6"/>
      <c r="X133" s="6"/>
      <c r="Y133" s="6"/>
      <c r="Z133" s="6"/>
      <c r="AA133" s="6"/>
    </row>
    <row r="134" spans="1:27" x14ac:dyDescent="0.2">
      <c r="A134" s="13"/>
      <c r="B134" s="13"/>
      <c r="C134" s="13"/>
      <c r="D134" s="13"/>
      <c r="E134" s="101"/>
      <c r="F134" s="6"/>
      <c r="G134" s="6"/>
      <c r="H134" s="6"/>
      <c r="I134" s="6"/>
      <c r="J134" s="6"/>
      <c r="K134" s="6"/>
      <c r="L134" s="6"/>
      <c r="M134" s="6"/>
      <c r="N134" s="6"/>
      <c r="O134" s="6"/>
      <c r="P134" s="6"/>
      <c r="Q134" s="6"/>
      <c r="R134" s="6"/>
      <c r="S134" s="6"/>
      <c r="T134" s="6"/>
      <c r="U134" s="6"/>
      <c r="V134" s="6"/>
      <c r="W134" s="6"/>
      <c r="X134" s="6"/>
      <c r="Y134" s="6"/>
      <c r="Z134" s="6"/>
      <c r="AA134" s="6"/>
    </row>
    <row r="135" spans="1:27" x14ac:dyDescent="0.2">
      <c r="A135" s="13"/>
      <c r="B135" s="13"/>
      <c r="C135" s="13"/>
      <c r="D135" s="13"/>
      <c r="E135" s="101"/>
      <c r="F135" s="6"/>
      <c r="G135" s="6"/>
      <c r="H135" s="6"/>
      <c r="I135" s="6"/>
      <c r="J135" s="6"/>
      <c r="K135" s="6"/>
      <c r="L135" s="6"/>
      <c r="M135" s="6"/>
      <c r="N135" s="6"/>
      <c r="O135" s="6"/>
      <c r="P135" s="6"/>
      <c r="Q135" s="6"/>
      <c r="R135" s="6"/>
      <c r="S135" s="6"/>
      <c r="T135" s="6"/>
      <c r="U135" s="6"/>
      <c r="V135" s="6"/>
      <c r="W135" s="6"/>
      <c r="X135" s="6"/>
      <c r="Y135" s="6"/>
      <c r="Z135" s="6"/>
      <c r="AA135" s="6"/>
    </row>
    <row r="136" spans="1:27" x14ac:dyDescent="0.2">
      <c r="A136" s="13"/>
      <c r="B136" s="13"/>
      <c r="C136" s="13"/>
      <c r="D136" s="13"/>
      <c r="E136" s="101"/>
      <c r="F136" s="6"/>
      <c r="G136" s="6"/>
      <c r="H136" s="6"/>
      <c r="I136" s="6"/>
      <c r="J136" s="6"/>
      <c r="K136" s="6"/>
      <c r="L136" s="6"/>
      <c r="M136" s="6"/>
      <c r="N136" s="6"/>
      <c r="O136" s="6"/>
      <c r="P136" s="6"/>
      <c r="Q136" s="6"/>
      <c r="R136" s="6"/>
      <c r="S136" s="6"/>
      <c r="T136" s="6"/>
      <c r="U136" s="6"/>
      <c r="V136" s="6"/>
      <c r="W136" s="6"/>
      <c r="X136" s="6"/>
      <c r="Y136" s="6"/>
      <c r="Z136" s="6"/>
      <c r="AA136" s="6"/>
    </row>
    <row r="137" spans="1:27" x14ac:dyDescent="0.2">
      <c r="A137" s="13"/>
      <c r="B137" s="13"/>
      <c r="C137" s="13"/>
      <c r="D137" s="13"/>
      <c r="E137" s="101"/>
      <c r="F137" s="6"/>
      <c r="G137" s="6"/>
      <c r="H137" s="6"/>
      <c r="I137" s="6"/>
      <c r="J137" s="6"/>
      <c r="K137" s="6"/>
      <c r="L137" s="6"/>
      <c r="M137" s="6"/>
      <c r="N137" s="6"/>
      <c r="O137" s="6"/>
      <c r="P137" s="6"/>
      <c r="Q137" s="6"/>
      <c r="R137" s="6"/>
      <c r="S137" s="6"/>
      <c r="T137" s="6"/>
      <c r="U137" s="6"/>
      <c r="V137" s="6"/>
      <c r="W137" s="6"/>
      <c r="X137" s="6"/>
      <c r="Y137" s="6"/>
      <c r="Z137" s="6"/>
      <c r="AA137" s="6"/>
    </row>
    <row r="138" spans="1:27" x14ac:dyDescent="0.2">
      <c r="A138" s="13"/>
      <c r="B138" s="13"/>
      <c r="C138" s="13"/>
      <c r="D138" s="13"/>
      <c r="E138" s="101"/>
      <c r="F138" s="6"/>
      <c r="G138" s="6"/>
      <c r="H138" s="6"/>
      <c r="I138" s="6"/>
      <c r="J138" s="6"/>
      <c r="K138" s="6"/>
      <c r="L138" s="6"/>
      <c r="M138" s="6"/>
      <c r="N138" s="6"/>
      <c r="O138" s="6"/>
      <c r="P138" s="6"/>
      <c r="Q138" s="6"/>
      <c r="R138" s="6"/>
      <c r="S138" s="6"/>
      <c r="T138" s="6"/>
      <c r="U138" s="6"/>
      <c r="V138" s="6"/>
      <c r="W138" s="6"/>
      <c r="X138" s="6"/>
      <c r="Y138" s="6"/>
      <c r="Z138" s="6"/>
      <c r="AA138" s="6"/>
    </row>
    <row r="139" spans="1:27" x14ac:dyDescent="0.2">
      <c r="A139" s="13"/>
      <c r="B139" s="13"/>
      <c r="C139" s="13"/>
      <c r="D139" s="13"/>
      <c r="E139" s="101"/>
      <c r="F139" s="6"/>
      <c r="G139" s="6"/>
      <c r="H139" s="6"/>
      <c r="I139" s="6"/>
      <c r="J139" s="6"/>
      <c r="K139" s="6"/>
      <c r="L139" s="6"/>
      <c r="M139" s="6"/>
      <c r="N139" s="6"/>
      <c r="O139" s="6"/>
      <c r="P139" s="6"/>
      <c r="Q139" s="6"/>
      <c r="R139" s="6"/>
      <c r="S139" s="6"/>
      <c r="T139" s="6"/>
      <c r="U139" s="6"/>
      <c r="V139" s="6"/>
      <c r="W139" s="6"/>
      <c r="X139" s="6"/>
      <c r="Y139" s="6"/>
      <c r="Z139" s="6"/>
      <c r="AA139" s="6"/>
    </row>
    <row r="140" spans="1:27" x14ac:dyDescent="0.2">
      <c r="A140" s="13"/>
      <c r="B140" s="13"/>
      <c r="C140" s="13"/>
      <c r="D140" s="13"/>
      <c r="E140" s="101"/>
      <c r="F140" s="6"/>
      <c r="G140" s="6"/>
      <c r="H140" s="6"/>
      <c r="I140" s="6"/>
      <c r="J140" s="6"/>
      <c r="K140" s="6"/>
      <c r="L140" s="6"/>
      <c r="M140" s="6"/>
      <c r="N140" s="6"/>
      <c r="O140" s="6"/>
      <c r="P140" s="6"/>
      <c r="Q140" s="6"/>
      <c r="R140" s="6"/>
      <c r="S140" s="6"/>
      <c r="T140" s="6"/>
      <c r="U140" s="6"/>
      <c r="V140" s="6"/>
      <c r="W140" s="6"/>
      <c r="X140" s="6"/>
      <c r="Y140" s="6"/>
      <c r="Z140" s="6"/>
      <c r="AA140" s="6"/>
    </row>
    <row r="141" spans="1:27" x14ac:dyDescent="0.2">
      <c r="A141" s="13"/>
      <c r="B141" s="13"/>
      <c r="C141" s="13"/>
      <c r="D141" s="13"/>
      <c r="E141" s="101"/>
      <c r="F141" s="6"/>
      <c r="G141" s="6"/>
      <c r="H141" s="6"/>
      <c r="I141" s="6"/>
      <c r="J141" s="6"/>
      <c r="K141" s="6"/>
      <c r="L141" s="6"/>
      <c r="M141" s="6"/>
      <c r="N141" s="6"/>
      <c r="O141" s="6"/>
      <c r="P141" s="6"/>
      <c r="Q141" s="6"/>
      <c r="R141" s="6"/>
      <c r="S141" s="6"/>
      <c r="T141" s="6"/>
      <c r="U141" s="6"/>
      <c r="V141" s="6"/>
      <c r="W141" s="6"/>
      <c r="X141" s="6"/>
      <c r="Y141" s="6"/>
      <c r="Z141" s="6"/>
      <c r="AA141" s="6"/>
    </row>
    <row r="142" spans="1:27" x14ac:dyDescent="0.2">
      <c r="A142" s="13"/>
      <c r="B142" s="13"/>
      <c r="C142" s="13"/>
      <c r="D142" s="13"/>
      <c r="E142" s="101"/>
      <c r="F142" s="6"/>
      <c r="G142" s="6"/>
      <c r="H142" s="6"/>
      <c r="I142" s="6"/>
      <c r="J142" s="6"/>
      <c r="K142" s="6"/>
      <c r="L142" s="6"/>
      <c r="M142" s="6"/>
      <c r="N142" s="6"/>
      <c r="O142" s="6"/>
      <c r="P142" s="6"/>
      <c r="Q142" s="6"/>
      <c r="R142" s="6"/>
      <c r="S142" s="6"/>
      <c r="T142" s="6"/>
      <c r="U142" s="6"/>
      <c r="V142" s="6"/>
      <c r="W142" s="6"/>
      <c r="X142" s="6"/>
      <c r="Y142" s="6"/>
      <c r="Z142" s="6"/>
      <c r="AA142" s="6"/>
    </row>
    <row r="143" spans="1:27" x14ac:dyDescent="0.2">
      <c r="A143" s="13"/>
      <c r="B143" s="13"/>
      <c r="C143" s="13"/>
      <c r="D143" s="13"/>
      <c r="E143" s="101"/>
      <c r="F143" s="6"/>
      <c r="G143" s="6"/>
      <c r="H143" s="6"/>
      <c r="I143" s="6"/>
      <c r="J143" s="6"/>
      <c r="K143" s="6"/>
      <c r="L143" s="6"/>
      <c r="M143" s="6"/>
      <c r="N143" s="6"/>
      <c r="O143" s="6"/>
      <c r="P143" s="6"/>
      <c r="Q143" s="6"/>
      <c r="R143" s="6"/>
      <c r="S143" s="6"/>
      <c r="T143" s="6"/>
      <c r="U143" s="6"/>
      <c r="V143" s="6"/>
      <c r="W143" s="6"/>
      <c r="X143" s="6"/>
      <c r="Y143" s="6"/>
      <c r="Z143" s="6"/>
      <c r="AA143" s="6"/>
    </row>
    <row r="144" spans="1:27" x14ac:dyDescent="0.2">
      <c r="A144" s="13"/>
      <c r="B144" s="13"/>
      <c r="C144" s="13"/>
      <c r="D144" s="13"/>
      <c r="E144" s="101"/>
      <c r="F144" s="6"/>
      <c r="G144" s="6"/>
      <c r="H144" s="6"/>
      <c r="I144" s="6"/>
      <c r="J144" s="6"/>
      <c r="K144" s="6"/>
      <c r="L144" s="6"/>
      <c r="M144" s="6"/>
      <c r="N144" s="6"/>
      <c r="O144" s="6"/>
      <c r="P144" s="6"/>
      <c r="Q144" s="6"/>
      <c r="R144" s="6"/>
      <c r="S144" s="6"/>
      <c r="T144" s="6"/>
      <c r="U144" s="6"/>
      <c r="V144" s="6"/>
      <c r="W144" s="6"/>
      <c r="X144" s="6"/>
      <c r="Y144" s="6"/>
      <c r="Z144" s="6"/>
      <c r="AA144" s="6"/>
    </row>
    <row r="145" spans="1:27" x14ac:dyDescent="0.2">
      <c r="A145" s="13"/>
      <c r="B145" s="13"/>
      <c r="C145" s="13"/>
      <c r="D145" s="13"/>
      <c r="E145" s="101"/>
      <c r="F145" s="6"/>
      <c r="G145" s="6"/>
      <c r="H145" s="6"/>
      <c r="I145" s="6"/>
      <c r="J145" s="6"/>
      <c r="K145" s="6"/>
      <c r="L145" s="6"/>
      <c r="M145" s="6"/>
      <c r="N145" s="6"/>
      <c r="O145" s="6"/>
      <c r="P145" s="6"/>
      <c r="Q145" s="6"/>
      <c r="R145" s="6"/>
      <c r="S145" s="6"/>
      <c r="T145" s="6"/>
      <c r="U145" s="6"/>
      <c r="V145" s="6"/>
      <c r="W145" s="6"/>
      <c r="X145" s="6"/>
      <c r="Y145" s="6"/>
      <c r="Z145" s="6"/>
      <c r="AA145" s="6"/>
    </row>
    <row r="146" spans="1:27" x14ac:dyDescent="0.2">
      <c r="A146" s="13"/>
      <c r="B146" s="13"/>
      <c r="C146" s="13"/>
      <c r="D146" s="13"/>
      <c r="E146" s="101"/>
      <c r="F146" s="6"/>
      <c r="G146" s="6"/>
      <c r="H146" s="6"/>
      <c r="I146" s="6"/>
      <c r="J146" s="6"/>
      <c r="K146" s="6"/>
      <c r="L146" s="6"/>
      <c r="M146" s="6"/>
      <c r="N146" s="6"/>
      <c r="O146" s="6"/>
      <c r="P146" s="6"/>
      <c r="Q146" s="6"/>
      <c r="R146" s="6"/>
      <c r="S146" s="6"/>
      <c r="T146" s="6"/>
      <c r="U146" s="6"/>
      <c r="V146" s="6"/>
      <c r="W146" s="6"/>
      <c r="X146" s="6"/>
      <c r="Y146" s="6"/>
      <c r="Z146" s="6"/>
      <c r="AA146" s="6"/>
    </row>
    <row r="147" spans="1:27" x14ac:dyDescent="0.2">
      <c r="A147" s="13"/>
      <c r="B147" s="13"/>
      <c r="C147" s="13"/>
      <c r="D147" s="13"/>
      <c r="E147" s="101"/>
      <c r="F147" s="6"/>
      <c r="G147" s="6"/>
      <c r="H147" s="6"/>
      <c r="I147" s="6"/>
      <c r="J147" s="6"/>
      <c r="K147" s="6"/>
      <c r="L147" s="6"/>
      <c r="M147" s="6"/>
      <c r="N147" s="6"/>
      <c r="O147" s="6"/>
      <c r="P147" s="6"/>
      <c r="Q147" s="6"/>
      <c r="R147" s="6"/>
      <c r="S147" s="6"/>
      <c r="T147" s="6"/>
      <c r="U147" s="6"/>
      <c r="V147" s="6"/>
      <c r="W147" s="6"/>
      <c r="X147" s="6"/>
      <c r="Y147" s="6"/>
      <c r="Z147" s="6"/>
      <c r="AA147" s="6"/>
    </row>
    <row r="148" spans="1:27" x14ac:dyDescent="0.2">
      <c r="A148" s="13"/>
      <c r="B148" s="13"/>
      <c r="C148" s="13"/>
      <c r="D148" s="13"/>
      <c r="E148" s="101"/>
      <c r="F148" s="6"/>
      <c r="G148" s="6"/>
      <c r="H148" s="6"/>
      <c r="I148" s="6"/>
      <c r="J148" s="6"/>
      <c r="K148" s="6"/>
      <c r="L148" s="6"/>
      <c r="M148" s="6"/>
      <c r="N148" s="6"/>
      <c r="O148" s="6"/>
      <c r="P148" s="6"/>
      <c r="Q148" s="6"/>
      <c r="R148" s="6"/>
      <c r="S148" s="6"/>
      <c r="T148" s="6"/>
      <c r="U148" s="6"/>
      <c r="V148" s="6"/>
      <c r="W148" s="6"/>
      <c r="X148" s="6"/>
      <c r="Y148" s="6"/>
      <c r="Z148" s="6"/>
      <c r="AA148" s="6"/>
    </row>
    <row r="149" spans="1:27" x14ac:dyDescent="0.2">
      <c r="A149" s="13"/>
      <c r="B149" s="13"/>
      <c r="C149" s="13"/>
      <c r="D149" s="13"/>
      <c r="E149" s="101"/>
      <c r="F149" s="6"/>
      <c r="G149" s="6"/>
      <c r="H149" s="6"/>
      <c r="I149" s="6"/>
      <c r="J149" s="6"/>
      <c r="K149" s="6"/>
      <c r="L149" s="6"/>
      <c r="M149" s="6"/>
      <c r="N149" s="6"/>
      <c r="O149" s="6"/>
      <c r="P149" s="6"/>
      <c r="Q149" s="6"/>
      <c r="R149" s="6"/>
      <c r="S149" s="6"/>
      <c r="T149" s="6"/>
      <c r="U149" s="6"/>
      <c r="V149" s="6"/>
      <c r="W149" s="6"/>
      <c r="X149" s="6"/>
      <c r="Y149" s="6"/>
      <c r="Z149" s="6"/>
      <c r="AA149" s="6"/>
    </row>
    <row r="150" spans="1:27" x14ac:dyDescent="0.2">
      <c r="A150" s="13"/>
      <c r="B150" s="13"/>
      <c r="C150" s="13"/>
      <c r="D150" s="13"/>
      <c r="E150" s="101"/>
      <c r="F150" s="6"/>
      <c r="G150" s="6"/>
      <c r="H150" s="6"/>
      <c r="I150" s="6"/>
      <c r="J150" s="6"/>
      <c r="K150" s="6"/>
      <c r="L150" s="6"/>
      <c r="M150" s="6"/>
      <c r="N150" s="6"/>
      <c r="O150" s="6"/>
      <c r="P150" s="6"/>
      <c r="Q150" s="6"/>
      <c r="R150" s="6"/>
      <c r="S150" s="6"/>
      <c r="T150" s="6"/>
      <c r="U150" s="6"/>
      <c r="V150" s="6"/>
      <c r="W150" s="6"/>
      <c r="X150" s="6"/>
      <c r="Y150" s="6"/>
      <c r="Z150" s="6"/>
      <c r="AA150" s="6"/>
    </row>
    <row r="151" spans="1:27" x14ac:dyDescent="0.2">
      <c r="A151" s="13"/>
      <c r="B151" s="13"/>
      <c r="C151" s="13"/>
      <c r="D151" s="13"/>
      <c r="E151" s="101"/>
      <c r="F151" s="6"/>
      <c r="G151" s="6"/>
      <c r="H151" s="6"/>
      <c r="I151" s="6"/>
      <c r="J151" s="6"/>
      <c r="K151" s="6"/>
      <c r="L151" s="6"/>
      <c r="M151" s="6"/>
      <c r="N151" s="6"/>
      <c r="O151" s="6"/>
      <c r="P151" s="6"/>
      <c r="Q151" s="6"/>
      <c r="R151" s="6"/>
      <c r="S151" s="6"/>
      <c r="T151" s="6"/>
      <c r="U151" s="6"/>
      <c r="V151" s="6"/>
      <c r="W151" s="6"/>
      <c r="X151" s="6"/>
      <c r="Y151" s="6"/>
      <c r="Z151" s="6"/>
      <c r="AA151" s="6"/>
    </row>
    <row r="152" spans="1:27" x14ac:dyDescent="0.2">
      <c r="A152" s="13"/>
      <c r="B152" s="13"/>
      <c r="C152" s="13"/>
      <c r="D152" s="13"/>
      <c r="E152" s="101"/>
      <c r="F152" s="6"/>
      <c r="G152" s="6"/>
      <c r="H152" s="6"/>
      <c r="I152" s="6"/>
      <c r="J152" s="6"/>
      <c r="K152" s="6"/>
      <c r="L152" s="6"/>
      <c r="M152" s="6"/>
      <c r="N152" s="6"/>
      <c r="O152" s="6"/>
      <c r="P152" s="6"/>
      <c r="Q152" s="6"/>
      <c r="R152" s="6"/>
      <c r="S152" s="6"/>
      <c r="T152" s="6"/>
      <c r="U152" s="6"/>
      <c r="V152" s="6"/>
      <c r="W152" s="6"/>
      <c r="X152" s="6"/>
      <c r="Y152" s="6"/>
      <c r="Z152" s="6"/>
      <c r="AA152" s="6"/>
    </row>
    <row r="153" spans="1:27" x14ac:dyDescent="0.2">
      <c r="A153" s="13"/>
      <c r="B153" s="13"/>
      <c r="C153" s="13"/>
      <c r="D153" s="13"/>
      <c r="E153" s="101"/>
      <c r="F153" s="6"/>
      <c r="G153" s="6"/>
      <c r="H153" s="6"/>
      <c r="I153" s="6"/>
      <c r="J153" s="6"/>
      <c r="K153" s="6"/>
      <c r="L153" s="6"/>
      <c r="M153" s="6"/>
      <c r="N153" s="6"/>
      <c r="O153" s="6"/>
      <c r="P153" s="6"/>
      <c r="Q153" s="6"/>
      <c r="R153" s="6"/>
      <c r="S153" s="6"/>
      <c r="T153" s="6"/>
      <c r="U153" s="6"/>
      <c r="V153" s="6"/>
      <c r="W153" s="6"/>
      <c r="X153" s="6"/>
      <c r="Y153" s="6"/>
      <c r="Z153" s="6"/>
      <c r="AA153" s="6"/>
    </row>
    <row r="154" spans="1:27" x14ac:dyDescent="0.2">
      <c r="A154" s="13"/>
      <c r="B154" s="13"/>
      <c r="C154" s="13"/>
      <c r="D154" s="13"/>
      <c r="E154" s="101"/>
      <c r="F154" s="6"/>
      <c r="G154" s="6"/>
      <c r="H154" s="6"/>
      <c r="I154" s="6"/>
      <c r="J154" s="6"/>
      <c r="K154" s="6"/>
      <c r="L154" s="6"/>
      <c r="M154" s="6"/>
      <c r="N154" s="6"/>
      <c r="O154" s="6"/>
      <c r="P154" s="6"/>
      <c r="Q154" s="6"/>
      <c r="R154" s="6"/>
      <c r="S154" s="6"/>
      <c r="T154" s="6"/>
      <c r="U154" s="6"/>
      <c r="V154" s="6"/>
      <c r="W154" s="6"/>
      <c r="X154" s="6"/>
      <c r="Y154" s="6"/>
      <c r="Z154" s="6"/>
      <c r="AA154" s="6"/>
    </row>
    <row r="155" spans="1:27" x14ac:dyDescent="0.2">
      <c r="A155" s="13"/>
      <c r="B155" s="13"/>
      <c r="C155" s="13"/>
      <c r="D155" s="13"/>
      <c r="E155" s="101"/>
      <c r="F155" s="6"/>
      <c r="G155" s="6"/>
      <c r="H155" s="6"/>
      <c r="I155" s="6"/>
      <c r="J155" s="6"/>
      <c r="K155" s="6"/>
      <c r="L155" s="6"/>
      <c r="M155" s="6"/>
      <c r="N155" s="6"/>
      <c r="O155" s="6"/>
      <c r="P155" s="6"/>
      <c r="Q155" s="6"/>
      <c r="R155" s="6"/>
      <c r="S155" s="6"/>
      <c r="T155" s="6"/>
      <c r="U155" s="6"/>
      <c r="V155" s="6"/>
      <c r="W155" s="6"/>
      <c r="X155" s="6"/>
      <c r="Y155" s="6"/>
      <c r="Z155" s="6"/>
      <c r="AA155" s="6"/>
    </row>
    <row r="156" spans="1:27" x14ac:dyDescent="0.2">
      <c r="A156" s="13"/>
      <c r="B156" s="13"/>
      <c r="C156" s="13"/>
      <c r="D156" s="13"/>
      <c r="E156" s="101"/>
      <c r="F156" s="6"/>
      <c r="G156" s="6"/>
      <c r="H156" s="6"/>
      <c r="I156" s="6"/>
      <c r="J156" s="6"/>
      <c r="K156" s="6"/>
      <c r="L156" s="6"/>
      <c r="M156" s="6"/>
      <c r="N156" s="6"/>
      <c r="O156" s="6"/>
      <c r="P156" s="6"/>
      <c r="Q156" s="6"/>
      <c r="R156" s="6"/>
      <c r="S156" s="6"/>
      <c r="T156" s="6"/>
      <c r="U156" s="6"/>
      <c r="V156" s="6"/>
      <c r="W156" s="6"/>
      <c r="X156" s="6"/>
      <c r="Y156" s="6"/>
      <c r="Z156" s="6"/>
      <c r="AA156" s="6"/>
    </row>
    <row r="157" spans="1:27" x14ac:dyDescent="0.2">
      <c r="A157" s="13"/>
      <c r="B157" s="13"/>
      <c r="C157" s="13"/>
      <c r="D157" s="13"/>
      <c r="E157" s="101"/>
      <c r="F157" s="6"/>
      <c r="G157" s="6"/>
      <c r="H157" s="6"/>
      <c r="I157" s="6"/>
      <c r="J157" s="6"/>
      <c r="K157" s="6"/>
      <c r="L157" s="6"/>
      <c r="M157" s="6"/>
      <c r="N157" s="6"/>
      <c r="O157" s="6"/>
      <c r="P157" s="6"/>
      <c r="Q157" s="6"/>
      <c r="R157" s="6"/>
      <c r="S157" s="6"/>
      <c r="T157" s="6"/>
      <c r="U157" s="6"/>
      <c r="V157" s="6"/>
      <c r="W157" s="6"/>
      <c r="X157" s="6"/>
      <c r="Y157" s="6"/>
      <c r="Z157" s="6"/>
      <c r="AA157" s="6"/>
    </row>
    <row r="158" spans="1:27" x14ac:dyDescent="0.2">
      <c r="A158" s="13"/>
      <c r="B158" s="13"/>
      <c r="C158" s="13"/>
      <c r="D158" s="13"/>
      <c r="E158" s="101"/>
      <c r="F158" s="6"/>
      <c r="G158" s="6"/>
      <c r="H158" s="6"/>
      <c r="I158" s="6"/>
      <c r="J158" s="6"/>
      <c r="K158" s="6"/>
      <c r="L158" s="6"/>
      <c r="M158" s="6"/>
      <c r="N158" s="6"/>
      <c r="O158" s="6"/>
      <c r="P158" s="6"/>
      <c r="Q158" s="6"/>
      <c r="R158" s="6"/>
      <c r="S158" s="6"/>
      <c r="T158" s="6"/>
      <c r="U158" s="6"/>
      <c r="V158" s="6"/>
      <c r="W158" s="6"/>
      <c r="X158" s="6"/>
      <c r="Y158" s="6"/>
      <c r="Z158" s="6"/>
      <c r="AA158" s="6"/>
    </row>
    <row r="159" spans="1:27" x14ac:dyDescent="0.2">
      <c r="A159" s="13"/>
      <c r="B159" s="13"/>
      <c r="C159" s="13"/>
      <c r="D159" s="13"/>
      <c r="E159" s="101"/>
      <c r="F159" s="6"/>
      <c r="G159" s="6"/>
      <c r="H159" s="6"/>
      <c r="I159" s="6"/>
      <c r="J159" s="6"/>
      <c r="K159" s="6"/>
      <c r="L159" s="6"/>
      <c r="M159" s="6"/>
      <c r="N159" s="6"/>
      <c r="O159" s="6"/>
      <c r="P159" s="6"/>
      <c r="Q159" s="6"/>
      <c r="R159" s="6"/>
      <c r="S159" s="6"/>
      <c r="T159" s="6"/>
      <c r="U159" s="6"/>
      <c r="V159" s="6"/>
      <c r="W159" s="6"/>
      <c r="X159" s="6"/>
      <c r="Y159" s="6"/>
      <c r="Z159" s="6"/>
      <c r="AA159" s="6"/>
    </row>
    <row r="160" spans="1:27" x14ac:dyDescent="0.2">
      <c r="A160" s="13"/>
      <c r="B160" s="13"/>
      <c r="C160" s="13"/>
      <c r="D160" s="13"/>
      <c r="E160" s="101"/>
      <c r="F160" s="6"/>
      <c r="G160" s="6"/>
      <c r="H160" s="6"/>
      <c r="I160" s="6"/>
      <c r="J160" s="6"/>
      <c r="K160" s="6"/>
      <c r="L160" s="6"/>
      <c r="M160" s="6"/>
      <c r="N160" s="6"/>
      <c r="O160" s="6"/>
      <c r="P160" s="6"/>
      <c r="Q160" s="6"/>
      <c r="R160" s="6"/>
      <c r="S160" s="6"/>
      <c r="T160" s="6"/>
      <c r="U160" s="6"/>
      <c r="V160" s="6"/>
      <c r="W160" s="6"/>
      <c r="X160" s="6"/>
      <c r="Y160" s="6"/>
      <c r="Z160" s="6"/>
      <c r="AA160" s="6"/>
    </row>
    <row r="161" spans="1:27" x14ac:dyDescent="0.2">
      <c r="A161" s="13"/>
      <c r="B161" s="13"/>
      <c r="C161" s="13"/>
      <c r="D161" s="13"/>
      <c r="E161" s="101"/>
      <c r="F161" s="6"/>
      <c r="G161" s="6"/>
      <c r="H161" s="6"/>
      <c r="I161" s="6"/>
      <c r="J161" s="6"/>
      <c r="K161" s="6"/>
      <c r="L161" s="6"/>
      <c r="M161" s="6"/>
      <c r="N161" s="6"/>
      <c r="O161" s="6"/>
      <c r="P161" s="6"/>
      <c r="Q161" s="6"/>
      <c r="R161" s="6"/>
      <c r="S161" s="6"/>
      <c r="T161" s="6"/>
      <c r="U161" s="6"/>
      <c r="V161" s="6"/>
      <c r="W161" s="6"/>
      <c r="X161" s="6"/>
      <c r="Y161" s="6"/>
      <c r="Z161" s="6"/>
      <c r="AA161" s="6"/>
    </row>
    <row r="162" spans="1:27" x14ac:dyDescent="0.2">
      <c r="A162" s="13"/>
      <c r="B162" s="13"/>
      <c r="C162" s="13"/>
      <c r="D162" s="13"/>
      <c r="E162" s="101"/>
      <c r="F162" s="6"/>
      <c r="G162" s="6"/>
      <c r="H162" s="6"/>
      <c r="I162" s="6"/>
      <c r="J162" s="6"/>
      <c r="K162" s="6"/>
      <c r="L162" s="6"/>
      <c r="M162" s="6"/>
      <c r="N162" s="6"/>
      <c r="O162" s="6"/>
      <c r="P162" s="6"/>
      <c r="Q162" s="6"/>
      <c r="R162" s="6"/>
      <c r="S162" s="6"/>
      <c r="T162" s="6"/>
      <c r="U162" s="6"/>
      <c r="V162" s="6"/>
      <c r="W162" s="6"/>
      <c r="X162" s="6"/>
      <c r="Y162" s="6"/>
      <c r="Z162" s="6"/>
      <c r="AA162" s="6"/>
    </row>
    <row r="163" spans="1:27" x14ac:dyDescent="0.2">
      <c r="A163" s="13"/>
      <c r="B163" s="13"/>
      <c r="C163" s="13"/>
      <c r="D163" s="13"/>
      <c r="E163" s="101"/>
      <c r="F163" s="6"/>
      <c r="G163" s="6"/>
      <c r="H163" s="6"/>
      <c r="I163" s="6"/>
      <c r="J163" s="6"/>
      <c r="K163" s="6"/>
      <c r="L163" s="6"/>
      <c r="M163" s="6"/>
      <c r="N163" s="6"/>
      <c r="O163" s="6"/>
      <c r="P163" s="6"/>
      <c r="Q163" s="6"/>
      <c r="R163" s="6"/>
      <c r="S163" s="6"/>
      <c r="T163" s="6"/>
      <c r="U163" s="6"/>
      <c r="V163" s="6"/>
      <c r="W163" s="6"/>
      <c r="X163" s="6"/>
      <c r="Y163" s="6"/>
      <c r="Z163" s="6"/>
      <c r="AA163" s="6"/>
    </row>
    <row r="164" spans="1:27" x14ac:dyDescent="0.2">
      <c r="A164" s="13"/>
      <c r="B164" s="13"/>
      <c r="C164" s="13"/>
      <c r="D164" s="13"/>
      <c r="E164" s="101"/>
      <c r="F164" s="6"/>
      <c r="G164" s="6"/>
      <c r="H164" s="6"/>
      <c r="I164" s="6"/>
      <c r="J164" s="6"/>
      <c r="K164" s="6"/>
      <c r="L164" s="6"/>
      <c r="M164" s="6"/>
      <c r="N164" s="6"/>
      <c r="O164" s="6"/>
      <c r="P164" s="6"/>
      <c r="Q164" s="6"/>
      <c r="R164" s="6"/>
      <c r="S164" s="6"/>
      <c r="T164" s="6"/>
      <c r="U164" s="6"/>
      <c r="V164" s="6"/>
      <c r="W164" s="6"/>
      <c r="X164" s="6"/>
      <c r="Y164" s="6"/>
      <c r="Z164" s="6"/>
      <c r="AA164" s="6"/>
    </row>
    <row r="165" spans="1:27" x14ac:dyDescent="0.2">
      <c r="A165" s="13"/>
      <c r="B165" s="13"/>
      <c r="C165" s="13"/>
      <c r="D165" s="13"/>
      <c r="E165" s="101"/>
      <c r="F165" s="6"/>
      <c r="G165" s="6"/>
      <c r="H165" s="6"/>
      <c r="I165" s="6"/>
      <c r="J165" s="6"/>
      <c r="K165" s="6"/>
      <c r="L165" s="6"/>
      <c r="M165" s="6"/>
      <c r="N165" s="6"/>
      <c r="O165" s="6"/>
      <c r="P165" s="6"/>
      <c r="Q165" s="6"/>
      <c r="R165" s="6"/>
      <c r="S165" s="6"/>
      <c r="T165" s="6"/>
      <c r="U165" s="6"/>
      <c r="V165" s="6"/>
      <c r="W165" s="6"/>
      <c r="X165" s="6"/>
      <c r="Y165" s="6"/>
      <c r="Z165" s="6"/>
      <c r="AA165" s="6"/>
    </row>
    <row r="166" spans="1:27" x14ac:dyDescent="0.2">
      <c r="A166" s="13"/>
      <c r="B166" s="13"/>
      <c r="C166" s="13"/>
      <c r="D166" s="13"/>
      <c r="E166" s="101"/>
      <c r="F166" s="6"/>
      <c r="G166" s="6"/>
      <c r="H166" s="6"/>
      <c r="I166" s="6"/>
      <c r="J166" s="6"/>
      <c r="K166" s="6"/>
      <c r="L166" s="6"/>
      <c r="M166" s="6"/>
      <c r="N166" s="6"/>
      <c r="O166" s="6"/>
      <c r="P166" s="6"/>
      <c r="Q166" s="6"/>
      <c r="R166" s="6"/>
      <c r="S166" s="6"/>
      <c r="T166" s="6"/>
      <c r="U166" s="6"/>
      <c r="V166" s="6"/>
      <c r="W166" s="6"/>
      <c r="X166" s="6"/>
      <c r="Y166" s="6"/>
      <c r="Z166" s="6"/>
      <c r="AA166" s="6"/>
    </row>
    <row r="167" spans="1:27" x14ac:dyDescent="0.2">
      <c r="A167" s="13"/>
      <c r="B167" s="13"/>
      <c r="C167" s="13"/>
      <c r="D167" s="13"/>
      <c r="E167" s="101"/>
      <c r="F167" s="6"/>
      <c r="G167" s="6"/>
      <c r="H167" s="6"/>
      <c r="I167" s="6"/>
      <c r="J167" s="6"/>
      <c r="K167" s="6"/>
      <c r="L167" s="6"/>
      <c r="M167" s="6"/>
      <c r="N167" s="6"/>
      <c r="O167" s="6"/>
      <c r="P167" s="6"/>
      <c r="Q167" s="6"/>
      <c r="R167" s="6"/>
      <c r="S167" s="6"/>
      <c r="T167" s="6"/>
      <c r="U167" s="6"/>
      <c r="V167" s="6"/>
      <c r="W167" s="6"/>
      <c r="X167" s="6"/>
      <c r="Y167" s="6"/>
      <c r="Z167" s="6"/>
      <c r="AA167" s="6"/>
    </row>
    <row r="168" spans="1:27" x14ac:dyDescent="0.2">
      <c r="A168" s="13"/>
      <c r="B168" s="13"/>
      <c r="C168" s="13"/>
      <c r="D168" s="13"/>
      <c r="E168" s="101"/>
      <c r="F168" s="6"/>
      <c r="G168" s="6"/>
      <c r="H168" s="6"/>
      <c r="I168" s="6"/>
      <c r="J168" s="6"/>
      <c r="K168" s="6"/>
      <c r="L168" s="6"/>
      <c r="M168" s="6"/>
      <c r="N168" s="6"/>
      <c r="O168" s="6"/>
      <c r="P168" s="6"/>
      <c r="Q168" s="6"/>
      <c r="R168" s="6"/>
      <c r="S168" s="6"/>
      <c r="T168" s="6"/>
      <c r="U168" s="6"/>
      <c r="V168" s="6"/>
      <c r="W168" s="6"/>
      <c r="X168" s="6"/>
      <c r="Y168" s="6"/>
      <c r="Z168" s="6"/>
      <c r="AA168" s="6"/>
    </row>
    <row r="169" spans="1:27" x14ac:dyDescent="0.2">
      <c r="A169" s="13"/>
      <c r="B169" s="13"/>
      <c r="C169" s="13"/>
      <c r="D169" s="13"/>
      <c r="E169" s="101"/>
      <c r="F169" s="6"/>
      <c r="G169" s="6"/>
      <c r="H169" s="6"/>
      <c r="I169" s="6"/>
      <c r="J169" s="6"/>
      <c r="K169" s="6"/>
      <c r="L169" s="6"/>
      <c r="M169" s="6"/>
      <c r="N169" s="6"/>
      <c r="O169" s="6"/>
      <c r="P169" s="6"/>
      <c r="Q169" s="6"/>
      <c r="R169" s="6"/>
      <c r="S169" s="6"/>
      <c r="T169" s="6"/>
      <c r="U169" s="6"/>
      <c r="V169" s="6"/>
      <c r="W169" s="6"/>
      <c r="X169" s="6"/>
      <c r="Y169" s="6"/>
      <c r="Z169" s="6"/>
      <c r="AA169" s="6"/>
    </row>
    <row r="170" spans="1:27" x14ac:dyDescent="0.2">
      <c r="A170" s="13"/>
      <c r="B170" s="13"/>
      <c r="C170" s="13"/>
      <c r="D170" s="13"/>
      <c r="E170" s="101"/>
      <c r="F170" s="6"/>
      <c r="G170" s="6"/>
      <c r="H170" s="6"/>
      <c r="I170" s="6"/>
      <c r="J170" s="6"/>
      <c r="K170" s="6"/>
      <c r="L170" s="6"/>
      <c r="M170" s="6"/>
      <c r="N170" s="6"/>
      <c r="O170" s="6"/>
      <c r="P170" s="6"/>
      <c r="Q170" s="6"/>
      <c r="R170" s="6"/>
      <c r="S170" s="6"/>
      <c r="T170" s="6"/>
      <c r="U170" s="6"/>
      <c r="V170" s="6"/>
      <c r="W170" s="6"/>
      <c r="X170" s="6"/>
      <c r="Y170" s="6"/>
      <c r="Z170" s="6"/>
      <c r="AA170" s="6"/>
    </row>
    <row r="171" spans="1:27" x14ac:dyDescent="0.2">
      <c r="A171" s="13"/>
      <c r="B171" s="13"/>
      <c r="C171" s="13"/>
      <c r="D171" s="13"/>
      <c r="E171" s="101"/>
      <c r="F171" s="6"/>
      <c r="G171" s="6"/>
      <c r="H171" s="6"/>
      <c r="I171" s="6"/>
      <c r="J171" s="6"/>
      <c r="K171" s="6"/>
      <c r="L171" s="6"/>
      <c r="M171" s="6"/>
      <c r="N171" s="6"/>
      <c r="O171" s="6"/>
      <c r="P171" s="6"/>
      <c r="Q171" s="6"/>
      <c r="R171" s="6"/>
      <c r="S171" s="6"/>
      <c r="T171" s="6"/>
      <c r="U171" s="6"/>
      <c r="V171" s="6"/>
      <c r="W171" s="6"/>
      <c r="X171" s="6"/>
      <c r="Y171" s="6"/>
      <c r="Z171" s="6"/>
      <c r="AA171" s="6"/>
    </row>
    <row r="172" spans="1:27" x14ac:dyDescent="0.2">
      <c r="A172" s="13"/>
      <c r="B172" s="13"/>
      <c r="C172" s="13"/>
      <c r="D172" s="13"/>
      <c r="E172" s="101"/>
      <c r="F172" s="6"/>
      <c r="G172" s="6"/>
      <c r="H172" s="6"/>
      <c r="I172" s="6"/>
      <c r="J172" s="6"/>
      <c r="K172" s="6"/>
      <c r="L172" s="6"/>
      <c r="M172" s="6"/>
      <c r="N172" s="6"/>
      <c r="O172" s="6"/>
      <c r="P172" s="6"/>
      <c r="Q172" s="6"/>
      <c r="R172" s="6"/>
      <c r="S172" s="6"/>
      <c r="T172" s="6"/>
      <c r="U172" s="6"/>
      <c r="V172" s="6"/>
      <c r="W172" s="6"/>
      <c r="X172" s="6"/>
      <c r="Y172" s="6"/>
      <c r="Z172" s="6"/>
      <c r="AA172" s="6"/>
    </row>
    <row r="173" spans="1:27" x14ac:dyDescent="0.2">
      <c r="A173" s="13"/>
      <c r="B173" s="13"/>
      <c r="C173" s="13"/>
      <c r="D173" s="13"/>
      <c r="E173" s="101"/>
      <c r="F173" s="6"/>
      <c r="G173" s="6"/>
      <c r="H173" s="6"/>
      <c r="I173" s="6"/>
      <c r="J173" s="6"/>
      <c r="K173" s="6"/>
      <c r="L173" s="6"/>
      <c r="M173" s="6"/>
      <c r="N173" s="6"/>
      <c r="O173" s="6"/>
      <c r="P173" s="6"/>
      <c r="Q173" s="6"/>
      <c r="R173" s="6"/>
      <c r="S173" s="6"/>
      <c r="T173" s="6"/>
      <c r="U173" s="6"/>
      <c r="V173" s="6"/>
      <c r="W173" s="6"/>
      <c r="X173" s="6"/>
      <c r="Y173" s="6"/>
      <c r="Z173" s="6"/>
      <c r="AA173" s="6"/>
    </row>
    <row r="174" spans="1:27" x14ac:dyDescent="0.2">
      <c r="A174" s="13"/>
      <c r="B174" s="13"/>
      <c r="C174" s="13"/>
      <c r="D174" s="13"/>
      <c r="E174" s="101"/>
      <c r="F174" s="6"/>
      <c r="G174" s="6"/>
      <c r="H174" s="6"/>
      <c r="I174" s="6"/>
      <c r="J174" s="6"/>
      <c r="K174" s="6"/>
      <c r="L174" s="6"/>
      <c r="M174" s="6"/>
      <c r="N174" s="6"/>
      <c r="O174" s="6"/>
      <c r="P174" s="6"/>
      <c r="Q174" s="6"/>
      <c r="R174" s="6"/>
      <c r="S174" s="6"/>
      <c r="T174" s="6"/>
      <c r="U174" s="6"/>
      <c r="V174" s="6"/>
      <c r="W174" s="6"/>
      <c r="X174" s="6"/>
      <c r="Y174" s="6"/>
      <c r="Z174" s="6"/>
      <c r="AA174" s="6"/>
    </row>
    <row r="175" spans="1:27" x14ac:dyDescent="0.2">
      <c r="A175" s="13"/>
      <c r="B175" s="13"/>
      <c r="C175" s="13"/>
      <c r="D175" s="13"/>
      <c r="E175" s="101"/>
      <c r="F175" s="6"/>
      <c r="G175" s="6"/>
      <c r="H175" s="6"/>
      <c r="I175" s="6"/>
      <c r="J175" s="6"/>
      <c r="K175" s="6"/>
      <c r="L175" s="6"/>
      <c r="M175" s="6"/>
      <c r="N175" s="6"/>
      <c r="O175" s="6"/>
      <c r="P175" s="6"/>
      <c r="Q175" s="6"/>
      <c r="R175" s="6"/>
      <c r="S175" s="6"/>
      <c r="T175" s="6"/>
      <c r="U175" s="6"/>
      <c r="V175" s="6"/>
      <c r="W175" s="6"/>
      <c r="X175" s="6"/>
      <c r="Y175" s="6"/>
      <c r="Z175" s="6"/>
      <c r="AA175" s="6"/>
    </row>
    <row r="176" spans="1:27" x14ac:dyDescent="0.2">
      <c r="A176" s="13"/>
      <c r="B176" s="13"/>
      <c r="C176" s="13"/>
      <c r="D176" s="13"/>
      <c r="E176" s="101"/>
      <c r="F176" s="6"/>
      <c r="G176" s="6"/>
      <c r="H176" s="6"/>
      <c r="I176" s="6"/>
      <c r="J176" s="6"/>
      <c r="K176" s="6"/>
      <c r="L176" s="6"/>
      <c r="M176" s="6"/>
      <c r="N176" s="6"/>
      <c r="O176" s="6"/>
      <c r="P176" s="6"/>
      <c r="Q176" s="6"/>
      <c r="R176" s="6"/>
      <c r="S176" s="6"/>
      <c r="T176" s="6"/>
      <c r="U176" s="6"/>
      <c r="V176" s="6"/>
      <c r="W176" s="6"/>
      <c r="X176" s="6"/>
      <c r="Y176" s="6"/>
      <c r="Z176" s="6"/>
      <c r="AA176" s="6"/>
    </row>
    <row r="177" spans="1:27" x14ac:dyDescent="0.2">
      <c r="A177" s="13"/>
      <c r="B177" s="13"/>
      <c r="C177" s="13"/>
      <c r="D177" s="13"/>
      <c r="E177" s="101"/>
      <c r="F177" s="6"/>
      <c r="G177" s="6"/>
      <c r="H177" s="6"/>
      <c r="I177" s="6"/>
      <c r="J177" s="6"/>
      <c r="K177" s="6"/>
      <c r="L177" s="6"/>
      <c r="M177" s="6"/>
      <c r="N177" s="6"/>
      <c r="O177" s="6"/>
      <c r="P177" s="6"/>
      <c r="Q177" s="6"/>
      <c r="R177" s="6"/>
      <c r="S177" s="6"/>
      <c r="T177" s="6"/>
      <c r="U177" s="6"/>
      <c r="V177" s="6"/>
      <c r="W177" s="6"/>
      <c r="X177" s="6"/>
      <c r="Y177" s="6"/>
      <c r="Z177" s="6"/>
      <c r="AA177" s="6"/>
    </row>
    <row r="178" spans="1:27" x14ac:dyDescent="0.2">
      <c r="A178" s="13"/>
      <c r="B178" s="13"/>
      <c r="C178" s="13"/>
      <c r="D178" s="13"/>
      <c r="E178" s="101"/>
      <c r="F178" s="6"/>
      <c r="G178" s="6"/>
      <c r="H178" s="6"/>
      <c r="I178" s="6"/>
      <c r="J178" s="6"/>
      <c r="K178" s="6"/>
      <c r="L178" s="6"/>
      <c r="M178" s="6"/>
      <c r="N178" s="6"/>
      <c r="O178" s="6"/>
      <c r="P178" s="6"/>
      <c r="Q178" s="6"/>
      <c r="R178" s="6"/>
      <c r="S178" s="6"/>
      <c r="T178" s="6"/>
      <c r="U178" s="6"/>
      <c r="V178" s="6"/>
      <c r="W178" s="6"/>
      <c r="X178" s="6"/>
      <c r="Y178" s="6"/>
      <c r="Z178" s="6"/>
      <c r="AA178" s="6"/>
    </row>
    <row r="179" spans="1:27" x14ac:dyDescent="0.2">
      <c r="A179" s="13"/>
      <c r="B179" s="13"/>
      <c r="C179" s="13"/>
      <c r="D179" s="13"/>
      <c r="E179" s="101"/>
      <c r="F179" s="6"/>
      <c r="G179" s="6"/>
      <c r="H179" s="6"/>
      <c r="I179" s="6"/>
      <c r="J179" s="6"/>
      <c r="K179" s="6"/>
      <c r="L179" s="6"/>
      <c r="M179" s="6"/>
      <c r="N179" s="6"/>
      <c r="O179" s="6"/>
      <c r="P179" s="6"/>
      <c r="Q179" s="6"/>
      <c r="R179" s="6"/>
      <c r="S179" s="6"/>
      <c r="T179" s="6"/>
      <c r="U179" s="6"/>
      <c r="V179" s="6"/>
      <c r="W179" s="6"/>
      <c r="X179" s="6"/>
      <c r="Y179" s="6"/>
      <c r="Z179" s="6"/>
      <c r="AA179" s="6"/>
    </row>
    <row r="180" spans="1:27" x14ac:dyDescent="0.2">
      <c r="A180" s="13"/>
      <c r="B180" s="13"/>
      <c r="C180" s="13"/>
      <c r="D180" s="13"/>
      <c r="E180" s="101"/>
      <c r="F180" s="6"/>
      <c r="G180" s="6"/>
      <c r="H180" s="6"/>
      <c r="I180" s="6"/>
      <c r="J180" s="6"/>
      <c r="K180" s="6"/>
      <c r="L180" s="6"/>
      <c r="M180" s="6"/>
      <c r="N180" s="6"/>
      <c r="O180" s="6"/>
      <c r="P180" s="6"/>
      <c r="Q180" s="6"/>
      <c r="R180" s="6"/>
      <c r="S180" s="6"/>
      <c r="T180" s="6"/>
      <c r="U180" s="6"/>
      <c r="V180" s="6"/>
      <c r="W180" s="6"/>
      <c r="X180" s="6"/>
      <c r="Y180" s="6"/>
      <c r="Z180" s="6"/>
      <c r="AA180" s="6"/>
    </row>
    <row r="181" spans="1:27" x14ac:dyDescent="0.2">
      <c r="A181" s="13"/>
      <c r="B181" s="13"/>
      <c r="C181" s="13"/>
      <c r="D181" s="13"/>
      <c r="E181" s="101"/>
      <c r="F181" s="6"/>
      <c r="G181" s="6"/>
      <c r="H181" s="6"/>
      <c r="I181" s="6"/>
      <c r="J181" s="6"/>
      <c r="K181" s="6"/>
      <c r="L181" s="6"/>
      <c r="M181" s="6"/>
      <c r="N181" s="6"/>
      <c r="O181" s="6"/>
      <c r="P181" s="6"/>
      <c r="Q181" s="6"/>
      <c r="R181" s="6"/>
      <c r="S181" s="6"/>
      <c r="T181" s="6"/>
      <c r="U181" s="6"/>
      <c r="V181" s="6"/>
      <c r="W181" s="6"/>
      <c r="X181" s="6"/>
      <c r="Y181" s="6"/>
      <c r="Z181" s="6"/>
      <c r="AA181" s="6"/>
    </row>
    <row r="182" spans="1:27" x14ac:dyDescent="0.2">
      <c r="A182" s="13"/>
      <c r="B182" s="13"/>
      <c r="C182" s="13"/>
      <c r="D182" s="13"/>
      <c r="E182" s="101"/>
      <c r="F182" s="6"/>
      <c r="G182" s="6"/>
      <c r="H182" s="6"/>
      <c r="I182" s="6"/>
      <c r="J182" s="6"/>
      <c r="K182" s="6"/>
      <c r="L182" s="6"/>
      <c r="M182" s="6"/>
      <c r="N182" s="6"/>
      <c r="O182" s="6"/>
      <c r="P182" s="6"/>
      <c r="Q182" s="6"/>
      <c r="R182" s="6"/>
      <c r="S182" s="6"/>
      <c r="T182" s="6"/>
      <c r="U182" s="6"/>
      <c r="V182" s="6"/>
      <c r="W182" s="6"/>
      <c r="X182" s="6"/>
      <c r="Y182" s="6"/>
      <c r="Z182" s="6"/>
      <c r="AA182" s="6"/>
    </row>
    <row r="183" spans="1:27" x14ac:dyDescent="0.2">
      <c r="A183" s="13"/>
      <c r="B183" s="13"/>
      <c r="C183" s="13"/>
      <c r="D183" s="13"/>
      <c r="E183" s="101"/>
      <c r="F183" s="6"/>
      <c r="G183" s="6"/>
      <c r="H183" s="6"/>
      <c r="I183" s="6"/>
      <c r="J183" s="6"/>
      <c r="K183" s="6"/>
      <c r="L183" s="6"/>
      <c r="M183" s="6"/>
      <c r="N183" s="6"/>
      <c r="O183" s="6"/>
      <c r="P183" s="6"/>
      <c r="Q183" s="6"/>
      <c r="R183" s="6"/>
      <c r="S183" s="6"/>
      <c r="T183" s="6"/>
      <c r="U183" s="6"/>
      <c r="V183" s="6"/>
      <c r="W183" s="6"/>
      <c r="X183" s="6"/>
      <c r="Y183" s="6"/>
      <c r="Z183" s="6"/>
      <c r="AA183" s="6"/>
    </row>
    <row r="184" spans="1:27" x14ac:dyDescent="0.2">
      <c r="A184" s="13"/>
      <c r="B184" s="13"/>
      <c r="C184" s="13"/>
      <c r="D184" s="13"/>
      <c r="E184" s="101"/>
      <c r="F184" s="6"/>
      <c r="G184" s="6"/>
      <c r="H184" s="6"/>
      <c r="I184" s="6"/>
      <c r="J184" s="6"/>
      <c r="K184" s="6"/>
      <c r="L184" s="6"/>
      <c r="M184" s="6"/>
      <c r="N184" s="6"/>
      <c r="O184" s="6"/>
      <c r="P184" s="6"/>
      <c r="Q184" s="6"/>
      <c r="R184" s="6"/>
      <c r="S184" s="6"/>
      <c r="T184" s="6"/>
      <c r="U184" s="6"/>
      <c r="V184" s="6"/>
      <c r="W184" s="6"/>
      <c r="X184" s="6"/>
      <c r="Y184" s="6"/>
      <c r="Z184" s="6"/>
      <c r="AA184" s="6"/>
    </row>
    <row r="185" spans="1:27" x14ac:dyDescent="0.2">
      <c r="A185" s="13"/>
      <c r="B185" s="13"/>
      <c r="C185" s="13"/>
      <c r="D185" s="13"/>
      <c r="E185" s="101"/>
      <c r="F185" s="6"/>
      <c r="G185" s="6"/>
      <c r="H185" s="6"/>
      <c r="I185" s="6"/>
      <c r="J185" s="6"/>
      <c r="K185" s="6"/>
      <c r="L185" s="6"/>
      <c r="M185" s="6"/>
      <c r="N185" s="6"/>
      <c r="O185" s="6"/>
      <c r="P185" s="6"/>
      <c r="Q185" s="6"/>
      <c r="R185" s="6"/>
      <c r="S185" s="6"/>
      <c r="T185" s="6"/>
      <c r="U185" s="6"/>
      <c r="V185" s="6"/>
      <c r="W185" s="6"/>
      <c r="X185" s="6"/>
      <c r="Y185" s="6"/>
      <c r="Z185" s="6"/>
      <c r="AA185" s="6"/>
    </row>
    <row r="186" spans="1:27" x14ac:dyDescent="0.2">
      <c r="A186" s="13"/>
      <c r="B186" s="13"/>
      <c r="C186" s="13"/>
      <c r="D186" s="13"/>
      <c r="E186" s="101"/>
      <c r="F186" s="6"/>
      <c r="G186" s="6"/>
      <c r="H186" s="6"/>
      <c r="I186" s="6"/>
      <c r="J186" s="6"/>
      <c r="K186" s="6"/>
      <c r="L186" s="6"/>
      <c r="M186" s="6"/>
      <c r="N186" s="6"/>
      <c r="O186" s="6"/>
      <c r="P186" s="6"/>
      <c r="Q186" s="6"/>
      <c r="R186" s="6"/>
      <c r="S186" s="6"/>
      <c r="T186" s="6"/>
      <c r="U186" s="6"/>
      <c r="V186" s="6"/>
      <c r="W186" s="6"/>
      <c r="X186" s="6"/>
      <c r="Y186" s="6"/>
      <c r="Z186" s="6"/>
      <c r="AA186" s="6"/>
    </row>
    <row r="187" spans="1:27" x14ac:dyDescent="0.2">
      <c r="A187" s="13"/>
      <c r="B187" s="13"/>
      <c r="C187" s="13"/>
      <c r="D187" s="13"/>
      <c r="E187" s="101"/>
      <c r="F187" s="6"/>
      <c r="G187" s="6"/>
      <c r="H187" s="6"/>
      <c r="I187" s="6"/>
      <c r="J187" s="6"/>
      <c r="K187" s="6"/>
      <c r="L187" s="6"/>
      <c r="M187" s="6"/>
      <c r="N187" s="6"/>
      <c r="O187" s="6"/>
      <c r="P187" s="6"/>
      <c r="Q187" s="6"/>
      <c r="R187" s="6"/>
      <c r="S187" s="6"/>
      <c r="T187" s="6"/>
      <c r="U187" s="6"/>
      <c r="V187" s="6"/>
      <c r="W187" s="6"/>
      <c r="X187" s="6"/>
      <c r="Y187" s="6"/>
      <c r="Z187" s="6"/>
      <c r="AA187" s="6"/>
    </row>
    <row r="188" spans="1:27" x14ac:dyDescent="0.2">
      <c r="A188" s="13"/>
      <c r="B188" s="13"/>
      <c r="C188" s="13"/>
      <c r="D188" s="13"/>
      <c r="E188" s="101"/>
      <c r="F188" s="6"/>
      <c r="G188" s="6"/>
      <c r="H188" s="6"/>
      <c r="I188" s="6"/>
      <c r="J188" s="6"/>
      <c r="K188" s="6"/>
      <c r="L188" s="6"/>
      <c r="M188" s="6"/>
      <c r="N188" s="6"/>
      <c r="O188" s="6"/>
      <c r="P188" s="6"/>
      <c r="Q188" s="6"/>
      <c r="R188" s="6"/>
      <c r="S188" s="6"/>
      <c r="T188" s="6"/>
      <c r="U188" s="6"/>
      <c r="V188" s="6"/>
      <c r="W188" s="6"/>
      <c r="X188" s="6"/>
      <c r="Y188" s="6"/>
      <c r="Z188" s="6"/>
      <c r="AA188" s="6"/>
    </row>
    <row r="189" spans="1:27" x14ac:dyDescent="0.2">
      <c r="A189" s="13"/>
      <c r="B189" s="13"/>
      <c r="C189" s="13"/>
      <c r="D189" s="13"/>
      <c r="E189" s="101"/>
      <c r="F189" s="6"/>
      <c r="G189" s="6"/>
      <c r="H189" s="6"/>
      <c r="I189" s="6"/>
      <c r="J189" s="6"/>
      <c r="K189" s="6"/>
      <c r="L189" s="6"/>
      <c r="M189" s="6"/>
      <c r="N189" s="6"/>
      <c r="O189" s="6"/>
      <c r="P189" s="6"/>
      <c r="Q189" s="6"/>
      <c r="R189" s="6"/>
      <c r="S189" s="6"/>
      <c r="T189" s="6"/>
      <c r="U189" s="6"/>
      <c r="V189" s="6"/>
      <c r="W189" s="6"/>
      <c r="X189" s="6"/>
      <c r="Y189" s="6"/>
      <c r="Z189" s="6"/>
      <c r="AA189" s="6"/>
    </row>
    <row r="190" spans="1:27" x14ac:dyDescent="0.2">
      <c r="A190" s="13"/>
      <c r="B190" s="13"/>
      <c r="C190" s="13"/>
      <c r="D190" s="13"/>
      <c r="E190" s="101"/>
      <c r="F190" s="6"/>
      <c r="G190" s="6"/>
      <c r="H190" s="6"/>
      <c r="I190" s="6"/>
      <c r="J190" s="6"/>
      <c r="K190" s="6"/>
      <c r="L190" s="6"/>
      <c r="M190" s="6"/>
      <c r="N190" s="6"/>
      <c r="O190" s="6"/>
      <c r="P190" s="6"/>
      <c r="Q190" s="6"/>
      <c r="R190" s="6"/>
      <c r="S190" s="6"/>
      <c r="T190" s="6"/>
      <c r="U190" s="6"/>
      <c r="V190" s="6"/>
      <c r="W190" s="6"/>
      <c r="X190" s="6"/>
      <c r="Y190" s="6"/>
      <c r="Z190" s="6"/>
      <c r="AA190" s="6"/>
    </row>
    <row r="191" spans="1:27" x14ac:dyDescent="0.2">
      <c r="A191" s="13"/>
      <c r="B191" s="13"/>
      <c r="C191" s="13"/>
      <c r="D191" s="13"/>
      <c r="E191" s="101"/>
      <c r="F191" s="6"/>
      <c r="G191" s="6"/>
      <c r="H191" s="6"/>
      <c r="I191" s="6"/>
      <c r="J191" s="6"/>
      <c r="K191" s="6"/>
      <c r="L191" s="6"/>
      <c r="M191" s="6"/>
      <c r="N191" s="6"/>
      <c r="O191" s="6"/>
      <c r="P191" s="6"/>
      <c r="Q191" s="6"/>
      <c r="R191" s="6"/>
      <c r="S191" s="6"/>
      <c r="T191" s="6"/>
      <c r="U191" s="6"/>
      <c r="V191" s="6"/>
      <c r="W191" s="6"/>
      <c r="X191" s="6"/>
      <c r="Y191" s="6"/>
      <c r="Z191" s="6"/>
      <c r="AA191" s="6"/>
    </row>
    <row r="192" spans="1:27" x14ac:dyDescent="0.2">
      <c r="A192" s="13"/>
      <c r="B192" s="13"/>
      <c r="C192" s="13"/>
      <c r="D192" s="13"/>
      <c r="E192" s="101"/>
      <c r="F192" s="6"/>
      <c r="G192" s="6"/>
      <c r="H192" s="6"/>
      <c r="I192" s="6"/>
      <c r="J192" s="6"/>
      <c r="K192" s="6"/>
      <c r="L192" s="6"/>
      <c r="M192" s="6"/>
      <c r="N192" s="6"/>
      <c r="O192" s="6"/>
      <c r="P192" s="6"/>
      <c r="Q192" s="6"/>
      <c r="R192" s="6"/>
      <c r="S192" s="6"/>
      <c r="T192" s="6"/>
      <c r="U192" s="6"/>
      <c r="V192" s="6"/>
      <c r="W192" s="6"/>
      <c r="X192" s="6"/>
      <c r="Y192" s="6"/>
      <c r="Z192" s="6"/>
      <c r="AA192" s="6"/>
    </row>
    <row r="193" spans="1:27" x14ac:dyDescent="0.2">
      <c r="A193" s="13"/>
      <c r="B193" s="13"/>
      <c r="C193" s="13"/>
      <c r="D193" s="13"/>
      <c r="E193" s="101"/>
      <c r="F193" s="6"/>
      <c r="G193" s="6"/>
      <c r="H193" s="6"/>
      <c r="I193" s="6"/>
      <c r="J193" s="6"/>
      <c r="K193" s="6"/>
      <c r="L193" s="6"/>
      <c r="M193" s="6"/>
      <c r="N193" s="6"/>
      <c r="O193" s="6"/>
      <c r="P193" s="6"/>
      <c r="Q193" s="6"/>
      <c r="R193" s="6"/>
      <c r="S193" s="6"/>
      <c r="T193" s="6"/>
      <c r="U193" s="6"/>
      <c r="V193" s="6"/>
      <c r="W193" s="6"/>
      <c r="X193" s="6"/>
      <c r="Y193" s="6"/>
      <c r="Z193" s="6"/>
      <c r="AA193" s="6"/>
    </row>
    <row r="194" spans="1:27" x14ac:dyDescent="0.2">
      <c r="A194" s="13"/>
      <c r="B194" s="13"/>
      <c r="C194" s="13"/>
      <c r="D194" s="13"/>
      <c r="E194" s="101"/>
      <c r="F194" s="6"/>
      <c r="G194" s="6"/>
      <c r="H194" s="6"/>
      <c r="I194" s="6"/>
      <c r="J194" s="6"/>
      <c r="K194" s="6"/>
      <c r="L194" s="6"/>
      <c r="M194" s="6"/>
      <c r="N194" s="6"/>
      <c r="O194" s="6"/>
      <c r="P194" s="6"/>
      <c r="Q194" s="6"/>
      <c r="R194" s="6"/>
      <c r="S194" s="6"/>
      <c r="T194" s="6"/>
      <c r="U194" s="6"/>
      <c r="V194" s="6"/>
      <c r="W194" s="6"/>
      <c r="X194" s="6"/>
      <c r="Y194" s="6"/>
      <c r="Z194" s="6"/>
      <c r="AA194" s="6"/>
    </row>
    <row r="195" spans="1:27" x14ac:dyDescent="0.2">
      <c r="A195" s="13"/>
      <c r="B195" s="13"/>
      <c r="C195" s="13"/>
      <c r="D195" s="13"/>
      <c r="E195" s="101"/>
      <c r="F195" s="6"/>
      <c r="G195" s="6"/>
      <c r="H195" s="6"/>
      <c r="I195" s="6"/>
      <c r="J195" s="6"/>
      <c r="K195" s="6"/>
      <c r="L195" s="6"/>
      <c r="M195" s="6"/>
      <c r="N195" s="6"/>
      <c r="O195" s="6"/>
      <c r="P195" s="6"/>
      <c r="Q195" s="6"/>
      <c r="R195" s="6"/>
      <c r="S195" s="6"/>
      <c r="T195" s="6"/>
      <c r="U195" s="6"/>
      <c r="V195" s="6"/>
      <c r="W195" s="6"/>
      <c r="X195" s="6"/>
      <c r="Y195" s="6"/>
      <c r="Z195" s="6"/>
      <c r="AA195" s="6"/>
    </row>
    <row r="196" spans="1:27" x14ac:dyDescent="0.2">
      <c r="A196" s="13"/>
      <c r="B196" s="13"/>
      <c r="C196" s="13"/>
      <c r="D196" s="13"/>
      <c r="E196" s="101"/>
      <c r="F196" s="6"/>
      <c r="G196" s="6"/>
      <c r="H196" s="6"/>
      <c r="I196" s="6"/>
      <c r="J196" s="6"/>
      <c r="K196" s="6"/>
      <c r="L196" s="6"/>
      <c r="M196" s="6"/>
      <c r="N196" s="6"/>
      <c r="O196" s="6"/>
      <c r="P196" s="6"/>
      <c r="Q196" s="6"/>
      <c r="R196" s="6"/>
      <c r="S196" s="6"/>
      <c r="T196" s="6"/>
      <c r="U196" s="6"/>
      <c r="V196" s="6"/>
      <c r="W196" s="6"/>
      <c r="X196" s="6"/>
      <c r="Y196" s="6"/>
      <c r="Z196" s="6"/>
      <c r="AA196" s="6"/>
    </row>
    <row r="197" spans="1:27" x14ac:dyDescent="0.2">
      <c r="A197" s="13"/>
      <c r="B197" s="13"/>
      <c r="C197" s="13"/>
      <c r="D197" s="13"/>
      <c r="E197" s="101"/>
      <c r="F197" s="6"/>
      <c r="G197" s="6"/>
      <c r="H197" s="6"/>
      <c r="I197" s="6"/>
      <c r="J197" s="6"/>
      <c r="K197" s="6"/>
      <c r="L197" s="6"/>
      <c r="M197" s="6"/>
      <c r="N197" s="6"/>
      <c r="O197" s="6"/>
      <c r="P197" s="6"/>
      <c r="Q197" s="6"/>
      <c r="R197" s="6"/>
      <c r="S197" s="6"/>
      <c r="T197" s="6"/>
      <c r="U197" s="6"/>
      <c r="V197" s="6"/>
      <c r="W197" s="6"/>
      <c r="X197" s="6"/>
      <c r="Y197" s="6"/>
      <c r="Z197" s="6"/>
      <c r="AA197" s="6"/>
    </row>
    <row r="198" spans="1:27" x14ac:dyDescent="0.2">
      <c r="A198" s="13"/>
      <c r="B198" s="13"/>
      <c r="C198" s="13"/>
      <c r="D198" s="13"/>
      <c r="E198" s="101"/>
      <c r="F198" s="6"/>
      <c r="G198" s="6"/>
      <c r="H198" s="6"/>
      <c r="I198" s="6"/>
      <c r="J198" s="6"/>
      <c r="K198" s="6"/>
      <c r="L198" s="6"/>
      <c r="M198" s="6"/>
      <c r="N198" s="6"/>
      <c r="O198" s="6"/>
      <c r="P198" s="6"/>
      <c r="Q198" s="6"/>
      <c r="R198" s="6"/>
      <c r="S198" s="6"/>
      <c r="T198" s="6"/>
      <c r="U198" s="6"/>
      <c r="V198" s="6"/>
      <c r="W198" s="6"/>
      <c r="X198" s="6"/>
      <c r="Y198" s="6"/>
      <c r="Z198" s="6"/>
      <c r="AA198" s="6"/>
    </row>
    <row r="199" spans="1:27" x14ac:dyDescent="0.2">
      <c r="A199" s="13"/>
      <c r="B199" s="13"/>
      <c r="C199" s="13"/>
      <c r="D199" s="13"/>
      <c r="E199" s="101"/>
      <c r="F199" s="6"/>
      <c r="G199" s="6"/>
      <c r="H199" s="6"/>
      <c r="I199" s="6"/>
      <c r="J199" s="6"/>
      <c r="K199" s="6"/>
      <c r="L199" s="6"/>
      <c r="M199" s="6"/>
      <c r="N199" s="6"/>
      <c r="O199" s="6"/>
      <c r="P199" s="6"/>
      <c r="Q199" s="6"/>
      <c r="R199" s="6"/>
      <c r="S199" s="6"/>
      <c r="T199" s="6"/>
      <c r="U199" s="6"/>
      <c r="V199" s="6"/>
      <c r="W199" s="6"/>
      <c r="X199" s="6"/>
      <c r="Y199" s="6"/>
      <c r="Z199" s="6"/>
      <c r="AA199" s="6"/>
    </row>
    <row r="200" spans="1:27" x14ac:dyDescent="0.2">
      <c r="A200" s="13"/>
      <c r="B200" s="13"/>
      <c r="C200" s="13"/>
      <c r="D200" s="13"/>
      <c r="E200" s="101"/>
      <c r="F200" s="6"/>
      <c r="G200" s="6"/>
      <c r="H200" s="6"/>
      <c r="I200" s="6"/>
      <c r="J200" s="6"/>
      <c r="K200" s="6"/>
      <c r="L200" s="6"/>
      <c r="M200" s="6"/>
      <c r="N200" s="6"/>
      <c r="O200" s="6"/>
      <c r="P200" s="6"/>
      <c r="Q200" s="6"/>
      <c r="R200" s="6"/>
      <c r="S200" s="6"/>
      <c r="T200" s="6"/>
      <c r="U200" s="6"/>
      <c r="V200" s="6"/>
      <c r="W200" s="6"/>
      <c r="X200" s="6"/>
      <c r="Y200" s="6"/>
      <c r="Z200" s="6"/>
      <c r="AA200" s="6"/>
    </row>
    <row r="201" spans="1:27" x14ac:dyDescent="0.2">
      <c r="A201" s="13"/>
      <c r="B201" s="13"/>
      <c r="C201" s="13"/>
      <c r="D201" s="13"/>
      <c r="E201" s="101"/>
      <c r="F201" s="6"/>
      <c r="G201" s="6"/>
      <c r="H201" s="6"/>
      <c r="I201" s="6"/>
      <c r="J201" s="6"/>
      <c r="K201" s="6"/>
      <c r="L201" s="6"/>
      <c r="M201" s="6"/>
      <c r="N201" s="6"/>
      <c r="O201" s="6"/>
      <c r="P201" s="6"/>
      <c r="Q201" s="6"/>
      <c r="R201" s="6"/>
      <c r="S201" s="6"/>
      <c r="T201" s="6"/>
      <c r="U201" s="6"/>
      <c r="V201" s="6"/>
      <c r="W201" s="6"/>
      <c r="X201" s="6"/>
      <c r="Y201" s="6"/>
      <c r="Z201" s="6"/>
      <c r="AA201" s="6"/>
    </row>
    <row r="202" spans="1:27" x14ac:dyDescent="0.2">
      <c r="A202" s="13"/>
      <c r="B202" s="13"/>
      <c r="C202" s="13"/>
      <c r="D202" s="13"/>
      <c r="E202" s="101"/>
      <c r="F202" s="6"/>
      <c r="G202" s="6"/>
      <c r="H202" s="6"/>
      <c r="I202" s="6"/>
      <c r="J202" s="6"/>
      <c r="K202" s="6"/>
      <c r="L202" s="6"/>
      <c r="M202" s="6"/>
      <c r="N202" s="6"/>
      <c r="O202" s="6"/>
      <c r="P202" s="6"/>
      <c r="Q202" s="6"/>
      <c r="R202" s="6"/>
      <c r="S202" s="6"/>
      <c r="T202" s="6"/>
      <c r="U202" s="6"/>
      <c r="V202" s="6"/>
      <c r="W202" s="6"/>
      <c r="X202" s="6"/>
      <c r="Y202" s="6"/>
      <c r="Z202" s="6"/>
      <c r="AA202" s="6"/>
    </row>
    <row r="203" spans="1:27" x14ac:dyDescent="0.2">
      <c r="A203" s="13"/>
      <c r="B203" s="13"/>
      <c r="C203" s="13"/>
      <c r="D203" s="13"/>
      <c r="E203" s="101"/>
      <c r="F203" s="6"/>
      <c r="G203" s="6"/>
      <c r="H203" s="6"/>
      <c r="I203" s="6"/>
      <c r="J203" s="6"/>
      <c r="K203" s="6"/>
      <c r="L203" s="6"/>
      <c r="M203" s="6"/>
      <c r="N203" s="6"/>
      <c r="O203" s="6"/>
      <c r="P203" s="6"/>
      <c r="Q203" s="6"/>
      <c r="R203" s="6"/>
      <c r="S203" s="6"/>
      <c r="T203" s="6"/>
      <c r="U203" s="6"/>
      <c r="V203" s="6"/>
      <c r="W203" s="6"/>
      <c r="X203" s="6"/>
      <c r="Y203" s="6"/>
      <c r="Z203" s="6"/>
      <c r="AA203" s="6"/>
    </row>
    <row r="204" spans="1:27" x14ac:dyDescent="0.2">
      <c r="A204" s="13"/>
      <c r="B204" s="13"/>
      <c r="C204" s="13"/>
      <c r="D204" s="13"/>
      <c r="E204" s="101"/>
      <c r="F204" s="6"/>
      <c r="G204" s="6"/>
      <c r="H204" s="6"/>
      <c r="I204" s="6"/>
      <c r="J204" s="6"/>
      <c r="K204" s="6"/>
      <c r="L204" s="6"/>
      <c r="M204" s="6"/>
      <c r="N204" s="6"/>
      <c r="O204" s="6"/>
      <c r="P204" s="6"/>
      <c r="Q204" s="6"/>
      <c r="R204" s="6"/>
      <c r="S204" s="6"/>
      <c r="T204" s="6"/>
      <c r="U204" s="6"/>
      <c r="V204" s="6"/>
      <c r="W204" s="6"/>
      <c r="X204" s="6"/>
      <c r="Y204" s="6"/>
      <c r="Z204" s="6"/>
      <c r="AA204" s="6"/>
    </row>
    <row r="205" spans="1:27" x14ac:dyDescent="0.2">
      <c r="A205" s="13"/>
      <c r="B205" s="13"/>
      <c r="C205" s="13"/>
      <c r="D205" s="13"/>
      <c r="E205" s="101"/>
      <c r="F205" s="6"/>
      <c r="G205" s="6"/>
      <c r="H205" s="6"/>
      <c r="I205" s="6"/>
      <c r="J205" s="6"/>
      <c r="K205" s="6"/>
      <c r="L205" s="6"/>
      <c r="M205" s="6"/>
      <c r="N205" s="6"/>
      <c r="O205" s="6"/>
      <c r="P205" s="6"/>
      <c r="Q205" s="6"/>
      <c r="R205" s="6"/>
      <c r="S205" s="6"/>
      <c r="T205" s="6"/>
      <c r="U205" s="6"/>
      <c r="V205" s="6"/>
      <c r="W205" s="6"/>
      <c r="X205" s="6"/>
      <c r="Y205" s="6"/>
      <c r="Z205" s="6"/>
      <c r="AA205" s="6"/>
    </row>
    <row r="206" spans="1:27" x14ac:dyDescent="0.2">
      <c r="A206" s="13"/>
      <c r="B206" s="13"/>
      <c r="C206" s="13"/>
      <c r="D206" s="13"/>
      <c r="E206" s="101"/>
      <c r="F206" s="6"/>
      <c r="G206" s="6"/>
      <c r="H206" s="6"/>
      <c r="I206" s="6"/>
      <c r="J206" s="6"/>
      <c r="K206" s="6"/>
      <c r="L206" s="6"/>
      <c r="M206" s="6"/>
      <c r="N206" s="6"/>
      <c r="O206" s="6"/>
      <c r="P206" s="6"/>
      <c r="Q206" s="6"/>
      <c r="R206" s="6"/>
      <c r="S206" s="6"/>
      <c r="T206" s="6"/>
      <c r="U206" s="6"/>
      <c r="V206" s="6"/>
      <c r="W206" s="6"/>
      <c r="X206" s="6"/>
      <c r="Y206" s="6"/>
      <c r="Z206" s="6"/>
      <c r="AA206" s="6"/>
    </row>
    <row r="207" spans="1:27" x14ac:dyDescent="0.2">
      <c r="A207" s="13"/>
      <c r="B207" s="13"/>
      <c r="C207" s="13"/>
      <c r="D207" s="13"/>
      <c r="E207" s="101"/>
      <c r="F207" s="6"/>
      <c r="G207" s="6"/>
      <c r="H207" s="6"/>
      <c r="I207" s="6"/>
      <c r="J207" s="6"/>
      <c r="K207" s="6"/>
      <c r="L207" s="6"/>
      <c r="M207" s="6"/>
      <c r="N207" s="6"/>
      <c r="O207" s="6"/>
      <c r="P207" s="6"/>
      <c r="Q207" s="6"/>
      <c r="R207" s="6"/>
      <c r="S207" s="6"/>
      <c r="T207" s="6"/>
      <c r="U207" s="6"/>
      <c r="V207" s="6"/>
      <c r="W207" s="6"/>
      <c r="X207" s="6"/>
      <c r="Y207" s="6"/>
      <c r="Z207" s="6"/>
      <c r="AA207" s="6"/>
    </row>
    <row r="208" spans="1:27" x14ac:dyDescent="0.2">
      <c r="A208" s="13"/>
      <c r="B208" s="13"/>
      <c r="C208" s="13"/>
      <c r="D208" s="13"/>
      <c r="E208" s="101"/>
      <c r="F208" s="6"/>
      <c r="G208" s="6"/>
      <c r="H208" s="6"/>
      <c r="I208" s="6"/>
      <c r="J208" s="6"/>
      <c r="K208" s="6"/>
      <c r="L208" s="6"/>
      <c r="M208" s="6"/>
      <c r="N208" s="6"/>
      <c r="O208" s="6"/>
      <c r="P208" s="6"/>
      <c r="Q208" s="6"/>
      <c r="R208" s="6"/>
      <c r="S208" s="6"/>
      <c r="T208" s="6"/>
      <c r="U208" s="6"/>
      <c r="V208" s="6"/>
      <c r="W208" s="6"/>
      <c r="X208" s="6"/>
      <c r="Y208" s="6"/>
      <c r="Z208" s="6"/>
      <c r="AA208" s="6"/>
    </row>
    <row r="209" spans="1:27" x14ac:dyDescent="0.2">
      <c r="A209" s="13"/>
      <c r="B209" s="13"/>
      <c r="C209" s="13"/>
      <c r="D209" s="13"/>
      <c r="E209" s="101"/>
      <c r="F209" s="6"/>
      <c r="G209" s="6"/>
      <c r="H209" s="6"/>
      <c r="I209" s="6"/>
      <c r="J209" s="6"/>
      <c r="K209" s="6"/>
      <c r="L209" s="6"/>
      <c r="M209" s="6"/>
      <c r="N209" s="6"/>
      <c r="O209" s="6"/>
      <c r="P209" s="6"/>
      <c r="Q209" s="6"/>
      <c r="R209" s="6"/>
      <c r="S209" s="6"/>
      <c r="T209" s="6"/>
      <c r="U209" s="6"/>
      <c r="V209" s="6"/>
      <c r="W209" s="6"/>
      <c r="X209" s="6"/>
      <c r="Y209" s="6"/>
      <c r="Z209" s="6"/>
      <c r="AA209" s="6"/>
    </row>
    <row r="210" spans="1:27" x14ac:dyDescent="0.2">
      <c r="A210" s="13"/>
      <c r="B210" s="13"/>
      <c r="C210" s="13"/>
      <c r="D210" s="13"/>
      <c r="E210" s="101"/>
    </row>
    <row r="211" spans="1:27" x14ac:dyDescent="0.2">
      <c r="A211" s="13"/>
      <c r="B211" s="13"/>
      <c r="C211" s="13"/>
      <c r="D211" s="13"/>
      <c r="E211" s="101"/>
    </row>
    <row r="212" spans="1:27" x14ac:dyDescent="0.2">
      <c r="A212" s="13"/>
      <c r="B212" s="13"/>
      <c r="C212" s="13"/>
      <c r="D212" s="13"/>
      <c r="E212" s="101"/>
    </row>
    <row r="213" spans="1:27" x14ac:dyDescent="0.2">
      <c r="A213" s="13"/>
      <c r="B213" s="13"/>
      <c r="C213" s="13"/>
      <c r="D213" s="13"/>
      <c r="E213" s="101"/>
    </row>
  </sheetData>
  <mergeCells count="10">
    <mergeCell ref="A7:AA7"/>
    <mergeCell ref="F8:AA8"/>
    <mergeCell ref="A8:E8"/>
    <mergeCell ref="A1:E1"/>
    <mergeCell ref="A2:E2"/>
    <mergeCell ref="F4:J4"/>
    <mergeCell ref="A4:E4"/>
    <mergeCell ref="A5:C5"/>
    <mergeCell ref="D5:E5"/>
    <mergeCell ref="M2:R2"/>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Sheet9.reqBondContractDetails">
                <anchor moveWithCells="1">
                  <from>
                    <xdr:col>0</xdr:col>
                    <xdr:colOff>200025</xdr:colOff>
                    <xdr:row>1</xdr:row>
                    <xdr:rowOff>66675</xdr:rowOff>
                  </from>
                  <to>
                    <xdr:col>2</xdr:col>
                    <xdr:colOff>742950</xdr:colOff>
                    <xdr:row>1</xdr:row>
                    <xdr:rowOff>266700</xdr:rowOff>
                  </to>
                </anchor>
              </controlPr>
            </control>
          </mc:Choice>
        </mc:AlternateContent>
        <mc:AlternateContent xmlns:mc="http://schemas.openxmlformats.org/markup-compatibility/2006">
          <mc:Choice Requires="x14">
            <control shapeId="16386" r:id="rId5" name="Button 2">
              <controlPr defaultSize="0" print="0" autoFill="0" autoPict="0" macro="[0]!Sheet9.onShowError">
                <anchor moveWithCells="1">
                  <from>
                    <xdr:col>3</xdr:col>
                    <xdr:colOff>152400</xdr:colOff>
                    <xdr:row>1</xdr:row>
                    <xdr:rowOff>66675</xdr:rowOff>
                  </from>
                  <to>
                    <xdr:col>4</xdr:col>
                    <xdr:colOff>266700</xdr:colOff>
                    <xdr:row>1</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10"/>
  <sheetViews>
    <sheetView zoomScale="80" zoomScaleNormal="80" workbookViewId="0">
      <pane ySplit="10" topLeftCell="A11" activePane="bottomLeft" state="frozenSplit"/>
      <selection activeCell="Q35" sqref="Q35"/>
      <selection pane="bottomLeft" activeCell="Q35" sqref="Q35"/>
    </sheetView>
  </sheetViews>
  <sheetFormatPr defaultRowHeight="12.75" x14ac:dyDescent="0.2"/>
  <cols>
    <col min="3" max="3" width="15" customWidth="1"/>
    <col min="7" max="7" width="13.28515625" customWidth="1"/>
    <col min="8" max="8" width="10.5703125" customWidth="1"/>
    <col min="9" max="9" width="11" customWidth="1"/>
    <col min="10" max="10" width="12.140625" customWidth="1"/>
    <col min="11" max="11" width="11.42578125" customWidth="1"/>
    <col min="12" max="12" width="7.42578125" customWidth="1"/>
    <col min="13" max="13" width="11.140625" customWidth="1"/>
    <col min="14" max="14" width="12.140625" customWidth="1"/>
    <col min="15" max="15" width="1.28515625" customWidth="1"/>
    <col min="16" max="16" width="11" bestFit="1" customWidth="1"/>
    <col min="17" max="17" width="12.140625" customWidth="1"/>
    <col min="18" max="18" width="7.42578125" customWidth="1"/>
    <col min="19" max="19" width="10.7109375" customWidth="1"/>
    <col min="20" max="20" width="13.140625" customWidth="1"/>
    <col min="21" max="21" width="6.5703125" customWidth="1"/>
    <col min="22" max="22" width="0.42578125" style="32" customWidth="1"/>
    <col min="23" max="23" width="14.5703125" hidden="1" customWidth="1"/>
  </cols>
  <sheetData>
    <row r="1" spans="1:25" x14ac:dyDescent="0.2">
      <c r="A1" s="360" t="s">
        <v>48</v>
      </c>
      <c r="B1" s="274"/>
      <c r="C1" s="274"/>
      <c r="D1" s="274"/>
      <c r="E1" s="274"/>
      <c r="F1" s="274"/>
      <c r="G1" s="274"/>
      <c r="H1" s="274"/>
      <c r="I1" s="274"/>
      <c r="J1" s="274"/>
      <c r="K1" s="275"/>
      <c r="L1" s="20"/>
      <c r="M1" s="20"/>
      <c r="P1" s="27"/>
      <c r="Q1" s="30"/>
      <c r="R1" s="30"/>
      <c r="S1" s="27"/>
      <c r="U1" s="32"/>
    </row>
    <row r="2" spans="1:25" ht="28.5" customHeight="1" x14ac:dyDescent="0.2">
      <c r="A2" s="457"/>
      <c r="B2" s="470"/>
      <c r="C2" s="470"/>
      <c r="D2" s="470"/>
      <c r="E2" s="470"/>
      <c r="F2" s="470"/>
      <c r="G2" s="470"/>
      <c r="H2" s="470"/>
      <c r="I2" s="470"/>
      <c r="J2" s="470"/>
      <c r="K2" s="471"/>
      <c r="L2" s="20"/>
      <c r="M2" s="20"/>
      <c r="V2"/>
    </row>
    <row r="3" spans="1:25" x14ac:dyDescent="0.2">
      <c r="J3" s="20"/>
      <c r="K3" s="20"/>
      <c r="L3" s="20"/>
      <c r="M3" s="20"/>
      <c r="V3"/>
    </row>
    <row r="4" spans="1:25" x14ac:dyDescent="0.2">
      <c r="A4" s="360" t="s">
        <v>52</v>
      </c>
      <c r="B4" s="468"/>
      <c r="C4" s="468"/>
      <c r="D4" s="468"/>
      <c r="E4" s="468"/>
      <c r="F4" s="468"/>
      <c r="G4" s="468"/>
      <c r="H4" s="468"/>
      <c r="I4" s="274"/>
      <c r="J4" s="274"/>
      <c r="K4" s="275"/>
      <c r="L4" s="20"/>
      <c r="M4" s="20"/>
      <c r="V4"/>
    </row>
    <row r="5" spans="1:25" x14ac:dyDescent="0.2">
      <c r="A5" s="466" t="s">
        <v>59</v>
      </c>
      <c r="B5" s="444"/>
      <c r="C5" s="277"/>
      <c r="D5" s="358"/>
      <c r="E5" s="467"/>
      <c r="F5" s="35"/>
      <c r="G5" s="35"/>
      <c r="H5" s="469"/>
      <c r="I5" s="277"/>
      <c r="J5" s="35" t="s">
        <v>111</v>
      </c>
      <c r="K5">
        <v>500</v>
      </c>
      <c r="L5" s="20"/>
      <c r="M5" s="20"/>
      <c r="V5"/>
    </row>
    <row r="6" spans="1:25" x14ac:dyDescent="0.2">
      <c r="J6" s="20"/>
      <c r="L6" s="20"/>
      <c r="M6" s="20"/>
      <c r="V6"/>
    </row>
    <row r="7" spans="1:25" x14ac:dyDescent="0.2">
      <c r="A7" s="474" t="s">
        <v>105</v>
      </c>
      <c r="B7" s="277"/>
      <c r="C7" s="277"/>
      <c r="D7" s="277"/>
      <c r="E7" s="277"/>
      <c r="F7" s="277"/>
      <c r="G7" s="277"/>
      <c r="H7" s="277"/>
      <c r="I7" s="277"/>
      <c r="J7" s="277"/>
      <c r="K7" s="277"/>
      <c r="L7" s="277"/>
      <c r="M7" s="277"/>
      <c r="N7" s="277"/>
      <c r="O7" s="277"/>
      <c r="P7" s="277"/>
      <c r="Q7" s="277"/>
      <c r="R7" s="277"/>
      <c r="S7" s="277"/>
      <c r="T7" s="277"/>
      <c r="U7" s="278"/>
      <c r="V7" s="33"/>
      <c r="W7" s="33"/>
    </row>
    <row r="8" spans="1:25" x14ac:dyDescent="0.2">
      <c r="A8" s="472" t="s">
        <v>95</v>
      </c>
      <c r="B8" s="475"/>
      <c r="C8" s="475"/>
      <c r="D8" s="475"/>
      <c r="E8" s="475"/>
      <c r="F8" s="475"/>
      <c r="G8" s="475"/>
      <c r="H8" s="475"/>
      <c r="I8" s="476"/>
      <c r="J8" s="472" t="s">
        <v>106</v>
      </c>
      <c r="K8" s="274"/>
      <c r="L8" s="274"/>
      <c r="M8" s="274"/>
      <c r="N8" s="274"/>
      <c r="O8" s="274"/>
      <c r="P8" s="274"/>
      <c r="Q8" s="274"/>
      <c r="R8" s="274"/>
      <c r="S8" s="274"/>
      <c r="T8" s="274"/>
      <c r="U8" s="275"/>
      <c r="V8" s="33"/>
      <c r="W8" s="33"/>
    </row>
    <row r="9" spans="1:25" x14ac:dyDescent="0.2">
      <c r="A9" s="284" t="s">
        <v>265</v>
      </c>
      <c r="B9" s="282"/>
      <c r="C9" s="282"/>
      <c r="D9" s="282"/>
      <c r="E9" s="282"/>
      <c r="F9" s="282"/>
      <c r="G9" s="282"/>
      <c r="H9" s="282"/>
      <c r="I9" s="290"/>
      <c r="J9" s="473" t="s">
        <v>108</v>
      </c>
      <c r="K9" s="266"/>
      <c r="L9" s="266"/>
      <c r="M9" s="266"/>
      <c r="N9" s="266"/>
      <c r="O9" s="266"/>
      <c r="P9" s="280" t="s">
        <v>109</v>
      </c>
      <c r="Q9" s="277"/>
      <c r="R9" s="277"/>
      <c r="S9" s="277"/>
      <c r="T9" s="277"/>
      <c r="U9" s="278"/>
      <c r="V9" s="33"/>
      <c r="W9" s="33"/>
    </row>
    <row r="10" spans="1:25" x14ac:dyDescent="0.2">
      <c r="A10" s="9" t="s">
        <v>10</v>
      </c>
      <c r="B10" s="9" t="s">
        <v>22</v>
      </c>
      <c r="C10" s="9" t="s">
        <v>565</v>
      </c>
      <c r="D10" s="9" t="s">
        <v>11</v>
      </c>
      <c r="E10" s="9" t="s">
        <v>24</v>
      </c>
      <c r="F10" s="9" t="s">
        <v>88</v>
      </c>
      <c r="G10" s="9" t="s">
        <v>87</v>
      </c>
      <c r="H10" s="9" t="s">
        <v>13</v>
      </c>
      <c r="I10" s="103" t="s">
        <v>41</v>
      </c>
      <c r="J10" s="103" t="s">
        <v>107</v>
      </c>
      <c r="K10" s="164" t="s">
        <v>35</v>
      </c>
      <c r="L10" s="164" t="e">
        <f>[7]!id0?mktMaker?0_BID</f>
        <v>#REF!</v>
      </c>
      <c r="M10" s="104" t="e">
        <f>[7]!id0?price?0_BID</f>
        <v>#REF!</v>
      </c>
      <c r="N10" s="104" t="e">
        <f>[7]!id0?size?0_BID</f>
        <v>#REF!</v>
      </c>
      <c r="O10" s="174" t="e">
        <f>IF(L10=0, 0,SUM(L10:L10))</f>
        <v>#REF!</v>
      </c>
      <c r="P10" s="174" t="e">
        <f>IF(K10=0, 0, SUM(V10:V10)/M10)</f>
        <v>#REF!</v>
      </c>
      <c r="Q10" s="174" t="s">
        <v>35</v>
      </c>
      <c r="R10" s="175" t="e">
        <f>[7]!id0?mktMaker?0_ASK</f>
        <v>#REF!</v>
      </c>
      <c r="S10" s="175" t="e">
        <f>[7]!id0?price?0_ASK</f>
        <v>#REF!</v>
      </c>
      <c r="T10" s="174" t="e">
        <f>[7]!id0?size?0_ASK</f>
        <v>#REF!</v>
      </c>
      <c r="U10" s="28" t="e">
        <f>IF(R10=0, 0,SUM(R10:R10))</f>
        <v>#REF!</v>
      </c>
      <c r="V10" s="32" t="e">
        <f>IF(Q10=0, 0, SUM(W10:W10)/S10)</f>
        <v>#REF!</v>
      </c>
      <c r="W10" s="32" t="e">
        <f>[7]!'id0?req?LASTsingleSpaceTRADEsingleSpaceDATE_STRIKE_MM_PRICE/?0'</f>
        <v>#REF!</v>
      </c>
      <c r="X10" t="e">
        <f t="shared" ref="X10:X19" si="0">(K10*L10)</f>
        <v>#VALUE!</v>
      </c>
      <c r="Y10" t="e">
        <f t="shared" ref="Y10:Y19" si="1">(Q10*R10)</f>
        <v>#VALUE!</v>
      </c>
    </row>
    <row r="11" spans="1:25" x14ac:dyDescent="0.2">
      <c r="A11" s="176" t="s">
        <v>42</v>
      </c>
      <c r="B11" s="176" t="s">
        <v>43</v>
      </c>
      <c r="H11" s="176" t="s">
        <v>491</v>
      </c>
      <c r="I11" t="s">
        <v>44</v>
      </c>
      <c r="J11" s="6"/>
      <c r="K11" s="6"/>
      <c r="L11" s="6" t="e">
        <f>[7]!id0?mktMaker?1_BID</f>
        <v>#REF!</v>
      </c>
      <c r="M11" s="6" t="e">
        <f>[7]!id0?price?1_BID</f>
        <v>#REF!</v>
      </c>
      <c r="N11" s="6" t="e">
        <f>[7]!id0?size?1_BID</f>
        <v>#REF!</v>
      </c>
      <c r="O11" s="237" t="e">
        <f>IF(L11=0, 0,SUM(L10:L11))</f>
        <v>#REF!</v>
      </c>
      <c r="P11" s="6">
        <f>IF(K11=0, 0, SUM(V10:V11)/M11)</f>
        <v>0</v>
      </c>
      <c r="Q11" s="6"/>
      <c r="R11" s="6" t="e">
        <f>[7]!id0?mktMaker?1_ASK</f>
        <v>#REF!</v>
      </c>
      <c r="S11" s="6" t="e">
        <f>[7]!id0?price?1_ASK</f>
        <v>#REF!</v>
      </c>
      <c r="T11" s="6" t="e">
        <f>[7]!id0?size?1_ASK</f>
        <v>#REF!</v>
      </c>
      <c r="U11" s="6" t="e">
        <f>IF(R11=0, 0,SUM(R10:R11))</f>
        <v>#REF!</v>
      </c>
      <c r="V11">
        <f>IF(Q11=0, 0, SUM(W10:W11)/S11)</f>
        <v>0</v>
      </c>
      <c r="X11" t="e">
        <f t="shared" si="0"/>
        <v>#REF!</v>
      </c>
      <c r="Y11" t="e">
        <f t="shared" si="1"/>
        <v>#REF!</v>
      </c>
    </row>
    <row r="12" spans="1:25" x14ac:dyDescent="0.2">
      <c r="A12" s="34"/>
      <c r="J12" s="6"/>
      <c r="K12" s="6"/>
      <c r="L12" s="6" t="e">
        <f>[7]!id0?mktMaker?2_BID</f>
        <v>#REF!</v>
      </c>
      <c r="M12" s="6" t="e">
        <f>[7]!id0?price?2_BID</f>
        <v>#REF!</v>
      </c>
      <c r="N12" s="6" t="e">
        <f>[7]!id0?size?2_BID</f>
        <v>#REF!</v>
      </c>
      <c r="O12" s="237" t="e">
        <f>IF(L12=0, 0,SUM(L10:L12))</f>
        <v>#REF!</v>
      </c>
      <c r="P12" s="6">
        <f>IF(K12=0, 0, SUM(V10:V12)/M12)</f>
        <v>0</v>
      </c>
      <c r="Q12" s="6"/>
      <c r="R12" s="6" t="e">
        <f>[7]!id0?mktMaker?2_ASK</f>
        <v>#REF!</v>
      </c>
      <c r="S12" s="6" t="e">
        <f>[7]!id0?price?2_ASK</f>
        <v>#REF!</v>
      </c>
      <c r="T12" s="6" t="e">
        <f>[7]!id0?size?2_ASK</f>
        <v>#REF!</v>
      </c>
      <c r="U12" s="6" t="e">
        <f>IF(R12=0, 0,SUM(R10:R12))</f>
        <v>#REF!</v>
      </c>
      <c r="V12">
        <f>IF(Q12=0, 0, SUM(W10:W12)/S12)</f>
        <v>0</v>
      </c>
      <c r="X12" t="e">
        <f t="shared" si="0"/>
        <v>#REF!</v>
      </c>
      <c r="Y12" t="e">
        <f t="shared" si="1"/>
        <v>#REF!</v>
      </c>
    </row>
    <row r="13" spans="1:25" x14ac:dyDescent="0.2">
      <c r="J13" s="6"/>
      <c r="K13" s="6"/>
      <c r="L13" s="6" t="e">
        <f>[7]!id0?mktMaker?3_BID</f>
        <v>#REF!</v>
      </c>
      <c r="M13" s="6" t="e">
        <f>[7]!id0?price?3_BID</f>
        <v>#REF!</v>
      </c>
      <c r="N13" s="6" t="e">
        <f>[7]!id0?size?3_BID</f>
        <v>#REF!</v>
      </c>
      <c r="O13" s="237" t="e">
        <f>IF(L13=0, 0,SUM(L10:L13))</f>
        <v>#REF!</v>
      </c>
      <c r="P13" s="6">
        <f>IF(K13=0, 0, SUM(V10:V13)/M13)</f>
        <v>0</v>
      </c>
      <c r="Q13" s="6"/>
      <c r="R13" s="6" t="e">
        <f>[7]!id0?mktMaker?3_ASK</f>
        <v>#REF!</v>
      </c>
      <c r="S13" s="6" t="e">
        <f>[7]!id0?price?3_ASK</f>
        <v>#REF!</v>
      </c>
      <c r="T13" s="6" t="e">
        <f>[7]!id0?size?3_ASK</f>
        <v>#REF!</v>
      </c>
      <c r="U13" s="6" t="e">
        <f>IF(R13=0, 0,SUM(R10:R13))</f>
        <v>#REF!</v>
      </c>
      <c r="V13">
        <f>IF(Q13=0, 0, SUM(W10:W13)/S13)</f>
        <v>0</v>
      </c>
      <c r="X13" t="e">
        <f t="shared" si="0"/>
        <v>#REF!</v>
      </c>
      <c r="Y13" t="e">
        <f t="shared" si="1"/>
        <v>#REF!</v>
      </c>
    </row>
    <row r="14" spans="1:25" x14ac:dyDescent="0.2">
      <c r="J14" s="6"/>
      <c r="K14" s="6"/>
      <c r="L14" s="6" t="e">
        <f>[7]!id0?mktMaker?4_BID</f>
        <v>#REF!</v>
      </c>
      <c r="M14" s="6" t="e">
        <f>[7]!id0?price?4_BID</f>
        <v>#REF!</v>
      </c>
      <c r="N14" s="6" t="e">
        <f>[7]!id0?size?4_BID</f>
        <v>#REF!</v>
      </c>
      <c r="O14" s="237" t="e">
        <f>IF(L14=0, 0,SUM(L10:L14))</f>
        <v>#REF!</v>
      </c>
      <c r="P14" s="6">
        <f>IF(K14=0, 0, SUM(V10:V14)/M14)</f>
        <v>0</v>
      </c>
      <c r="Q14" s="6"/>
      <c r="R14" s="6" t="e">
        <f>[7]!id0?mktMaker?4_ASK</f>
        <v>#REF!</v>
      </c>
      <c r="S14" s="6" t="e">
        <f>[7]!id0?price?4_ASK</f>
        <v>#REF!</v>
      </c>
      <c r="T14" s="6" t="e">
        <f>[7]!id0?size?4_ASK</f>
        <v>#REF!</v>
      </c>
      <c r="U14" s="6" t="e">
        <f>IF(R14=0, 0,SUM(R10:R14))</f>
        <v>#REF!</v>
      </c>
      <c r="V14">
        <f>IF(Q14=0, 0, SUM(W10:W14)/S14)</f>
        <v>0</v>
      </c>
      <c r="X14" t="e">
        <f t="shared" si="0"/>
        <v>#REF!</v>
      </c>
      <c r="Y14" t="e">
        <f t="shared" si="1"/>
        <v>#REF!</v>
      </c>
    </row>
    <row r="15" spans="1:25" x14ac:dyDescent="0.2">
      <c r="J15" s="6"/>
      <c r="K15" s="6"/>
      <c r="L15" s="6" t="e">
        <f>[7]!id0?mktMaker?5_BID</f>
        <v>#REF!</v>
      </c>
      <c r="M15" s="6" t="e">
        <f>[7]!id0?price?5_BID</f>
        <v>#REF!</v>
      </c>
      <c r="N15" s="6" t="e">
        <f>[7]!id0?size?5_BID</f>
        <v>#REF!</v>
      </c>
      <c r="O15" s="237" t="e">
        <f>IF(L15=0, 0,SUM(L10:L15))</f>
        <v>#REF!</v>
      </c>
      <c r="P15" s="6">
        <f>IF(K15=0, 0, SUM(V10:V15)/M15)</f>
        <v>0</v>
      </c>
      <c r="Q15" s="6"/>
      <c r="R15" s="6" t="e">
        <f>[7]!id0?mktMaker?5_ASK</f>
        <v>#REF!</v>
      </c>
      <c r="S15" s="6" t="e">
        <f>[7]!id0?price?5_ASK</f>
        <v>#REF!</v>
      </c>
      <c r="T15" s="6" t="e">
        <f>[7]!id0?size?5_ASK</f>
        <v>#REF!</v>
      </c>
      <c r="U15" s="6" t="e">
        <f>IF(R15=0, 0,SUM(R10:R15))</f>
        <v>#REF!</v>
      </c>
      <c r="V15">
        <f>IF(Q15=0, 0, SUM(W10:W15)/S15)</f>
        <v>0</v>
      </c>
      <c r="X15" t="e">
        <f t="shared" si="0"/>
        <v>#REF!</v>
      </c>
      <c r="Y15" t="e">
        <f t="shared" si="1"/>
        <v>#REF!</v>
      </c>
    </row>
    <row r="16" spans="1:25" x14ac:dyDescent="0.2">
      <c r="J16" s="6"/>
      <c r="K16" s="6"/>
      <c r="L16" s="6" t="e">
        <f>[7]!id0?mktMaker?6_BID</f>
        <v>#REF!</v>
      </c>
      <c r="M16" s="6" t="e">
        <f>[7]!id0?price?6_BID</f>
        <v>#REF!</v>
      </c>
      <c r="N16" s="6" t="e">
        <f>[7]!id0?size?6_BID</f>
        <v>#REF!</v>
      </c>
      <c r="O16" s="237" t="e">
        <f>IF(L16=0, 0,SUM(L10:L16))</f>
        <v>#REF!</v>
      </c>
      <c r="P16" s="6">
        <f>IF(K16=0, 0, SUM(V10:V16)/M16)</f>
        <v>0</v>
      </c>
      <c r="Q16" s="6"/>
      <c r="R16" s="6" t="e">
        <f>[7]!id0?mktMaker?6_ASK</f>
        <v>#REF!</v>
      </c>
      <c r="S16" s="6" t="e">
        <f>[7]!id0?price?6_ASK</f>
        <v>#REF!</v>
      </c>
      <c r="T16" s="6" t="e">
        <f>[7]!id0?size?6_ASK</f>
        <v>#REF!</v>
      </c>
      <c r="U16" s="6" t="e">
        <f>IF(R16=0, 0,SUM(R10:R16))</f>
        <v>#REF!</v>
      </c>
      <c r="V16">
        <f>IF(Q16=0, 0, SUM(W10:W16)/S16)</f>
        <v>0</v>
      </c>
      <c r="X16" t="e">
        <f t="shared" si="0"/>
        <v>#REF!</v>
      </c>
      <c r="Y16" t="e">
        <f t="shared" si="1"/>
        <v>#REF!</v>
      </c>
    </row>
    <row r="17" spans="1:25" x14ac:dyDescent="0.2">
      <c r="J17" s="6"/>
      <c r="K17" s="6"/>
      <c r="L17" s="6" t="e">
        <f>[7]!id0?mktMaker?7_BID</f>
        <v>#REF!</v>
      </c>
      <c r="M17" s="6" t="e">
        <f>[7]!id0?price?7_BID</f>
        <v>#REF!</v>
      </c>
      <c r="N17" s="6" t="e">
        <f>[7]!id0?size?7_BID</f>
        <v>#REF!</v>
      </c>
      <c r="O17" s="237" t="e">
        <f>IF(L17=0, 0,SUM(L10:L17))</f>
        <v>#REF!</v>
      </c>
      <c r="P17" s="6">
        <f>IF(K17=0, 0, SUM(V10:V17)/M17)</f>
        <v>0</v>
      </c>
      <c r="Q17" s="6"/>
      <c r="R17" s="6" t="e">
        <f>[7]!id0?mktMaker?7_ASK</f>
        <v>#REF!</v>
      </c>
      <c r="S17" s="6" t="e">
        <f>[7]!id0?price?7_ASK</f>
        <v>#REF!</v>
      </c>
      <c r="T17" s="6" t="e">
        <f>[7]!id0?size?7_ASK</f>
        <v>#REF!</v>
      </c>
      <c r="U17" s="6" t="e">
        <f>IF(R17=0, 0,SUM(R10:R17))</f>
        <v>#REF!</v>
      </c>
      <c r="V17">
        <f>IF(Q17=0, 0, SUM(W10:W17)/S17)</f>
        <v>0</v>
      </c>
      <c r="X17" t="e">
        <f t="shared" si="0"/>
        <v>#REF!</v>
      </c>
      <c r="Y17" t="e">
        <f t="shared" si="1"/>
        <v>#REF!</v>
      </c>
    </row>
    <row r="18" spans="1:25" x14ac:dyDescent="0.2">
      <c r="J18" s="6"/>
      <c r="K18" s="6"/>
      <c r="L18" s="6" t="e">
        <f>[7]!id0?mktMaker?8_BID</f>
        <v>#REF!</v>
      </c>
      <c r="M18" s="6" t="e">
        <f>[7]!id0?price?8_BID</f>
        <v>#REF!</v>
      </c>
      <c r="N18" s="6" t="e">
        <f>[7]!id0?size?8_BID</f>
        <v>#REF!</v>
      </c>
      <c r="O18" s="237" t="e">
        <f>IF(L18=0, 0,SUM(L10:L18))</f>
        <v>#REF!</v>
      </c>
      <c r="P18" s="6">
        <f>IF(K18=0, 0, SUM(V10:V18)/M18)</f>
        <v>0</v>
      </c>
      <c r="Q18" s="6"/>
      <c r="R18" s="6" t="e">
        <f>[7]!id0?mktMaker?8_ASK</f>
        <v>#REF!</v>
      </c>
      <c r="S18" s="6" t="e">
        <f>[7]!id0?price?8_ASK</f>
        <v>#REF!</v>
      </c>
      <c r="T18" s="6" t="e">
        <f>[7]!id0?size?8_ASK</f>
        <v>#REF!</v>
      </c>
      <c r="U18" s="6" t="e">
        <f>IF(R18=0, 0,SUM(R10:R18))</f>
        <v>#REF!</v>
      </c>
      <c r="V18">
        <f>IF(Q18=0, 0, SUM(W10:W18)/S18)</f>
        <v>0</v>
      </c>
      <c r="X18" t="e">
        <f t="shared" si="0"/>
        <v>#REF!</v>
      </c>
      <c r="Y18" t="e">
        <f t="shared" si="1"/>
        <v>#REF!</v>
      </c>
    </row>
    <row r="19" spans="1:25" x14ac:dyDescent="0.2">
      <c r="J19" s="6"/>
      <c r="K19" s="6"/>
      <c r="L19" s="6" t="e">
        <f>[7]!id0?mktMaker?9_BID</f>
        <v>#REF!</v>
      </c>
      <c r="M19" s="6" t="e">
        <f>[7]!id0?price?9_BID</f>
        <v>#REF!</v>
      </c>
      <c r="N19" s="6" t="e">
        <f>[7]!id0?size?9_BID</f>
        <v>#REF!</v>
      </c>
      <c r="O19" s="237" t="e">
        <f>IF(L19=0, 0,SUM(L10:L19))</f>
        <v>#REF!</v>
      </c>
      <c r="P19" s="6">
        <f>IF(K19=0, 0, SUM(V10:V19)/M19)</f>
        <v>0</v>
      </c>
      <c r="Q19" s="6"/>
      <c r="R19" s="6" t="e">
        <f>[7]!id0?mktMaker?9_ASK</f>
        <v>#REF!</v>
      </c>
      <c r="S19" s="6" t="e">
        <f>[7]!id0?price?9_ASK</f>
        <v>#REF!</v>
      </c>
      <c r="T19" s="6" t="e">
        <f>[7]!id0?size?9_ASK</f>
        <v>#REF!</v>
      </c>
      <c r="U19" s="6" t="e">
        <f>IF(R19=0, 0,SUM(R10:R19))</f>
        <v>#REF!</v>
      </c>
      <c r="V19">
        <f>IF(Q19=0, 0, SUM(W10:W19)/S19)</f>
        <v>0</v>
      </c>
      <c r="X19" t="e">
        <f t="shared" si="0"/>
        <v>#REF!</v>
      </c>
      <c r="Y19" t="e">
        <f t="shared" si="1"/>
        <v>#REF!</v>
      </c>
    </row>
    <row r="20" spans="1:25" x14ac:dyDescent="0.2">
      <c r="J20" s="6"/>
      <c r="K20" s="6"/>
      <c r="L20" s="6"/>
      <c r="M20" s="6"/>
      <c r="N20" s="6"/>
      <c r="O20" s="237"/>
      <c r="P20" s="6"/>
      <c r="Q20" s="6"/>
      <c r="R20" s="6"/>
      <c r="S20" s="6"/>
      <c r="T20" s="6"/>
      <c r="U20" s="6"/>
      <c r="V20"/>
    </row>
    <row r="21" spans="1:25" x14ac:dyDescent="0.2">
      <c r="A21" s="176"/>
      <c r="H21" s="176"/>
      <c r="J21" s="6"/>
      <c r="K21" s="6"/>
      <c r="L21" s="6"/>
      <c r="M21" s="6"/>
      <c r="N21" s="6"/>
      <c r="O21" s="237"/>
      <c r="P21" s="6"/>
      <c r="Q21" s="6"/>
      <c r="R21" s="6"/>
      <c r="S21" s="6"/>
      <c r="T21" s="6"/>
      <c r="U21" s="6"/>
      <c r="V21"/>
    </row>
    <row r="22" spans="1:25" x14ac:dyDescent="0.2">
      <c r="J22" s="6"/>
      <c r="K22" s="6"/>
      <c r="L22" s="6"/>
      <c r="M22" s="6"/>
      <c r="N22" s="6"/>
      <c r="O22" s="237"/>
      <c r="P22" s="6"/>
      <c r="Q22" s="6"/>
      <c r="R22" s="6"/>
      <c r="S22" s="6"/>
      <c r="T22" s="6"/>
      <c r="U22" s="6"/>
      <c r="V22"/>
    </row>
    <row r="23" spans="1:25" x14ac:dyDescent="0.2">
      <c r="J23" s="6"/>
      <c r="K23" s="6"/>
      <c r="L23" s="6"/>
      <c r="M23" s="6"/>
      <c r="N23" s="6"/>
      <c r="O23" s="237"/>
      <c r="P23" s="6"/>
      <c r="Q23" s="6"/>
      <c r="R23" s="6"/>
      <c r="S23" s="6"/>
      <c r="T23" s="6"/>
      <c r="U23" s="6"/>
      <c r="V23"/>
    </row>
    <row r="24" spans="1:25" x14ac:dyDescent="0.2">
      <c r="J24" s="6"/>
      <c r="K24" s="6"/>
      <c r="L24" s="6"/>
      <c r="M24" s="6"/>
      <c r="N24" s="6"/>
      <c r="O24" s="237"/>
      <c r="P24" s="6"/>
      <c r="Q24" s="6"/>
      <c r="R24" s="6"/>
      <c r="S24" s="6"/>
      <c r="T24" s="6"/>
      <c r="U24" s="6"/>
      <c r="V24"/>
    </row>
    <row r="25" spans="1:25" x14ac:dyDescent="0.2">
      <c r="J25" s="6"/>
      <c r="K25" s="6"/>
      <c r="L25" s="6"/>
      <c r="M25" s="6"/>
      <c r="N25" s="6"/>
      <c r="O25" s="237"/>
      <c r="P25" s="6"/>
      <c r="Q25" s="6"/>
      <c r="R25" s="6"/>
      <c r="S25" s="6"/>
      <c r="T25" s="6"/>
      <c r="U25" s="6"/>
      <c r="V25"/>
    </row>
    <row r="26" spans="1:25" x14ac:dyDescent="0.2">
      <c r="J26" s="6"/>
      <c r="K26" s="6"/>
      <c r="L26" s="6"/>
      <c r="M26" s="6"/>
      <c r="N26" s="6"/>
      <c r="O26" s="237"/>
      <c r="P26" s="6"/>
      <c r="Q26" s="6"/>
      <c r="R26" s="6"/>
      <c r="S26" s="6"/>
      <c r="T26" s="6"/>
      <c r="U26" s="6"/>
      <c r="V26"/>
    </row>
    <row r="27" spans="1:25" x14ac:dyDescent="0.2">
      <c r="A27" s="5" t="s">
        <v>492</v>
      </c>
      <c r="B27" s="5" t="s">
        <v>31</v>
      </c>
      <c r="C27" s="5">
        <v>20130517</v>
      </c>
      <c r="D27" s="5">
        <v>490</v>
      </c>
      <c r="E27" s="64" t="s">
        <v>36</v>
      </c>
      <c r="F27" s="5"/>
      <c r="G27" s="5" t="s">
        <v>493</v>
      </c>
      <c r="H27" s="37" t="s">
        <v>68</v>
      </c>
      <c r="I27" s="236" t="s">
        <v>44</v>
      </c>
      <c r="J27" s="6"/>
      <c r="K27" s="6"/>
      <c r="L27" s="6"/>
      <c r="M27" s="6"/>
      <c r="N27" s="6"/>
      <c r="O27" s="237"/>
      <c r="P27" s="6"/>
      <c r="Q27" s="6"/>
      <c r="R27" s="6"/>
      <c r="S27" s="6"/>
      <c r="T27" s="6"/>
      <c r="U27" s="6"/>
      <c r="V27">
        <f t="shared" ref="V27:V36" si="2">(K27*L27)</f>
        <v>0</v>
      </c>
      <c r="W27">
        <f t="shared" ref="W27:W36" si="3">(Q27*R27)</f>
        <v>0</v>
      </c>
    </row>
    <row r="28" spans="1:25" x14ac:dyDescent="0.2">
      <c r="J28" s="6"/>
      <c r="K28" s="6"/>
      <c r="L28" s="6"/>
      <c r="M28" s="6"/>
      <c r="N28" s="6"/>
      <c r="O28" s="237"/>
      <c r="P28" s="6"/>
      <c r="Q28" s="6"/>
      <c r="R28" s="6"/>
      <c r="S28" s="6"/>
      <c r="T28" s="6"/>
      <c r="U28" s="6"/>
      <c r="V28">
        <f t="shared" si="2"/>
        <v>0</v>
      </c>
      <c r="W28">
        <f t="shared" si="3"/>
        <v>0</v>
      </c>
    </row>
    <row r="29" spans="1:25" x14ac:dyDescent="0.2">
      <c r="J29" s="6"/>
      <c r="K29" s="6"/>
      <c r="L29" s="6"/>
      <c r="M29" s="6"/>
      <c r="N29" s="6"/>
      <c r="O29" s="237"/>
      <c r="P29" s="6"/>
      <c r="Q29" s="6"/>
      <c r="R29" s="6"/>
      <c r="S29" s="6"/>
      <c r="T29" s="6"/>
      <c r="U29" s="6"/>
      <c r="V29">
        <f t="shared" si="2"/>
        <v>0</v>
      </c>
      <c r="W29">
        <f t="shared" si="3"/>
        <v>0</v>
      </c>
    </row>
    <row r="30" spans="1:25" x14ac:dyDescent="0.2">
      <c r="J30" s="6"/>
      <c r="K30" s="6"/>
      <c r="L30" s="6"/>
      <c r="M30" s="6"/>
      <c r="N30" s="6"/>
      <c r="O30" s="237"/>
      <c r="P30" s="6"/>
      <c r="Q30" s="6"/>
      <c r="R30" s="6"/>
      <c r="S30" s="6"/>
      <c r="T30" s="6"/>
      <c r="U30" s="6"/>
      <c r="V30">
        <f t="shared" si="2"/>
        <v>0</v>
      </c>
      <c r="W30">
        <f t="shared" si="3"/>
        <v>0</v>
      </c>
    </row>
    <row r="31" spans="1:25" x14ac:dyDescent="0.2">
      <c r="J31" s="6"/>
      <c r="K31" s="6"/>
      <c r="L31" s="6"/>
      <c r="M31" s="6"/>
      <c r="N31" s="6"/>
      <c r="O31" s="237"/>
      <c r="P31" s="6"/>
      <c r="Q31" s="6"/>
      <c r="R31" s="6"/>
      <c r="S31" s="6"/>
      <c r="T31" s="6"/>
      <c r="U31" s="6"/>
      <c r="V31">
        <f t="shared" si="2"/>
        <v>0</v>
      </c>
      <c r="W31">
        <f t="shared" si="3"/>
        <v>0</v>
      </c>
    </row>
    <row r="32" spans="1:25" x14ac:dyDescent="0.2">
      <c r="J32" s="6"/>
      <c r="K32" s="6"/>
      <c r="L32" s="6"/>
      <c r="M32" s="6"/>
      <c r="N32" s="6"/>
      <c r="O32" s="237"/>
      <c r="P32" s="6"/>
      <c r="Q32" s="6"/>
      <c r="R32" s="6"/>
      <c r="S32" s="6"/>
      <c r="T32" s="6"/>
      <c r="U32" s="6"/>
      <c r="V32">
        <f t="shared" si="2"/>
        <v>0</v>
      </c>
      <c r="W32">
        <f t="shared" si="3"/>
        <v>0</v>
      </c>
    </row>
    <row r="33" spans="1:23" x14ac:dyDescent="0.2">
      <c r="J33" s="6"/>
      <c r="K33" s="6"/>
      <c r="L33" s="6"/>
      <c r="M33" s="6"/>
      <c r="N33" s="6"/>
      <c r="O33" s="237"/>
      <c r="P33" s="6"/>
      <c r="Q33" s="6"/>
      <c r="R33" s="6"/>
      <c r="S33" s="6"/>
      <c r="T33" s="6"/>
      <c r="U33" s="6"/>
      <c r="V33">
        <f t="shared" si="2"/>
        <v>0</v>
      </c>
      <c r="W33">
        <f t="shared" si="3"/>
        <v>0</v>
      </c>
    </row>
    <row r="34" spans="1:23" x14ac:dyDescent="0.2">
      <c r="J34" s="6"/>
      <c r="K34" s="6"/>
      <c r="L34" s="6"/>
      <c r="M34" s="6"/>
      <c r="N34" s="6"/>
      <c r="O34" s="237"/>
      <c r="P34" s="6"/>
      <c r="Q34" s="6"/>
      <c r="R34" s="6"/>
      <c r="S34" s="6"/>
      <c r="T34" s="6"/>
      <c r="U34" s="6"/>
      <c r="V34">
        <f t="shared" si="2"/>
        <v>0</v>
      </c>
      <c r="W34">
        <f t="shared" si="3"/>
        <v>0</v>
      </c>
    </row>
    <row r="35" spans="1:23" x14ac:dyDescent="0.2">
      <c r="J35" s="6"/>
      <c r="K35" s="6"/>
      <c r="L35" s="6"/>
      <c r="M35" s="6"/>
      <c r="N35" s="6"/>
      <c r="O35" s="237"/>
      <c r="P35" s="6"/>
      <c r="Q35" s="6"/>
      <c r="R35" s="6"/>
      <c r="S35" s="6"/>
      <c r="T35" s="6"/>
      <c r="U35" s="6"/>
      <c r="V35">
        <f t="shared" si="2"/>
        <v>0</v>
      </c>
      <c r="W35">
        <f t="shared" si="3"/>
        <v>0</v>
      </c>
    </row>
    <row r="36" spans="1:23" x14ac:dyDescent="0.2">
      <c r="J36" s="6"/>
      <c r="K36" s="6"/>
      <c r="L36" s="6"/>
      <c r="M36" s="6"/>
      <c r="N36" s="6"/>
      <c r="O36" s="237"/>
      <c r="P36" s="6"/>
      <c r="Q36" s="6"/>
      <c r="R36" s="6"/>
      <c r="S36" s="6"/>
      <c r="T36" s="6"/>
      <c r="U36" s="6"/>
      <c r="V36">
        <f t="shared" si="2"/>
        <v>0</v>
      </c>
      <c r="W36">
        <f t="shared" si="3"/>
        <v>0</v>
      </c>
    </row>
    <row r="37" spans="1:23" x14ac:dyDescent="0.2">
      <c r="J37" s="6"/>
      <c r="K37" s="6"/>
      <c r="L37" s="6"/>
      <c r="M37" s="6"/>
      <c r="N37" s="6"/>
      <c r="O37" s="237"/>
      <c r="P37" s="6"/>
      <c r="Q37" s="6"/>
      <c r="R37" s="6"/>
      <c r="S37" s="6"/>
      <c r="T37" s="6"/>
      <c r="U37" s="6"/>
      <c r="V37"/>
    </row>
    <row r="38" spans="1:23" x14ac:dyDescent="0.2">
      <c r="J38" s="6"/>
      <c r="K38" s="6"/>
      <c r="L38" s="6"/>
      <c r="M38" s="6"/>
      <c r="N38" s="6"/>
      <c r="O38" s="237"/>
      <c r="P38" s="6"/>
      <c r="Q38" s="6"/>
      <c r="R38" s="6"/>
      <c r="S38" s="6"/>
      <c r="T38" s="6"/>
      <c r="U38" s="6"/>
      <c r="V38"/>
    </row>
    <row r="39" spans="1:23" x14ac:dyDescent="0.2">
      <c r="J39" s="6"/>
      <c r="K39" s="6"/>
      <c r="L39" s="6"/>
      <c r="M39" s="6"/>
      <c r="N39" s="6"/>
      <c r="O39" s="237"/>
      <c r="P39" s="6"/>
      <c r="Q39" s="6"/>
      <c r="R39" s="6"/>
      <c r="S39" s="6"/>
      <c r="T39" s="6"/>
      <c r="U39" s="6"/>
      <c r="V39"/>
    </row>
    <row r="40" spans="1:23" x14ac:dyDescent="0.2">
      <c r="J40" s="6"/>
      <c r="K40" s="6"/>
      <c r="L40" s="6"/>
      <c r="M40" s="6"/>
      <c r="N40" s="6"/>
      <c r="O40" s="237"/>
      <c r="P40" s="6"/>
      <c r="Q40" s="6"/>
      <c r="R40" s="6"/>
      <c r="S40" s="6"/>
      <c r="T40" s="6"/>
      <c r="U40" s="6"/>
      <c r="V40"/>
    </row>
    <row r="41" spans="1:23" x14ac:dyDescent="0.2">
      <c r="J41" s="6"/>
      <c r="K41" s="6"/>
      <c r="L41" s="6"/>
      <c r="M41" s="6"/>
      <c r="N41" s="6"/>
      <c r="O41" s="237"/>
      <c r="P41" s="6"/>
      <c r="Q41" s="6"/>
      <c r="R41" s="6"/>
      <c r="S41" s="6"/>
      <c r="T41" s="6"/>
      <c r="U41" s="6"/>
      <c r="V41"/>
    </row>
    <row r="42" spans="1:23" x14ac:dyDescent="0.2">
      <c r="A42" s="13"/>
      <c r="B42" s="13"/>
      <c r="C42" s="13"/>
      <c r="D42" s="13"/>
      <c r="E42" s="63"/>
      <c r="F42" s="13"/>
      <c r="G42" s="14"/>
      <c r="H42" s="101"/>
      <c r="J42" s="6"/>
      <c r="K42" s="6"/>
      <c r="L42" s="6"/>
      <c r="M42" s="6"/>
      <c r="N42" s="6"/>
      <c r="O42" s="237"/>
      <c r="P42" s="6"/>
      <c r="Q42" s="6"/>
      <c r="R42" s="6"/>
      <c r="S42" s="6"/>
      <c r="T42" s="6"/>
      <c r="U42" s="6"/>
      <c r="V42">
        <f t="shared" ref="V42:V51" si="4">(K42*L42)</f>
        <v>0</v>
      </c>
      <c r="W42">
        <f t="shared" ref="W42:W51" si="5">(Q42*R42)</f>
        <v>0</v>
      </c>
    </row>
    <row r="43" spans="1:23" x14ac:dyDescent="0.2">
      <c r="J43" s="6"/>
      <c r="K43" s="6"/>
      <c r="L43" s="6"/>
      <c r="M43" s="6"/>
      <c r="N43" s="6"/>
      <c r="O43" s="237"/>
      <c r="P43" s="6"/>
      <c r="Q43" s="6"/>
      <c r="R43" s="6"/>
      <c r="S43" s="6"/>
      <c r="T43" s="6"/>
      <c r="U43" s="6"/>
      <c r="V43">
        <f t="shared" si="4"/>
        <v>0</v>
      </c>
      <c r="W43">
        <f t="shared" si="5"/>
        <v>0</v>
      </c>
    </row>
    <row r="44" spans="1:23" x14ac:dyDescent="0.2">
      <c r="J44" s="6"/>
      <c r="K44" s="6"/>
      <c r="L44" s="6"/>
      <c r="M44" s="6"/>
      <c r="N44" s="6"/>
      <c r="O44" s="237"/>
      <c r="P44" s="6"/>
      <c r="Q44" s="6"/>
      <c r="R44" s="6"/>
      <c r="S44" s="6"/>
      <c r="T44" s="6"/>
      <c r="U44" s="6"/>
      <c r="V44">
        <f t="shared" si="4"/>
        <v>0</v>
      </c>
      <c r="W44">
        <f t="shared" si="5"/>
        <v>0</v>
      </c>
    </row>
    <row r="45" spans="1:23" x14ac:dyDescent="0.2">
      <c r="J45" s="6"/>
      <c r="K45" s="6"/>
      <c r="L45" s="6"/>
      <c r="M45" s="6"/>
      <c r="N45" s="6"/>
      <c r="O45" s="237"/>
      <c r="P45" s="6"/>
      <c r="Q45" s="6"/>
      <c r="R45" s="6"/>
      <c r="S45" s="6"/>
      <c r="T45" s="6"/>
      <c r="U45" s="6"/>
      <c r="V45">
        <f t="shared" si="4"/>
        <v>0</v>
      </c>
      <c r="W45">
        <f t="shared" si="5"/>
        <v>0</v>
      </c>
    </row>
    <row r="46" spans="1:23" x14ac:dyDescent="0.2">
      <c r="J46" s="6"/>
      <c r="K46" s="6"/>
      <c r="L46" s="6"/>
      <c r="M46" s="6"/>
      <c r="N46" s="6"/>
      <c r="O46" s="237"/>
      <c r="P46" s="6"/>
      <c r="Q46" s="6"/>
      <c r="R46" s="6"/>
      <c r="S46" s="6"/>
      <c r="T46" s="6"/>
      <c r="U46" s="6"/>
      <c r="V46">
        <f t="shared" si="4"/>
        <v>0</v>
      </c>
      <c r="W46">
        <f t="shared" si="5"/>
        <v>0</v>
      </c>
    </row>
    <row r="47" spans="1:23" x14ac:dyDescent="0.2">
      <c r="J47" s="6"/>
      <c r="K47" s="6"/>
      <c r="L47" s="6"/>
      <c r="M47" s="6"/>
      <c r="N47" s="6"/>
      <c r="O47" s="237"/>
      <c r="P47" s="6"/>
      <c r="Q47" s="6"/>
      <c r="R47" s="6"/>
      <c r="S47" s="6"/>
      <c r="T47" s="6"/>
      <c r="U47" s="6"/>
      <c r="V47">
        <f t="shared" si="4"/>
        <v>0</v>
      </c>
      <c r="W47">
        <f t="shared" si="5"/>
        <v>0</v>
      </c>
    </row>
    <row r="48" spans="1:23" x14ac:dyDescent="0.2">
      <c r="J48" s="6"/>
      <c r="K48" s="6"/>
      <c r="L48" s="6"/>
      <c r="M48" s="6"/>
      <c r="N48" s="6"/>
      <c r="O48" s="237"/>
      <c r="P48" s="6"/>
      <c r="Q48" s="6"/>
      <c r="R48" s="6"/>
      <c r="S48" s="6"/>
      <c r="T48" s="6"/>
      <c r="U48" s="6"/>
      <c r="V48">
        <f t="shared" si="4"/>
        <v>0</v>
      </c>
      <c r="W48">
        <f t="shared" si="5"/>
        <v>0</v>
      </c>
    </row>
    <row r="49" spans="10:23" x14ac:dyDescent="0.2">
      <c r="J49" s="6"/>
      <c r="K49" s="6"/>
      <c r="L49" s="6"/>
      <c r="M49" s="6"/>
      <c r="N49" s="6"/>
      <c r="O49" s="237"/>
      <c r="P49" s="6"/>
      <c r="Q49" s="6"/>
      <c r="R49" s="6"/>
      <c r="S49" s="6"/>
      <c r="T49" s="6"/>
      <c r="U49" s="6"/>
      <c r="V49">
        <f t="shared" si="4"/>
        <v>0</v>
      </c>
      <c r="W49">
        <f t="shared" si="5"/>
        <v>0</v>
      </c>
    </row>
    <row r="50" spans="10:23" x14ac:dyDescent="0.2">
      <c r="J50" s="6"/>
      <c r="K50" s="6"/>
      <c r="L50" s="6"/>
      <c r="M50" s="6"/>
      <c r="N50" s="6"/>
      <c r="O50" s="237"/>
      <c r="P50" s="6"/>
      <c r="Q50" s="6"/>
      <c r="R50" s="6"/>
      <c r="S50" s="6"/>
      <c r="T50" s="6"/>
      <c r="U50" s="6"/>
      <c r="V50">
        <f t="shared" si="4"/>
        <v>0</v>
      </c>
      <c r="W50">
        <f t="shared" si="5"/>
        <v>0</v>
      </c>
    </row>
    <row r="51" spans="10:23" x14ac:dyDescent="0.2">
      <c r="J51" s="6"/>
      <c r="K51" s="6"/>
      <c r="L51" s="6"/>
      <c r="M51" s="6"/>
      <c r="N51" s="6"/>
      <c r="O51" s="237"/>
      <c r="P51" s="6"/>
      <c r="Q51" s="6"/>
      <c r="R51" s="6"/>
      <c r="S51" s="6"/>
      <c r="T51" s="6"/>
      <c r="U51" s="6"/>
      <c r="V51">
        <f t="shared" si="4"/>
        <v>0</v>
      </c>
      <c r="W51">
        <f t="shared" si="5"/>
        <v>0</v>
      </c>
    </row>
    <row r="52" spans="10:23" x14ac:dyDescent="0.2">
      <c r="J52" s="6"/>
      <c r="K52" s="6"/>
      <c r="L52" s="6"/>
      <c r="M52" s="6"/>
      <c r="N52" s="6"/>
      <c r="O52" s="237"/>
      <c r="P52" s="6"/>
      <c r="Q52" s="6"/>
      <c r="R52" s="6"/>
      <c r="S52" s="6"/>
      <c r="T52" s="6"/>
      <c r="U52" s="6"/>
      <c r="V52"/>
    </row>
    <row r="53" spans="10:23" x14ac:dyDescent="0.2">
      <c r="J53" s="6"/>
      <c r="K53" s="6"/>
      <c r="L53" s="6"/>
      <c r="M53" s="6"/>
      <c r="N53" s="6"/>
      <c r="O53" s="237"/>
      <c r="P53" s="6"/>
      <c r="Q53" s="6"/>
      <c r="R53" s="6"/>
      <c r="S53" s="6"/>
      <c r="T53" s="6"/>
      <c r="U53" s="6"/>
      <c r="V53"/>
    </row>
    <row r="54" spans="10:23" x14ac:dyDescent="0.2">
      <c r="J54" s="6"/>
      <c r="K54" s="6"/>
      <c r="L54" s="6"/>
      <c r="M54" s="6"/>
      <c r="N54" s="6"/>
      <c r="O54" s="237"/>
      <c r="P54" s="6"/>
      <c r="Q54" s="6"/>
      <c r="R54" s="6"/>
      <c r="S54" s="6"/>
      <c r="T54" s="6"/>
      <c r="U54" s="6"/>
      <c r="V54"/>
    </row>
    <row r="55" spans="10:23" x14ac:dyDescent="0.2">
      <c r="J55" s="6"/>
      <c r="K55" s="6"/>
      <c r="L55" s="6"/>
      <c r="M55" s="6"/>
      <c r="N55" s="6"/>
      <c r="O55" s="237"/>
      <c r="P55" s="6"/>
      <c r="Q55" s="6"/>
      <c r="R55" s="6"/>
      <c r="S55" s="6"/>
      <c r="T55" s="6"/>
      <c r="U55" s="6"/>
      <c r="V55"/>
    </row>
    <row r="56" spans="10:23" x14ac:dyDescent="0.2">
      <c r="J56" s="6"/>
      <c r="K56" s="6"/>
      <c r="L56" s="6"/>
      <c r="M56" s="6"/>
      <c r="N56" s="6"/>
      <c r="O56" s="237"/>
      <c r="P56" s="6"/>
      <c r="Q56" s="6"/>
      <c r="R56" s="6"/>
      <c r="S56" s="6"/>
      <c r="T56" s="6"/>
      <c r="U56" s="6"/>
      <c r="V56"/>
    </row>
    <row r="57" spans="10:23" x14ac:dyDescent="0.2">
      <c r="J57" s="6"/>
      <c r="K57" s="6"/>
      <c r="L57" s="6"/>
      <c r="M57" s="6"/>
      <c r="N57" s="6"/>
      <c r="O57" s="237"/>
      <c r="P57" s="6"/>
      <c r="Q57" s="6"/>
      <c r="R57" s="6"/>
      <c r="S57" s="6"/>
      <c r="T57" s="6"/>
      <c r="U57" s="6"/>
      <c r="V57"/>
    </row>
    <row r="58" spans="10:23" x14ac:dyDescent="0.2">
      <c r="J58" s="6"/>
      <c r="K58" s="6"/>
      <c r="L58" s="6"/>
      <c r="M58" s="6"/>
      <c r="N58" s="6"/>
      <c r="O58" s="237"/>
      <c r="P58" s="6"/>
      <c r="Q58" s="6"/>
      <c r="R58" s="6"/>
      <c r="S58" s="6"/>
      <c r="T58" s="6"/>
      <c r="U58" s="6"/>
      <c r="V58"/>
    </row>
    <row r="59" spans="10:23" x14ac:dyDescent="0.2">
      <c r="J59" s="6"/>
      <c r="K59" s="6"/>
      <c r="L59" s="6"/>
      <c r="M59" s="6"/>
      <c r="N59" s="6"/>
      <c r="O59" s="237"/>
      <c r="P59" s="6"/>
      <c r="Q59" s="6"/>
      <c r="R59" s="6"/>
      <c r="S59" s="6"/>
      <c r="T59" s="6"/>
      <c r="U59" s="6"/>
      <c r="V59"/>
    </row>
    <row r="60" spans="10:23" x14ac:dyDescent="0.2">
      <c r="J60" s="6"/>
      <c r="K60" s="6"/>
      <c r="L60" s="6"/>
      <c r="M60" s="6"/>
      <c r="N60" s="6"/>
      <c r="O60" s="237"/>
      <c r="P60" s="6"/>
      <c r="Q60" s="6"/>
      <c r="R60" s="6"/>
      <c r="S60" s="6"/>
      <c r="T60" s="6"/>
      <c r="U60" s="6"/>
      <c r="V60"/>
    </row>
    <row r="61" spans="10:23" x14ac:dyDescent="0.2">
      <c r="J61" s="6"/>
      <c r="K61" s="6"/>
      <c r="L61" s="6"/>
      <c r="M61" s="6"/>
      <c r="N61" s="6"/>
      <c r="O61" s="237"/>
      <c r="P61" s="6"/>
      <c r="Q61" s="6"/>
      <c r="R61" s="6"/>
      <c r="S61" s="6"/>
      <c r="T61" s="6"/>
      <c r="U61" s="6"/>
      <c r="V61"/>
    </row>
    <row r="62" spans="10:23" x14ac:dyDescent="0.2">
      <c r="J62" s="6"/>
      <c r="K62" s="6"/>
      <c r="L62" s="6"/>
      <c r="M62" s="6"/>
      <c r="N62" s="6"/>
      <c r="O62" s="237"/>
      <c r="P62" s="6"/>
      <c r="Q62" s="6"/>
      <c r="R62" s="6"/>
      <c r="S62" s="6"/>
      <c r="T62" s="6"/>
      <c r="U62" s="6"/>
      <c r="V62"/>
    </row>
    <row r="63" spans="10:23" x14ac:dyDescent="0.2">
      <c r="J63" s="6"/>
      <c r="K63" s="6"/>
      <c r="L63" s="6"/>
      <c r="M63" s="6"/>
      <c r="N63" s="6"/>
      <c r="O63" s="237"/>
      <c r="P63" s="6"/>
      <c r="Q63" s="6"/>
      <c r="R63" s="6"/>
      <c r="S63" s="6"/>
      <c r="T63" s="6"/>
      <c r="U63" s="6"/>
      <c r="V63"/>
    </row>
    <row r="64" spans="10:23" x14ac:dyDescent="0.2">
      <c r="J64" s="6"/>
      <c r="K64" s="6"/>
      <c r="L64" s="6"/>
      <c r="M64" s="6"/>
      <c r="N64" s="6"/>
      <c r="O64" s="237"/>
      <c r="P64" s="6"/>
      <c r="Q64" s="6"/>
      <c r="R64" s="6"/>
      <c r="S64" s="6"/>
      <c r="T64" s="6"/>
      <c r="U64" s="6"/>
      <c r="V64"/>
    </row>
    <row r="65" spans="10:22" x14ac:dyDescent="0.2">
      <c r="J65" s="6"/>
      <c r="K65" s="6"/>
      <c r="L65" s="6"/>
      <c r="M65" s="6"/>
      <c r="N65" s="6"/>
      <c r="O65" s="237"/>
      <c r="P65" s="6"/>
      <c r="Q65" s="6"/>
      <c r="R65" s="6"/>
      <c r="S65" s="6"/>
      <c r="T65" s="6"/>
      <c r="U65" s="6"/>
      <c r="V65"/>
    </row>
    <row r="66" spans="10:22" x14ac:dyDescent="0.2">
      <c r="J66" s="6"/>
      <c r="K66" s="6"/>
      <c r="L66" s="6"/>
      <c r="M66" s="6"/>
      <c r="N66" s="6"/>
      <c r="O66" s="237"/>
      <c r="P66" s="6"/>
      <c r="Q66" s="6"/>
      <c r="R66" s="6"/>
      <c r="S66" s="6"/>
      <c r="T66" s="6"/>
      <c r="U66" s="6"/>
      <c r="V66"/>
    </row>
    <row r="67" spans="10:22" x14ac:dyDescent="0.2">
      <c r="J67" s="6"/>
      <c r="K67" s="6"/>
      <c r="L67" s="6"/>
      <c r="M67" s="6"/>
      <c r="N67" s="6"/>
      <c r="O67" s="237"/>
      <c r="P67" s="6"/>
      <c r="Q67" s="6"/>
      <c r="R67" s="6"/>
      <c r="S67" s="6"/>
      <c r="T67" s="6"/>
      <c r="U67" s="6"/>
      <c r="V67"/>
    </row>
    <row r="68" spans="10:22" x14ac:dyDescent="0.2">
      <c r="J68" s="6"/>
      <c r="K68" s="6"/>
      <c r="L68" s="6"/>
      <c r="M68" s="6"/>
      <c r="N68" s="6"/>
      <c r="O68" s="237"/>
      <c r="P68" s="6"/>
      <c r="Q68" s="6"/>
      <c r="R68" s="6"/>
      <c r="S68" s="6"/>
      <c r="T68" s="6"/>
      <c r="U68" s="6"/>
      <c r="V68"/>
    </row>
    <row r="69" spans="10:22" x14ac:dyDescent="0.2">
      <c r="J69" s="6"/>
      <c r="K69" s="6"/>
      <c r="L69" s="6"/>
      <c r="M69" s="6"/>
      <c r="N69" s="6"/>
      <c r="O69" s="237"/>
      <c r="P69" s="6"/>
      <c r="Q69" s="6"/>
      <c r="R69" s="6"/>
      <c r="S69" s="6"/>
      <c r="T69" s="6"/>
      <c r="U69" s="6"/>
      <c r="V69"/>
    </row>
    <row r="70" spans="10:22" x14ac:dyDescent="0.2">
      <c r="J70" s="6"/>
      <c r="K70" s="6"/>
      <c r="L70" s="6"/>
      <c r="M70" s="6"/>
      <c r="N70" s="6"/>
      <c r="O70" s="237"/>
      <c r="P70" s="6"/>
      <c r="Q70" s="6"/>
      <c r="R70" s="6"/>
      <c r="S70" s="6"/>
      <c r="T70" s="6"/>
      <c r="U70" s="6"/>
      <c r="V70"/>
    </row>
    <row r="71" spans="10:22" x14ac:dyDescent="0.2">
      <c r="J71" s="6"/>
      <c r="K71" s="6"/>
      <c r="L71" s="6"/>
      <c r="M71" s="6"/>
      <c r="N71" s="6"/>
      <c r="O71" s="237"/>
      <c r="P71" s="6"/>
      <c r="Q71" s="6"/>
      <c r="R71" s="6"/>
      <c r="S71" s="6"/>
      <c r="T71" s="6"/>
      <c r="U71" s="6"/>
      <c r="V71"/>
    </row>
    <row r="72" spans="10:22" x14ac:dyDescent="0.2">
      <c r="J72" s="6"/>
      <c r="K72" s="6"/>
      <c r="L72" s="6"/>
      <c r="M72" s="6"/>
      <c r="N72" s="6"/>
      <c r="O72" s="237"/>
      <c r="P72" s="6"/>
      <c r="Q72" s="6"/>
      <c r="R72" s="6"/>
      <c r="S72" s="6"/>
      <c r="T72" s="6"/>
      <c r="U72" s="6"/>
      <c r="V72"/>
    </row>
    <row r="73" spans="10:22" x14ac:dyDescent="0.2">
      <c r="J73" s="6"/>
      <c r="K73" s="6"/>
      <c r="L73" s="6"/>
      <c r="M73" s="6"/>
      <c r="N73" s="6"/>
      <c r="O73" s="237"/>
      <c r="P73" s="6"/>
      <c r="Q73" s="6"/>
      <c r="R73" s="6"/>
      <c r="S73" s="6"/>
      <c r="T73" s="6"/>
      <c r="U73" s="6"/>
      <c r="V73"/>
    </row>
    <row r="74" spans="10:22" x14ac:dyDescent="0.2">
      <c r="J74" s="6"/>
      <c r="K74" s="6"/>
      <c r="L74" s="6"/>
      <c r="M74" s="6"/>
      <c r="N74" s="6"/>
      <c r="O74" s="237"/>
      <c r="P74" s="6"/>
      <c r="Q74" s="6"/>
      <c r="R74" s="6"/>
      <c r="S74" s="6"/>
      <c r="T74" s="6"/>
      <c r="U74" s="6"/>
      <c r="V74"/>
    </row>
    <row r="75" spans="10:22" x14ac:dyDescent="0.2">
      <c r="J75" s="6"/>
      <c r="K75" s="6"/>
      <c r="L75" s="6"/>
      <c r="M75" s="6"/>
      <c r="N75" s="6"/>
      <c r="O75" s="237"/>
      <c r="P75" s="6"/>
      <c r="Q75" s="6"/>
      <c r="R75" s="6"/>
      <c r="S75" s="6"/>
      <c r="T75" s="6"/>
      <c r="U75" s="6"/>
      <c r="V75"/>
    </row>
    <row r="76" spans="10:22" x14ac:dyDescent="0.2">
      <c r="J76" s="6"/>
      <c r="K76" s="6"/>
      <c r="L76" s="6"/>
      <c r="M76" s="6"/>
      <c r="N76" s="6"/>
      <c r="O76" s="237"/>
      <c r="P76" s="6"/>
      <c r="Q76" s="6"/>
      <c r="R76" s="6"/>
      <c r="S76" s="6"/>
      <c r="T76" s="6"/>
      <c r="U76" s="6"/>
      <c r="V76"/>
    </row>
    <row r="77" spans="10:22" x14ac:dyDescent="0.2">
      <c r="J77" s="6"/>
      <c r="K77" s="6"/>
      <c r="L77" s="6"/>
      <c r="M77" s="6"/>
      <c r="N77" s="6"/>
      <c r="O77" s="237"/>
      <c r="P77" s="6"/>
      <c r="Q77" s="6"/>
      <c r="R77" s="6"/>
      <c r="S77" s="6"/>
      <c r="T77" s="6"/>
      <c r="U77" s="6"/>
      <c r="V77"/>
    </row>
    <row r="78" spans="10:22" x14ac:dyDescent="0.2">
      <c r="J78" s="6"/>
      <c r="K78" s="6"/>
      <c r="L78" s="6"/>
      <c r="M78" s="6"/>
      <c r="N78" s="6"/>
      <c r="O78" s="237"/>
      <c r="P78" s="6"/>
      <c r="Q78" s="6"/>
      <c r="R78" s="6"/>
      <c r="S78" s="6"/>
      <c r="T78" s="6"/>
      <c r="U78" s="6"/>
      <c r="V78"/>
    </row>
    <row r="79" spans="10:22" x14ac:dyDescent="0.2">
      <c r="J79" s="6"/>
      <c r="K79" s="6"/>
      <c r="L79" s="6"/>
      <c r="M79" s="6"/>
      <c r="N79" s="6"/>
      <c r="O79" s="237"/>
      <c r="P79" s="6"/>
      <c r="Q79" s="6"/>
      <c r="R79" s="6"/>
      <c r="S79" s="6"/>
      <c r="T79" s="6"/>
      <c r="U79" s="6"/>
      <c r="V79"/>
    </row>
    <row r="80" spans="10:22" x14ac:dyDescent="0.2">
      <c r="J80" s="6"/>
      <c r="K80" s="6"/>
      <c r="L80" s="6"/>
      <c r="M80" s="6"/>
      <c r="N80" s="6"/>
      <c r="O80" s="237"/>
      <c r="P80" s="6"/>
      <c r="Q80" s="6"/>
      <c r="R80" s="6"/>
      <c r="S80" s="6"/>
      <c r="T80" s="6"/>
      <c r="U80" s="6"/>
      <c r="V80"/>
    </row>
    <row r="81" spans="10:23" x14ac:dyDescent="0.2">
      <c r="J81" s="6"/>
      <c r="K81" s="6"/>
      <c r="L81" s="6"/>
      <c r="M81" s="6"/>
      <c r="N81" s="6"/>
      <c r="O81" s="237"/>
      <c r="P81" s="6"/>
      <c r="Q81" s="6"/>
      <c r="R81" s="6"/>
      <c r="S81" s="6"/>
      <c r="T81" s="6"/>
      <c r="U81" s="6"/>
      <c r="V81"/>
    </row>
    <row r="82" spans="10:23" x14ac:dyDescent="0.2">
      <c r="J82" s="6"/>
      <c r="K82" s="6"/>
      <c r="L82" s="6"/>
      <c r="M82" s="6"/>
      <c r="N82" s="6"/>
      <c r="O82" s="237"/>
      <c r="P82" s="6"/>
      <c r="Q82" s="6"/>
      <c r="R82" s="6"/>
      <c r="S82" s="6"/>
      <c r="T82" s="6"/>
      <c r="U82" s="6"/>
      <c r="V82"/>
    </row>
    <row r="83" spans="10:23" x14ac:dyDescent="0.2">
      <c r="J83" s="6"/>
      <c r="K83" s="6"/>
      <c r="L83" s="6"/>
      <c r="M83" s="6"/>
      <c r="N83" s="6"/>
      <c r="O83" s="237"/>
      <c r="P83" s="6"/>
      <c r="Q83" s="6"/>
      <c r="R83" s="6"/>
      <c r="S83" s="6"/>
      <c r="T83" s="6"/>
      <c r="U83" s="6"/>
      <c r="V83"/>
    </row>
    <row r="84" spans="10:23" x14ac:dyDescent="0.2">
      <c r="J84" s="6"/>
      <c r="K84" s="6"/>
      <c r="L84" s="6"/>
      <c r="M84" s="6"/>
      <c r="N84" s="6"/>
      <c r="O84" s="237"/>
      <c r="P84" s="6"/>
      <c r="Q84" s="6"/>
      <c r="R84" s="6"/>
      <c r="S84" s="6"/>
      <c r="T84" s="6"/>
      <c r="U84" s="6"/>
      <c r="V84"/>
    </row>
    <row r="85" spans="10:23" x14ac:dyDescent="0.2">
      <c r="J85" s="6"/>
      <c r="K85" s="6"/>
      <c r="L85" s="6"/>
      <c r="M85" s="6"/>
      <c r="N85" s="6"/>
      <c r="O85" s="237"/>
      <c r="P85" s="6"/>
      <c r="Q85" s="6"/>
      <c r="R85" s="6"/>
      <c r="S85" s="6"/>
      <c r="T85" s="6"/>
      <c r="U85" s="6"/>
      <c r="V85"/>
    </row>
    <row r="86" spans="10:23" x14ac:dyDescent="0.2">
      <c r="J86" s="6"/>
      <c r="K86" s="6"/>
      <c r="L86" s="6"/>
      <c r="M86" s="6"/>
      <c r="N86" s="6"/>
      <c r="O86" s="237"/>
      <c r="P86" s="6"/>
      <c r="Q86" s="6"/>
      <c r="R86" s="6"/>
      <c r="S86" s="6"/>
      <c r="T86" s="6"/>
      <c r="U86" s="6"/>
      <c r="V86"/>
    </row>
    <row r="87" spans="10:23" x14ac:dyDescent="0.2">
      <c r="J87" s="6"/>
      <c r="K87" s="6"/>
      <c r="L87" s="6"/>
      <c r="M87" s="6"/>
      <c r="N87" s="6"/>
      <c r="O87" s="237"/>
      <c r="P87" s="6"/>
      <c r="Q87" s="6"/>
      <c r="R87" s="6"/>
      <c r="S87" s="6"/>
      <c r="T87" s="6"/>
      <c r="U87" s="6"/>
      <c r="V87"/>
    </row>
    <row r="88" spans="10:23" x14ac:dyDescent="0.2">
      <c r="J88" s="6"/>
      <c r="K88" s="6"/>
      <c r="L88" s="6"/>
      <c r="M88" s="6"/>
      <c r="N88" s="6"/>
      <c r="O88" s="237"/>
      <c r="P88" s="6"/>
      <c r="Q88" s="6"/>
      <c r="R88" s="6"/>
      <c r="S88" s="6"/>
      <c r="T88" s="6"/>
      <c r="U88" s="6"/>
      <c r="W88" s="32"/>
    </row>
    <row r="89" spans="10:23" x14ac:dyDescent="0.2">
      <c r="J89" s="6"/>
      <c r="K89" s="6"/>
      <c r="L89" s="6"/>
      <c r="M89" s="6"/>
      <c r="N89" s="6"/>
      <c r="O89" s="237"/>
      <c r="P89" s="6"/>
      <c r="Q89" s="6"/>
      <c r="R89" s="6"/>
      <c r="S89" s="6"/>
      <c r="T89" s="6"/>
      <c r="U89" s="6"/>
      <c r="W89" s="32"/>
    </row>
    <row r="90" spans="10:23" x14ac:dyDescent="0.2">
      <c r="J90" s="6"/>
      <c r="K90" s="6"/>
      <c r="L90" s="6"/>
      <c r="M90" s="6"/>
      <c r="N90" s="6"/>
      <c r="O90" s="237"/>
      <c r="P90" s="6"/>
      <c r="Q90" s="6"/>
      <c r="R90" s="6"/>
      <c r="S90" s="6"/>
      <c r="T90" s="6"/>
      <c r="U90" s="6"/>
      <c r="W90" s="32"/>
    </row>
    <row r="91" spans="10:23" x14ac:dyDescent="0.2">
      <c r="J91" s="6"/>
      <c r="K91" s="6"/>
      <c r="L91" s="6"/>
      <c r="M91" s="6"/>
      <c r="N91" s="6"/>
      <c r="O91" s="237"/>
      <c r="P91" s="6"/>
      <c r="Q91" s="6"/>
      <c r="R91" s="6"/>
      <c r="S91" s="6"/>
      <c r="T91" s="6"/>
      <c r="U91" s="6"/>
      <c r="W91" s="32"/>
    </row>
    <row r="92" spans="10:23" x14ac:dyDescent="0.2">
      <c r="J92" s="6"/>
      <c r="K92" s="6"/>
      <c r="L92" s="6"/>
      <c r="M92" s="6"/>
      <c r="N92" s="6"/>
      <c r="O92" s="237"/>
      <c r="P92" s="6"/>
      <c r="Q92" s="6"/>
      <c r="R92" s="6"/>
      <c r="S92" s="6"/>
      <c r="T92" s="6"/>
      <c r="U92" s="6"/>
      <c r="W92" s="32"/>
    </row>
    <row r="93" spans="10:23" x14ac:dyDescent="0.2">
      <c r="J93" s="6"/>
      <c r="K93" s="6"/>
      <c r="L93" s="6"/>
      <c r="M93" s="6"/>
      <c r="N93" s="6"/>
      <c r="O93" s="237"/>
      <c r="P93" s="6"/>
      <c r="Q93" s="6"/>
      <c r="R93" s="6"/>
      <c r="S93" s="6"/>
      <c r="T93" s="6"/>
      <c r="U93" s="6"/>
      <c r="W93" s="32"/>
    </row>
    <row r="94" spans="10:23" x14ac:dyDescent="0.2">
      <c r="J94" s="6"/>
      <c r="K94" s="6"/>
      <c r="L94" s="6"/>
      <c r="M94" s="6"/>
      <c r="N94" s="6"/>
      <c r="O94" s="237"/>
      <c r="P94" s="6"/>
      <c r="Q94" s="6"/>
      <c r="R94" s="6"/>
      <c r="S94" s="6"/>
      <c r="T94" s="6"/>
      <c r="U94" s="6"/>
      <c r="W94" s="32"/>
    </row>
    <row r="95" spans="10:23" x14ac:dyDescent="0.2">
      <c r="J95" s="6"/>
      <c r="K95" s="6"/>
      <c r="L95" s="6"/>
      <c r="M95" s="6"/>
      <c r="N95" s="6"/>
      <c r="O95" s="237"/>
      <c r="P95" s="6"/>
      <c r="Q95" s="6"/>
      <c r="R95" s="6"/>
      <c r="S95" s="6"/>
      <c r="T95" s="6"/>
      <c r="U95" s="6"/>
      <c r="W95" s="32"/>
    </row>
    <row r="96" spans="10:23" x14ac:dyDescent="0.2">
      <c r="J96" s="6"/>
      <c r="K96" s="6"/>
      <c r="L96" s="6"/>
      <c r="M96" s="6"/>
      <c r="N96" s="6"/>
      <c r="O96" s="237"/>
      <c r="P96" s="6"/>
      <c r="Q96" s="6"/>
      <c r="R96" s="6"/>
      <c r="S96" s="6"/>
      <c r="T96" s="6"/>
      <c r="U96" s="6"/>
      <c r="W96" s="32"/>
    </row>
    <row r="97" spans="10:23" x14ac:dyDescent="0.2">
      <c r="J97" s="6"/>
      <c r="K97" s="6"/>
      <c r="L97" s="6"/>
      <c r="M97" s="6"/>
      <c r="N97" s="6"/>
      <c r="O97" s="237"/>
      <c r="P97" s="6"/>
      <c r="Q97" s="6"/>
      <c r="R97" s="6"/>
      <c r="S97" s="6"/>
      <c r="T97" s="6"/>
      <c r="U97" s="6"/>
      <c r="W97" s="32"/>
    </row>
    <row r="98" spans="10:23" x14ac:dyDescent="0.2">
      <c r="J98" s="6"/>
      <c r="K98" s="6"/>
      <c r="L98" s="6"/>
      <c r="M98" s="6"/>
      <c r="N98" s="6"/>
      <c r="O98" s="237"/>
      <c r="P98" s="6"/>
      <c r="Q98" s="6"/>
      <c r="R98" s="6"/>
      <c r="S98" s="6"/>
      <c r="T98" s="6"/>
      <c r="U98" s="6"/>
      <c r="W98" s="32"/>
    </row>
    <row r="99" spans="10:23" x14ac:dyDescent="0.2">
      <c r="J99" s="6"/>
      <c r="K99" s="6"/>
      <c r="L99" s="6"/>
      <c r="M99" s="6"/>
      <c r="N99" s="6"/>
      <c r="O99" s="237"/>
      <c r="P99" s="6"/>
      <c r="Q99" s="6"/>
      <c r="R99" s="6"/>
      <c r="S99" s="6"/>
      <c r="T99" s="6"/>
      <c r="U99" s="6"/>
      <c r="W99" s="32"/>
    </row>
    <row r="100" spans="10:23" x14ac:dyDescent="0.2">
      <c r="J100" s="6"/>
      <c r="K100" s="6"/>
      <c r="L100" s="6"/>
      <c r="M100" s="6"/>
      <c r="N100" s="6"/>
      <c r="O100" s="237"/>
      <c r="P100" s="6"/>
      <c r="Q100" s="6"/>
      <c r="R100" s="6"/>
      <c r="S100" s="6"/>
      <c r="T100" s="6"/>
      <c r="U100" s="6"/>
      <c r="W100" s="32"/>
    </row>
    <row r="101" spans="10:23" x14ac:dyDescent="0.2">
      <c r="J101" s="6"/>
      <c r="K101" s="6"/>
      <c r="L101" s="6"/>
      <c r="M101" s="6"/>
      <c r="N101" s="6"/>
      <c r="O101" s="237"/>
      <c r="P101" s="6"/>
      <c r="Q101" s="6"/>
      <c r="R101" s="6"/>
      <c r="S101" s="6"/>
      <c r="T101" s="6"/>
      <c r="U101" s="6"/>
      <c r="W101" s="32"/>
    </row>
    <row r="102" spans="10:23" x14ac:dyDescent="0.2">
      <c r="J102" s="6"/>
      <c r="K102" s="6"/>
      <c r="L102" s="6"/>
      <c r="M102" s="6"/>
      <c r="N102" s="6"/>
      <c r="O102" s="237"/>
      <c r="P102" s="6"/>
      <c r="Q102" s="6"/>
      <c r="R102" s="6"/>
      <c r="S102" s="6"/>
      <c r="T102" s="6"/>
      <c r="U102" s="6"/>
      <c r="W102" s="32"/>
    </row>
    <row r="103" spans="10:23" x14ac:dyDescent="0.2">
      <c r="J103" s="6"/>
      <c r="K103" s="6"/>
      <c r="L103" s="6"/>
      <c r="M103" s="6"/>
      <c r="N103" s="6"/>
      <c r="O103" s="237"/>
      <c r="P103" s="6"/>
      <c r="Q103" s="6"/>
      <c r="R103" s="6"/>
      <c r="S103" s="6"/>
      <c r="T103" s="6"/>
      <c r="U103" s="6"/>
      <c r="W103" s="32"/>
    </row>
    <row r="104" spans="10:23" x14ac:dyDescent="0.2">
      <c r="J104" s="6"/>
      <c r="K104" s="6"/>
      <c r="L104" s="6"/>
      <c r="M104" s="6"/>
      <c r="N104" s="6"/>
      <c r="O104" s="237"/>
      <c r="P104" s="6"/>
      <c r="Q104" s="6"/>
      <c r="R104" s="6"/>
      <c r="S104" s="6"/>
      <c r="T104" s="6"/>
      <c r="U104" s="6"/>
      <c r="W104" s="32"/>
    </row>
    <row r="105" spans="10:23" x14ac:dyDescent="0.2">
      <c r="J105" s="6"/>
      <c r="K105" s="6"/>
      <c r="L105" s="6"/>
      <c r="M105" s="6"/>
      <c r="N105" s="6"/>
      <c r="O105" s="237"/>
      <c r="P105" s="6"/>
      <c r="Q105" s="6"/>
      <c r="R105" s="6"/>
      <c r="S105" s="6"/>
      <c r="T105" s="6"/>
      <c r="U105" s="6"/>
      <c r="W105" s="32"/>
    </row>
    <row r="106" spans="10:23" x14ac:dyDescent="0.2">
      <c r="J106" s="6"/>
      <c r="K106" s="6"/>
      <c r="L106" s="6"/>
      <c r="M106" s="6"/>
      <c r="N106" s="6"/>
      <c r="O106" s="237"/>
      <c r="P106" s="6"/>
      <c r="Q106" s="6"/>
      <c r="R106" s="6"/>
      <c r="S106" s="6"/>
      <c r="T106" s="6"/>
      <c r="U106" s="6"/>
      <c r="W106" s="32"/>
    </row>
    <row r="107" spans="10:23" x14ac:dyDescent="0.2">
      <c r="J107" s="6"/>
      <c r="K107" s="6"/>
      <c r="L107" s="6"/>
      <c r="M107" s="6"/>
      <c r="N107" s="6"/>
      <c r="O107" s="237"/>
      <c r="P107" s="6"/>
      <c r="Q107" s="6"/>
      <c r="R107" s="6"/>
      <c r="S107" s="6"/>
      <c r="T107" s="6"/>
      <c r="U107" s="6"/>
      <c r="W107" s="32"/>
    </row>
    <row r="108" spans="10:23" x14ac:dyDescent="0.2">
      <c r="J108" s="6"/>
      <c r="K108" s="6"/>
      <c r="L108" s="6"/>
      <c r="M108" s="6"/>
      <c r="N108" s="6"/>
      <c r="O108" s="237"/>
      <c r="P108" s="6"/>
      <c r="Q108" s="6"/>
      <c r="R108" s="6"/>
      <c r="S108" s="6"/>
      <c r="T108" s="6"/>
      <c r="U108" s="6"/>
      <c r="W108" s="32"/>
    </row>
    <row r="109" spans="10:23" x14ac:dyDescent="0.2">
      <c r="J109" s="6"/>
      <c r="K109" s="6"/>
      <c r="L109" s="6"/>
      <c r="M109" s="6"/>
      <c r="N109" s="6"/>
      <c r="O109" s="237"/>
      <c r="P109" s="6"/>
      <c r="Q109" s="6"/>
      <c r="R109" s="6"/>
      <c r="S109" s="6"/>
      <c r="T109" s="6"/>
      <c r="U109" s="6"/>
      <c r="W109" s="32"/>
    </row>
    <row r="110" spans="10:23" x14ac:dyDescent="0.2">
      <c r="J110" s="6"/>
      <c r="K110" s="6"/>
      <c r="L110" s="6"/>
      <c r="M110" s="6"/>
      <c r="N110" s="6"/>
      <c r="O110" s="237"/>
      <c r="P110" s="6"/>
      <c r="Q110" s="6"/>
      <c r="R110" s="6"/>
      <c r="S110" s="6"/>
      <c r="T110" s="6"/>
      <c r="U110" s="6"/>
      <c r="W110" s="32"/>
    </row>
    <row r="111" spans="10:23" x14ac:dyDescent="0.2">
      <c r="J111" s="6"/>
      <c r="K111" s="6"/>
      <c r="L111" s="6"/>
      <c r="M111" s="6"/>
      <c r="N111" s="6"/>
      <c r="O111" s="237"/>
      <c r="P111" s="6"/>
      <c r="Q111" s="6"/>
      <c r="R111" s="6"/>
      <c r="S111" s="6"/>
      <c r="T111" s="6"/>
      <c r="U111" s="6"/>
      <c r="W111" s="32"/>
    </row>
    <row r="112" spans="10:23" x14ac:dyDescent="0.2">
      <c r="J112" s="6"/>
      <c r="K112" s="6"/>
      <c r="L112" s="6"/>
      <c r="M112" s="6"/>
      <c r="N112" s="6"/>
      <c r="O112" s="237"/>
      <c r="P112" s="6"/>
      <c r="Q112" s="6"/>
      <c r="R112" s="6"/>
      <c r="S112" s="6"/>
      <c r="T112" s="6"/>
      <c r="U112" s="6"/>
      <c r="W112" s="32"/>
    </row>
    <row r="113" spans="10:23" x14ac:dyDescent="0.2">
      <c r="J113" s="6"/>
      <c r="K113" s="6"/>
      <c r="L113" s="6"/>
      <c r="M113" s="6"/>
      <c r="N113" s="6"/>
      <c r="O113" s="237"/>
      <c r="P113" s="6"/>
      <c r="Q113" s="6"/>
      <c r="R113" s="6"/>
      <c r="S113" s="6"/>
      <c r="T113" s="6"/>
      <c r="U113" s="6"/>
      <c r="W113" s="32"/>
    </row>
    <row r="114" spans="10:23" x14ac:dyDescent="0.2">
      <c r="J114" s="6"/>
      <c r="K114" s="6"/>
      <c r="L114" s="6"/>
      <c r="M114" s="6"/>
      <c r="N114" s="6"/>
      <c r="O114" s="237"/>
      <c r="P114" s="6"/>
      <c r="Q114" s="6"/>
      <c r="R114" s="6"/>
      <c r="S114" s="6"/>
      <c r="T114" s="6"/>
      <c r="U114" s="6"/>
      <c r="W114" s="32"/>
    </row>
    <row r="115" spans="10:23" x14ac:dyDescent="0.2">
      <c r="J115" s="6"/>
      <c r="K115" s="6"/>
      <c r="L115" s="6"/>
      <c r="M115" s="6"/>
      <c r="N115" s="6"/>
      <c r="O115" s="237"/>
      <c r="P115" s="6"/>
      <c r="Q115" s="6"/>
      <c r="R115" s="6"/>
      <c r="S115" s="6"/>
      <c r="T115" s="6"/>
      <c r="U115" s="6"/>
      <c r="W115" s="32"/>
    </row>
    <row r="116" spans="10:23" x14ac:dyDescent="0.2">
      <c r="J116" s="6"/>
      <c r="K116" s="6"/>
      <c r="L116" s="6"/>
      <c r="M116" s="6"/>
      <c r="N116" s="6"/>
      <c r="O116" s="237"/>
      <c r="P116" s="6"/>
      <c r="Q116" s="6"/>
      <c r="R116" s="6"/>
      <c r="S116" s="6"/>
      <c r="T116" s="6"/>
      <c r="U116" s="6"/>
      <c r="W116" s="32"/>
    </row>
    <row r="117" spans="10:23" x14ac:dyDescent="0.2">
      <c r="J117" s="6"/>
      <c r="K117" s="6"/>
      <c r="L117" s="6"/>
      <c r="M117" s="6"/>
      <c r="N117" s="6"/>
      <c r="O117" s="237"/>
      <c r="P117" s="6"/>
      <c r="Q117" s="6"/>
      <c r="R117" s="6"/>
      <c r="S117" s="6"/>
      <c r="T117" s="6"/>
      <c r="U117" s="6"/>
      <c r="W117" s="32"/>
    </row>
    <row r="118" spans="10:23" x14ac:dyDescent="0.2">
      <c r="J118" s="6"/>
      <c r="K118" s="6"/>
      <c r="L118" s="6"/>
      <c r="M118" s="6"/>
      <c r="N118" s="6"/>
      <c r="O118" s="237"/>
      <c r="P118" s="6"/>
      <c r="Q118" s="6"/>
      <c r="R118" s="6"/>
      <c r="S118" s="6"/>
      <c r="T118" s="6"/>
      <c r="U118" s="6"/>
      <c r="W118" s="32"/>
    </row>
    <row r="119" spans="10:23" x14ac:dyDescent="0.2">
      <c r="J119" s="6"/>
      <c r="K119" s="6"/>
      <c r="L119" s="6"/>
      <c r="M119" s="6"/>
      <c r="N119" s="6"/>
      <c r="O119" s="237"/>
      <c r="P119" s="6"/>
      <c r="Q119" s="6"/>
      <c r="R119" s="6"/>
      <c r="S119" s="6"/>
      <c r="T119" s="6"/>
      <c r="U119" s="6"/>
      <c r="W119" s="32"/>
    </row>
    <row r="120" spans="10:23" x14ac:dyDescent="0.2">
      <c r="J120" s="6"/>
      <c r="K120" s="6"/>
      <c r="L120" s="6"/>
      <c r="M120" s="6"/>
      <c r="N120" s="6"/>
      <c r="O120" s="237"/>
      <c r="P120" s="6"/>
      <c r="Q120" s="6"/>
      <c r="R120" s="6"/>
      <c r="S120" s="6"/>
      <c r="T120" s="6"/>
      <c r="U120" s="6"/>
      <c r="W120" s="32"/>
    </row>
    <row r="121" spans="10:23" x14ac:dyDescent="0.2">
      <c r="J121" s="6"/>
      <c r="K121" s="6"/>
      <c r="L121" s="6"/>
      <c r="M121" s="6"/>
      <c r="N121" s="6"/>
      <c r="O121" s="237"/>
      <c r="P121" s="6"/>
      <c r="Q121" s="6"/>
      <c r="R121" s="6"/>
      <c r="S121" s="6"/>
      <c r="T121" s="6"/>
      <c r="U121" s="6"/>
      <c r="W121" s="32"/>
    </row>
    <row r="122" spans="10:23" x14ac:dyDescent="0.2">
      <c r="J122" s="6"/>
      <c r="K122" s="6"/>
      <c r="L122" s="6"/>
      <c r="M122" s="6"/>
      <c r="N122" s="6"/>
      <c r="O122" s="237"/>
      <c r="P122" s="6"/>
      <c r="Q122" s="6"/>
      <c r="R122" s="6"/>
      <c r="S122" s="6"/>
      <c r="T122" s="6"/>
      <c r="U122" s="6"/>
      <c r="W122" s="32"/>
    </row>
    <row r="123" spans="10:23" x14ac:dyDescent="0.2">
      <c r="J123" s="6"/>
      <c r="K123" s="6"/>
      <c r="L123" s="6"/>
      <c r="M123" s="6"/>
      <c r="N123" s="6"/>
      <c r="O123" s="237"/>
      <c r="P123" s="6"/>
      <c r="Q123" s="6"/>
      <c r="R123" s="6"/>
      <c r="S123" s="6"/>
      <c r="T123" s="6"/>
      <c r="U123" s="6"/>
      <c r="W123" s="32"/>
    </row>
    <row r="124" spans="10:23" x14ac:dyDescent="0.2">
      <c r="J124" s="6"/>
      <c r="K124" s="6"/>
      <c r="L124" s="6"/>
      <c r="M124" s="6"/>
      <c r="N124" s="6"/>
      <c r="O124" s="237"/>
      <c r="P124" s="6"/>
      <c r="Q124" s="6"/>
      <c r="R124" s="6"/>
      <c r="S124" s="6"/>
      <c r="T124" s="6"/>
      <c r="U124" s="6"/>
      <c r="W124" s="32"/>
    </row>
    <row r="125" spans="10:23" x14ac:dyDescent="0.2">
      <c r="J125" s="6"/>
      <c r="K125" s="6"/>
      <c r="L125" s="6"/>
      <c r="M125" s="6"/>
      <c r="N125" s="6"/>
      <c r="O125" s="237"/>
      <c r="P125" s="6"/>
      <c r="Q125" s="6"/>
      <c r="R125" s="6"/>
      <c r="S125" s="6"/>
      <c r="T125" s="6"/>
      <c r="U125" s="6"/>
      <c r="W125" s="32"/>
    </row>
    <row r="126" spans="10:23" x14ac:dyDescent="0.2">
      <c r="J126" s="6"/>
      <c r="K126" s="6"/>
      <c r="L126" s="6"/>
      <c r="M126" s="6"/>
      <c r="N126" s="6"/>
      <c r="O126" s="237"/>
      <c r="P126" s="6"/>
      <c r="Q126" s="6"/>
      <c r="R126" s="6"/>
      <c r="S126" s="6"/>
      <c r="T126" s="6"/>
      <c r="U126" s="6"/>
      <c r="W126" s="32"/>
    </row>
    <row r="127" spans="10:23" x14ac:dyDescent="0.2">
      <c r="J127" s="6"/>
      <c r="K127" s="6"/>
      <c r="L127" s="6"/>
      <c r="M127" s="6"/>
      <c r="N127" s="6"/>
      <c r="O127" s="237"/>
      <c r="P127" s="6"/>
      <c r="Q127" s="6"/>
      <c r="R127" s="6"/>
      <c r="S127" s="6"/>
      <c r="T127" s="6"/>
      <c r="U127" s="6"/>
      <c r="W127" s="32"/>
    </row>
    <row r="128" spans="10:23" x14ac:dyDescent="0.2">
      <c r="J128" s="6"/>
      <c r="K128" s="6"/>
      <c r="L128" s="6"/>
      <c r="M128" s="6"/>
      <c r="N128" s="6"/>
      <c r="O128" s="237"/>
      <c r="P128" s="6"/>
      <c r="Q128" s="6"/>
      <c r="R128" s="6"/>
      <c r="S128" s="6"/>
      <c r="T128" s="6"/>
      <c r="U128" s="6"/>
      <c r="W128" s="32"/>
    </row>
    <row r="129" spans="10:23" x14ac:dyDescent="0.2">
      <c r="J129" s="6"/>
      <c r="K129" s="6"/>
      <c r="L129" s="6"/>
      <c r="M129" s="6"/>
      <c r="N129" s="6"/>
      <c r="O129" s="237"/>
      <c r="P129" s="6"/>
      <c r="Q129" s="6"/>
      <c r="R129" s="6"/>
      <c r="S129" s="6"/>
      <c r="T129" s="6"/>
      <c r="U129" s="6"/>
      <c r="W129" s="32"/>
    </row>
    <row r="130" spans="10:23" x14ac:dyDescent="0.2">
      <c r="J130" s="6"/>
      <c r="K130" s="6"/>
      <c r="L130" s="6"/>
      <c r="M130" s="6"/>
      <c r="N130" s="6"/>
      <c r="O130" s="237"/>
      <c r="P130" s="6"/>
      <c r="Q130" s="6"/>
      <c r="R130" s="6"/>
      <c r="S130" s="6"/>
      <c r="T130" s="6"/>
      <c r="U130" s="6"/>
      <c r="W130" s="32"/>
    </row>
    <row r="131" spans="10:23" x14ac:dyDescent="0.2">
      <c r="J131" s="6"/>
      <c r="K131" s="6"/>
      <c r="L131" s="6"/>
      <c r="M131" s="6"/>
      <c r="N131" s="6"/>
      <c r="O131" s="237"/>
      <c r="P131" s="6"/>
      <c r="Q131" s="6"/>
      <c r="R131" s="6"/>
      <c r="S131" s="6"/>
      <c r="T131" s="6"/>
      <c r="U131" s="6"/>
      <c r="W131" s="32"/>
    </row>
    <row r="132" spans="10:23" x14ac:dyDescent="0.2">
      <c r="J132" s="6"/>
      <c r="K132" s="6"/>
      <c r="L132" s="6"/>
      <c r="M132" s="6"/>
      <c r="N132" s="6"/>
      <c r="O132" s="237"/>
      <c r="P132" s="6"/>
      <c r="Q132" s="6"/>
      <c r="R132" s="6"/>
      <c r="S132" s="6"/>
      <c r="T132" s="6"/>
      <c r="U132" s="6"/>
      <c r="W132" s="32"/>
    </row>
    <row r="133" spans="10:23" x14ac:dyDescent="0.2">
      <c r="J133" s="6"/>
      <c r="K133" s="6"/>
      <c r="L133" s="6"/>
      <c r="M133" s="6"/>
      <c r="N133" s="6"/>
      <c r="O133" s="237"/>
      <c r="P133" s="6"/>
      <c r="Q133" s="6"/>
      <c r="R133" s="6"/>
      <c r="S133" s="6"/>
      <c r="T133" s="6"/>
      <c r="U133" s="6"/>
      <c r="W133" s="32"/>
    </row>
    <row r="134" spans="10:23" x14ac:dyDescent="0.2">
      <c r="J134" s="6"/>
      <c r="K134" s="6"/>
      <c r="L134" s="6"/>
      <c r="M134" s="6"/>
      <c r="N134" s="6"/>
      <c r="O134" s="237"/>
      <c r="P134" s="6"/>
      <c r="Q134" s="6"/>
      <c r="R134" s="6"/>
      <c r="S134" s="6"/>
      <c r="T134" s="6"/>
      <c r="U134" s="6"/>
      <c r="W134" s="32"/>
    </row>
    <row r="135" spans="10:23" x14ac:dyDescent="0.2">
      <c r="J135" s="6"/>
      <c r="K135" s="6"/>
      <c r="L135" s="6"/>
      <c r="M135" s="6"/>
      <c r="N135" s="6"/>
      <c r="O135" s="237"/>
      <c r="P135" s="6"/>
      <c r="Q135" s="6"/>
      <c r="R135" s="6"/>
      <c r="S135" s="6"/>
      <c r="T135" s="6"/>
      <c r="U135" s="6"/>
      <c r="W135" s="32"/>
    </row>
    <row r="136" spans="10:23" x14ac:dyDescent="0.2">
      <c r="J136" s="6"/>
      <c r="K136" s="6"/>
      <c r="L136" s="6"/>
      <c r="M136" s="6"/>
      <c r="N136" s="6"/>
      <c r="O136" s="237"/>
      <c r="P136" s="6"/>
      <c r="Q136" s="6"/>
      <c r="R136" s="6"/>
      <c r="S136" s="6"/>
      <c r="T136" s="6"/>
      <c r="U136" s="6"/>
      <c r="W136" s="32"/>
    </row>
    <row r="137" spans="10:23" x14ac:dyDescent="0.2">
      <c r="J137" s="6"/>
      <c r="K137" s="6"/>
      <c r="L137" s="6"/>
      <c r="M137" s="6"/>
      <c r="N137" s="6"/>
      <c r="O137" s="237"/>
      <c r="P137" s="6"/>
      <c r="Q137" s="6"/>
      <c r="R137" s="6"/>
      <c r="S137" s="6"/>
      <c r="T137" s="6"/>
      <c r="U137" s="6"/>
      <c r="W137" s="32"/>
    </row>
    <row r="138" spans="10:23" x14ac:dyDescent="0.2">
      <c r="J138" s="6"/>
      <c r="K138" s="6"/>
      <c r="L138" s="6"/>
      <c r="M138" s="6"/>
      <c r="N138" s="6"/>
      <c r="O138" s="237"/>
      <c r="P138" s="6"/>
      <c r="Q138" s="6"/>
      <c r="R138" s="6"/>
      <c r="S138" s="6"/>
      <c r="T138" s="6"/>
      <c r="U138" s="6"/>
      <c r="W138" s="32"/>
    </row>
    <row r="139" spans="10:23" x14ac:dyDescent="0.2">
      <c r="J139" s="6"/>
      <c r="K139" s="6"/>
      <c r="L139" s="6"/>
      <c r="M139" s="6"/>
      <c r="N139" s="6"/>
      <c r="O139" s="237"/>
      <c r="P139" s="6"/>
      <c r="Q139" s="6"/>
      <c r="R139" s="6"/>
      <c r="S139" s="6"/>
      <c r="T139" s="6"/>
      <c r="U139" s="6"/>
      <c r="W139" s="32"/>
    </row>
    <row r="140" spans="10:23" x14ac:dyDescent="0.2">
      <c r="J140" s="6"/>
      <c r="K140" s="6"/>
      <c r="L140" s="6"/>
      <c r="M140" s="6"/>
      <c r="N140" s="6"/>
      <c r="O140" s="237"/>
      <c r="P140" s="6"/>
      <c r="Q140" s="6"/>
      <c r="R140" s="6"/>
      <c r="S140" s="6"/>
      <c r="T140" s="6"/>
      <c r="U140" s="6"/>
      <c r="W140" s="32"/>
    </row>
    <row r="141" spans="10:23" x14ac:dyDescent="0.2">
      <c r="J141" s="6"/>
      <c r="K141" s="6"/>
      <c r="L141" s="6"/>
      <c r="M141" s="6"/>
      <c r="N141" s="6"/>
      <c r="O141" s="237"/>
      <c r="P141" s="6"/>
      <c r="Q141" s="6"/>
      <c r="R141" s="6"/>
      <c r="S141" s="6"/>
      <c r="T141" s="6"/>
      <c r="U141" s="6"/>
      <c r="W141" s="32"/>
    </row>
    <row r="142" spans="10:23" x14ac:dyDescent="0.2">
      <c r="J142" s="6"/>
      <c r="K142" s="6"/>
      <c r="L142" s="6"/>
      <c r="M142" s="6"/>
      <c r="N142" s="6"/>
      <c r="O142" s="237"/>
      <c r="P142" s="6"/>
      <c r="Q142" s="6"/>
      <c r="R142" s="6"/>
      <c r="S142" s="6"/>
      <c r="T142" s="6"/>
      <c r="U142" s="6"/>
      <c r="W142" s="32"/>
    </row>
    <row r="143" spans="10:23" x14ac:dyDescent="0.2">
      <c r="J143" s="6"/>
      <c r="K143" s="6"/>
      <c r="L143" s="6"/>
      <c r="M143" s="6"/>
      <c r="N143" s="6"/>
      <c r="O143" s="237"/>
      <c r="P143" s="6"/>
      <c r="Q143" s="6"/>
      <c r="R143" s="6"/>
      <c r="S143" s="6"/>
      <c r="T143" s="6"/>
      <c r="U143" s="6"/>
      <c r="W143" s="32"/>
    </row>
    <row r="144" spans="10:23" x14ac:dyDescent="0.2">
      <c r="J144" s="6"/>
      <c r="K144" s="6"/>
      <c r="L144" s="6"/>
      <c r="M144" s="6"/>
      <c r="N144" s="6"/>
      <c r="O144" s="237"/>
      <c r="P144" s="6"/>
      <c r="Q144" s="6"/>
      <c r="R144" s="6"/>
      <c r="S144" s="6"/>
      <c r="T144" s="6"/>
      <c r="U144" s="6"/>
      <c r="W144" s="32"/>
    </row>
    <row r="145" spans="10:23" x14ac:dyDescent="0.2">
      <c r="J145" s="6"/>
      <c r="K145" s="6"/>
      <c r="L145" s="6"/>
      <c r="M145" s="6"/>
      <c r="N145" s="6"/>
      <c r="O145" s="237"/>
      <c r="P145" s="6"/>
      <c r="Q145" s="6"/>
      <c r="R145" s="6"/>
      <c r="S145" s="6"/>
      <c r="T145" s="6"/>
      <c r="U145" s="6"/>
      <c r="W145" s="32"/>
    </row>
    <row r="146" spans="10:23" x14ac:dyDescent="0.2">
      <c r="J146" s="6"/>
      <c r="K146" s="6"/>
      <c r="L146" s="6"/>
      <c r="M146" s="6"/>
      <c r="N146" s="6"/>
      <c r="O146" s="237"/>
      <c r="P146" s="6"/>
      <c r="Q146" s="6"/>
      <c r="R146" s="6"/>
      <c r="S146" s="6"/>
      <c r="T146" s="6"/>
      <c r="U146" s="6"/>
      <c r="W146" s="32"/>
    </row>
    <row r="147" spans="10:23" x14ac:dyDescent="0.2">
      <c r="J147" s="6"/>
      <c r="K147" s="6"/>
      <c r="L147" s="6"/>
      <c r="M147" s="6"/>
      <c r="N147" s="6"/>
      <c r="O147" s="237"/>
      <c r="P147" s="6"/>
      <c r="Q147" s="6"/>
      <c r="R147" s="6"/>
      <c r="S147" s="6"/>
      <c r="T147" s="6"/>
      <c r="U147" s="6"/>
      <c r="W147" s="32"/>
    </row>
    <row r="148" spans="10:23" x14ac:dyDescent="0.2">
      <c r="J148" s="6"/>
      <c r="K148" s="6"/>
      <c r="L148" s="6"/>
      <c r="M148" s="6"/>
      <c r="N148" s="6"/>
      <c r="O148" s="237"/>
      <c r="P148" s="6"/>
      <c r="Q148" s="6"/>
      <c r="R148" s="6"/>
      <c r="S148" s="6"/>
      <c r="T148" s="6"/>
      <c r="U148" s="6"/>
      <c r="W148" s="32"/>
    </row>
    <row r="149" spans="10:23" x14ac:dyDescent="0.2">
      <c r="J149" s="6"/>
      <c r="K149" s="6"/>
      <c r="L149" s="6"/>
      <c r="M149" s="6"/>
      <c r="N149" s="6"/>
      <c r="O149" s="237"/>
      <c r="P149" s="6"/>
      <c r="Q149" s="6"/>
      <c r="R149" s="6"/>
      <c r="S149" s="6"/>
      <c r="T149" s="6"/>
      <c r="U149" s="6"/>
      <c r="W149" s="32"/>
    </row>
    <row r="150" spans="10:23" x14ac:dyDescent="0.2">
      <c r="J150" s="6"/>
      <c r="K150" s="6"/>
      <c r="L150" s="6"/>
      <c r="M150" s="6"/>
      <c r="N150" s="6"/>
      <c r="O150" s="237"/>
      <c r="P150" s="6"/>
      <c r="Q150" s="6"/>
      <c r="R150" s="6"/>
      <c r="S150" s="6"/>
      <c r="T150" s="6"/>
      <c r="U150" s="6"/>
      <c r="W150" s="32"/>
    </row>
    <row r="151" spans="10:23" x14ac:dyDescent="0.2">
      <c r="J151" s="6"/>
      <c r="K151" s="6"/>
      <c r="L151" s="6"/>
      <c r="M151" s="6"/>
      <c r="N151" s="6"/>
      <c r="O151" s="237"/>
      <c r="P151" s="6"/>
      <c r="Q151" s="6"/>
      <c r="R151" s="6"/>
      <c r="S151" s="6"/>
      <c r="T151" s="6"/>
      <c r="U151" s="6"/>
      <c r="W151" s="32"/>
    </row>
    <row r="152" spans="10:23" x14ac:dyDescent="0.2">
      <c r="J152" s="6"/>
      <c r="K152" s="6"/>
      <c r="L152" s="6"/>
      <c r="M152" s="6"/>
      <c r="N152" s="6"/>
      <c r="O152" s="237"/>
      <c r="P152" s="6"/>
      <c r="Q152" s="6"/>
      <c r="R152" s="6"/>
      <c r="S152" s="6"/>
      <c r="T152" s="6"/>
      <c r="U152" s="6"/>
      <c r="W152" s="32"/>
    </row>
    <row r="153" spans="10:23" x14ac:dyDescent="0.2">
      <c r="J153" s="6"/>
      <c r="K153" s="6"/>
      <c r="L153" s="6"/>
      <c r="M153" s="6"/>
      <c r="N153" s="6"/>
      <c r="O153" s="237"/>
      <c r="P153" s="6"/>
      <c r="Q153" s="6"/>
      <c r="R153" s="6"/>
      <c r="S153" s="6"/>
      <c r="T153" s="6"/>
      <c r="U153" s="6"/>
      <c r="W153" s="32"/>
    </row>
    <row r="154" spans="10:23" x14ac:dyDescent="0.2">
      <c r="J154" s="6"/>
      <c r="K154" s="6"/>
      <c r="L154" s="6"/>
      <c r="M154" s="6"/>
      <c r="N154" s="6"/>
      <c r="O154" s="237"/>
      <c r="P154" s="6"/>
      <c r="Q154" s="6"/>
      <c r="R154" s="6"/>
      <c r="S154" s="6"/>
      <c r="T154" s="6"/>
      <c r="U154" s="6"/>
      <c r="W154" s="32"/>
    </row>
    <row r="155" spans="10:23" x14ac:dyDescent="0.2">
      <c r="J155" s="6"/>
      <c r="K155" s="6"/>
      <c r="L155" s="6"/>
      <c r="M155" s="6"/>
      <c r="N155" s="6"/>
      <c r="O155" s="237"/>
      <c r="P155" s="6"/>
      <c r="Q155" s="6"/>
      <c r="R155" s="6"/>
      <c r="S155" s="6"/>
      <c r="T155" s="6"/>
      <c r="U155" s="6"/>
      <c r="W155" s="32"/>
    </row>
    <row r="156" spans="10:23" x14ac:dyDescent="0.2">
      <c r="J156" s="6"/>
      <c r="K156" s="6"/>
      <c r="L156" s="6"/>
      <c r="M156" s="6"/>
      <c r="N156" s="6"/>
      <c r="O156" s="237"/>
      <c r="P156" s="6"/>
      <c r="Q156" s="6"/>
      <c r="R156" s="6"/>
      <c r="S156" s="6"/>
      <c r="T156" s="6"/>
      <c r="U156" s="6"/>
      <c r="W156" s="32"/>
    </row>
    <row r="157" spans="10:23" x14ac:dyDescent="0.2">
      <c r="J157" s="6"/>
      <c r="K157" s="6"/>
      <c r="L157" s="6"/>
      <c r="M157" s="6"/>
      <c r="N157" s="6"/>
      <c r="O157" s="237"/>
      <c r="P157" s="6"/>
      <c r="Q157" s="6"/>
      <c r="R157" s="6"/>
      <c r="S157" s="6"/>
      <c r="T157" s="6"/>
      <c r="U157" s="6"/>
      <c r="W157" s="32"/>
    </row>
    <row r="158" spans="10:23" x14ac:dyDescent="0.2">
      <c r="J158" s="6"/>
      <c r="K158" s="6"/>
      <c r="L158" s="6"/>
      <c r="M158" s="6"/>
      <c r="N158" s="6"/>
      <c r="O158" s="237"/>
      <c r="P158" s="6"/>
      <c r="Q158" s="6"/>
      <c r="R158" s="6"/>
      <c r="S158" s="6"/>
      <c r="T158" s="6"/>
      <c r="U158" s="6"/>
      <c r="W158" s="32"/>
    </row>
    <row r="159" spans="10:23" x14ac:dyDescent="0.2">
      <c r="J159" s="6"/>
      <c r="K159" s="6"/>
      <c r="L159" s="6"/>
      <c r="M159" s="6"/>
      <c r="N159" s="6"/>
      <c r="O159" s="237"/>
      <c r="P159" s="6"/>
      <c r="Q159" s="6"/>
      <c r="R159" s="6"/>
      <c r="S159" s="6"/>
      <c r="T159" s="6"/>
      <c r="U159" s="6"/>
      <c r="W159" s="32"/>
    </row>
    <row r="160" spans="10:23" x14ac:dyDescent="0.2">
      <c r="J160" s="6"/>
      <c r="K160" s="6"/>
      <c r="L160" s="6"/>
      <c r="M160" s="6"/>
      <c r="N160" s="6"/>
      <c r="O160" s="237"/>
      <c r="P160" s="6"/>
      <c r="Q160" s="6"/>
      <c r="R160" s="6"/>
      <c r="S160" s="6"/>
      <c r="T160" s="6"/>
      <c r="U160" s="6"/>
      <c r="W160" s="32"/>
    </row>
    <row r="161" spans="10:23" x14ac:dyDescent="0.2">
      <c r="J161" s="6"/>
      <c r="K161" s="6"/>
      <c r="L161" s="6"/>
      <c r="M161" s="6"/>
      <c r="N161" s="6"/>
      <c r="O161" s="237"/>
      <c r="P161" s="6"/>
      <c r="Q161" s="6"/>
      <c r="R161" s="6"/>
      <c r="S161" s="6"/>
      <c r="T161" s="6"/>
      <c r="U161" s="6"/>
      <c r="W161" s="32"/>
    </row>
    <row r="162" spans="10:23" x14ac:dyDescent="0.2">
      <c r="J162" s="6"/>
      <c r="K162" s="6"/>
      <c r="L162" s="6"/>
      <c r="M162" s="6"/>
      <c r="N162" s="6"/>
      <c r="O162" s="237"/>
      <c r="P162" s="6"/>
      <c r="Q162" s="6"/>
      <c r="R162" s="6"/>
      <c r="S162" s="6"/>
      <c r="T162" s="6"/>
      <c r="U162" s="6"/>
      <c r="W162" s="32"/>
    </row>
    <row r="163" spans="10:23" x14ac:dyDescent="0.2">
      <c r="J163" s="6"/>
      <c r="K163" s="6"/>
      <c r="L163" s="6"/>
      <c r="M163" s="6"/>
      <c r="N163" s="6"/>
      <c r="O163" s="237"/>
      <c r="P163" s="6"/>
      <c r="Q163" s="6"/>
      <c r="R163" s="6"/>
      <c r="S163" s="6"/>
      <c r="T163" s="6"/>
      <c r="U163" s="6"/>
      <c r="W163" s="32"/>
    </row>
    <row r="164" spans="10:23" x14ac:dyDescent="0.2">
      <c r="J164" s="6"/>
      <c r="K164" s="6"/>
      <c r="L164" s="6"/>
      <c r="M164" s="6"/>
      <c r="N164" s="6"/>
      <c r="O164" s="237"/>
      <c r="P164" s="6"/>
      <c r="Q164" s="6"/>
      <c r="R164" s="6"/>
      <c r="S164" s="6"/>
      <c r="T164" s="6"/>
      <c r="U164" s="6"/>
      <c r="W164" s="32"/>
    </row>
    <row r="165" spans="10:23" x14ac:dyDescent="0.2">
      <c r="J165" s="6"/>
      <c r="K165" s="6"/>
      <c r="L165" s="6"/>
      <c r="M165" s="6"/>
      <c r="N165" s="6"/>
      <c r="O165" s="237"/>
      <c r="P165" s="6"/>
      <c r="Q165" s="6"/>
      <c r="R165" s="6"/>
      <c r="S165" s="6"/>
      <c r="T165" s="6"/>
      <c r="U165" s="6"/>
      <c r="W165" s="32"/>
    </row>
    <row r="166" spans="10:23" x14ac:dyDescent="0.2">
      <c r="J166" s="6"/>
      <c r="K166" s="6"/>
      <c r="L166" s="6"/>
      <c r="M166" s="6"/>
      <c r="N166" s="6"/>
      <c r="O166" s="237"/>
      <c r="P166" s="6"/>
      <c r="Q166" s="6"/>
      <c r="R166" s="6"/>
      <c r="S166" s="6"/>
      <c r="T166" s="6"/>
      <c r="U166" s="6"/>
      <c r="W166" s="32"/>
    </row>
    <row r="167" spans="10:23" x14ac:dyDescent="0.2">
      <c r="J167" s="6"/>
      <c r="K167" s="6"/>
      <c r="L167" s="6"/>
      <c r="M167" s="6"/>
      <c r="N167" s="6"/>
      <c r="O167" s="237"/>
      <c r="P167" s="6"/>
      <c r="Q167" s="6"/>
      <c r="R167" s="6"/>
      <c r="S167" s="6"/>
      <c r="T167" s="6"/>
      <c r="U167" s="6"/>
      <c r="W167" s="32"/>
    </row>
    <row r="168" spans="10:23" x14ac:dyDescent="0.2">
      <c r="J168" s="6"/>
      <c r="K168" s="6"/>
      <c r="L168" s="6"/>
      <c r="M168" s="6"/>
      <c r="N168" s="6"/>
      <c r="O168" s="237"/>
      <c r="P168" s="6"/>
      <c r="Q168" s="6"/>
      <c r="R168" s="6"/>
      <c r="S168" s="6"/>
      <c r="T168" s="6"/>
      <c r="U168" s="6"/>
      <c r="W168" s="32"/>
    </row>
    <row r="169" spans="10:23" x14ac:dyDescent="0.2">
      <c r="J169" s="6"/>
      <c r="K169" s="6"/>
      <c r="L169" s="6"/>
      <c r="M169" s="6"/>
      <c r="N169" s="6"/>
      <c r="O169" s="237"/>
      <c r="P169" s="6"/>
      <c r="Q169" s="6"/>
      <c r="R169" s="6"/>
      <c r="S169" s="6"/>
      <c r="T169" s="6"/>
      <c r="U169" s="6"/>
      <c r="W169" s="32"/>
    </row>
    <row r="170" spans="10:23" x14ac:dyDescent="0.2">
      <c r="J170" s="6"/>
      <c r="K170" s="6"/>
      <c r="L170" s="6"/>
      <c r="M170" s="6"/>
      <c r="N170" s="6"/>
      <c r="O170" s="237"/>
      <c r="P170" s="6"/>
      <c r="Q170" s="6"/>
      <c r="R170" s="6"/>
      <c r="S170" s="6"/>
      <c r="T170" s="6"/>
      <c r="U170" s="6"/>
      <c r="W170" s="32"/>
    </row>
    <row r="171" spans="10:23" x14ac:dyDescent="0.2">
      <c r="J171" s="6"/>
      <c r="K171" s="6"/>
      <c r="L171" s="6"/>
      <c r="M171" s="6"/>
      <c r="N171" s="6"/>
      <c r="O171" s="237"/>
      <c r="P171" s="6"/>
      <c r="Q171" s="6"/>
      <c r="R171" s="6"/>
      <c r="S171" s="6"/>
      <c r="T171" s="6"/>
      <c r="U171" s="6"/>
      <c r="W171" s="32"/>
    </row>
    <row r="172" spans="10:23" x14ac:dyDescent="0.2">
      <c r="J172" s="6"/>
      <c r="K172" s="6"/>
      <c r="L172" s="6"/>
      <c r="M172" s="6"/>
      <c r="N172" s="6"/>
      <c r="O172" s="237"/>
      <c r="P172" s="6"/>
      <c r="Q172" s="6"/>
      <c r="R172" s="6"/>
      <c r="S172" s="6"/>
      <c r="T172" s="6"/>
      <c r="U172" s="6"/>
      <c r="W172" s="32"/>
    </row>
    <row r="173" spans="10:23" x14ac:dyDescent="0.2">
      <c r="J173" s="6"/>
      <c r="K173" s="6"/>
      <c r="L173" s="6"/>
      <c r="M173" s="6"/>
      <c r="N173" s="6"/>
      <c r="O173" s="237"/>
      <c r="P173" s="6"/>
      <c r="Q173" s="6"/>
      <c r="R173" s="6"/>
      <c r="S173" s="6"/>
      <c r="T173" s="6"/>
      <c r="U173" s="6"/>
      <c r="W173" s="32"/>
    </row>
    <row r="174" spans="10:23" x14ac:dyDescent="0.2">
      <c r="J174" s="6"/>
      <c r="K174" s="6"/>
      <c r="L174" s="6"/>
      <c r="M174" s="6"/>
      <c r="N174" s="6"/>
      <c r="O174" s="237"/>
      <c r="P174" s="6"/>
      <c r="Q174" s="6"/>
      <c r="R174" s="6"/>
      <c r="S174" s="6"/>
      <c r="T174" s="6"/>
      <c r="U174" s="6"/>
      <c r="W174" s="32"/>
    </row>
    <row r="175" spans="10:23" x14ac:dyDescent="0.2">
      <c r="J175" s="6"/>
      <c r="K175" s="6"/>
      <c r="L175" s="6"/>
      <c r="M175" s="6"/>
      <c r="N175" s="6"/>
      <c r="O175" s="237"/>
      <c r="P175" s="6"/>
      <c r="Q175" s="6"/>
      <c r="R175" s="6"/>
      <c r="S175" s="6"/>
      <c r="T175" s="6"/>
      <c r="U175" s="6"/>
      <c r="W175" s="32"/>
    </row>
    <row r="176" spans="10:23" x14ac:dyDescent="0.2">
      <c r="J176" s="6"/>
      <c r="K176" s="6"/>
      <c r="L176" s="6"/>
      <c r="M176" s="6"/>
      <c r="N176" s="6"/>
      <c r="O176" s="237"/>
      <c r="P176" s="6"/>
      <c r="Q176" s="6"/>
      <c r="R176" s="6"/>
      <c r="S176" s="6"/>
      <c r="T176" s="6"/>
      <c r="U176" s="6"/>
      <c r="W176" s="32"/>
    </row>
    <row r="177" spans="10:23" x14ac:dyDescent="0.2">
      <c r="J177" s="6"/>
      <c r="K177" s="6"/>
      <c r="L177" s="6"/>
      <c r="M177" s="6"/>
      <c r="N177" s="6"/>
      <c r="O177" s="237"/>
      <c r="P177" s="6"/>
      <c r="Q177" s="6"/>
      <c r="R177" s="6"/>
      <c r="S177" s="6"/>
      <c r="T177" s="6"/>
      <c r="U177" s="6"/>
      <c r="W177" s="32"/>
    </row>
    <row r="178" spans="10:23" x14ac:dyDescent="0.2">
      <c r="J178" s="6"/>
      <c r="K178" s="6"/>
      <c r="L178" s="6"/>
      <c r="M178" s="6"/>
      <c r="N178" s="6"/>
      <c r="O178" s="237"/>
      <c r="P178" s="6"/>
      <c r="Q178" s="6"/>
      <c r="R178" s="6"/>
      <c r="S178" s="6"/>
      <c r="T178" s="6"/>
      <c r="U178" s="6"/>
      <c r="W178" s="32"/>
    </row>
    <row r="179" spans="10:23" x14ac:dyDescent="0.2">
      <c r="J179" s="6"/>
      <c r="K179" s="6"/>
      <c r="L179" s="6"/>
      <c r="M179" s="6"/>
      <c r="N179" s="6"/>
      <c r="O179" s="237"/>
      <c r="P179" s="6"/>
      <c r="Q179" s="6"/>
      <c r="R179" s="6"/>
      <c r="S179" s="6"/>
      <c r="T179" s="6"/>
      <c r="U179" s="6"/>
      <c r="W179" s="32"/>
    </row>
    <row r="180" spans="10:23" x14ac:dyDescent="0.2">
      <c r="J180" s="6"/>
      <c r="K180" s="6"/>
      <c r="L180" s="6"/>
      <c r="M180" s="6"/>
      <c r="N180" s="6"/>
      <c r="O180" s="237"/>
      <c r="P180" s="6"/>
      <c r="Q180" s="6"/>
      <c r="R180" s="6"/>
      <c r="S180" s="6"/>
      <c r="T180" s="6"/>
      <c r="U180" s="6"/>
      <c r="W180" s="32"/>
    </row>
    <row r="181" spans="10:23" x14ac:dyDescent="0.2">
      <c r="J181" s="6"/>
      <c r="K181" s="6"/>
      <c r="L181" s="6"/>
      <c r="M181" s="6"/>
      <c r="N181" s="6"/>
      <c r="O181" s="237"/>
      <c r="P181" s="6"/>
      <c r="Q181" s="6"/>
      <c r="R181" s="6"/>
      <c r="S181" s="6"/>
      <c r="T181" s="6"/>
      <c r="U181" s="6"/>
      <c r="W181" s="32"/>
    </row>
    <row r="182" spans="10:23" x14ac:dyDescent="0.2">
      <c r="J182" s="6"/>
      <c r="K182" s="6"/>
      <c r="L182" s="6"/>
      <c r="M182" s="6"/>
      <c r="N182" s="6"/>
      <c r="O182" s="237"/>
      <c r="P182" s="6"/>
      <c r="Q182" s="6"/>
      <c r="R182" s="6"/>
      <c r="S182" s="6"/>
      <c r="T182" s="6"/>
      <c r="U182" s="6"/>
      <c r="W182" s="32"/>
    </row>
    <row r="183" spans="10:23" x14ac:dyDescent="0.2">
      <c r="J183" s="6"/>
      <c r="K183" s="6"/>
      <c r="L183" s="6"/>
      <c r="M183" s="6"/>
      <c r="N183" s="6"/>
      <c r="O183" s="237"/>
      <c r="P183" s="6"/>
      <c r="Q183" s="6"/>
      <c r="R183" s="6"/>
      <c r="S183" s="6"/>
      <c r="T183" s="6"/>
      <c r="U183" s="6"/>
      <c r="W183" s="32"/>
    </row>
    <row r="184" spans="10:23" x14ac:dyDescent="0.2">
      <c r="J184" s="6"/>
      <c r="K184" s="6"/>
      <c r="L184" s="6"/>
      <c r="M184" s="6"/>
      <c r="N184" s="6"/>
      <c r="O184" s="237"/>
      <c r="P184" s="6"/>
      <c r="Q184" s="6"/>
      <c r="R184" s="6"/>
      <c r="S184" s="6"/>
      <c r="T184" s="6"/>
      <c r="U184" s="6"/>
      <c r="W184" s="32"/>
    </row>
    <row r="185" spans="10:23" x14ac:dyDescent="0.2">
      <c r="J185" s="6"/>
      <c r="K185" s="6"/>
      <c r="L185" s="6"/>
      <c r="M185" s="6"/>
      <c r="N185" s="6"/>
      <c r="O185" s="237"/>
      <c r="P185" s="6"/>
      <c r="Q185" s="6"/>
      <c r="R185" s="6"/>
      <c r="S185" s="6"/>
      <c r="T185" s="6"/>
      <c r="U185" s="6"/>
      <c r="W185" s="32"/>
    </row>
    <row r="186" spans="10:23" x14ac:dyDescent="0.2">
      <c r="J186" s="6"/>
      <c r="K186" s="6"/>
      <c r="L186" s="6"/>
      <c r="M186" s="6"/>
      <c r="N186" s="6"/>
      <c r="O186" s="237"/>
      <c r="P186" s="6"/>
      <c r="Q186" s="6"/>
      <c r="R186" s="6"/>
      <c r="S186" s="6"/>
      <c r="T186" s="6"/>
      <c r="U186" s="6"/>
      <c r="W186" s="32"/>
    </row>
    <row r="187" spans="10:23" x14ac:dyDescent="0.2">
      <c r="J187" s="6"/>
      <c r="K187" s="6"/>
      <c r="L187" s="6"/>
      <c r="M187" s="6"/>
      <c r="N187" s="6"/>
      <c r="O187" s="237"/>
      <c r="P187" s="6"/>
      <c r="Q187" s="6"/>
      <c r="R187" s="6"/>
      <c r="S187" s="6"/>
      <c r="T187" s="6"/>
      <c r="U187" s="6"/>
      <c r="W187" s="32"/>
    </row>
    <row r="188" spans="10:23" x14ac:dyDescent="0.2">
      <c r="J188" s="6"/>
      <c r="K188" s="6"/>
      <c r="L188" s="6"/>
      <c r="M188" s="6"/>
      <c r="N188" s="6"/>
      <c r="O188" s="237"/>
      <c r="P188" s="6"/>
      <c r="Q188" s="6"/>
      <c r="R188" s="6"/>
      <c r="S188" s="6"/>
      <c r="T188" s="6"/>
      <c r="U188" s="6"/>
      <c r="W188" s="32"/>
    </row>
    <row r="189" spans="10:23" x14ac:dyDescent="0.2">
      <c r="J189" s="6"/>
      <c r="K189" s="6"/>
      <c r="L189" s="6"/>
      <c r="M189" s="6"/>
      <c r="N189" s="6"/>
      <c r="O189" s="237"/>
      <c r="P189" s="6"/>
      <c r="Q189" s="6"/>
      <c r="R189" s="6"/>
      <c r="S189" s="6"/>
      <c r="T189" s="6"/>
      <c r="U189" s="6"/>
      <c r="W189" s="32"/>
    </row>
    <row r="190" spans="10:23" x14ac:dyDescent="0.2">
      <c r="J190" s="6"/>
      <c r="K190" s="6"/>
      <c r="L190" s="6"/>
      <c r="M190" s="6"/>
      <c r="N190" s="6"/>
      <c r="O190" s="237"/>
      <c r="P190" s="6"/>
      <c r="Q190" s="6"/>
      <c r="R190" s="6"/>
      <c r="S190" s="6"/>
      <c r="T190" s="6"/>
      <c r="U190" s="6"/>
      <c r="W190" s="32"/>
    </row>
    <row r="191" spans="10:23" x14ac:dyDescent="0.2">
      <c r="J191" s="6"/>
      <c r="K191" s="6"/>
      <c r="L191" s="6"/>
      <c r="M191" s="6"/>
      <c r="N191" s="6"/>
      <c r="O191" s="237"/>
      <c r="P191" s="6"/>
      <c r="Q191" s="6"/>
      <c r="R191" s="6"/>
      <c r="S191" s="6"/>
      <c r="T191" s="6"/>
      <c r="U191" s="6"/>
      <c r="W191" s="32"/>
    </row>
    <row r="192" spans="10:23" x14ac:dyDescent="0.2">
      <c r="J192" s="6"/>
      <c r="K192" s="6"/>
      <c r="L192" s="6"/>
      <c r="M192" s="6"/>
      <c r="N192" s="6"/>
      <c r="O192" s="237"/>
      <c r="P192" s="6"/>
      <c r="Q192" s="6"/>
      <c r="R192" s="6"/>
      <c r="S192" s="6"/>
      <c r="T192" s="6"/>
      <c r="U192" s="6"/>
      <c r="W192" s="32"/>
    </row>
    <row r="193" spans="10:23" x14ac:dyDescent="0.2">
      <c r="J193" s="6"/>
      <c r="K193" s="6"/>
      <c r="L193" s="6"/>
      <c r="M193" s="6"/>
      <c r="N193" s="6"/>
      <c r="O193" s="237"/>
      <c r="P193" s="6"/>
      <c r="Q193" s="6"/>
      <c r="R193" s="6"/>
      <c r="S193" s="6"/>
      <c r="T193" s="6"/>
      <c r="U193" s="6"/>
      <c r="W193" s="32"/>
    </row>
    <row r="194" spans="10:23" x14ac:dyDescent="0.2">
      <c r="J194" s="6"/>
      <c r="K194" s="6"/>
      <c r="L194" s="6"/>
      <c r="M194" s="6"/>
      <c r="N194" s="6"/>
      <c r="O194" s="237"/>
      <c r="P194" s="6"/>
      <c r="Q194" s="6"/>
      <c r="R194" s="6"/>
      <c r="S194" s="6"/>
      <c r="T194" s="6"/>
      <c r="U194" s="6"/>
      <c r="W194" s="32"/>
    </row>
    <row r="195" spans="10:23" x14ac:dyDescent="0.2">
      <c r="J195" s="6"/>
      <c r="K195" s="6"/>
      <c r="L195" s="6"/>
      <c r="M195" s="6"/>
      <c r="N195" s="6"/>
      <c r="O195" s="237"/>
      <c r="P195" s="6"/>
      <c r="Q195" s="6"/>
      <c r="R195" s="6"/>
      <c r="S195" s="6"/>
      <c r="T195" s="6"/>
      <c r="U195" s="6"/>
      <c r="W195" s="32"/>
    </row>
    <row r="196" spans="10:23" x14ac:dyDescent="0.2">
      <c r="J196" s="6"/>
      <c r="K196" s="6"/>
      <c r="L196" s="6"/>
      <c r="M196" s="6"/>
      <c r="N196" s="6"/>
      <c r="O196" s="237"/>
      <c r="P196" s="6"/>
      <c r="Q196" s="6"/>
      <c r="R196" s="6"/>
      <c r="S196" s="6"/>
      <c r="T196" s="6"/>
      <c r="U196" s="6"/>
      <c r="W196" s="32"/>
    </row>
    <row r="197" spans="10:23" x14ac:dyDescent="0.2">
      <c r="J197" s="6"/>
      <c r="K197" s="6"/>
      <c r="L197" s="6"/>
      <c r="M197" s="6"/>
      <c r="N197" s="6"/>
      <c r="O197" s="237"/>
      <c r="P197" s="6"/>
      <c r="Q197" s="6"/>
      <c r="R197" s="6"/>
      <c r="S197" s="6"/>
      <c r="T197" s="6"/>
      <c r="U197" s="6"/>
      <c r="W197" s="32"/>
    </row>
    <row r="198" spans="10:23" x14ac:dyDescent="0.2">
      <c r="J198" s="6"/>
      <c r="K198" s="6"/>
      <c r="L198" s="6"/>
      <c r="M198" s="6"/>
      <c r="N198" s="6"/>
      <c r="O198" s="237"/>
      <c r="P198" s="6"/>
      <c r="Q198" s="6"/>
      <c r="R198" s="6"/>
      <c r="S198" s="6"/>
      <c r="T198" s="6"/>
      <c r="U198" s="6"/>
      <c r="W198" s="32"/>
    </row>
    <row r="199" spans="10:23" x14ac:dyDescent="0.2">
      <c r="J199" s="6"/>
      <c r="K199" s="6"/>
      <c r="L199" s="6"/>
      <c r="M199" s="6"/>
      <c r="N199" s="6"/>
      <c r="O199" s="237"/>
      <c r="P199" s="6"/>
      <c r="Q199" s="6"/>
      <c r="R199" s="6"/>
      <c r="S199" s="6"/>
      <c r="T199" s="6"/>
      <c r="U199" s="6"/>
      <c r="W199" s="32"/>
    </row>
    <row r="200" spans="10:23" x14ac:dyDescent="0.2">
      <c r="J200" s="6"/>
      <c r="K200" s="6"/>
      <c r="L200" s="6"/>
      <c r="M200" s="6"/>
      <c r="N200" s="6"/>
      <c r="O200" s="237"/>
      <c r="P200" s="6"/>
      <c r="Q200" s="6"/>
      <c r="R200" s="6"/>
      <c r="S200" s="6"/>
      <c r="T200" s="6"/>
      <c r="U200" s="6"/>
      <c r="W200" s="32"/>
    </row>
    <row r="201" spans="10:23" x14ac:dyDescent="0.2">
      <c r="J201" s="6"/>
      <c r="K201" s="6"/>
      <c r="L201" s="6"/>
      <c r="M201" s="6"/>
      <c r="N201" s="6"/>
      <c r="O201" s="237"/>
      <c r="P201" s="6"/>
      <c r="Q201" s="6"/>
      <c r="R201" s="6"/>
      <c r="S201" s="6"/>
      <c r="T201" s="6"/>
      <c r="U201" s="6"/>
      <c r="W201" s="32"/>
    </row>
    <row r="202" spans="10:23" x14ac:dyDescent="0.2">
      <c r="J202" s="6"/>
      <c r="K202" s="6"/>
      <c r="L202" s="6"/>
      <c r="M202" s="6"/>
      <c r="N202" s="6"/>
      <c r="O202" s="237"/>
      <c r="P202" s="6"/>
      <c r="Q202" s="6"/>
      <c r="R202" s="6"/>
      <c r="S202" s="6"/>
      <c r="T202" s="6"/>
      <c r="U202" s="6"/>
      <c r="W202" s="32"/>
    </row>
    <row r="203" spans="10:23" x14ac:dyDescent="0.2">
      <c r="J203" s="6"/>
      <c r="K203" s="6"/>
      <c r="L203" s="6"/>
      <c r="M203" s="6"/>
      <c r="N203" s="6"/>
      <c r="O203" s="237"/>
      <c r="P203" s="6"/>
      <c r="Q203" s="6"/>
      <c r="R203" s="6"/>
      <c r="S203" s="6"/>
      <c r="T203" s="6"/>
      <c r="U203" s="6"/>
      <c r="W203" s="32"/>
    </row>
    <row r="204" spans="10:23" x14ac:dyDescent="0.2">
      <c r="J204" s="6"/>
      <c r="K204" s="6"/>
      <c r="L204" s="6"/>
      <c r="M204" s="6"/>
      <c r="N204" s="6"/>
      <c r="O204" s="237"/>
      <c r="P204" s="6"/>
      <c r="Q204" s="6"/>
      <c r="R204" s="6"/>
      <c r="S204" s="6"/>
      <c r="T204" s="6"/>
      <c r="U204" s="6"/>
      <c r="W204" s="32"/>
    </row>
    <row r="205" spans="10:23" x14ac:dyDescent="0.2">
      <c r="J205" s="6"/>
      <c r="K205" s="6"/>
      <c r="L205" s="6"/>
      <c r="M205" s="6"/>
      <c r="N205" s="6"/>
      <c r="O205" s="237"/>
      <c r="P205" s="6"/>
      <c r="Q205" s="6"/>
      <c r="R205" s="6"/>
      <c r="S205" s="6"/>
      <c r="T205" s="6"/>
      <c r="U205" s="6"/>
      <c r="W205" s="32"/>
    </row>
    <row r="206" spans="10:23" x14ac:dyDescent="0.2">
      <c r="J206" s="6"/>
      <c r="K206" s="6"/>
      <c r="L206" s="6"/>
      <c r="M206" s="6"/>
      <c r="N206" s="6"/>
      <c r="O206" s="237"/>
      <c r="P206" s="6"/>
      <c r="Q206" s="6"/>
      <c r="R206" s="6"/>
      <c r="S206" s="6"/>
      <c r="T206" s="6"/>
      <c r="U206" s="6"/>
      <c r="W206" s="32"/>
    </row>
    <row r="207" spans="10:23" x14ac:dyDescent="0.2">
      <c r="J207" s="6"/>
      <c r="K207" s="6"/>
      <c r="L207" s="6"/>
      <c r="M207" s="6"/>
      <c r="N207" s="6"/>
      <c r="O207" s="237"/>
      <c r="P207" s="6"/>
      <c r="Q207" s="6"/>
      <c r="R207" s="6"/>
      <c r="S207" s="6"/>
      <c r="T207" s="6"/>
      <c r="U207" s="6"/>
      <c r="W207" s="32"/>
    </row>
    <row r="208" spans="10:23" x14ac:dyDescent="0.2">
      <c r="J208" s="6"/>
      <c r="K208" s="6"/>
      <c r="L208" s="6"/>
      <c r="M208" s="6"/>
      <c r="N208" s="6"/>
      <c r="O208" s="237"/>
      <c r="P208" s="6"/>
      <c r="Q208" s="6"/>
      <c r="R208" s="6"/>
      <c r="S208" s="6"/>
      <c r="T208" s="6"/>
      <c r="U208" s="6"/>
      <c r="W208" s="32"/>
    </row>
    <row r="209" spans="10:23" x14ac:dyDescent="0.2">
      <c r="J209" s="6"/>
      <c r="K209" s="6"/>
      <c r="L209" s="6"/>
      <c r="M209" s="6"/>
      <c r="N209" s="6"/>
      <c r="P209" s="6"/>
      <c r="Q209" s="6"/>
      <c r="R209" s="6"/>
      <c r="S209" s="6"/>
      <c r="T209" s="6"/>
      <c r="U209" s="6"/>
      <c r="W209" s="32"/>
    </row>
    <row r="210" spans="10:23" x14ac:dyDescent="0.2">
      <c r="J210" s="6"/>
      <c r="K210" s="6"/>
      <c r="L210" s="6"/>
      <c r="M210" s="6"/>
      <c r="N210" s="6"/>
      <c r="P210" s="6"/>
      <c r="Q210" s="6"/>
      <c r="R210" s="6"/>
      <c r="S210" s="6"/>
      <c r="T210" s="6"/>
      <c r="U210" s="6"/>
    </row>
  </sheetData>
  <mergeCells count="12">
    <mergeCell ref="P9:U9"/>
    <mergeCell ref="J8:U8"/>
    <mergeCell ref="J9:O9"/>
    <mergeCell ref="A7:U7"/>
    <mergeCell ref="A8:I8"/>
    <mergeCell ref="A9:I9"/>
    <mergeCell ref="A1:K1"/>
    <mergeCell ref="A5:C5"/>
    <mergeCell ref="D5:E5"/>
    <mergeCell ref="A4:K4"/>
    <mergeCell ref="H5:I5"/>
    <mergeCell ref="A2:K2"/>
  </mergeCells>
  <phoneticPr fontId="0" type="noConversion"/>
  <conditionalFormatting sqref="O10">
    <cfRule type="expression" dxfId="16" priority="5" stopIfTrue="1">
      <formula>TRUE</formula>
    </cfRule>
  </conditionalFormatting>
  <conditionalFormatting sqref="I11:I208 A11:H26 A28:H41 A43:H208">
    <cfRule type="expression" dxfId="15" priority="6" stopIfTrue="1">
      <formula>TRUE</formula>
    </cfRule>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heet7.reqMktDepth">
                <anchor moveWithCells="1">
                  <from>
                    <xdr:col>0</xdr:col>
                    <xdr:colOff>161925</xdr:colOff>
                    <xdr:row>1</xdr:row>
                    <xdr:rowOff>66675</xdr:rowOff>
                  </from>
                  <to>
                    <xdr:col>2</xdr:col>
                    <xdr:colOff>523875</xdr:colOff>
                    <xdr:row>1</xdr:row>
                    <xdr:rowOff>266700</xdr:rowOff>
                  </to>
                </anchor>
              </controlPr>
            </control>
          </mc:Choice>
        </mc:AlternateContent>
        <mc:AlternateContent xmlns:mc="http://schemas.openxmlformats.org/markup-compatibility/2006">
          <mc:Choice Requires="x14">
            <control shapeId="11266" r:id="rId5" name="Button 2">
              <controlPr defaultSize="0" print="0" autoFill="0" autoPict="0" macro="[0]!Sheet7.onShowError">
                <anchor moveWithCells="1">
                  <from>
                    <xdr:col>8</xdr:col>
                    <xdr:colOff>723900</xdr:colOff>
                    <xdr:row>1</xdr:row>
                    <xdr:rowOff>85725</xdr:rowOff>
                  </from>
                  <to>
                    <xdr:col>10</xdr:col>
                    <xdr:colOff>57150</xdr:colOff>
                    <xdr:row>1</xdr:row>
                    <xdr:rowOff>276225</xdr:rowOff>
                  </to>
                </anchor>
              </controlPr>
            </control>
          </mc:Choice>
        </mc:AlternateContent>
        <mc:AlternateContent xmlns:mc="http://schemas.openxmlformats.org/markup-compatibility/2006">
          <mc:Choice Requires="x14">
            <control shapeId="11267" r:id="rId6" name="Button 3">
              <controlPr defaultSize="0" print="0" autoFill="0" autoPict="0" macro="[0]!Sheet7.cancelMktDepth">
                <anchor moveWithCells="1">
                  <from>
                    <xdr:col>3</xdr:col>
                    <xdr:colOff>323850</xdr:colOff>
                    <xdr:row>1</xdr:row>
                    <xdr:rowOff>76200</xdr:rowOff>
                  </from>
                  <to>
                    <xdr:col>6</xdr:col>
                    <xdr:colOff>76200</xdr:colOff>
                    <xdr:row>1</xdr:row>
                    <xdr:rowOff>276225</xdr:rowOff>
                  </to>
                </anchor>
              </controlPr>
            </control>
          </mc:Choice>
        </mc:AlternateContent>
        <mc:AlternateContent xmlns:mc="http://schemas.openxmlformats.org/markup-compatibility/2006">
          <mc:Choice Requires="x14">
            <control shapeId="12319" r:id="rId7" name="Button 1055">
              <controlPr defaultSize="0" print="0" autoFill="0" autoPict="0" macro="[0]!Sheet7.setRefreshRate">
                <anchor moveWithCells="1" sizeWithCells="1">
                  <from>
                    <xdr:col>6</xdr:col>
                    <xdr:colOff>561975</xdr:colOff>
                    <xdr:row>1</xdr:row>
                    <xdr:rowOff>76200</xdr:rowOff>
                  </from>
                  <to>
                    <xdr:col>8</xdr:col>
                    <xdr:colOff>352425</xdr:colOff>
                    <xdr:row>1</xdr:row>
                    <xdr:rowOff>276225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BZ209"/>
  <sheetViews>
    <sheetView zoomScale="80" zoomScaleNormal="80" workbookViewId="0">
      <pane ySplit="9" topLeftCell="A10" activePane="bottomLeft" state="frozen"/>
      <selection activeCell="Q35" sqref="Q35"/>
      <selection pane="bottomLeft" activeCell="Q35" sqref="Q35"/>
    </sheetView>
  </sheetViews>
  <sheetFormatPr defaultRowHeight="12.75" x14ac:dyDescent="0.2"/>
  <cols>
    <col min="1" max="1" width="18.85546875" bestFit="1" customWidth="1"/>
    <col min="2" max="2" width="6" bestFit="1" customWidth="1"/>
    <col min="3" max="3" width="15.140625" customWidth="1"/>
    <col min="4" max="4" width="5.85546875" bestFit="1" customWidth="1"/>
    <col min="5" max="5" width="4.28515625" customWidth="1"/>
    <col min="6" max="6" width="8.42578125" customWidth="1"/>
    <col min="7" max="7" width="13.5703125" customWidth="1"/>
    <col min="8" max="8" width="11" customWidth="1"/>
    <col min="9" max="9" width="16.42578125" customWidth="1"/>
    <col min="10" max="10" width="10.42578125" customWidth="1"/>
    <col min="11" max="11" width="11" customWidth="1"/>
    <col min="12" max="12" width="10" customWidth="1"/>
    <col min="13" max="13" width="9" customWidth="1"/>
    <col min="14" max="14" width="9.28515625" customWidth="1"/>
    <col min="15" max="15" width="11.5703125" customWidth="1"/>
    <col min="16" max="16" width="9.85546875" customWidth="1"/>
    <col min="17" max="17" width="10" customWidth="1"/>
    <col min="18" max="18" width="8.42578125" customWidth="1"/>
    <col min="19" max="19" width="13.5703125" bestFit="1" customWidth="1"/>
    <col min="20" max="21" width="10.7109375" customWidth="1"/>
    <col min="22" max="22" width="12.7109375" customWidth="1"/>
    <col min="23" max="23" width="12.5703125" customWidth="1"/>
    <col min="24" max="24" width="12.85546875" customWidth="1"/>
    <col min="26" max="27" width="9.140625" style="7"/>
    <col min="28" max="28" width="11.140625" style="7" customWidth="1"/>
    <col min="29" max="32" width="9.140625" style="7"/>
    <col min="33" max="33" width="10.5703125" style="7" customWidth="1"/>
    <col min="34" max="34" width="10.140625" style="7" customWidth="1"/>
    <col min="35" max="37" width="9.140625" style="7"/>
    <col min="38" max="38" width="12.7109375" style="7" customWidth="1"/>
    <col min="39" max="39" width="10.5703125" style="7" customWidth="1"/>
    <col min="40" max="48" width="9.140625" style="7"/>
    <col min="49" max="49" width="11.85546875" style="7" customWidth="1"/>
    <col min="50" max="50" width="10.42578125" style="7" customWidth="1"/>
    <col min="51" max="52" width="9.140625" style="7"/>
    <col min="53" max="53" width="15.5703125" style="7" customWidth="1"/>
    <col min="54" max="54" width="11.85546875" style="7" customWidth="1"/>
    <col min="55" max="55" width="9.140625" style="7"/>
    <col min="56" max="56" width="14.140625" style="7" customWidth="1"/>
    <col min="57" max="57" width="9" style="7" customWidth="1"/>
    <col min="58" max="60" width="9.140625" style="7"/>
    <col min="61" max="61" width="12.5703125" style="7" customWidth="1"/>
    <col min="62" max="62" width="12.7109375" style="7" customWidth="1"/>
    <col min="63" max="64" width="9.140625" style="7"/>
    <col min="65" max="65" width="10.5703125" style="7" customWidth="1"/>
    <col min="66" max="66" width="9.140625" style="7"/>
    <col min="67" max="67" width="11" style="7" customWidth="1"/>
    <col min="68" max="68" width="9.140625" style="7"/>
    <col min="69" max="69" width="12.5703125" style="7" customWidth="1"/>
    <col min="70" max="70" width="13.28515625" style="7" hidden="1" customWidth="1"/>
    <col min="71" max="73" width="12.5703125" style="7" customWidth="1"/>
    <col min="74" max="75" width="11.42578125" style="7" customWidth="1"/>
    <col min="76" max="76" width="9.140625" style="7"/>
    <col min="77" max="77" width="14.140625" style="7" customWidth="1"/>
    <col min="78" max="16384" width="9.140625" style="7"/>
  </cols>
  <sheetData>
    <row r="1" spans="1:78" x14ac:dyDescent="0.2">
      <c r="A1" s="299" t="s">
        <v>48</v>
      </c>
      <c r="B1" s="300"/>
      <c r="C1" s="300"/>
      <c r="D1" s="300"/>
      <c r="E1" s="300"/>
      <c r="F1" s="300"/>
      <c r="G1" s="300"/>
      <c r="H1" s="300"/>
      <c r="I1" s="300"/>
      <c r="J1" s="300"/>
      <c r="K1" s="73"/>
      <c r="L1" s="50"/>
      <c r="M1" s="73"/>
      <c r="P1" s="7"/>
      <c r="Q1" s="7"/>
      <c r="R1" s="7"/>
      <c r="S1" s="7"/>
      <c r="T1" s="7"/>
      <c r="U1" s="7"/>
      <c r="V1" s="7"/>
      <c r="W1" s="7"/>
      <c r="X1" s="7"/>
      <c r="Y1" s="7"/>
    </row>
    <row r="2" spans="1:78" ht="27.75" customHeight="1" x14ac:dyDescent="0.2">
      <c r="A2" s="309"/>
      <c r="B2" s="310"/>
      <c r="C2" s="310"/>
      <c r="D2" s="310"/>
      <c r="E2" s="310"/>
      <c r="F2" s="310"/>
      <c r="G2" s="310"/>
      <c r="H2" s="310"/>
      <c r="I2" s="310"/>
      <c r="J2" s="310"/>
      <c r="K2" s="81"/>
      <c r="L2" s="270" t="s">
        <v>395</v>
      </c>
      <c r="M2" s="301"/>
      <c r="N2" s="301"/>
      <c r="O2" s="301"/>
      <c r="P2" s="301"/>
      <c r="Q2" s="301"/>
      <c r="R2" s="301"/>
      <c r="S2" s="302"/>
      <c r="U2" s="81"/>
      <c r="V2" s="81"/>
      <c r="W2" s="81"/>
      <c r="Y2" s="7"/>
    </row>
    <row r="3" spans="1:78" x14ac:dyDescent="0.2">
      <c r="A3" s="19"/>
      <c r="B3" s="19"/>
      <c r="C3" s="19"/>
      <c r="D3" s="19"/>
      <c r="E3" s="19"/>
      <c r="F3" s="19"/>
      <c r="G3" s="19"/>
      <c r="H3" s="19"/>
      <c r="I3" s="19"/>
      <c r="J3" s="19"/>
      <c r="K3" s="19"/>
      <c r="L3" s="50"/>
      <c r="Y3" s="7"/>
    </row>
    <row r="4" spans="1:78" ht="12.75" customHeight="1" x14ac:dyDescent="0.2">
      <c r="A4" s="86" t="s">
        <v>52</v>
      </c>
      <c r="B4" s="87"/>
      <c r="C4" s="87"/>
      <c r="D4" s="87"/>
      <c r="E4" s="107"/>
      <c r="F4" s="87"/>
      <c r="G4" s="50"/>
      <c r="L4" s="373" t="s">
        <v>408</v>
      </c>
      <c r="M4" s="374"/>
      <c r="N4" s="374"/>
      <c r="O4" s="374"/>
      <c r="P4" s="374"/>
      <c r="Q4" s="374"/>
      <c r="R4" s="374"/>
      <c r="S4" s="375"/>
      <c r="T4" s="182"/>
      <c r="Y4" s="7"/>
    </row>
    <row r="5" spans="1:78" x14ac:dyDescent="0.2">
      <c r="A5" s="75" t="s">
        <v>59</v>
      </c>
      <c r="B5" s="76"/>
      <c r="C5" s="76"/>
      <c r="D5" s="308"/>
      <c r="E5" s="277"/>
      <c r="F5" s="35"/>
      <c r="L5" s="376"/>
      <c r="M5" s="377"/>
      <c r="N5" s="377"/>
      <c r="O5" s="377"/>
      <c r="P5" s="377"/>
      <c r="Q5" s="377"/>
      <c r="R5" s="377"/>
      <c r="S5" s="378"/>
      <c r="T5" s="182"/>
      <c r="Y5" s="7"/>
      <c r="AF5" s="26"/>
      <c r="AG5" s="26"/>
      <c r="AH5" s="26"/>
      <c r="AI5" s="26"/>
      <c r="AJ5" s="26"/>
      <c r="AK5" s="26"/>
      <c r="AL5" s="26"/>
      <c r="AM5" s="26"/>
      <c r="AN5" s="26"/>
      <c r="AO5" s="26"/>
      <c r="AP5" s="26"/>
      <c r="AQ5" s="26"/>
      <c r="AR5" s="26"/>
      <c r="AS5" s="26"/>
      <c r="AT5" s="26"/>
      <c r="AU5" s="26"/>
      <c r="AV5" s="26"/>
      <c r="AW5" s="26"/>
      <c r="AX5" s="26"/>
      <c r="AY5" s="26"/>
      <c r="AZ5" s="26"/>
      <c r="BA5" s="26"/>
      <c r="BB5" s="26"/>
      <c r="BC5" s="26"/>
      <c r="BD5" s="26"/>
      <c r="BE5" s="26"/>
      <c r="BF5" s="26"/>
      <c r="BG5" s="26"/>
      <c r="BH5" s="26"/>
      <c r="BI5" s="26"/>
      <c r="BJ5" s="26"/>
      <c r="BK5" s="26"/>
      <c r="BL5" s="26"/>
      <c r="BM5" s="26"/>
      <c r="BN5" s="26"/>
      <c r="BO5" s="26"/>
      <c r="BP5" s="26"/>
      <c r="BQ5" s="26"/>
      <c r="BR5" s="26"/>
      <c r="BS5" s="26"/>
      <c r="BT5" s="26"/>
      <c r="BU5" s="26"/>
      <c r="BV5" s="26"/>
      <c r="BW5" s="26"/>
    </row>
    <row r="6" spans="1:78" x14ac:dyDescent="0.2">
      <c r="A6" s="83"/>
      <c r="B6" s="84"/>
      <c r="C6" s="84"/>
      <c r="D6" s="82"/>
      <c r="E6" s="82"/>
      <c r="F6" s="82"/>
      <c r="G6" s="82"/>
      <c r="M6" s="50"/>
      <c r="R6" s="26"/>
      <c r="S6" s="26"/>
      <c r="T6" s="26"/>
      <c r="U6" s="26"/>
      <c r="Z6" s="316" t="s">
        <v>71</v>
      </c>
      <c r="AA6" s="316"/>
      <c r="AB6" s="316"/>
      <c r="AC6" s="316"/>
      <c r="AD6" s="316"/>
      <c r="AE6" s="316"/>
      <c r="AF6" s="316"/>
      <c r="AG6" s="316"/>
      <c r="AH6" s="316"/>
      <c r="AI6" s="316"/>
      <c r="AJ6" s="316"/>
      <c r="AK6" s="316"/>
      <c r="AL6" s="316"/>
      <c r="AM6" s="316"/>
      <c r="AN6" s="316"/>
      <c r="AO6" s="316"/>
      <c r="AP6" s="316"/>
      <c r="AQ6" s="316"/>
      <c r="AR6" s="316"/>
      <c r="AS6" s="316"/>
      <c r="AT6" s="316"/>
      <c r="AU6" s="316"/>
      <c r="AV6" s="316"/>
      <c r="AW6" s="316"/>
      <c r="AX6" s="316"/>
      <c r="AY6" s="316"/>
      <c r="AZ6" s="316"/>
      <c r="BA6" s="316"/>
      <c r="BB6" s="316"/>
      <c r="BC6" s="316"/>
      <c r="BD6" s="316"/>
      <c r="BE6" s="316"/>
      <c r="BF6" s="316"/>
      <c r="BG6" s="316"/>
      <c r="BH6" s="316"/>
      <c r="BI6" s="316"/>
      <c r="BJ6" s="316"/>
      <c r="BK6" s="316"/>
      <c r="BL6" s="316"/>
      <c r="BM6" s="316"/>
      <c r="BN6" s="316"/>
      <c r="BO6" s="316"/>
      <c r="BP6" s="316"/>
      <c r="BQ6" s="316"/>
      <c r="BR6" s="316"/>
      <c r="BS6" s="316"/>
      <c r="BT6" s="316"/>
      <c r="BU6" s="316"/>
      <c r="BV6" s="316"/>
      <c r="BW6" s="316"/>
      <c r="BX6" s="316"/>
      <c r="BY6" s="266"/>
      <c r="BZ6" s="266"/>
    </row>
    <row r="7" spans="1:78" s="129" customFormat="1" x14ac:dyDescent="0.2">
      <c r="A7" s="311" t="s">
        <v>49</v>
      </c>
      <c r="B7" s="312"/>
      <c r="C7" s="312"/>
      <c r="D7" s="312"/>
      <c r="E7" s="312"/>
      <c r="F7" s="312"/>
      <c r="G7" s="312"/>
      <c r="H7" s="312"/>
      <c r="I7" s="312"/>
      <c r="J7" s="312"/>
      <c r="K7" s="312"/>
      <c r="L7" s="312"/>
      <c r="M7" s="312"/>
      <c r="N7" s="312"/>
      <c r="O7" s="312"/>
      <c r="P7" s="312"/>
      <c r="Q7" s="312"/>
      <c r="R7" s="312"/>
      <c r="S7" s="312"/>
      <c r="T7" s="312"/>
      <c r="U7" s="312"/>
      <c r="V7" s="312"/>
      <c r="W7" s="312"/>
      <c r="X7" s="312"/>
      <c r="Y7" s="312"/>
      <c r="Z7" s="132"/>
      <c r="AA7" s="132"/>
      <c r="AB7" s="291" t="s">
        <v>290</v>
      </c>
      <c r="AC7" s="292"/>
      <c r="AD7" s="293"/>
      <c r="AE7" s="132"/>
      <c r="AF7" s="132"/>
      <c r="AG7" s="132"/>
      <c r="AH7" s="132"/>
      <c r="AI7" s="132"/>
      <c r="AJ7" s="132"/>
      <c r="AK7" s="132"/>
      <c r="AL7" s="132"/>
      <c r="AM7" s="132"/>
      <c r="AN7" s="131" t="s">
        <v>68</v>
      </c>
      <c r="AO7" s="132"/>
      <c r="AP7" s="132"/>
      <c r="AQ7" s="291" t="s">
        <v>289</v>
      </c>
      <c r="AR7" s="292"/>
      <c r="AS7" s="292"/>
      <c r="AT7" s="293"/>
      <c r="AU7" s="291" t="s">
        <v>290</v>
      </c>
      <c r="AV7" s="293"/>
      <c r="AW7" s="132"/>
      <c r="AX7" s="132"/>
      <c r="AY7" s="132"/>
      <c r="AZ7" s="131" t="s">
        <v>290</v>
      </c>
      <c r="BA7" s="132"/>
      <c r="BB7" s="133"/>
      <c r="BC7" s="131" t="s">
        <v>294</v>
      </c>
      <c r="BD7" s="291" t="s">
        <v>293</v>
      </c>
      <c r="BE7" s="296"/>
      <c r="BF7" s="296"/>
      <c r="BG7" s="130" t="s">
        <v>312</v>
      </c>
      <c r="BH7" s="291" t="s">
        <v>291</v>
      </c>
      <c r="BI7" s="314"/>
      <c r="BJ7" s="313"/>
      <c r="BK7" s="291" t="s">
        <v>305</v>
      </c>
      <c r="BL7" s="293"/>
      <c r="BM7" s="291" t="s">
        <v>292</v>
      </c>
      <c r="BN7" s="292"/>
      <c r="BO7" s="292"/>
      <c r="BP7" s="292"/>
      <c r="BQ7" s="292"/>
      <c r="BR7" s="293"/>
      <c r="BS7" s="131" t="s">
        <v>275</v>
      </c>
      <c r="BT7" s="291" t="s">
        <v>377</v>
      </c>
      <c r="BU7" s="296"/>
      <c r="BV7" s="315"/>
      <c r="BW7" s="167"/>
      <c r="BX7" s="291" t="s">
        <v>290</v>
      </c>
      <c r="BY7" s="313"/>
      <c r="BZ7" s="167"/>
    </row>
    <row r="8" spans="1:78" ht="12.75" customHeight="1" x14ac:dyDescent="0.2">
      <c r="A8" s="284" t="s">
        <v>28</v>
      </c>
      <c r="B8" s="282"/>
      <c r="C8" s="282"/>
      <c r="D8" s="282"/>
      <c r="E8" s="282"/>
      <c r="F8" s="282"/>
      <c r="G8" s="282"/>
      <c r="H8" s="282"/>
      <c r="I8" s="282"/>
      <c r="J8" s="282"/>
      <c r="K8" s="282"/>
      <c r="L8" s="290"/>
      <c r="M8" s="79"/>
      <c r="N8" s="79"/>
      <c r="O8" s="78" t="s">
        <v>29</v>
      </c>
      <c r="P8" s="79"/>
      <c r="Q8" s="80"/>
      <c r="R8" s="284" t="s">
        <v>30</v>
      </c>
      <c r="S8" s="285"/>
      <c r="T8" s="285"/>
      <c r="U8" s="285"/>
      <c r="V8" s="285"/>
      <c r="W8" s="285"/>
      <c r="X8" s="285"/>
      <c r="Y8" s="278"/>
      <c r="Z8" s="294" t="s">
        <v>276</v>
      </c>
      <c r="AA8" s="294" t="s">
        <v>73</v>
      </c>
      <c r="AB8" s="294" t="s">
        <v>74</v>
      </c>
      <c r="AC8" s="294" t="s">
        <v>277</v>
      </c>
      <c r="AD8" s="294" t="s">
        <v>278</v>
      </c>
      <c r="AE8" s="294" t="s">
        <v>75</v>
      </c>
      <c r="AF8" s="294" t="s">
        <v>279</v>
      </c>
      <c r="AG8" s="294" t="s">
        <v>84</v>
      </c>
      <c r="AH8" s="294" t="s">
        <v>280</v>
      </c>
      <c r="AI8" s="294" t="s">
        <v>281</v>
      </c>
      <c r="AJ8" s="294" t="s">
        <v>98</v>
      </c>
      <c r="AK8" s="294" t="s">
        <v>99</v>
      </c>
      <c r="AL8" s="207"/>
      <c r="AM8" s="294" t="s">
        <v>282</v>
      </c>
      <c r="AN8" s="294" t="s">
        <v>283</v>
      </c>
      <c r="AO8" s="294" t="s">
        <v>133</v>
      </c>
      <c r="AP8" s="294" t="s">
        <v>134</v>
      </c>
      <c r="AQ8" s="294" t="s">
        <v>135</v>
      </c>
      <c r="AR8" s="294" t="s">
        <v>136</v>
      </c>
      <c r="AS8" s="294" t="s">
        <v>137</v>
      </c>
      <c r="AT8" s="294" t="s">
        <v>138</v>
      </c>
      <c r="AU8" s="294" t="s">
        <v>284</v>
      </c>
      <c r="AV8" s="294" t="s">
        <v>285</v>
      </c>
      <c r="AW8" s="294" t="s">
        <v>155</v>
      </c>
      <c r="AX8" s="207"/>
      <c r="AY8" s="294" t="s">
        <v>156</v>
      </c>
      <c r="AZ8" s="294" t="s">
        <v>157</v>
      </c>
      <c r="BA8" s="294" t="s">
        <v>286</v>
      </c>
      <c r="BB8" s="294" t="s">
        <v>166</v>
      </c>
      <c r="BC8" s="294" t="s">
        <v>158</v>
      </c>
      <c r="BD8" s="294" t="s">
        <v>287</v>
      </c>
      <c r="BE8" s="294" t="s">
        <v>288</v>
      </c>
      <c r="BF8" s="294" t="s">
        <v>159</v>
      </c>
      <c r="BG8" s="294" t="s">
        <v>160</v>
      </c>
      <c r="BH8" s="294" t="s">
        <v>161</v>
      </c>
      <c r="BI8" s="294" t="s">
        <v>162</v>
      </c>
      <c r="BJ8" s="294" t="s">
        <v>163</v>
      </c>
      <c r="BK8" s="297" t="s">
        <v>445</v>
      </c>
      <c r="BL8" s="297" t="s">
        <v>446</v>
      </c>
      <c r="BM8" s="294" t="s">
        <v>205</v>
      </c>
      <c r="BN8" s="294" t="s">
        <v>208</v>
      </c>
      <c r="BO8" s="294" t="s">
        <v>209</v>
      </c>
      <c r="BP8" s="294" t="s">
        <v>212</v>
      </c>
      <c r="BQ8" s="294" t="s">
        <v>207</v>
      </c>
      <c r="BR8" s="294" t="s">
        <v>213</v>
      </c>
      <c r="BS8" s="294" t="s">
        <v>274</v>
      </c>
      <c r="BT8" s="294" t="s">
        <v>380</v>
      </c>
      <c r="BU8" s="294" t="s">
        <v>381</v>
      </c>
      <c r="BV8" s="294" t="s">
        <v>382</v>
      </c>
      <c r="BW8" s="294" t="s">
        <v>385</v>
      </c>
      <c r="BX8" s="294" t="s">
        <v>455</v>
      </c>
      <c r="BY8" s="297" t="s">
        <v>483</v>
      </c>
      <c r="BZ8" s="297" t="s">
        <v>489</v>
      </c>
    </row>
    <row r="9" spans="1:78" ht="12.75" customHeight="1" x14ac:dyDescent="0.2">
      <c r="A9" s="1" t="s">
        <v>10</v>
      </c>
      <c r="B9" s="1" t="s">
        <v>22</v>
      </c>
      <c r="C9" s="1" t="s">
        <v>565</v>
      </c>
      <c r="D9" s="1" t="s">
        <v>11</v>
      </c>
      <c r="E9" s="52" t="s">
        <v>24</v>
      </c>
      <c r="F9" s="1" t="s">
        <v>88</v>
      </c>
      <c r="G9" s="1" t="s">
        <v>87</v>
      </c>
      <c r="H9" s="2" t="s">
        <v>13</v>
      </c>
      <c r="I9" s="16" t="s">
        <v>141</v>
      </c>
      <c r="J9" s="2" t="s">
        <v>41</v>
      </c>
      <c r="K9" s="2" t="s">
        <v>115</v>
      </c>
      <c r="L9" s="2" t="s">
        <v>139</v>
      </c>
      <c r="M9" s="2" t="s">
        <v>14</v>
      </c>
      <c r="N9" s="1" t="s">
        <v>15</v>
      </c>
      <c r="O9" s="1" t="s">
        <v>16</v>
      </c>
      <c r="P9" s="1" t="s">
        <v>17</v>
      </c>
      <c r="Q9" s="1" t="s">
        <v>18</v>
      </c>
      <c r="R9" s="172" t="s">
        <v>23</v>
      </c>
      <c r="S9" s="172" t="s">
        <v>25</v>
      </c>
      <c r="T9" s="172" t="s">
        <v>19</v>
      </c>
      <c r="U9" s="172" t="s">
        <v>20</v>
      </c>
      <c r="V9" s="172" t="s">
        <v>21</v>
      </c>
      <c r="W9" s="172" t="s">
        <v>112</v>
      </c>
      <c r="X9" s="172" t="s">
        <v>113</v>
      </c>
      <c r="Y9" s="172" t="s">
        <v>85</v>
      </c>
      <c r="Z9" s="295"/>
      <c r="AA9" s="295"/>
      <c r="AB9" s="295"/>
      <c r="AC9" s="295"/>
      <c r="AD9" s="295"/>
      <c r="AE9" s="295"/>
      <c r="AF9" s="295"/>
      <c r="AG9" s="295"/>
      <c r="AH9" s="295"/>
      <c r="AI9" s="295"/>
      <c r="AJ9" s="295"/>
      <c r="AK9" s="295"/>
      <c r="AL9" s="208"/>
      <c r="AM9" s="295"/>
      <c r="AN9" s="295"/>
      <c r="AO9" s="295"/>
      <c r="AP9" s="295"/>
      <c r="AQ9" s="295"/>
      <c r="AR9" s="295"/>
      <c r="AS9" s="295"/>
      <c r="AT9" s="295"/>
      <c r="AU9" s="295"/>
      <c r="AV9" s="295"/>
      <c r="AW9" s="295"/>
      <c r="AX9" s="208"/>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W9" s="295"/>
      <c r="BX9" s="295"/>
      <c r="BY9" s="295"/>
      <c r="BZ9" s="298"/>
    </row>
    <row r="10" spans="1:78" x14ac:dyDescent="0.2">
      <c r="A10" s="5"/>
      <c r="B10" s="5"/>
      <c r="C10" s="5"/>
      <c r="D10" s="5"/>
      <c r="E10" s="64"/>
      <c r="F10" s="5"/>
      <c r="G10" s="5"/>
      <c r="H10" s="5"/>
      <c r="I10" s="5"/>
      <c r="J10" s="5"/>
      <c r="K10" s="5"/>
      <c r="L10" s="5"/>
      <c r="M10" s="6"/>
      <c r="N10" s="6"/>
      <c r="O10" s="6"/>
      <c r="P10" s="6"/>
      <c r="Q10" s="123"/>
      <c r="R10" s="5"/>
      <c r="S10" s="5"/>
      <c r="T10" s="5"/>
      <c r="U10" s="5"/>
      <c r="V10" s="5"/>
      <c r="W10" s="5"/>
      <c r="X10" s="5"/>
      <c r="Y10" s="5"/>
      <c r="Z10" s="195"/>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c r="BH10" s="6"/>
      <c r="BI10" s="6"/>
      <c r="BJ10" s="6"/>
      <c r="BK10" s="6"/>
      <c r="BL10" s="6"/>
      <c r="BM10" s="6"/>
      <c r="BN10" s="6"/>
      <c r="BO10" s="6"/>
      <c r="BP10" s="6"/>
      <c r="BQ10" s="6"/>
      <c r="BR10" s="6"/>
      <c r="BS10" s="6"/>
      <c r="BT10" s="6"/>
      <c r="BU10" s="6"/>
      <c r="BV10" s="6"/>
      <c r="BW10" s="6"/>
      <c r="BX10" s="6"/>
      <c r="BY10" s="6"/>
      <c r="BZ10" s="6"/>
    </row>
    <row r="11" spans="1:78" x14ac:dyDescent="0.2">
      <c r="A11" s="382" t="s">
        <v>404</v>
      </c>
      <c r="B11" s="383"/>
      <c r="C11" s="383"/>
      <c r="D11" s="384"/>
      <c r="E11" s="64"/>
      <c r="F11" s="5"/>
      <c r="G11" s="5"/>
      <c r="H11" s="5"/>
      <c r="I11" s="5"/>
      <c r="J11" s="5"/>
      <c r="K11" s="5"/>
      <c r="L11" s="5"/>
      <c r="M11" s="6"/>
      <c r="N11" s="6"/>
      <c r="O11" s="6"/>
      <c r="P11" s="6"/>
      <c r="Q11" s="123"/>
      <c r="R11" s="5"/>
      <c r="S11" s="5"/>
      <c r="T11" s="5"/>
      <c r="U11" s="5"/>
      <c r="V11" s="5"/>
      <c r="W11" s="5"/>
      <c r="X11" s="5"/>
      <c r="Y11" s="5"/>
      <c r="Z11" s="195"/>
      <c r="AA11" s="6"/>
      <c r="AB11" s="6"/>
      <c r="AC11" s="6"/>
      <c r="AD11" s="6"/>
      <c r="AE11" s="6"/>
      <c r="AF11" s="6"/>
      <c r="AG11" s="6"/>
      <c r="AH11" s="6"/>
      <c r="AI11" s="6"/>
      <c r="AJ11" s="6"/>
      <c r="AK11" s="6"/>
      <c r="AL11" s="6"/>
      <c r="AM11" s="6"/>
      <c r="AN11" s="6"/>
      <c r="AO11" s="6"/>
      <c r="AP11" s="6"/>
      <c r="AQ11" s="6"/>
      <c r="AR11" s="6"/>
      <c r="AS11" s="6"/>
      <c r="AT11" s="6"/>
      <c r="AU11" s="6"/>
      <c r="AV11" s="6"/>
      <c r="AW11" s="6"/>
      <c r="AX11" s="6"/>
      <c r="AY11" s="6"/>
      <c r="AZ11" s="6"/>
      <c r="BA11" s="6"/>
      <c r="BB11" s="6"/>
      <c r="BC11" s="6"/>
      <c r="BD11" s="6"/>
      <c r="BE11" s="6"/>
      <c r="BF11" s="6"/>
      <c r="BG11" s="6"/>
      <c r="BH11" s="6"/>
      <c r="BI11" s="6"/>
      <c r="BJ11" s="6"/>
      <c r="BK11" s="6"/>
      <c r="BL11" s="6"/>
      <c r="BM11" s="6"/>
      <c r="BN11" s="6"/>
      <c r="BO11" s="6"/>
      <c r="BP11" s="6"/>
      <c r="BQ11" s="6"/>
      <c r="BR11" s="6"/>
      <c r="BS11" s="6"/>
      <c r="BT11" s="6"/>
      <c r="BU11" s="6"/>
      <c r="BV11" s="6"/>
      <c r="BW11" s="6"/>
      <c r="BX11" s="6"/>
      <c r="BY11" s="6"/>
      <c r="BZ11" s="6"/>
    </row>
    <row r="12" spans="1:78" x14ac:dyDescent="0.2">
      <c r="A12" s="379" t="s">
        <v>409</v>
      </c>
      <c r="B12" s="380"/>
      <c r="C12" s="380"/>
      <c r="D12" s="380"/>
      <c r="E12" s="380"/>
      <c r="F12" s="380"/>
      <c r="G12" s="228"/>
      <c r="H12" s="5"/>
      <c r="I12" s="5"/>
      <c r="J12" s="5"/>
      <c r="K12" s="5"/>
      <c r="L12" s="5"/>
      <c r="M12" s="6"/>
      <c r="N12" s="6"/>
      <c r="O12" s="6"/>
      <c r="P12" s="6"/>
      <c r="Q12" s="123"/>
      <c r="R12" s="5"/>
      <c r="S12" s="5"/>
      <c r="T12" s="5"/>
      <c r="U12" s="5"/>
      <c r="V12" s="5"/>
      <c r="W12" s="5"/>
      <c r="X12" s="5"/>
      <c r="Y12" s="5"/>
      <c r="Z12" s="195"/>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c r="BA12" s="6"/>
      <c r="BB12" s="6"/>
      <c r="BC12" s="6"/>
      <c r="BD12" s="6"/>
      <c r="BE12" s="6"/>
      <c r="BF12" s="6"/>
      <c r="BG12" s="6"/>
      <c r="BH12" s="6"/>
      <c r="BI12" s="6"/>
      <c r="BJ12" s="6"/>
      <c r="BK12" s="6"/>
      <c r="BL12" s="6"/>
      <c r="BM12" s="6"/>
      <c r="BN12" s="6"/>
      <c r="BO12" s="6"/>
      <c r="BP12" s="6"/>
      <c r="BQ12" s="6"/>
      <c r="BR12" s="6"/>
      <c r="BS12" s="6"/>
      <c r="BT12" s="6"/>
      <c r="BU12" s="6"/>
      <c r="BV12" s="6"/>
      <c r="BW12" s="6"/>
      <c r="BX12" s="6"/>
      <c r="BY12" s="6"/>
      <c r="BZ12" s="6"/>
    </row>
    <row r="13" spans="1:78" x14ac:dyDescent="0.2">
      <c r="A13" s="5" t="s">
        <v>26</v>
      </c>
      <c r="B13" s="5" t="s">
        <v>12</v>
      </c>
      <c r="C13" s="5"/>
      <c r="D13" s="5"/>
      <c r="E13" s="64"/>
      <c r="F13" s="5"/>
      <c r="G13" s="5"/>
      <c r="H13" s="5" t="s">
        <v>68</v>
      </c>
      <c r="I13" s="5"/>
      <c r="J13" s="5" t="s">
        <v>44</v>
      </c>
      <c r="K13" s="5"/>
      <c r="L13" s="5"/>
      <c r="M13" s="6"/>
      <c r="N13" s="6"/>
      <c r="O13" s="6"/>
      <c r="P13" s="6"/>
      <c r="Q13" s="123"/>
      <c r="R13" s="5"/>
      <c r="S13" s="5"/>
      <c r="T13" s="5"/>
      <c r="U13" s="5"/>
      <c r="V13" s="5"/>
      <c r="W13" s="5"/>
      <c r="X13" s="5"/>
      <c r="Y13" s="5"/>
      <c r="Z13" s="195"/>
      <c r="AA13" s="6"/>
      <c r="AB13" s="6"/>
      <c r="AC13" s="6"/>
      <c r="AD13" s="6"/>
      <c r="AE13" s="6"/>
      <c r="AF13" s="6"/>
      <c r="AG13" s="6"/>
      <c r="AH13" s="6"/>
      <c r="AI13" s="6"/>
      <c r="AJ13" s="6"/>
      <c r="AK13" s="6"/>
      <c r="AL13" s="6"/>
      <c r="AM13" s="6"/>
      <c r="AN13" s="6"/>
      <c r="AO13" s="6"/>
      <c r="AP13" s="6"/>
      <c r="AQ13" s="6"/>
      <c r="AR13" s="6"/>
      <c r="AS13" s="6"/>
      <c r="AT13" s="6"/>
      <c r="AU13" s="6"/>
      <c r="AV13" s="6"/>
      <c r="AW13" s="6"/>
      <c r="AX13" s="6"/>
      <c r="AY13" s="6"/>
      <c r="AZ13" s="6"/>
      <c r="BA13" s="6"/>
      <c r="BB13" s="6"/>
      <c r="BC13" s="6"/>
      <c r="BD13" s="6"/>
      <c r="BE13" s="6"/>
      <c r="BF13" s="6"/>
      <c r="BG13" s="6"/>
      <c r="BH13" s="6"/>
      <c r="BI13" s="6"/>
      <c r="BJ13" s="6"/>
      <c r="BK13" s="6"/>
      <c r="BL13" s="6"/>
      <c r="BM13" s="6"/>
      <c r="BN13" s="6"/>
      <c r="BO13" s="6"/>
      <c r="BP13" s="6"/>
      <c r="BQ13" s="6"/>
      <c r="BR13" s="6"/>
      <c r="BS13" s="6"/>
      <c r="BT13" s="6"/>
      <c r="BU13" s="6"/>
      <c r="BV13" s="6"/>
      <c r="BW13" s="6"/>
      <c r="BX13" s="6"/>
      <c r="BY13" s="6"/>
      <c r="BZ13" s="6"/>
    </row>
    <row r="14" spans="1:78" x14ac:dyDescent="0.2">
      <c r="A14" s="5"/>
      <c r="B14" s="5"/>
      <c r="C14" s="5"/>
      <c r="D14" s="5"/>
      <c r="E14" s="64"/>
      <c r="F14" s="5"/>
      <c r="G14" s="5"/>
      <c r="H14" s="5"/>
      <c r="I14" s="5"/>
      <c r="J14" s="5"/>
      <c r="K14" s="5"/>
      <c r="L14" s="5"/>
      <c r="M14" s="6"/>
      <c r="N14" s="6"/>
      <c r="O14" s="6"/>
      <c r="P14" s="6"/>
      <c r="Q14" s="123"/>
      <c r="R14" s="5"/>
      <c r="S14" s="5"/>
      <c r="T14" s="5"/>
      <c r="U14" s="5"/>
      <c r="V14" s="5"/>
      <c r="W14" s="5"/>
      <c r="X14" s="5"/>
      <c r="Y14" s="5"/>
      <c r="Z14" s="195"/>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row>
    <row r="15" spans="1:78" x14ac:dyDescent="0.2">
      <c r="A15" s="5"/>
      <c r="B15" s="5"/>
      <c r="C15" s="5"/>
      <c r="D15" s="5"/>
      <c r="E15" s="64"/>
      <c r="F15" s="5"/>
      <c r="G15" s="5"/>
      <c r="H15" s="5"/>
      <c r="I15" s="5"/>
      <c r="J15" s="5"/>
      <c r="K15" s="5"/>
      <c r="L15" s="5"/>
      <c r="M15" s="6"/>
      <c r="N15" s="6"/>
      <c r="O15" s="6"/>
      <c r="P15" s="6"/>
      <c r="Q15" s="123"/>
      <c r="R15" s="5"/>
      <c r="S15" s="5"/>
      <c r="T15" s="5"/>
      <c r="U15" s="5"/>
      <c r="V15" s="5"/>
      <c r="W15" s="5"/>
      <c r="X15" s="5"/>
      <c r="Y15" s="5"/>
      <c r="Z15" s="195"/>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row>
    <row r="16" spans="1:78" x14ac:dyDescent="0.2">
      <c r="A16" s="5"/>
      <c r="B16" s="5"/>
      <c r="C16" s="5"/>
      <c r="D16" s="5"/>
      <c r="E16" s="64"/>
      <c r="F16" s="5"/>
      <c r="G16" s="5"/>
      <c r="H16" s="5"/>
      <c r="I16" s="5"/>
      <c r="J16" s="5"/>
      <c r="K16" s="5"/>
      <c r="L16" s="5"/>
      <c r="M16" s="6"/>
      <c r="N16" s="6"/>
      <c r="O16" s="6"/>
      <c r="P16" s="6"/>
      <c r="Q16" s="123"/>
      <c r="R16" s="5"/>
      <c r="S16" s="5"/>
      <c r="T16" s="5"/>
      <c r="U16" s="5"/>
      <c r="V16" s="5"/>
      <c r="W16" s="5"/>
      <c r="X16" s="5"/>
      <c r="Y16" s="5"/>
      <c r="Z16" s="195"/>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row>
    <row r="17" spans="1:78" x14ac:dyDescent="0.2">
      <c r="A17" s="5"/>
      <c r="B17" s="5"/>
      <c r="C17" s="5"/>
      <c r="D17" s="5"/>
      <c r="E17" s="64"/>
      <c r="F17" s="5"/>
      <c r="G17" s="5"/>
      <c r="H17" s="5"/>
      <c r="I17" s="5"/>
      <c r="J17" s="5"/>
      <c r="K17" s="5"/>
      <c r="L17" s="5"/>
      <c r="M17" s="6"/>
      <c r="N17" s="6"/>
      <c r="O17" s="6"/>
      <c r="P17" s="6"/>
      <c r="Q17" s="123"/>
      <c r="R17" s="5"/>
      <c r="S17" s="5"/>
      <c r="T17" s="5"/>
      <c r="U17" s="5"/>
      <c r="V17" s="5"/>
      <c r="W17" s="5"/>
      <c r="X17" s="5"/>
      <c r="Y17" s="5"/>
      <c r="Z17" s="195"/>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row>
    <row r="18" spans="1:78" x14ac:dyDescent="0.2">
      <c r="A18" s="5"/>
      <c r="B18" s="5"/>
      <c r="C18" s="5"/>
      <c r="D18" s="5"/>
      <c r="E18" s="64"/>
      <c r="F18" s="5"/>
      <c r="G18" s="5"/>
      <c r="H18" s="5"/>
      <c r="I18" s="5"/>
      <c r="J18" s="5"/>
      <c r="K18" s="5"/>
      <c r="L18" s="5"/>
      <c r="M18" s="6"/>
      <c r="N18" s="6"/>
      <c r="O18" s="6"/>
      <c r="P18" s="6"/>
      <c r="Q18" s="123"/>
      <c r="R18" s="5"/>
      <c r="S18" s="5"/>
      <c r="T18" s="5"/>
      <c r="U18" s="5"/>
      <c r="V18" s="5"/>
      <c r="W18" s="5"/>
      <c r="X18" s="5"/>
      <c r="Y18" s="5"/>
      <c r="Z18" s="195"/>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row>
    <row r="19" spans="1:78" x14ac:dyDescent="0.2">
      <c r="A19" s="5"/>
      <c r="B19" s="5"/>
      <c r="C19" s="5"/>
      <c r="D19" s="5"/>
      <c r="E19" s="64"/>
      <c r="F19" s="5"/>
      <c r="G19" s="5"/>
      <c r="H19" s="5"/>
      <c r="I19" s="5"/>
      <c r="J19" s="5"/>
      <c r="K19" s="5"/>
      <c r="L19" s="5"/>
      <c r="M19" s="6"/>
      <c r="N19" s="6"/>
      <c r="O19" s="6"/>
      <c r="P19" s="6"/>
      <c r="Q19" s="123"/>
      <c r="R19" s="5"/>
      <c r="S19" s="5"/>
      <c r="T19" s="5"/>
      <c r="U19" s="5"/>
      <c r="V19" s="5"/>
      <c r="W19" s="5"/>
      <c r="X19" s="5"/>
      <c r="Y19" s="5"/>
      <c r="Z19" s="195"/>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A19" s="6"/>
      <c r="BB19" s="6"/>
      <c r="BC19" s="6"/>
      <c r="BD19" s="6"/>
      <c r="BE19" s="6"/>
      <c r="BF19" s="6"/>
      <c r="BG19" s="6"/>
      <c r="BH19" s="6"/>
      <c r="BI19" s="6"/>
      <c r="BJ19" s="6"/>
      <c r="BK19" s="6"/>
      <c r="BL19" s="6"/>
      <c r="BM19" s="6"/>
      <c r="BN19" s="6"/>
      <c r="BO19" s="6"/>
      <c r="BP19" s="6"/>
      <c r="BQ19" s="6"/>
      <c r="BR19" s="6"/>
      <c r="BS19" s="6"/>
      <c r="BT19" s="6"/>
      <c r="BU19" s="6"/>
      <c r="BV19" s="6"/>
      <c r="BW19" s="6"/>
      <c r="BX19" s="6"/>
      <c r="BY19" s="6"/>
      <c r="BZ19" s="6"/>
    </row>
    <row r="20" spans="1:78" x14ac:dyDescent="0.2">
      <c r="A20" s="5"/>
      <c r="B20" s="5"/>
      <c r="C20" s="5"/>
      <c r="D20" s="5"/>
      <c r="E20" s="64"/>
      <c r="F20" s="5"/>
      <c r="G20" s="5"/>
      <c r="H20" s="5"/>
      <c r="I20" s="5"/>
      <c r="J20" s="5"/>
      <c r="K20" s="5"/>
      <c r="L20" s="5"/>
      <c r="M20" s="6"/>
      <c r="N20" s="6"/>
      <c r="O20" s="6"/>
      <c r="P20" s="6"/>
      <c r="Q20" s="123"/>
      <c r="R20" s="5"/>
      <c r="S20" s="5"/>
      <c r="T20" s="5"/>
      <c r="U20" s="5"/>
      <c r="V20" s="5"/>
      <c r="W20" s="5"/>
      <c r="X20" s="5"/>
      <c r="Y20" s="5"/>
      <c r="Z20" s="195"/>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row>
    <row r="21" spans="1:78" x14ac:dyDescent="0.2">
      <c r="A21" s="382" t="s">
        <v>405</v>
      </c>
      <c r="B21" s="383"/>
      <c r="C21" s="383"/>
      <c r="D21" s="384"/>
      <c r="E21" s="64"/>
      <c r="F21" s="5"/>
      <c r="G21" s="5"/>
      <c r="H21" s="5"/>
      <c r="I21" s="5"/>
      <c r="J21" s="5"/>
      <c r="K21" s="5"/>
      <c r="L21" s="5"/>
      <c r="M21" s="6"/>
      <c r="N21" s="6"/>
      <c r="O21" s="6"/>
      <c r="P21" s="6"/>
      <c r="Q21" s="123"/>
      <c r="R21" s="5"/>
      <c r="S21" s="5"/>
      <c r="T21" s="5"/>
      <c r="U21" s="5"/>
      <c r="V21" s="5"/>
      <c r="W21" s="5"/>
      <c r="X21" s="5"/>
      <c r="Y21" s="5"/>
      <c r="Z21" s="195"/>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c r="BH21" s="6"/>
      <c r="BI21" s="6"/>
      <c r="BJ21" s="6"/>
      <c r="BK21" s="6"/>
      <c r="BL21" s="6"/>
      <c r="BM21" s="6"/>
      <c r="BN21" s="6"/>
      <c r="BO21" s="6"/>
      <c r="BP21" s="6"/>
      <c r="BQ21" s="6"/>
      <c r="BR21" s="6"/>
      <c r="BS21" s="6"/>
      <c r="BT21" s="6"/>
      <c r="BU21" s="6"/>
      <c r="BV21" s="6"/>
      <c r="BW21" s="6"/>
      <c r="BX21" s="6"/>
      <c r="BY21" s="6"/>
      <c r="BZ21" s="6"/>
    </row>
    <row r="22" spans="1:78" x14ac:dyDescent="0.2">
      <c r="A22" s="379" t="s">
        <v>409</v>
      </c>
      <c r="B22" s="380"/>
      <c r="C22" s="380"/>
      <c r="D22" s="380"/>
      <c r="E22" s="380"/>
      <c r="F22" s="380"/>
      <c r="G22" s="228"/>
      <c r="H22" s="5"/>
      <c r="I22" s="5"/>
      <c r="J22" s="5"/>
      <c r="K22" s="5"/>
      <c r="L22" s="5"/>
      <c r="M22" s="6"/>
      <c r="N22" s="6"/>
      <c r="O22" s="6"/>
      <c r="P22" s="6"/>
      <c r="Q22" s="123"/>
      <c r="R22" s="5"/>
      <c r="S22" s="5"/>
      <c r="T22" s="5"/>
      <c r="U22" s="5"/>
      <c r="V22" s="5"/>
      <c r="W22" s="5"/>
      <c r="X22" s="5"/>
      <c r="Y22" s="5"/>
      <c r="Z22" s="195"/>
      <c r="AA22" s="6"/>
      <c r="AB22" s="6"/>
      <c r="AC22" s="6"/>
      <c r="AD22" s="6"/>
      <c r="AE22" s="6"/>
      <c r="AF22" s="6"/>
      <c r="AG22" s="6"/>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c r="BH22" s="6"/>
      <c r="BI22" s="6"/>
      <c r="BJ22" s="6"/>
      <c r="BK22" s="6"/>
      <c r="BL22" s="6"/>
      <c r="BM22" s="6"/>
      <c r="BN22" s="6"/>
      <c r="BO22" s="6"/>
      <c r="BP22" s="6"/>
      <c r="BQ22" s="6"/>
      <c r="BR22" s="6"/>
      <c r="BS22" s="6"/>
      <c r="BT22" s="6"/>
      <c r="BU22" s="6"/>
      <c r="BV22" s="6"/>
      <c r="BW22" s="6"/>
      <c r="BX22" s="6"/>
      <c r="BY22" s="6"/>
      <c r="BZ22" s="6"/>
    </row>
    <row r="23" spans="1:78" x14ac:dyDescent="0.2">
      <c r="A23" s="5" t="s">
        <v>197</v>
      </c>
      <c r="B23" s="5" t="s">
        <v>12</v>
      </c>
      <c r="C23" s="5"/>
      <c r="D23" s="5"/>
      <c r="E23" s="64"/>
      <c r="F23" s="5"/>
      <c r="G23" s="5"/>
      <c r="H23" s="5" t="s">
        <v>68</v>
      </c>
      <c r="I23" s="5"/>
      <c r="J23" s="5" t="s">
        <v>44</v>
      </c>
      <c r="K23" s="5"/>
      <c r="L23" s="5"/>
      <c r="M23" s="6"/>
      <c r="N23" s="6"/>
      <c r="O23" s="6"/>
      <c r="P23" s="6"/>
      <c r="Q23" s="123"/>
      <c r="R23" s="5"/>
      <c r="S23" s="5"/>
      <c r="T23" s="5"/>
      <c r="U23" s="5"/>
      <c r="V23" s="5"/>
      <c r="W23" s="5"/>
      <c r="X23" s="5"/>
      <c r="Y23" s="5"/>
      <c r="Z23" s="195"/>
      <c r="AA23" s="6"/>
      <c r="AB23" s="6"/>
      <c r="AC23" s="6"/>
      <c r="AD23" s="6"/>
      <c r="AE23" s="6"/>
      <c r="AF23" s="6"/>
      <c r="AG23" s="6"/>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c r="BM23" s="6"/>
      <c r="BN23" s="6"/>
      <c r="BO23" s="6"/>
      <c r="BP23" s="6"/>
      <c r="BQ23" s="6"/>
      <c r="BR23" s="6"/>
      <c r="BS23" s="6"/>
      <c r="BT23" s="6"/>
      <c r="BU23" s="6"/>
      <c r="BV23" s="6"/>
      <c r="BW23" s="6"/>
      <c r="BX23" s="6"/>
      <c r="BY23" s="6"/>
      <c r="BZ23" s="6"/>
    </row>
    <row r="24" spans="1:78" x14ac:dyDescent="0.2">
      <c r="A24" s="5"/>
      <c r="B24" s="5"/>
      <c r="C24" s="5"/>
      <c r="D24" s="5"/>
      <c r="E24" s="64"/>
      <c r="F24" s="5"/>
      <c r="G24" s="5"/>
      <c r="H24" s="5"/>
      <c r="I24" s="5"/>
      <c r="J24" s="5"/>
      <c r="K24" s="5"/>
      <c r="L24" s="5"/>
      <c r="M24" s="6"/>
      <c r="N24" s="6"/>
      <c r="O24" s="6"/>
      <c r="P24" s="6"/>
      <c r="Q24" s="123"/>
      <c r="R24" s="5"/>
      <c r="S24" s="5"/>
      <c r="T24" s="5"/>
      <c r="U24" s="5"/>
      <c r="V24" s="5"/>
      <c r="W24" s="5"/>
      <c r="X24" s="5"/>
      <c r="Y24" s="5"/>
      <c r="Z24" s="195"/>
      <c r="AA24" s="6"/>
      <c r="AB24" s="6"/>
      <c r="AC24" s="6"/>
      <c r="AD24" s="6"/>
      <c r="AE24" s="6"/>
      <c r="AF24" s="6"/>
      <c r="AG24" s="6"/>
      <c r="AH24" s="6"/>
      <c r="AI24" s="6"/>
      <c r="AJ24" s="6"/>
      <c r="AK24" s="6"/>
      <c r="AL24" s="6"/>
      <c r="AM24" s="6"/>
      <c r="AN24" s="6"/>
      <c r="AO24" s="6"/>
      <c r="AP24" s="6"/>
      <c r="AQ24" s="6"/>
      <c r="AR24" s="6"/>
      <c r="AS24" s="6"/>
      <c r="AT24" s="6"/>
      <c r="AU24" s="6"/>
      <c r="AV24" s="6"/>
      <c r="AW24" s="6"/>
      <c r="AX24" s="6"/>
      <c r="AY24" s="6"/>
      <c r="AZ24" s="6"/>
      <c r="BA24" s="6"/>
      <c r="BB24" s="6"/>
      <c r="BC24" s="6"/>
      <c r="BD24" s="6"/>
      <c r="BE24" s="6"/>
      <c r="BF24" s="6"/>
      <c r="BG24" s="6"/>
      <c r="BH24" s="6"/>
      <c r="BI24" s="6"/>
      <c r="BJ24" s="6"/>
      <c r="BK24" s="6"/>
      <c r="BL24" s="6"/>
      <c r="BM24" s="6"/>
      <c r="BN24" s="6"/>
      <c r="BO24" s="6"/>
      <c r="BP24" s="6"/>
      <c r="BQ24" s="6"/>
      <c r="BR24" s="6"/>
      <c r="BS24" s="6"/>
      <c r="BT24" s="6"/>
      <c r="BU24" s="6"/>
      <c r="BV24" s="6"/>
      <c r="BW24" s="6"/>
      <c r="BX24" s="6"/>
      <c r="BY24" s="6"/>
      <c r="BZ24" s="6"/>
    </row>
    <row r="25" spans="1:78" x14ac:dyDescent="0.2">
      <c r="A25" s="5"/>
      <c r="B25" s="5"/>
      <c r="C25" s="5"/>
      <c r="D25" s="5"/>
      <c r="E25" s="64"/>
      <c r="F25" s="5"/>
      <c r="G25" s="5"/>
      <c r="H25" s="5"/>
      <c r="I25" s="5"/>
      <c r="J25" s="5"/>
      <c r="K25" s="5"/>
      <c r="L25" s="5"/>
      <c r="M25" s="6"/>
      <c r="N25" s="6"/>
      <c r="O25" s="6"/>
      <c r="P25" s="6"/>
      <c r="Q25" s="123"/>
      <c r="R25" s="5"/>
      <c r="S25" s="5"/>
      <c r="T25" s="5"/>
      <c r="U25" s="5"/>
      <c r="V25" s="5"/>
      <c r="W25" s="5"/>
      <c r="X25" s="5"/>
      <c r="Y25" s="5"/>
      <c r="Z25" s="195"/>
      <c r="AA25" s="6"/>
      <c r="AB25" s="6"/>
      <c r="AC25" s="6"/>
      <c r="AD25" s="6"/>
      <c r="AE25" s="6"/>
      <c r="AF25" s="6"/>
      <c r="AG25" s="6"/>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c r="BH25" s="6"/>
      <c r="BI25" s="6"/>
      <c r="BJ25" s="6"/>
      <c r="BK25" s="6"/>
      <c r="BL25" s="6"/>
      <c r="BM25" s="6"/>
      <c r="BN25" s="6"/>
      <c r="BO25" s="6"/>
      <c r="BP25" s="6"/>
      <c r="BQ25" s="6"/>
      <c r="BR25" s="6"/>
      <c r="BS25" s="6"/>
      <c r="BT25" s="6"/>
      <c r="BU25" s="6"/>
      <c r="BV25" s="6"/>
      <c r="BW25" s="6"/>
      <c r="BX25" s="6"/>
      <c r="BY25" s="6"/>
      <c r="BZ25" s="6"/>
    </row>
    <row r="26" spans="1:78" x14ac:dyDescent="0.2">
      <c r="A26" s="5"/>
      <c r="B26" s="5"/>
      <c r="C26" s="5"/>
      <c r="D26" s="5"/>
      <c r="E26" s="64"/>
      <c r="F26" s="5"/>
      <c r="G26" s="5"/>
      <c r="H26" s="5"/>
      <c r="I26" s="5"/>
      <c r="J26" s="5"/>
      <c r="K26" s="5"/>
      <c r="L26" s="5"/>
      <c r="M26" s="6"/>
      <c r="N26" s="6"/>
      <c r="O26" s="6"/>
      <c r="P26" s="6"/>
      <c r="Q26" s="123"/>
      <c r="R26" s="5"/>
      <c r="S26" s="5"/>
      <c r="T26" s="5"/>
      <c r="U26" s="5"/>
      <c r="V26" s="5"/>
      <c r="W26" s="5"/>
      <c r="X26" s="5"/>
      <c r="Y26" s="5"/>
      <c r="Z26" s="195"/>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c r="BQ26" s="6"/>
      <c r="BR26" s="6"/>
      <c r="BS26" s="6"/>
      <c r="BT26" s="6"/>
      <c r="BU26" s="6"/>
      <c r="BV26" s="6"/>
      <c r="BW26" s="6"/>
      <c r="BX26" s="6"/>
      <c r="BY26" s="6"/>
      <c r="BZ26" s="6"/>
    </row>
    <row r="27" spans="1:78" x14ac:dyDescent="0.2">
      <c r="A27" s="5"/>
      <c r="B27" s="5"/>
      <c r="C27" s="5"/>
      <c r="D27" s="5"/>
      <c r="E27" s="64"/>
      <c r="F27" s="5"/>
      <c r="G27" s="5"/>
      <c r="H27" s="5"/>
      <c r="I27" s="5"/>
      <c r="J27" s="5"/>
      <c r="K27" s="5"/>
      <c r="L27" s="5"/>
      <c r="M27" s="6"/>
      <c r="N27" s="6"/>
      <c r="O27" s="6"/>
      <c r="P27" s="6"/>
      <c r="Q27" s="123"/>
      <c r="R27" s="5"/>
      <c r="S27" s="5"/>
      <c r="T27" s="5"/>
      <c r="U27" s="5"/>
      <c r="V27" s="5"/>
      <c r="W27" s="5"/>
      <c r="X27" s="5"/>
      <c r="Y27" s="5"/>
      <c r="Z27" s="195"/>
      <c r="AA27" s="6"/>
      <c r="AB27" s="6"/>
      <c r="AC27" s="6"/>
      <c r="AD27" s="6"/>
      <c r="AE27" s="6"/>
      <c r="AF27" s="6"/>
      <c r="AG27" s="6"/>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c r="BH27" s="6"/>
      <c r="BI27" s="6"/>
      <c r="BJ27" s="6"/>
      <c r="BK27" s="6"/>
      <c r="BL27" s="6"/>
      <c r="BM27" s="6"/>
      <c r="BN27" s="6"/>
      <c r="BO27" s="6"/>
      <c r="BP27" s="6"/>
      <c r="BQ27" s="6"/>
      <c r="BR27" s="6"/>
      <c r="BS27" s="6"/>
      <c r="BT27" s="6"/>
      <c r="BU27" s="6"/>
      <c r="BV27" s="6"/>
      <c r="BW27" s="6"/>
      <c r="BX27" s="6"/>
      <c r="BY27" s="6"/>
      <c r="BZ27" s="6"/>
    </row>
    <row r="28" spans="1:78" x14ac:dyDescent="0.2">
      <c r="A28" s="5"/>
      <c r="B28" s="5"/>
      <c r="C28" s="5"/>
      <c r="D28" s="5"/>
      <c r="E28" s="64"/>
      <c r="F28" s="5"/>
      <c r="G28" s="5"/>
      <c r="H28" s="5"/>
      <c r="I28" s="5"/>
      <c r="J28" s="5"/>
      <c r="K28" s="5"/>
      <c r="L28" s="5"/>
      <c r="M28" s="6"/>
      <c r="N28" s="6"/>
      <c r="O28" s="6"/>
      <c r="P28" s="6"/>
      <c r="Q28" s="123"/>
      <c r="R28" s="5"/>
      <c r="S28" s="5"/>
      <c r="T28" s="5"/>
      <c r="U28" s="5"/>
      <c r="V28" s="5"/>
      <c r="W28" s="5"/>
      <c r="X28" s="5"/>
      <c r="Y28" s="5"/>
      <c r="Z28" s="195"/>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c r="BU28" s="6"/>
      <c r="BV28" s="6"/>
      <c r="BW28" s="6"/>
      <c r="BX28" s="6"/>
      <c r="BY28" s="6"/>
      <c r="BZ28" s="6"/>
    </row>
    <row r="29" spans="1:78" x14ac:dyDescent="0.2">
      <c r="A29" s="477" t="s">
        <v>406</v>
      </c>
      <c r="B29" s="350"/>
      <c r="C29" s="350"/>
      <c r="D29" s="350"/>
      <c r="E29" s="350"/>
      <c r="F29" s="350"/>
      <c r="G29" s="350"/>
      <c r="H29" s="231"/>
      <c r="I29" s="5"/>
      <c r="J29" s="5"/>
      <c r="K29" s="5"/>
      <c r="L29" s="5"/>
      <c r="M29" s="6"/>
      <c r="N29" s="6"/>
      <c r="O29" s="6"/>
      <c r="P29" s="6"/>
      <c r="Q29" s="123"/>
      <c r="R29" s="5"/>
      <c r="S29" s="5"/>
      <c r="T29" s="5"/>
      <c r="U29" s="5"/>
      <c r="V29" s="5"/>
      <c r="W29" s="5"/>
      <c r="X29" s="5"/>
      <c r="Y29" s="5"/>
      <c r="Z29" s="195"/>
      <c r="AA29" s="6"/>
      <c r="AB29" s="6"/>
      <c r="AC29" s="6"/>
      <c r="AD29" s="6"/>
      <c r="AE29" s="6"/>
      <c r="AF29" s="6"/>
      <c r="AG29" s="6"/>
      <c r="AH29" s="6"/>
      <c r="AI29" s="6"/>
      <c r="AJ29" s="6"/>
      <c r="AK29" s="6"/>
      <c r="AL29" s="6"/>
      <c r="AM29" s="6"/>
      <c r="AN29" s="6"/>
      <c r="AO29" s="6"/>
      <c r="AP29" s="6"/>
      <c r="AQ29" s="6"/>
      <c r="AR29" s="6"/>
      <c r="AS29" s="6"/>
      <c r="AT29" s="6"/>
      <c r="AU29" s="6"/>
      <c r="AV29" s="6"/>
      <c r="AW29" s="6"/>
      <c r="AX29" s="6"/>
      <c r="AY29" s="6"/>
      <c r="AZ29" s="6"/>
      <c r="BA29" s="6"/>
      <c r="BB29" s="6"/>
      <c r="BC29" s="6"/>
      <c r="BD29" s="6"/>
      <c r="BE29" s="6"/>
      <c r="BF29" s="6"/>
      <c r="BG29" s="6"/>
      <c r="BH29" s="6"/>
      <c r="BI29" s="6"/>
      <c r="BJ29" s="6"/>
      <c r="BK29" s="6"/>
      <c r="BL29" s="6"/>
      <c r="BM29" s="6"/>
      <c r="BN29" s="6"/>
      <c r="BO29" s="6"/>
      <c r="BP29" s="6"/>
      <c r="BQ29" s="6"/>
      <c r="BR29" s="6"/>
      <c r="BS29" s="6"/>
      <c r="BT29" s="6"/>
      <c r="BU29" s="6"/>
      <c r="BV29" s="6"/>
      <c r="BW29" s="6"/>
      <c r="BX29" s="6"/>
      <c r="BY29" s="6"/>
      <c r="BZ29" s="6"/>
    </row>
    <row r="30" spans="1:78" x14ac:dyDescent="0.2">
      <c r="A30" s="379" t="s">
        <v>409</v>
      </c>
      <c r="B30" s="380"/>
      <c r="C30" s="380"/>
      <c r="D30" s="380"/>
      <c r="E30" s="380"/>
      <c r="F30" s="380"/>
      <c r="G30" s="228"/>
      <c r="H30" s="5"/>
      <c r="I30" s="5"/>
      <c r="J30" s="5"/>
      <c r="K30" s="5"/>
      <c r="L30" s="5"/>
      <c r="M30" s="6"/>
      <c r="N30" s="6"/>
      <c r="O30" s="6"/>
      <c r="P30" s="6"/>
      <c r="Q30" s="123"/>
      <c r="R30" s="5"/>
      <c r="S30" s="5"/>
      <c r="T30" s="5"/>
      <c r="U30" s="5"/>
      <c r="V30" s="5"/>
      <c r="W30" s="5"/>
      <c r="X30" s="5"/>
      <c r="Y30" s="5"/>
      <c r="Z30" s="195"/>
      <c r="AA30" s="6"/>
      <c r="AB30" s="6"/>
      <c r="AC30" s="6"/>
      <c r="AD30" s="6"/>
      <c r="AE30" s="6"/>
      <c r="AF30" s="6"/>
      <c r="AG30" s="6"/>
      <c r="AH30" s="6"/>
      <c r="AI30" s="6"/>
      <c r="AJ30" s="6"/>
      <c r="AK30" s="6"/>
      <c r="AL30" s="6"/>
      <c r="AM30" s="6"/>
      <c r="AN30" s="6"/>
      <c r="AO30" s="6"/>
      <c r="AP30" s="6"/>
      <c r="AQ30" s="6"/>
      <c r="AR30" s="6"/>
      <c r="AS30" s="6"/>
      <c r="AT30" s="6"/>
      <c r="AU30" s="6"/>
      <c r="AV30" s="6"/>
      <c r="AW30" s="6"/>
      <c r="AX30" s="6"/>
      <c r="AY30" s="6"/>
      <c r="AZ30" s="6"/>
      <c r="BA30" s="6"/>
      <c r="BB30" s="6"/>
      <c r="BC30" s="6"/>
      <c r="BD30" s="6"/>
      <c r="BE30" s="6"/>
      <c r="BF30" s="6"/>
      <c r="BG30" s="6"/>
      <c r="BH30" s="6"/>
      <c r="BI30" s="6"/>
      <c r="BJ30" s="6"/>
      <c r="BK30" s="6"/>
      <c r="BL30" s="6"/>
      <c r="BM30" s="6"/>
      <c r="BN30" s="6"/>
      <c r="BO30" s="6"/>
      <c r="BP30" s="6"/>
      <c r="BQ30" s="6"/>
      <c r="BR30" s="6"/>
      <c r="BS30" s="6"/>
      <c r="BT30" s="6"/>
      <c r="BU30" s="6"/>
      <c r="BV30" s="6"/>
      <c r="BW30" s="6"/>
      <c r="BX30" s="6"/>
      <c r="BY30" s="6"/>
      <c r="BZ30" s="6"/>
    </row>
    <row r="31" spans="1:78" x14ac:dyDescent="0.2">
      <c r="A31" s="5" t="s">
        <v>69</v>
      </c>
      <c r="B31" s="5" t="s">
        <v>12</v>
      </c>
      <c r="C31" s="5"/>
      <c r="D31" s="5"/>
      <c r="E31" s="64"/>
      <c r="F31" s="5"/>
      <c r="G31" s="5"/>
      <c r="H31" s="5" t="s">
        <v>68</v>
      </c>
      <c r="I31" s="5"/>
      <c r="J31" s="5" t="s">
        <v>44</v>
      </c>
      <c r="K31" s="5"/>
      <c r="L31" s="5"/>
      <c r="M31" s="6"/>
      <c r="N31" s="6"/>
      <c r="O31" s="6"/>
      <c r="P31" s="6"/>
      <c r="Q31" s="123"/>
      <c r="R31" s="5"/>
      <c r="S31" s="5"/>
      <c r="T31" s="5"/>
      <c r="U31" s="5"/>
      <c r="V31" s="5"/>
      <c r="W31" s="5"/>
      <c r="X31" s="5"/>
      <c r="Y31" s="5"/>
      <c r="Z31" s="195"/>
      <c r="AA31" s="6"/>
      <c r="AB31" s="6"/>
      <c r="AC31" s="6"/>
      <c r="AD31" s="6"/>
      <c r="AE31" s="6"/>
      <c r="AF31" s="6"/>
      <c r="AG31" s="6"/>
      <c r="AH31" s="6"/>
      <c r="AI31" s="6"/>
      <c r="AJ31" s="6"/>
      <c r="AK31" s="6"/>
      <c r="AL31" s="6"/>
      <c r="AM31" s="6"/>
      <c r="AN31" s="6"/>
      <c r="AO31" s="6"/>
      <c r="AP31" s="6"/>
      <c r="AQ31" s="6"/>
      <c r="AR31" s="6"/>
      <c r="AS31" s="6"/>
      <c r="AT31" s="6"/>
      <c r="AU31" s="6"/>
      <c r="AV31" s="6"/>
      <c r="AW31" s="6"/>
      <c r="AX31" s="6"/>
      <c r="AY31" s="6"/>
      <c r="AZ31" s="6"/>
      <c r="BA31" s="6"/>
      <c r="BB31" s="6"/>
      <c r="BC31" s="6"/>
      <c r="BD31" s="6"/>
      <c r="BE31" s="6"/>
      <c r="BF31" s="6"/>
      <c r="BG31" s="6"/>
      <c r="BH31" s="6"/>
      <c r="BI31" s="6"/>
      <c r="BJ31" s="6"/>
      <c r="BK31" s="6"/>
      <c r="BL31" s="6"/>
      <c r="BM31" s="6"/>
      <c r="BN31" s="6"/>
      <c r="BO31" s="6"/>
      <c r="BP31" s="6"/>
      <c r="BQ31" s="6"/>
      <c r="BR31" s="6"/>
      <c r="BS31" s="6"/>
      <c r="BT31" s="6"/>
      <c r="BU31" s="6"/>
      <c r="BV31" s="6"/>
      <c r="BW31" s="6"/>
      <c r="BX31" s="6"/>
      <c r="BY31" s="6"/>
      <c r="BZ31" s="6"/>
    </row>
    <row r="32" spans="1:78" x14ac:dyDescent="0.2">
      <c r="A32" s="5"/>
      <c r="B32" s="5"/>
      <c r="C32" s="5"/>
      <c r="D32" s="5"/>
      <c r="E32" s="64"/>
      <c r="F32" s="5"/>
      <c r="G32" s="5"/>
      <c r="H32" s="5"/>
      <c r="I32" s="5"/>
      <c r="J32" s="5"/>
      <c r="K32" s="5"/>
      <c r="L32" s="5"/>
      <c r="M32" s="6"/>
      <c r="N32" s="6"/>
      <c r="O32" s="6"/>
      <c r="P32" s="6"/>
      <c r="Q32" s="123"/>
      <c r="R32" s="5"/>
      <c r="S32" s="5"/>
      <c r="T32" s="5"/>
      <c r="U32" s="5"/>
      <c r="V32" s="5"/>
      <c r="W32" s="5"/>
      <c r="X32" s="5"/>
      <c r="Y32" s="5"/>
      <c r="Z32" s="195"/>
      <c r="AA32" s="6"/>
      <c r="AB32" s="6"/>
      <c r="AC32" s="6"/>
      <c r="AD32" s="6"/>
      <c r="AE32" s="6"/>
      <c r="AF32" s="6"/>
      <c r="AG32" s="6"/>
      <c r="AH32" s="6"/>
      <c r="AI32" s="6"/>
      <c r="AJ32" s="6"/>
      <c r="AK32" s="6"/>
      <c r="AL32" s="6"/>
      <c r="AM32" s="6"/>
      <c r="AN32" s="6"/>
      <c r="AO32" s="6"/>
      <c r="AP32" s="6"/>
      <c r="AQ32" s="6"/>
      <c r="AR32" s="6"/>
      <c r="AS32" s="6"/>
      <c r="AT32" s="6"/>
      <c r="AU32" s="6"/>
      <c r="AV32" s="6"/>
      <c r="AW32" s="6"/>
      <c r="AX32" s="6"/>
      <c r="AY32" s="6"/>
      <c r="AZ32" s="6"/>
      <c r="BA32" s="6"/>
      <c r="BB32" s="6"/>
      <c r="BC32" s="6"/>
      <c r="BD32" s="6"/>
      <c r="BE32" s="6"/>
      <c r="BF32" s="6"/>
      <c r="BG32" s="6"/>
      <c r="BH32" s="6"/>
      <c r="BI32" s="6"/>
      <c r="BJ32" s="6"/>
      <c r="BK32" s="6"/>
      <c r="BL32" s="6"/>
      <c r="BM32" s="6"/>
      <c r="BN32" s="6"/>
      <c r="BO32" s="6"/>
      <c r="BP32" s="6"/>
      <c r="BQ32" s="6"/>
      <c r="BR32" s="6"/>
      <c r="BS32" s="6"/>
      <c r="BT32" s="6"/>
      <c r="BU32" s="6"/>
      <c r="BV32" s="6"/>
      <c r="BW32" s="6"/>
      <c r="BX32" s="6"/>
      <c r="BY32" s="6"/>
      <c r="BZ32" s="6"/>
    </row>
    <row r="33" spans="1:78" x14ac:dyDescent="0.2">
      <c r="A33" s="5"/>
      <c r="B33" s="5"/>
      <c r="C33" s="5"/>
      <c r="D33" s="5"/>
      <c r="E33" s="64"/>
      <c r="F33" s="5"/>
      <c r="G33" s="5"/>
      <c r="H33" s="5"/>
      <c r="I33" s="5"/>
      <c r="J33" s="5"/>
      <c r="K33" s="5"/>
      <c r="L33" s="5"/>
      <c r="M33" s="6"/>
      <c r="N33" s="6"/>
      <c r="O33" s="6"/>
      <c r="P33" s="6"/>
      <c r="Q33" s="123"/>
      <c r="R33" s="5"/>
      <c r="S33" s="5"/>
      <c r="T33" s="5"/>
      <c r="U33" s="5"/>
      <c r="V33" s="5"/>
      <c r="W33" s="5"/>
      <c r="X33" s="5"/>
      <c r="Y33" s="5"/>
      <c r="Z33" s="195"/>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6"/>
      <c r="BA33" s="6"/>
      <c r="BB33" s="6"/>
      <c r="BC33" s="6"/>
      <c r="BD33" s="6"/>
      <c r="BE33" s="6"/>
      <c r="BF33" s="6"/>
      <c r="BG33" s="6"/>
      <c r="BH33" s="6"/>
      <c r="BI33" s="6"/>
      <c r="BJ33" s="6"/>
      <c r="BK33" s="6"/>
      <c r="BL33" s="6"/>
      <c r="BM33" s="6"/>
      <c r="BN33" s="6"/>
      <c r="BO33" s="6"/>
      <c r="BP33" s="6"/>
      <c r="BQ33" s="6"/>
      <c r="BR33" s="6"/>
      <c r="BS33" s="6"/>
      <c r="BT33" s="6"/>
      <c r="BU33" s="6"/>
      <c r="BV33" s="6"/>
      <c r="BW33" s="6"/>
      <c r="BX33" s="6"/>
      <c r="BY33" s="6"/>
      <c r="BZ33" s="6"/>
    </row>
    <row r="34" spans="1:78" x14ac:dyDescent="0.2">
      <c r="A34" s="5"/>
      <c r="B34" s="5"/>
      <c r="C34" s="5"/>
      <c r="D34" s="5"/>
      <c r="E34" s="64"/>
      <c r="F34" s="5"/>
      <c r="G34" s="5"/>
      <c r="H34" s="5"/>
      <c r="I34" s="5"/>
      <c r="J34" s="5"/>
      <c r="K34" s="5"/>
      <c r="L34" s="5"/>
      <c r="M34" s="6"/>
      <c r="N34" s="6"/>
      <c r="O34" s="6"/>
      <c r="P34" s="6"/>
      <c r="Q34" s="123"/>
      <c r="R34" s="5"/>
      <c r="S34" s="5"/>
      <c r="T34" s="5"/>
      <c r="U34" s="5"/>
      <c r="V34" s="5"/>
      <c r="W34" s="5"/>
      <c r="X34" s="5"/>
      <c r="Y34" s="5"/>
      <c r="Z34" s="195"/>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6"/>
      <c r="BA34" s="6"/>
      <c r="BB34" s="6"/>
      <c r="BC34" s="6"/>
      <c r="BD34" s="6"/>
      <c r="BE34" s="6"/>
      <c r="BF34" s="6"/>
      <c r="BG34" s="6"/>
      <c r="BH34" s="6"/>
      <c r="BI34" s="6"/>
      <c r="BJ34" s="6"/>
      <c r="BK34" s="6"/>
      <c r="BL34" s="6"/>
      <c r="BM34" s="6"/>
      <c r="BN34" s="6"/>
      <c r="BO34" s="6"/>
      <c r="BP34" s="6"/>
      <c r="BQ34" s="6"/>
      <c r="BR34" s="6"/>
      <c r="BS34" s="6"/>
      <c r="BT34" s="6"/>
      <c r="BU34" s="6"/>
      <c r="BV34" s="6"/>
      <c r="BW34" s="6"/>
      <c r="BX34" s="6"/>
      <c r="BY34" s="6"/>
      <c r="BZ34" s="6"/>
    </row>
    <row r="35" spans="1:78" x14ac:dyDescent="0.2">
      <c r="A35" s="5"/>
      <c r="B35" s="5"/>
      <c r="C35" s="5"/>
      <c r="D35" s="5"/>
      <c r="E35" s="64"/>
      <c r="F35" s="5"/>
      <c r="G35" s="5"/>
      <c r="H35" s="5"/>
      <c r="I35" s="5"/>
      <c r="J35" s="5"/>
      <c r="K35" s="5"/>
      <c r="L35" s="5"/>
      <c r="M35" s="6"/>
      <c r="N35" s="6"/>
      <c r="O35" s="6"/>
      <c r="P35" s="6"/>
      <c r="Q35" s="123"/>
      <c r="R35" s="5"/>
      <c r="S35" s="5"/>
      <c r="T35" s="5"/>
      <c r="U35" s="5"/>
      <c r="V35" s="5"/>
      <c r="W35" s="5"/>
      <c r="X35" s="5"/>
      <c r="Y35" s="5"/>
      <c r="Z35" s="195"/>
      <c r="AA35" s="6"/>
      <c r="AB35" s="6"/>
      <c r="AC35" s="6"/>
      <c r="AD35" s="6"/>
      <c r="AE35" s="6"/>
      <c r="AF35" s="6"/>
      <c r="AG35" s="6"/>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6"/>
      <c r="BY35" s="6"/>
      <c r="BZ35" s="6"/>
    </row>
    <row r="36" spans="1:78" x14ac:dyDescent="0.2">
      <c r="A36" s="5"/>
      <c r="B36" s="5"/>
      <c r="C36" s="5"/>
      <c r="D36" s="5"/>
      <c r="E36" s="64"/>
      <c r="F36" s="5"/>
      <c r="G36" s="5"/>
      <c r="H36" s="5"/>
      <c r="I36" s="5"/>
      <c r="J36" s="5"/>
      <c r="K36" s="5"/>
      <c r="L36" s="5"/>
      <c r="M36" s="6"/>
      <c r="N36" s="6"/>
      <c r="O36" s="6"/>
      <c r="P36" s="6"/>
      <c r="Q36" s="123"/>
      <c r="R36" s="5"/>
      <c r="S36" s="5"/>
      <c r="T36" s="5"/>
      <c r="U36" s="5"/>
      <c r="V36" s="5"/>
      <c r="W36" s="5"/>
      <c r="X36" s="5"/>
      <c r="Y36" s="5"/>
      <c r="Z36" s="195"/>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c r="BH36" s="6"/>
      <c r="BI36" s="6"/>
      <c r="BJ36" s="6"/>
      <c r="BK36" s="6"/>
      <c r="BL36" s="6"/>
      <c r="BM36" s="6"/>
      <c r="BN36" s="6"/>
      <c r="BO36" s="6"/>
      <c r="BP36" s="6"/>
      <c r="BQ36" s="6"/>
      <c r="BR36" s="6"/>
      <c r="BS36" s="6"/>
      <c r="BT36" s="6"/>
      <c r="BU36" s="6"/>
      <c r="BV36" s="6"/>
      <c r="BW36" s="6"/>
      <c r="BX36" s="6"/>
      <c r="BY36" s="6"/>
      <c r="BZ36" s="6"/>
    </row>
    <row r="37" spans="1:78" x14ac:dyDescent="0.2">
      <c r="A37" s="382" t="s">
        <v>407</v>
      </c>
      <c r="B37" s="383"/>
      <c r="C37" s="384"/>
      <c r="D37" s="5"/>
      <c r="E37" s="64"/>
      <c r="F37" s="5"/>
      <c r="G37" s="5"/>
      <c r="H37" s="5"/>
      <c r="I37" s="5"/>
      <c r="J37" s="5"/>
      <c r="K37" s="5"/>
      <c r="L37" s="5"/>
      <c r="M37" s="6"/>
      <c r="N37" s="6"/>
      <c r="O37" s="6"/>
      <c r="P37" s="6"/>
      <c r="Q37" s="123"/>
      <c r="R37" s="5"/>
      <c r="S37" s="5"/>
      <c r="T37" s="5"/>
      <c r="U37" s="5"/>
      <c r="V37" s="5"/>
      <c r="W37" s="5"/>
      <c r="X37" s="5"/>
      <c r="Y37" s="5"/>
      <c r="Z37" s="195"/>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c r="BH37" s="6"/>
      <c r="BI37" s="6"/>
      <c r="BJ37" s="6"/>
      <c r="BK37" s="6"/>
      <c r="BL37" s="6"/>
      <c r="BM37" s="6"/>
      <c r="BN37" s="6"/>
      <c r="BO37" s="6"/>
      <c r="BP37" s="6"/>
      <c r="BQ37" s="6"/>
      <c r="BR37" s="6"/>
      <c r="BS37" s="6"/>
      <c r="BT37" s="6"/>
      <c r="BU37" s="6"/>
      <c r="BV37" s="6"/>
      <c r="BW37" s="6"/>
      <c r="BX37" s="6"/>
      <c r="BY37" s="6"/>
      <c r="BZ37" s="6"/>
    </row>
    <row r="38" spans="1:78" x14ac:dyDescent="0.2">
      <c r="A38" s="379" t="s">
        <v>409</v>
      </c>
      <c r="B38" s="380"/>
      <c r="C38" s="380"/>
      <c r="D38" s="380"/>
      <c r="E38" s="380"/>
      <c r="F38" s="380"/>
      <c r="G38" s="228"/>
      <c r="H38" s="5"/>
      <c r="I38" s="5"/>
      <c r="J38" s="5"/>
      <c r="K38" s="5"/>
      <c r="L38" s="5"/>
      <c r="M38" s="6"/>
      <c r="N38" s="6"/>
      <c r="O38" s="6"/>
      <c r="P38" s="6"/>
      <c r="Q38" s="123"/>
      <c r="R38" s="5"/>
      <c r="S38" s="5"/>
      <c r="T38" s="5"/>
      <c r="U38" s="5"/>
      <c r="V38" s="5"/>
      <c r="W38" s="5"/>
      <c r="X38" s="5"/>
      <c r="Y38" s="5"/>
      <c r="Z38" s="195"/>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c r="BA38" s="6"/>
      <c r="BB38" s="6"/>
      <c r="BC38" s="6"/>
      <c r="BD38" s="6"/>
      <c r="BE38" s="6"/>
      <c r="BF38" s="6"/>
      <c r="BG38" s="6"/>
      <c r="BH38" s="6"/>
      <c r="BI38" s="6"/>
      <c r="BJ38" s="6"/>
      <c r="BK38" s="6"/>
      <c r="BL38" s="6"/>
      <c r="BM38" s="6"/>
      <c r="BN38" s="6"/>
      <c r="BO38" s="6"/>
      <c r="BP38" s="6"/>
      <c r="BQ38" s="6"/>
      <c r="BR38" s="6"/>
      <c r="BS38" s="6"/>
      <c r="BT38" s="6"/>
      <c r="BU38" s="6"/>
      <c r="BV38" s="6"/>
      <c r="BW38" s="6"/>
      <c r="BX38" s="6"/>
      <c r="BY38" s="6"/>
      <c r="BZ38" s="6"/>
    </row>
    <row r="39" spans="1:78" x14ac:dyDescent="0.2">
      <c r="A39" s="5" t="s">
        <v>26</v>
      </c>
      <c r="B39" s="5" t="s">
        <v>12</v>
      </c>
      <c r="C39" s="5"/>
      <c r="D39" s="5"/>
      <c r="E39" s="64"/>
      <c r="F39" s="5"/>
      <c r="G39" s="5"/>
      <c r="H39" s="5" t="s">
        <v>68</v>
      </c>
      <c r="I39" s="5"/>
      <c r="J39" s="5" t="s">
        <v>44</v>
      </c>
      <c r="K39" s="5"/>
      <c r="L39" s="5"/>
      <c r="M39" s="6"/>
      <c r="N39" s="6"/>
      <c r="O39" s="6"/>
      <c r="P39" s="6"/>
      <c r="Q39" s="123"/>
      <c r="R39" s="5"/>
      <c r="S39" s="5"/>
      <c r="T39" s="5"/>
      <c r="U39" s="5"/>
      <c r="V39" s="5"/>
      <c r="W39" s="5"/>
      <c r="X39" s="5"/>
      <c r="Y39" s="5"/>
      <c r="Z39" s="195"/>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6"/>
      <c r="BA39" s="6"/>
      <c r="BB39" s="6"/>
      <c r="BC39" s="6"/>
      <c r="BD39" s="6"/>
      <c r="BE39" s="6"/>
      <c r="BF39" s="6"/>
      <c r="BG39" s="6"/>
      <c r="BH39" s="6"/>
      <c r="BI39" s="6"/>
      <c r="BJ39" s="6"/>
      <c r="BK39" s="6"/>
      <c r="BL39" s="6"/>
      <c r="BM39" s="6"/>
      <c r="BN39" s="6"/>
      <c r="BO39" s="6"/>
      <c r="BP39" s="6"/>
      <c r="BQ39" s="6"/>
      <c r="BR39" s="6"/>
      <c r="BS39" s="6"/>
      <c r="BT39" s="6"/>
      <c r="BU39" s="6"/>
      <c r="BV39" s="6"/>
      <c r="BW39" s="6"/>
      <c r="BX39" s="6"/>
      <c r="BY39" s="6"/>
      <c r="BZ39" s="6"/>
    </row>
    <row r="40" spans="1:78" x14ac:dyDescent="0.2">
      <c r="A40" s="5"/>
      <c r="B40" s="5"/>
      <c r="C40" s="5"/>
      <c r="D40" s="5"/>
      <c r="E40" s="64"/>
      <c r="F40" s="5"/>
      <c r="G40" s="5"/>
      <c r="H40" s="5"/>
      <c r="I40" s="5"/>
      <c r="J40" s="5"/>
      <c r="K40" s="5"/>
      <c r="L40" s="5"/>
      <c r="M40" s="6"/>
      <c r="N40" s="6"/>
      <c r="O40" s="6"/>
      <c r="P40" s="6"/>
      <c r="Q40" s="123"/>
      <c r="R40" s="5"/>
      <c r="S40" s="5"/>
      <c r="T40" s="5"/>
      <c r="U40" s="5"/>
      <c r="V40" s="5"/>
      <c r="W40" s="5"/>
      <c r="X40" s="5"/>
      <c r="Y40" s="5"/>
      <c r="Z40" s="195"/>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c r="BH40" s="6"/>
      <c r="BI40" s="6"/>
      <c r="BJ40" s="6"/>
      <c r="BK40" s="6"/>
      <c r="BL40" s="6"/>
      <c r="BM40" s="6"/>
      <c r="BN40" s="6"/>
      <c r="BO40" s="6"/>
      <c r="BP40" s="6"/>
      <c r="BQ40" s="6"/>
      <c r="BR40" s="6"/>
      <c r="BS40" s="6"/>
      <c r="BT40" s="6"/>
      <c r="BU40" s="6"/>
      <c r="BV40" s="6"/>
      <c r="BW40" s="6"/>
      <c r="BX40" s="6"/>
      <c r="BY40" s="6"/>
      <c r="BZ40" s="6"/>
    </row>
    <row r="41" spans="1:78" x14ac:dyDescent="0.2">
      <c r="A41" s="3"/>
      <c r="B41" s="5"/>
      <c r="C41" s="5"/>
      <c r="D41" s="5"/>
      <c r="E41" s="64"/>
      <c r="F41" s="5"/>
      <c r="G41" s="5"/>
      <c r="H41" s="5"/>
      <c r="I41" s="5"/>
      <c r="J41" s="5"/>
      <c r="K41" s="5"/>
      <c r="L41" s="5"/>
      <c r="M41" s="6"/>
      <c r="N41" s="6"/>
      <c r="O41" s="6"/>
      <c r="P41" s="6"/>
      <c r="Q41" s="123"/>
      <c r="R41" s="5"/>
      <c r="S41" s="5"/>
      <c r="T41" s="5"/>
      <c r="U41" s="5"/>
      <c r="V41" s="5"/>
      <c r="W41" s="5"/>
      <c r="X41" s="5"/>
      <c r="Y41" s="5"/>
      <c r="Z41" s="195"/>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c r="BN41" s="6"/>
      <c r="BO41" s="6"/>
      <c r="BP41" s="6"/>
      <c r="BQ41" s="6"/>
      <c r="BR41" s="6"/>
      <c r="BS41" s="6"/>
      <c r="BT41" s="6"/>
      <c r="BU41" s="6"/>
      <c r="BV41" s="6"/>
      <c r="BW41" s="6"/>
      <c r="BX41" s="6"/>
      <c r="BY41" s="6"/>
      <c r="BZ41" s="6"/>
    </row>
    <row r="42" spans="1:78" x14ac:dyDescent="0.2">
      <c r="A42" s="12"/>
      <c r="B42" s="11"/>
      <c r="C42" s="11"/>
      <c r="D42" s="11"/>
      <c r="E42" s="65"/>
      <c r="F42" s="11"/>
      <c r="G42" s="11"/>
      <c r="H42" s="11"/>
      <c r="I42" s="11"/>
      <c r="J42" s="11"/>
      <c r="K42" s="11"/>
      <c r="L42" s="37"/>
      <c r="M42" s="6"/>
      <c r="N42" s="6"/>
      <c r="O42" s="6"/>
      <c r="P42" s="6"/>
      <c r="Q42" s="124"/>
      <c r="R42" s="5"/>
      <c r="S42" s="5"/>
      <c r="T42" s="5"/>
      <c r="U42" s="5"/>
      <c r="V42" s="5"/>
      <c r="W42" s="5"/>
      <c r="X42" s="5"/>
      <c r="Y42" s="5"/>
      <c r="Z42" s="195"/>
      <c r="AA42" s="6"/>
      <c r="AB42" s="6"/>
      <c r="AC42" s="6"/>
      <c r="AD42" s="6"/>
      <c r="AE42" s="6"/>
      <c r="AF42" s="6"/>
      <c r="AG42" s="6"/>
      <c r="AH42" s="6"/>
      <c r="AI42" s="6"/>
      <c r="AJ42" s="6"/>
      <c r="AK42" s="6"/>
      <c r="AL42" s="6"/>
      <c r="AM42" s="6"/>
      <c r="AN42" s="6"/>
      <c r="AO42" s="6"/>
      <c r="AP42" s="6"/>
      <c r="AQ42" s="6"/>
      <c r="AR42" s="6"/>
      <c r="AS42" s="6"/>
      <c r="AT42" s="6"/>
      <c r="AU42" s="6"/>
      <c r="AV42" s="6"/>
      <c r="AW42" s="6"/>
      <c r="AX42" s="6"/>
      <c r="AY42" s="6"/>
      <c r="AZ42" s="6"/>
      <c r="BA42" s="6"/>
      <c r="BB42" s="6"/>
      <c r="BC42" s="6"/>
      <c r="BD42" s="6"/>
      <c r="BE42" s="6"/>
      <c r="BF42" s="6"/>
      <c r="BG42" s="6"/>
      <c r="BH42" s="6"/>
      <c r="BI42" s="6"/>
      <c r="BJ42" s="6"/>
      <c r="BK42" s="6"/>
      <c r="BL42" s="6"/>
      <c r="BM42" s="6"/>
      <c r="BN42" s="6"/>
      <c r="BO42" s="6"/>
      <c r="BP42" s="6"/>
      <c r="BQ42" s="6"/>
      <c r="BR42" s="6"/>
      <c r="BS42" s="6"/>
      <c r="BT42" s="6"/>
      <c r="BU42" s="6"/>
      <c r="BV42" s="6"/>
      <c r="BW42" s="6"/>
      <c r="BX42" s="6"/>
      <c r="BY42" s="6"/>
      <c r="BZ42" s="6"/>
    </row>
    <row r="43" spans="1:78" x14ac:dyDescent="0.2">
      <c r="A43" s="14"/>
      <c r="B43" s="13"/>
      <c r="C43" s="13"/>
      <c r="D43" s="13"/>
      <c r="E43" s="63"/>
      <c r="F43" s="13"/>
      <c r="G43" s="13"/>
      <c r="H43" s="14"/>
      <c r="I43" s="13"/>
      <c r="J43" s="13"/>
      <c r="K43" s="180"/>
      <c r="L43" s="37"/>
      <c r="M43" s="4"/>
      <c r="N43" s="6"/>
      <c r="O43" s="6"/>
      <c r="P43" s="4"/>
      <c r="Q43" s="124"/>
      <c r="R43" s="5"/>
      <c r="S43" s="5"/>
      <c r="T43" s="5"/>
      <c r="U43" s="5"/>
      <c r="V43" s="5"/>
      <c r="W43" s="5"/>
      <c r="X43" s="5"/>
      <c r="Y43" s="5"/>
      <c r="Z43" s="195"/>
      <c r="AA43" s="6"/>
      <c r="AB43" s="6"/>
      <c r="AC43" s="6"/>
      <c r="AD43" s="6"/>
      <c r="AE43" s="6"/>
      <c r="AF43" s="6"/>
      <c r="AG43" s="6"/>
      <c r="AH43" s="6"/>
      <c r="AI43" s="6"/>
      <c r="AJ43" s="6"/>
      <c r="AK43" s="6"/>
      <c r="AL43" s="6"/>
      <c r="AM43" s="6"/>
      <c r="AN43" s="6"/>
      <c r="AO43" s="6"/>
      <c r="AP43" s="6"/>
      <c r="AQ43" s="6"/>
      <c r="AR43" s="6"/>
      <c r="AS43" s="6"/>
      <c r="AT43" s="6"/>
      <c r="AU43" s="6"/>
      <c r="AV43" s="6"/>
      <c r="AW43" s="6"/>
      <c r="AX43" s="6"/>
      <c r="AY43" s="6"/>
      <c r="AZ43" s="6"/>
      <c r="BA43" s="6"/>
      <c r="BB43" s="6"/>
      <c r="BC43" s="6"/>
      <c r="BD43" s="6"/>
      <c r="BE43" s="6"/>
      <c r="BF43" s="6"/>
      <c r="BG43" s="6"/>
      <c r="BH43" s="6"/>
      <c r="BI43" s="6"/>
      <c r="BJ43" s="6"/>
      <c r="BK43" s="6"/>
      <c r="BL43" s="6"/>
      <c r="BM43" s="6"/>
      <c r="BN43" s="6"/>
      <c r="BO43" s="6"/>
      <c r="BP43" s="6"/>
      <c r="BQ43" s="6"/>
      <c r="BR43" s="6"/>
      <c r="BS43" s="6"/>
      <c r="BT43" s="6"/>
      <c r="BU43" s="6"/>
      <c r="BV43" s="6"/>
      <c r="BW43" s="6"/>
      <c r="BX43" s="6"/>
      <c r="BY43" s="6"/>
      <c r="BZ43" s="6"/>
    </row>
    <row r="44" spans="1:78" x14ac:dyDescent="0.2">
      <c r="A44" s="5"/>
      <c r="B44" s="5"/>
      <c r="C44" s="5"/>
      <c r="D44" s="5"/>
      <c r="E44" s="64"/>
      <c r="F44" s="5"/>
      <c r="G44" s="5"/>
      <c r="H44" s="5"/>
      <c r="I44" s="5"/>
      <c r="J44" s="5"/>
      <c r="K44" s="101"/>
      <c r="L44" s="5"/>
      <c r="M44" s="4"/>
      <c r="N44" s="6"/>
      <c r="O44" s="6"/>
      <c r="P44" s="4"/>
      <c r="Q44" s="124"/>
      <c r="R44" s="5"/>
      <c r="S44" s="5"/>
      <c r="T44" s="5"/>
      <c r="U44" s="5"/>
      <c r="V44" s="5"/>
      <c r="W44" s="5"/>
      <c r="X44" s="5"/>
      <c r="Y44" s="5"/>
      <c r="Z44" s="195"/>
      <c r="AA44" s="6"/>
      <c r="AB44" s="6"/>
      <c r="AC44" s="6"/>
      <c r="AD44" s="6"/>
      <c r="AE44" s="6"/>
      <c r="AF44" s="6"/>
      <c r="AG44" s="6"/>
      <c r="AH44" s="6"/>
      <c r="AI44" s="6"/>
      <c r="AJ44" s="6"/>
      <c r="AK44" s="6"/>
      <c r="AL44" s="6"/>
      <c r="AM44" s="6"/>
      <c r="AN44" s="6"/>
      <c r="AO44" s="6"/>
      <c r="AP44" s="6"/>
      <c r="AQ44" s="6"/>
      <c r="AR44" s="6"/>
      <c r="AS44" s="6"/>
      <c r="AT44" s="6"/>
      <c r="AU44" s="6"/>
      <c r="AV44" s="6"/>
      <c r="AW44" s="6"/>
      <c r="AX44" s="6"/>
      <c r="AY44" s="6"/>
      <c r="AZ44" s="6"/>
      <c r="BA44" s="6"/>
      <c r="BB44" s="6"/>
      <c r="BC44" s="6"/>
      <c r="BD44" s="6"/>
      <c r="BE44" s="6"/>
      <c r="BF44" s="6"/>
      <c r="BG44" s="6"/>
      <c r="BH44" s="6"/>
      <c r="BI44" s="6"/>
      <c r="BJ44" s="6"/>
      <c r="BK44" s="6"/>
      <c r="BL44" s="6"/>
      <c r="BM44" s="6"/>
      <c r="BN44" s="6"/>
      <c r="BO44" s="6"/>
      <c r="BP44" s="6"/>
      <c r="BQ44" s="6"/>
      <c r="BR44" s="6"/>
      <c r="BS44" s="6"/>
      <c r="BT44" s="6"/>
      <c r="BU44" s="6"/>
      <c r="BV44" s="6"/>
      <c r="BW44" s="6"/>
      <c r="BX44" s="6"/>
      <c r="BY44" s="6"/>
      <c r="BZ44" s="6"/>
    </row>
    <row r="45" spans="1:78" x14ac:dyDescent="0.2">
      <c r="A45" s="5"/>
      <c r="B45" s="5"/>
      <c r="C45" s="5"/>
      <c r="D45" s="5"/>
      <c r="E45" s="64"/>
      <c r="F45" s="5"/>
      <c r="G45" s="5"/>
      <c r="H45" s="5"/>
      <c r="I45" s="5"/>
      <c r="J45" s="5"/>
      <c r="K45" s="101"/>
      <c r="L45" s="5"/>
      <c r="M45" s="4"/>
      <c r="N45" s="6"/>
      <c r="O45" s="6"/>
      <c r="P45" s="4"/>
      <c r="Q45" s="124"/>
      <c r="R45" s="5"/>
      <c r="S45" s="5"/>
      <c r="T45" s="5"/>
      <c r="U45" s="5"/>
      <c r="V45" s="5"/>
      <c r="W45" s="5"/>
      <c r="X45" s="5"/>
      <c r="Y45" s="5"/>
      <c r="Z45" s="195"/>
      <c r="AA45" s="6"/>
      <c r="AB45" s="6"/>
      <c r="AC45" s="6"/>
      <c r="AD45" s="6"/>
      <c r="AE45" s="6"/>
      <c r="AF45" s="6"/>
      <c r="AG45" s="6"/>
      <c r="AH45" s="6"/>
      <c r="AI45" s="6"/>
      <c r="AJ45" s="6"/>
      <c r="AK45" s="6"/>
      <c r="AL45" s="6"/>
      <c r="AM45" s="6"/>
      <c r="AN45" s="6"/>
      <c r="AO45" s="6"/>
      <c r="AP45" s="6"/>
      <c r="AQ45" s="6"/>
      <c r="AR45" s="6"/>
      <c r="AS45" s="6"/>
      <c r="AT45" s="6"/>
      <c r="AU45" s="6"/>
      <c r="AV45" s="6"/>
      <c r="AW45" s="6"/>
      <c r="AX45" s="6"/>
      <c r="AY45" s="6"/>
      <c r="AZ45" s="6"/>
      <c r="BA45" s="6"/>
      <c r="BB45" s="6"/>
      <c r="BC45" s="6"/>
      <c r="BD45" s="6"/>
      <c r="BE45" s="6"/>
      <c r="BF45" s="6"/>
      <c r="BG45" s="6"/>
      <c r="BH45" s="6"/>
      <c r="BI45" s="6"/>
      <c r="BJ45" s="6"/>
      <c r="BK45" s="6"/>
      <c r="BL45" s="6"/>
      <c r="BM45" s="6"/>
      <c r="BN45" s="6"/>
      <c r="BO45" s="6"/>
      <c r="BP45" s="6"/>
      <c r="BQ45" s="6"/>
      <c r="BR45" s="6"/>
      <c r="BS45" s="6"/>
      <c r="BT45" s="6"/>
      <c r="BU45" s="6"/>
      <c r="BV45" s="6"/>
      <c r="BW45" s="6"/>
      <c r="BX45" s="6"/>
      <c r="BY45" s="6"/>
      <c r="BZ45" s="6"/>
    </row>
    <row r="46" spans="1:78" x14ac:dyDescent="0.2">
      <c r="A46" s="13"/>
      <c r="B46" s="13"/>
      <c r="C46" s="13"/>
      <c r="D46" s="13"/>
      <c r="E46" s="63"/>
      <c r="F46" s="13"/>
      <c r="G46" s="13"/>
      <c r="H46" s="13"/>
      <c r="I46" s="13"/>
      <c r="J46" s="13"/>
      <c r="K46" s="101"/>
      <c r="L46" s="5"/>
      <c r="M46" s="4"/>
      <c r="N46" s="6"/>
      <c r="O46" s="6"/>
      <c r="P46" s="4"/>
      <c r="Q46" s="124"/>
      <c r="R46" s="5"/>
      <c r="S46" s="5"/>
      <c r="T46" s="5"/>
      <c r="U46" s="5"/>
      <c r="V46" s="5"/>
      <c r="W46" s="5"/>
      <c r="X46" s="5"/>
      <c r="Y46" s="5"/>
      <c r="Z46" s="195"/>
      <c r="AA46" s="6"/>
      <c r="AB46" s="6"/>
      <c r="AC46" s="6"/>
      <c r="AD46" s="6"/>
      <c r="AE46" s="6"/>
      <c r="AF46" s="6"/>
      <c r="AG46" s="6"/>
      <c r="AH46" s="6"/>
      <c r="AI46" s="6"/>
      <c r="AJ46" s="6"/>
      <c r="AK46" s="6"/>
      <c r="AL46" s="6"/>
      <c r="AM46" s="6"/>
      <c r="AN46" s="6"/>
      <c r="AO46" s="6"/>
      <c r="AP46" s="6"/>
      <c r="AQ46" s="6"/>
      <c r="AR46" s="6"/>
      <c r="AS46" s="6"/>
      <c r="AT46" s="6"/>
      <c r="AU46" s="6"/>
      <c r="AV46" s="6"/>
      <c r="AW46" s="6"/>
      <c r="AX46" s="6"/>
      <c r="AY46" s="6"/>
      <c r="AZ46" s="6"/>
      <c r="BA46" s="6"/>
      <c r="BB46" s="6"/>
      <c r="BC46" s="6"/>
      <c r="BD46" s="6"/>
      <c r="BE46" s="6"/>
      <c r="BF46" s="6"/>
      <c r="BG46" s="6"/>
      <c r="BH46" s="6"/>
      <c r="BI46" s="6"/>
      <c r="BJ46" s="6"/>
      <c r="BK46" s="6"/>
      <c r="BL46" s="6"/>
      <c r="BM46" s="6"/>
      <c r="BN46" s="6"/>
      <c r="BO46" s="6"/>
      <c r="BP46" s="6"/>
      <c r="BQ46" s="6"/>
      <c r="BR46" s="6"/>
      <c r="BS46" s="6"/>
      <c r="BT46" s="6"/>
      <c r="BU46" s="6"/>
      <c r="BV46" s="6"/>
      <c r="BW46" s="6"/>
      <c r="BX46" s="6"/>
      <c r="BY46" s="6"/>
      <c r="BZ46" s="6"/>
    </row>
    <row r="47" spans="1:78" x14ac:dyDescent="0.2">
      <c r="A47" s="5"/>
      <c r="B47" s="5"/>
      <c r="C47" s="5"/>
      <c r="D47" s="5"/>
      <c r="E47" s="64"/>
      <c r="F47" s="5"/>
      <c r="G47" s="5"/>
      <c r="H47" s="5"/>
      <c r="I47" s="5"/>
      <c r="J47" s="5"/>
      <c r="K47" s="101"/>
      <c r="L47" s="5"/>
      <c r="M47" s="4"/>
      <c r="N47" s="6"/>
      <c r="O47" s="6"/>
      <c r="P47" s="4"/>
      <c r="Q47" s="124"/>
      <c r="R47" s="5"/>
      <c r="S47" s="5"/>
      <c r="T47" s="5"/>
      <c r="U47" s="5"/>
      <c r="V47" s="5"/>
      <c r="W47" s="5"/>
      <c r="X47" s="5"/>
      <c r="Y47" s="5"/>
      <c r="Z47" s="195"/>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6"/>
      <c r="BA47" s="6"/>
      <c r="BB47" s="6"/>
      <c r="BC47" s="6"/>
      <c r="BD47" s="6"/>
      <c r="BE47" s="6"/>
      <c r="BF47" s="6"/>
      <c r="BG47" s="6"/>
      <c r="BH47" s="6"/>
      <c r="BI47" s="6"/>
      <c r="BJ47" s="6"/>
      <c r="BK47" s="6"/>
      <c r="BL47" s="6"/>
      <c r="BM47" s="6"/>
      <c r="BN47" s="6"/>
      <c r="BO47" s="6"/>
      <c r="BP47" s="6"/>
      <c r="BQ47" s="6"/>
      <c r="BR47" s="6"/>
      <c r="BS47" s="6"/>
      <c r="BT47" s="6"/>
      <c r="BU47" s="6"/>
      <c r="BV47" s="6"/>
      <c r="BW47" s="6"/>
      <c r="BX47" s="6"/>
      <c r="BY47" s="6"/>
      <c r="BZ47" s="6"/>
    </row>
    <row r="48" spans="1:78" x14ac:dyDescent="0.2">
      <c r="A48" s="5"/>
      <c r="B48" s="5"/>
      <c r="C48" s="5"/>
      <c r="D48" s="5"/>
      <c r="E48" s="64"/>
      <c r="F48" s="5"/>
      <c r="G48" s="5"/>
      <c r="H48" s="5"/>
      <c r="I48" s="5"/>
      <c r="J48" s="5"/>
      <c r="K48" s="101"/>
      <c r="L48" s="5"/>
      <c r="M48" s="4"/>
      <c r="N48" s="6"/>
      <c r="O48" s="6"/>
      <c r="P48" s="6"/>
      <c r="Q48" s="124"/>
      <c r="R48" s="5"/>
      <c r="S48" s="5"/>
      <c r="T48" s="5"/>
      <c r="U48" s="5"/>
      <c r="V48" s="5"/>
      <c r="W48" s="5"/>
      <c r="X48" s="5"/>
      <c r="Y48" s="5"/>
      <c r="Z48" s="195"/>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6"/>
      <c r="BA48" s="6"/>
      <c r="BB48" s="6"/>
      <c r="BC48" s="6"/>
      <c r="BD48" s="6"/>
      <c r="BE48" s="6"/>
      <c r="BF48" s="6"/>
      <c r="BG48" s="6"/>
      <c r="BH48" s="6"/>
      <c r="BI48" s="6"/>
      <c r="BJ48" s="6"/>
      <c r="BK48" s="6"/>
      <c r="BL48" s="6"/>
      <c r="BM48" s="6"/>
      <c r="BN48" s="6"/>
      <c r="BO48" s="6"/>
      <c r="BP48" s="6"/>
      <c r="BQ48" s="6"/>
      <c r="BR48" s="6"/>
      <c r="BS48" s="6"/>
      <c r="BT48" s="6"/>
      <c r="BU48" s="6"/>
      <c r="BV48" s="6"/>
      <c r="BW48" s="6"/>
      <c r="BX48" s="6"/>
      <c r="BY48" s="6"/>
      <c r="BZ48" s="6"/>
    </row>
    <row r="49" spans="1:78" x14ac:dyDescent="0.2">
      <c r="A49" s="5"/>
      <c r="B49" s="5"/>
      <c r="C49" s="5"/>
      <c r="D49" s="5"/>
      <c r="E49" s="64"/>
      <c r="F49" s="5"/>
      <c r="G49" s="5"/>
      <c r="H49" s="5"/>
      <c r="I49" s="5"/>
      <c r="J49" s="5"/>
      <c r="K49" s="101"/>
      <c r="L49" s="5"/>
      <c r="M49" s="4"/>
      <c r="N49" s="6"/>
      <c r="O49" s="6"/>
      <c r="P49" s="6"/>
      <c r="Q49" s="124"/>
      <c r="R49" s="5"/>
      <c r="S49" s="5"/>
      <c r="T49" s="5"/>
      <c r="U49" s="5"/>
      <c r="V49" s="5"/>
      <c r="W49" s="5"/>
      <c r="X49" s="5"/>
      <c r="Y49" s="5"/>
      <c r="Z49" s="195"/>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6"/>
      <c r="BA49" s="6"/>
      <c r="BB49" s="6"/>
      <c r="BC49" s="6"/>
      <c r="BD49" s="6"/>
      <c r="BE49" s="6"/>
      <c r="BF49" s="6"/>
      <c r="BG49" s="6"/>
      <c r="BH49" s="6"/>
      <c r="BI49" s="6"/>
      <c r="BJ49" s="6"/>
      <c r="BK49" s="6"/>
      <c r="BL49" s="6"/>
      <c r="BM49" s="6"/>
      <c r="BN49" s="6"/>
      <c r="BO49" s="6"/>
      <c r="BP49" s="6"/>
      <c r="BQ49" s="6"/>
      <c r="BR49" s="6"/>
      <c r="BS49" s="6"/>
      <c r="BT49" s="6"/>
      <c r="BU49" s="6"/>
      <c r="BV49" s="6"/>
      <c r="BW49" s="6"/>
      <c r="BX49" s="6"/>
      <c r="BY49" s="6"/>
      <c r="BZ49" s="6"/>
    </row>
    <row r="50" spans="1:78" x14ac:dyDescent="0.2">
      <c r="A50" s="12"/>
      <c r="B50" s="13"/>
      <c r="C50" s="13"/>
      <c r="D50" s="13"/>
      <c r="E50" s="63"/>
      <c r="F50" s="13"/>
      <c r="G50" s="13"/>
      <c r="H50" s="13"/>
      <c r="I50" s="13"/>
      <c r="J50" s="13"/>
      <c r="K50" s="101"/>
      <c r="L50" s="5"/>
      <c r="M50" s="4"/>
      <c r="N50" s="6"/>
      <c r="O50" s="6"/>
      <c r="P50" s="4"/>
      <c r="Q50" s="124"/>
      <c r="R50" s="5"/>
      <c r="S50" s="5"/>
      <c r="T50" s="5"/>
      <c r="U50" s="5"/>
      <c r="V50" s="5"/>
      <c r="W50" s="5"/>
      <c r="X50" s="5"/>
      <c r="Y50" s="5"/>
      <c r="Z50" s="195"/>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6"/>
      <c r="BA50" s="6"/>
      <c r="BB50" s="6"/>
      <c r="BC50" s="6"/>
      <c r="BD50" s="6"/>
      <c r="BE50" s="6"/>
      <c r="BF50" s="6"/>
      <c r="BG50" s="6"/>
      <c r="BH50" s="6"/>
      <c r="BI50" s="6"/>
      <c r="BJ50" s="6"/>
      <c r="BK50" s="6"/>
      <c r="BL50" s="6"/>
      <c r="BM50" s="6"/>
      <c r="BN50" s="6"/>
      <c r="BO50" s="6"/>
      <c r="BP50" s="6"/>
      <c r="BQ50" s="6"/>
      <c r="BR50" s="6"/>
      <c r="BS50" s="6"/>
      <c r="BT50" s="6"/>
      <c r="BU50" s="6"/>
      <c r="BV50" s="6"/>
      <c r="BW50" s="6"/>
      <c r="BX50" s="6"/>
      <c r="BY50" s="6"/>
      <c r="BZ50" s="6"/>
    </row>
    <row r="51" spans="1:78" x14ac:dyDescent="0.2">
      <c r="A51" s="13"/>
      <c r="B51" s="13"/>
      <c r="C51" s="13"/>
      <c r="D51" s="13"/>
      <c r="E51" s="63"/>
      <c r="F51" s="13"/>
      <c r="G51" s="13"/>
      <c r="H51" s="13"/>
      <c r="I51" s="13"/>
      <c r="J51" s="13"/>
      <c r="K51" s="101"/>
      <c r="L51" s="5"/>
      <c r="M51" s="4"/>
      <c r="N51" s="6"/>
      <c r="O51" s="6"/>
      <c r="P51" s="4"/>
      <c r="Q51" s="124"/>
      <c r="R51" s="5"/>
      <c r="S51" s="5"/>
      <c r="T51" s="5"/>
      <c r="U51" s="5"/>
      <c r="V51" s="5"/>
      <c r="W51" s="5"/>
      <c r="X51" s="5"/>
      <c r="Y51" s="5"/>
      <c r="Z51" s="195"/>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c r="BH51" s="6"/>
      <c r="BI51" s="6"/>
      <c r="BJ51" s="6"/>
      <c r="BK51" s="6"/>
      <c r="BL51" s="6"/>
      <c r="BM51" s="6"/>
      <c r="BN51" s="6"/>
      <c r="BO51" s="6"/>
      <c r="BP51" s="6"/>
      <c r="BQ51" s="6"/>
      <c r="BR51" s="6"/>
      <c r="BS51" s="6"/>
      <c r="BT51" s="6"/>
      <c r="BU51" s="6"/>
      <c r="BV51" s="6"/>
      <c r="BW51" s="6"/>
      <c r="BX51" s="6"/>
      <c r="BY51" s="6"/>
      <c r="BZ51" s="6"/>
    </row>
    <row r="52" spans="1:78" x14ac:dyDescent="0.2">
      <c r="A52" s="13"/>
      <c r="B52" s="13"/>
      <c r="C52" s="13"/>
      <c r="D52" s="13"/>
      <c r="E52" s="63"/>
      <c r="F52" s="13"/>
      <c r="G52" s="13"/>
      <c r="H52" s="13"/>
      <c r="I52" s="13"/>
      <c r="J52" s="13"/>
      <c r="K52" s="101"/>
      <c r="L52" s="5"/>
      <c r="M52" s="4"/>
      <c r="N52" s="6"/>
      <c r="O52" s="6"/>
      <c r="P52" s="4"/>
      <c r="Q52" s="124"/>
      <c r="R52" s="5"/>
      <c r="S52" s="5"/>
      <c r="T52" s="5"/>
      <c r="U52" s="5"/>
      <c r="V52" s="5"/>
      <c r="W52" s="5"/>
      <c r="X52" s="5"/>
      <c r="Y52" s="5"/>
      <c r="Z52" s="195"/>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6"/>
      <c r="BA52" s="6"/>
      <c r="BB52" s="6"/>
      <c r="BC52" s="6"/>
      <c r="BD52" s="6"/>
      <c r="BE52" s="6"/>
      <c r="BF52" s="6"/>
      <c r="BG52" s="6"/>
      <c r="BH52" s="6"/>
      <c r="BI52" s="6"/>
      <c r="BJ52" s="6"/>
      <c r="BK52" s="6"/>
      <c r="BL52" s="6"/>
      <c r="BM52" s="6"/>
      <c r="BN52" s="6"/>
      <c r="BO52" s="6"/>
      <c r="BP52" s="6"/>
      <c r="BQ52" s="6"/>
      <c r="BR52" s="6"/>
      <c r="BS52" s="6"/>
      <c r="BT52" s="6"/>
      <c r="BU52" s="6"/>
      <c r="BV52" s="6"/>
      <c r="BW52" s="6"/>
      <c r="BX52" s="6"/>
      <c r="BY52" s="6"/>
      <c r="BZ52" s="6"/>
    </row>
    <row r="53" spans="1:78" x14ac:dyDescent="0.2">
      <c r="A53" s="13"/>
      <c r="B53" s="13"/>
      <c r="C53" s="13"/>
      <c r="D53" s="13"/>
      <c r="E53" s="63"/>
      <c r="F53" s="13"/>
      <c r="G53" s="13"/>
      <c r="H53" s="13"/>
      <c r="I53" s="13"/>
      <c r="J53" s="13"/>
      <c r="K53" s="101"/>
      <c r="L53" s="5"/>
      <c r="M53" s="6"/>
      <c r="N53" s="6"/>
      <c r="O53" s="6"/>
      <c r="P53" s="4"/>
      <c r="Q53" s="124"/>
      <c r="R53" s="5"/>
      <c r="S53" s="5"/>
      <c r="T53" s="5"/>
      <c r="U53" s="5"/>
      <c r="V53" s="5"/>
      <c r="W53" s="5"/>
      <c r="X53" s="5"/>
      <c r="Y53" s="5"/>
      <c r="Z53" s="195"/>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6"/>
      <c r="BA53" s="6"/>
      <c r="BB53" s="6"/>
      <c r="BC53" s="6"/>
      <c r="BD53" s="6"/>
      <c r="BE53" s="6"/>
      <c r="BF53" s="6"/>
      <c r="BG53" s="6"/>
      <c r="BH53" s="6"/>
      <c r="BI53" s="6"/>
      <c r="BJ53" s="6"/>
      <c r="BK53" s="6"/>
      <c r="BL53" s="6"/>
      <c r="BM53" s="6"/>
      <c r="BN53" s="6"/>
      <c r="BO53" s="6"/>
      <c r="BP53" s="6"/>
      <c r="BQ53" s="6"/>
      <c r="BR53" s="6"/>
      <c r="BS53" s="6"/>
      <c r="BT53" s="6"/>
      <c r="BU53" s="6"/>
      <c r="BV53" s="6"/>
      <c r="BW53" s="6"/>
      <c r="BX53" s="6"/>
      <c r="BY53" s="6"/>
      <c r="BZ53" s="6"/>
    </row>
    <row r="54" spans="1:78" x14ac:dyDescent="0.2">
      <c r="A54" s="13"/>
      <c r="B54" s="13"/>
      <c r="C54" s="13"/>
      <c r="D54" s="13"/>
      <c r="E54" s="63"/>
      <c r="F54" s="13"/>
      <c r="G54" s="13"/>
      <c r="H54" s="13"/>
      <c r="I54" s="13"/>
      <c r="J54" s="13"/>
      <c r="K54" s="101"/>
      <c r="L54" s="5"/>
      <c r="M54" s="4"/>
      <c r="N54" s="6"/>
      <c r="O54" s="6"/>
      <c r="P54" s="4"/>
      <c r="Q54" s="124"/>
      <c r="R54" s="5"/>
      <c r="S54" s="5"/>
      <c r="T54" s="5"/>
      <c r="U54" s="5"/>
      <c r="V54" s="5"/>
      <c r="W54" s="5"/>
      <c r="X54" s="5"/>
      <c r="Y54" s="5"/>
      <c r="Z54" s="195"/>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6"/>
      <c r="BA54" s="6"/>
      <c r="BB54" s="6"/>
      <c r="BC54" s="6"/>
      <c r="BD54" s="6"/>
      <c r="BE54" s="6"/>
      <c r="BF54" s="6"/>
      <c r="BG54" s="6"/>
      <c r="BH54" s="6"/>
      <c r="BI54" s="6"/>
      <c r="BJ54" s="6"/>
      <c r="BK54" s="6"/>
      <c r="BL54" s="6"/>
      <c r="BM54" s="6"/>
      <c r="BN54" s="6"/>
      <c r="BO54" s="6"/>
      <c r="BP54" s="6"/>
      <c r="BQ54" s="6"/>
      <c r="BR54" s="6"/>
      <c r="BS54" s="6"/>
      <c r="BT54" s="6"/>
      <c r="BU54" s="6"/>
      <c r="BV54" s="6"/>
      <c r="BW54" s="6"/>
      <c r="BX54" s="6"/>
      <c r="BY54" s="6"/>
      <c r="BZ54" s="6"/>
    </row>
    <row r="55" spans="1:78" x14ac:dyDescent="0.2">
      <c r="A55" s="13"/>
      <c r="B55" s="13"/>
      <c r="C55" s="13"/>
      <c r="D55" s="13"/>
      <c r="E55" s="63"/>
      <c r="F55" s="13"/>
      <c r="G55" s="13"/>
      <c r="H55" s="13"/>
      <c r="I55" s="13"/>
      <c r="J55" s="13"/>
      <c r="K55" s="101"/>
      <c r="L55" s="5"/>
      <c r="M55" s="4"/>
      <c r="N55" s="6"/>
      <c r="O55" s="6"/>
      <c r="P55" s="4"/>
      <c r="Q55" s="124"/>
      <c r="R55" s="5"/>
      <c r="S55" s="5"/>
      <c r="T55" s="5"/>
      <c r="U55" s="5"/>
      <c r="V55" s="5"/>
      <c r="W55" s="5"/>
      <c r="X55" s="5"/>
      <c r="Y55" s="5"/>
      <c r="Z55" s="195"/>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6"/>
      <c r="BA55" s="6"/>
      <c r="BB55" s="6"/>
      <c r="BC55" s="6"/>
      <c r="BD55" s="6"/>
      <c r="BE55" s="6"/>
      <c r="BF55" s="6"/>
      <c r="BG55" s="6"/>
      <c r="BH55" s="6"/>
      <c r="BI55" s="6"/>
      <c r="BJ55" s="6"/>
      <c r="BK55" s="6"/>
      <c r="BL55" s="6"/>
      <c r="BM55" s="6"/>
      <c r="BN55" s="6"/>
      <c r="BO55" s="6"/>
      <c r="BP55" s="6"/>
      <c r="BQ55" s="6"/>
      <c r="BR55" s="6"/>
      <c r="BS55" s="6"/>
      <c r="BT55" s="6"/>
      <c r="BU55" s="6"/>
      <c r="BV55" s="6"/>
      <c r="BW55" s="6"/>
      <c r="BX55" s="6"/>
      <c r="BY55" s="6"/>
      <c r="BZ55" s="6"/>
    </row>
    <row r="56" spans="1:78" x14ac:dyDescent="0.2">
      <c r="A56" s="13"/>
      <c r="B56" s="13"/>
      <c r="C56" s="13"/>
      <c r="D56" s="13"/>
      <c r="E56" s="63"/>
      <c r="F56" s="13"/>
      <c r="G56" s="13"/>
      <c r="H56" s="13"/>
      <c r="I56" s="13"/>
      <c r="J56" s="13"/>
      <c r="K56" s="101"/>
      <c r="L56" s="5"/>
      <c r="M56" s="4"/>
      <c r="N56" s="6"/>
      <c r="O56" s="6"/>
      <c r="P56" s="4"/>
      <c r="Q56" s="124"/>
      <c r="R56" s="5"/>
      <c r="S56" s="5"/>
      <c r="T56" s="5"/>
      <c r="U56" s="5"/>
      <c r="V56" s="5"/>
      <c r="W56" s="5"/>
      <c r="X56" s="5"/>
      <c r="Y56" s="5"/>
      <c r="Z56" s="195"/>
      <c r="AA56" s="6"/>
      <c r="AB56" s="6"/>
      <c r="AC56" s="6"/>
      <c r="AD56" s="6"/>
      <c r="AE56" s="6"/>
      <c r="AF56" s="6"/>
      <c r="AG56" s="6"/>
      <c r="AH56" s="6"/>
      <c r="AI56" s="6"/>
      <c r="AJ56" s="6"/>
      <c r="AK56" s="6"/>
      <c r="AL56" s="6"/>
      <c r="AM56" s="6"/>
      <c r="AN56" s="6"/>
      <c r="AO56" s="6"/>
      <c r="AP56" s="6"/>
      <c r="AQ56" s="6"/>
      <c r="AR56" s="6"/>
      <c r="AS56" s="6"/>
      <c r="AT56" s="6"/>
      <c r="AU56" s="6"/>
      <c r="AV56" s="6"/>
      <c r="AW56" s="6"/>
      <c r="AX56" s="6"/>
      <c r="AY56" s="6"/>
      <c r="AZ56" s="6"/>
      <c r="BA56" s="6"/>
      <c r="BB56" s="6"/>
      <c r="BC56" s="6"/>
      <c r="BD56" s="6"/>
      <c r="BE56" s="6"/>
      <c r="BF56" s="6"/>
      <c r="BG56" s="6"/>
      <c r="BH56" s="6"/>
      <c r="BI56" s="6"/>
      <c r="BJ56" s="6"/>
      <c r="BK56" s="6"/>
      <c r="BL56" s="6"/>
      <c r="BM56" s="6"/>
      <c r="BN56" s="6"/>
      <c r="BO56" s="6"/>
      <c r="BP56" s="6"/>
      <c r="BQ56" s="6"/>
      <c r="BR56" s="6"/>
      <c r="BS56" s="6"/>
      <c r="BT56" s="6"/>
      <c r="BU56" s="6"/>
      <c r="BV56" s="6"/>
      <c r="BW56" s="6"/>
      <c r="BX56" s="6"/>
      <c r="BY56" s="6"/>
      <c r="BZ56" s="6"/>
    </row>
    <row r="57" spans="1:78" x14ac:dyDescent="0.2">
      <c r="A57" s="5"/>
      <c r="B57" s="5"/>
      <c r="C57" s="5"/>
      <c r="D57" s="5"/>
      <c r="E57" s="64"/>
      <c r="F57" s="5"/>
      <c r="G57" s="5"/>
      <c r="H57" s="5"/>
      <c r="I57" s="5"/>
      <c r="J57" s="5"/>
      <c r="K57" s="101"/>
      <c r="L57" s="5"/>
      <c r="M57" s="4"/>
      <c r="N57" s="6"/>
      <c r="O57" s="6"/>
      <c r="P57" s="4"/>
      <c r="Q57" s="124"/>
      <c r="R57" s="5"/>
      <c r="S57" s="5"/>
      <c r="T57" s="5"/>
      <c r="U57" s="5"/>
      <c r="V57" s="5"/>
      <c r="W57" s="5"/>
      <c r="X57" s="5"/>
      <c r="Y57" s="5"/>
      <c r="Z57" s="195"/>
      <c r="AA57" s="6"/>
      <c r="AB57" s="6"/>
      <c r="AC57" s="6"/>
      <c r="AD57" s="6"/>
      <c r="AE57" s="6"/>
      <c r="AF57" s="6"/>
      <c r="AG57" s="6"/>
      <c r="AH57" s="6"/>
      <c r="AI57" s="6"/>
      <c r="AJ57" s="6"/>
      <c r="AK57" s="6"/>
      <c r="AL57" s="6"/>
      <c r="AM57" s="6"/>
      <c r="AN57" s="6"/>
      <c r="AO57" s="6"/>
      <c r="AP57" s="6"/>
      <c r="AQ57" s="6"/>
      <c r="AR57" s="6"/>
      <c r="AS57" s="6"/>
      <c r="AT57" s="6"/>
      <c r="AU57" s="6"/>
      <c r="AV57" s="6"/>
      <c r="AW57" s="6"/>
      <c r="AX57" s="6"/>
      <c r="AY57" s="6"/>
      <c r="AZ57" s="6"/>
      <c r="BA57" s="6"/>
      <c r="BB57" s="6"/>
      <c r="BC57" s="6"/>
      <c r="BD57" s="6"/>
      <c r="BE57" s="6"/>
      <c r="BF57" s="6"/>
      <c r="BG57" s="6"/>
      <c r="BH57" s="6"/>
      <c r="BI57" s="6"/>
      <c r="BJ57" s="6"/>
      <c r="BK57" s="6"/>
      <c r="BL57" s="6"/>
      <c r="BM57" s="6"/>
      <c r="BN57" s="6"/>
      <c r="BO57" s="6"/>
      <c r="BP57" s="6"/>
      <c r="BQ57" s="6"/>
      <c r="BR57" s="6"/>
      <c r="BS57" s="6"/>
      <c r="BT57" s="6"/>
      <c r="BU57" s="6"/>
      <c r="BV57" s="6"/>
      <c r="BW57" s="6"/>
      <c r="BX57" s="6"/>
      <c r="BY57" s="6"/>
      <c r="BZ57" s="6"/>
    </row>
    <row r="58" spans="1:78" x14ac:dyDescent="0.2">
      <c r="A58" s="12"/>
      <c r="B58" s="13"/>
      <c r="C58" s="13"/>
      <c r="D58" s="13"/>
      <c r="E58" s="63"/>
      <c r="F58" s="13"/>
      <c r="G58" s="13"/>
      <c r="H58" s="13"/>
      <c r="I58" s="13"/>
      <c r="J58" s="13"/>
      <c r="K58" s="101"/>
      <c r="L58" s="5"/>
      <c r="M58" s="4"/>
      <c r="N58" s="6"/>
      <c r="O58" s="6"/>
      <c r="P58" s="4"/>
      <c r="Q58" s="124"/>
      <c r="R58" s="5"/>
      <c r="S58" s="5"/>
      <c r="T58" s="5"/>
      <c r="U58" s="5"/>
      <c r="V58" s="5"/>
      <c r="W58" s="5"/>
      <c r="X58" s="5"/>
      <c r="Y58" s="5"/>
      <c r="Z58" s="168"/>
      <c r="AA58" s="116"/>
      <c r="AB58" s="116"/>
      <c r="AC58" s="116"/>
      <c r="AD58" s="116"/>
      <c r="AE58" s="116"/>
      <c r="AF58" s="116"/>
      <c r="AG58" s="116"/>
      <c r="AH58" s="116"/>
      <c r="AI58" s="116"/>
      <c r="AJ58" s="116"/>
      <c r="AK58" s="116"/>
      <c r="AL58" s="116"/>
      <c r="AM58" s="116"/>
      <c r="AN58" s="116"/>
      <c r="AO58" s="116"/>
      <c r="AP58" s="116"/>
      <c r="AQ58" s="116"/>
      <c r="AR58" s="116"/>
      <c r="AS58" s="116"/>
      <c r="AT58" s="116"/>
      <c r="AU58" s="116"/>
      <c r="AV58" s="116"/>
      <c r="AW58" s="116"/>
      <c r="AX58" s="116"/>
      <c r="AY58" s="116"/>
      <c r="AZ58" s="116"/>
      <c r="BA58" s="116"/>
      <c r="BB58" s="116"/>
      <c r="BC58" s="116"/>
      <c r="BD58" s="116"/>
      <c r="BE58" s="116"/>
      <c r="BF58" s="116"/>
      <c r="BG58" s="116"/>
      <c r="BH58" s="116"/>
      <c r="BI58" s="116"/>
      <c r="BJ58" s="116"/>
      <c r="BK58" s="116"/>
      <c r="BL58" s="116"/>
      <c r="BM58" s="116"/>
      <c r="BN58" s="116"/>
      <c r="BO58" s="116"/>
      <c r="BP58" s="116"/>
      <c r="BQ58" s="116"/>
      <c r="BR58" s="116"/>
      <c r="BS58" s="116"/>
      <c r="BT58" s="116"/>
      <c r="BU58" s="116"/>
      <c r="BV58" s="116"/>
      <c r="BW58" s="116"/>
      <c r="BX58" s="6"/>
      <c r="BY58" s="6"/>
      <c r="BZ58" s="116"/>
    </row>
    <row r="59" spans="1:78" x14ac:dyDescent="0.2">
      <c r="A59" s="13"/>
      <c r="B59" s="13"/>
      <c r="C59" s="13"/>
      <c r="D59" s="13"/>
      <c r="E59" s="63"/>
      <c r="F59" s="13"/>
      <c r="G59" s="13"/>
      <c r="H59" s="13"/>
      <c r="I59" s="13"/>
      <c r="J59" s="13"/>
      <c r="K59" s="101"/>
      <c r="L59" s="5"/>
      <c r="M59" s="4"/>
      <c r="N59" s="6"/>
      <c r="O59" s="6"/>
      <c r="P59" s="4"/>
      <c r="Q59" s="124"/>
      <c r="R59" s="5"/>
      <c r="S59" s="5"/>
      <c r="T59" s="5"/>
      <c r="U59" s="5"/>
      <c r="V59" s="5"/>
      <c r="W59" s="5"/>
      <c r="X59" s="5"/>
      <c r="Y59" s="5"/>
      <c r="Z59" s="195"/>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c r="BH59" s="6"/>
      <c r="BI59" s="6"/>
      <c r="BJ59" s="6"/>
      <c r="BK59" s="6"/>
      <c r="BL59" s="6"/>
      <c r="BM59" s="6"/>
      <c r="BN59" s="6"/>
      <c r="BO59" s="6"/>
      <c r="BP59" s="6"/>
      <c r="BQ59" s="6"/>
      <c r="BR59" s="6"/>
      <c r="BS59" s="6"/>
      <c r="BT59" s="6"/>
      <c r="BU59" s="6"/>
      <c r="BV59" s="6"/>
      <c r="BW59" s="6"/>
      <c r="BX59" s="6"/>
      <c r="BY59" s="6"/>
      <c r="BZ59" s="6"/>
    </row>
    <row r="60" spans="1:78" x14ac:dyDescent="0.2">
      <c r="A60" s="13"/>
      <c r="B60" s="13"/>
      <c r="C60" s="13"/>
      <c r="D60" s="13"/>
      <c r="E60" s="63"/>
      <c r="F60" s="13"/>
      <c r="G60" s="13"/>
      <c r="H60" s="13"/>
      <c r="I60" s="13"/>
      <c r="J60" s="13"/>
      <c r="K60" s="101"/>
      <c r="L60" s="5"/>
      <c r="M60" s="4"/>
      <c r="N60" s="6"/>
      <c r="O60" s="6"/>
      <c r="P60" s="4"/>
      <c r="Q60" s="124"/>
      <c r="R60" s="5"/>
      <c r="S60" s="5"/>
      <c r="T60" s="5"/>
      <c r="U60" s="5"/>
      <c r="V60" s="5"/>
      <c r="W60" s="5"/>
      <c r="X60" s="5"/>
      <c r="Y60" s="5"/>
      <c r="Z60" s="195"/>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c r="BH60" s="6"/>
      <c r="BI60" s="6"/>
      <c r="BJ60" s="6"/>
      <c r="BK60" s="6"/>
      <c r="BL60" s="6"/>
      <c r="BM60" s="6"/>
      <c r="BN60" s="6"/>
      <c r="BO60" s="6"/>
      <c r="BP60" s="6"/>
      <c r="BQ60" s="6"/>
      <c r="BR60" s="6"/>
      <c r="BS60" s="6"/>
      <c r="BT60" s="6"/>
      <c r="BU60" s="6"/>
      <c r="BV60" s="6"/>
      <c r="BW60" s="6"/>
      <c r="BX60" s="6"/>
      <c r="BY60" s="6"/>
      <c r="BZ60" s="6"/>
    </row>
    <row r="61" spans="1:78" x14ac:dyDescent="0.2">
      <c r="A61" s="13"/>
      <c r="B61" s="13"/>
      <c r="C61" s="13"/>
      <c r="D61" s="13"/>
      <c r="E61" s="63"/>
      <c r="F61" s="13"/>
      <c r="G61" s="13"/>
      <c r="H61" s="13"/>
      <c r="I61" s="13"/>
      <c r="J61" s="13"/>
      <c r="K61" s="101"/>
      <c r="L61" s="5"/>
      <c r="M61" s="4"/>
      <c r="N61" s="6"/>
      <c r="O61" s="6"/>
      <c r="P61" s="4"/>
      <c r="Q61" s="124"/>
      <c r="R61" s="5"/>
      <c r="S61" s="5"/>
      <c r="T61" s="5"/>
      <c r="U61" s="5"/>
      <c r="V61" s="5"/>
      <c r="W61" s="5"/>
      <c r="X61" s="5"/>
      <c r="Y61" s="5"/>
      <c r="Z61" s="195"/>
      <c r="AA61" s="6"/>
      <c r="AB61" s="6"/>
      <c r="AC61" s="6"/>
      <c r="AD61" s="6"/>
      <c r="AE61" s="6"/>
      <c r="AF61" s="6"/>
      <c r="AG61" s="6"/>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G61" s="6"/>
      <c r="BH61" s="6"/>
      <c r="BI61" s="6"/>
      <c r="BJ61" s="6"/>
      <c r="BK61" s="6"/>
      <c r="BL61" s="6"/>
      <c r="BM61" s="6"/>
      <c r="BN61" s="6"/>
      <c r="BO61" s="6"/>
      <c r="BP61" s="6"/>
      <c r="BQ61" s="6"/>
      <c r="BR61" s="6"/>
      <c r="BS61" s="6"/>
      <c r="BT61" s="6"/>
      <c r="BU61" s="6"/>
      <c r="BV61" s="6"/>
      <c r="BW61" s="6"/>
      <c r="BX61" s="6"/>
      <c r="BY61" s="6"/>
      <c r="BZ61" s="6"/>
    </row>
    <row r="62" spans="1:78" x14ac:dyDescent="0.2">
      <c r="A62" s="13"/>
      <c r="B62" s="13"/>
      <c r="C62" s="13"/>
      <c r="D62" s="13"/>
      <c r="E62" s="63"/>
      <c r="F62" s="13"/>
      <c r="G62" s="13"/>
      <c r="H62" s="13"/>
      <c r="I62" s="13"/>
      <c r="J62" s="13"/>
      <c r="K62" s="101"/>
      <c r="L62" s="5"/>
      <c r="M62" s="4"/>
      <c r="N62" s="6"/>
      <c r="O62" s="6"/>
      <c r="P62" s="4"/>
      <c r="Q62" s="124"/>
      <c r="R62" s="5"/>
      <c r="S62" s="5"/>
      <c r="T62" s="5"/>
      <c r="U62" s="5"/>
      <c r="V62" s="5"/>
      <c r="W62" s="5"/>
      <c r="X62" s="5"/>
      <c r="Y62" s="5"/>
      <c r="Z62" s="195"/>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G62" s="6"/>
      <c r="BH62" s="6"/>
      <c r="BI62" s="6"/>
      <c r="BJ62" s="6"/>
      <c r="BK62" s="6"/>
      <c r="BL62" s="6"/>
      <c r="BM62" s="6"/>
      <c r="BN62" s="6"/>
      <c r="BO62" s="6"/>
      <c r="BP62" s="6"/>
      <c r="BQ62" s="6"/>
      <c r="BR62" s="6"/>
      <c r="BS62" s="6"/>
      <c r="BT62" s="6"/>
      <c r="BU62" s="6"/>
      <c r="BV62" s="6"/>
      <c r="BW62" s="6"/>
      <c r="BX62" s="6"/>
      <c r="BY62" s="6"/>
      <c r="BZ62" s="6"/>
    </row>
    <row r="63" spans="1:78" x14ac:dyDescent="0.2">
      <c r="A63" s="12"/>
      <c r="B63" s="13"/>
      <c r="C63" s="13"/>
      <c r="D63" s="13"/>
      <c r="E63" s="63"/>
      <c r="F63" s="13"/>
      <c r="G63" s="13"/>
      <c r="H63" s="13"/>
      <c r="I63" s="13"/>
      <c r="J63" s="13"/>
      <c r="K63" s="101"/>
      <c r="L63" s="5"/>
      <c r="M63" s="4"/>
      <c r="N63" s="6"/>
      <c r="O63" s="6"/>
      <c r="P63" s="4"/>
      <c r="Q63" s="124"/>
      <c r="R63" s="5"/>
      <c r="S63" s="5"/>
      <c r="T63" s="5"/>
      <c r="U63" s="5"/>
      <c r="V63" s="5"/>
      <c r="W63" s="5"/>
      <c r="X63" s="5"/>
      <c r="Y63" s="5"/>
      <c r="Z63" s="195"/>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6"/>
      <c r="BA63" s="6"/>
      <c r="BB63" s="6"/>
      <c r="BC63" s="6"/>
      <c r="BD63" s="6"/>
      <c r="BE63" s="6"/>
      <c r="BF63" s="6"/>
      <c r="BG63" s="6"/>
      <c r="BH63" s="6"/>
      <c r="BI63" s="6"/>
      <c r="BJ63" s="6"/>
      <c r="BK63" s="6"/>
      <c r="BL63" s="6"/>
      <c r="BM63" s="6"/>
      <c r="BN63" s="6"/>
      <c r="BO63" s="6"/>
      <c r="BP63" s="6"/>
      <c r="BQ63" s="6"/>
      <c r="BR63" s="6"/>
      <c r="BS63" s="6"/>
      <c r="BT63" s="6"/>
      <c r="BU63" s="6"/>
      <c r="BV63" s="6"/>
      <c r="BW63" s="6"/>
      <c r="BX63" s="6"/>
      <c r="BY63" s="6"/>
      <c r="BZ63" s="6"/>
    </row>
    <row r="64" spans="1:78" x14ac:dyDescent="0.2">
      <c r="A64" s="13"/>
      <c r="B64" s="13"/>
      <c r="C64" s="13"/>
      <c r="D64" s="13"/>
      <c r="E64" s="63"/>
      <c r="F64" s="13"/>
      <c r="G64" s="13"/>
      <c r="H64" s="13"/>
      <c r="I64" s="13"/>
      <c r="J64" s="13"/>
      <c r="K64" s="101"/>
      <c r="L64" s="5"/>
      <c r="M64" s="4"/>
      <c r="N64" s="6"/>
      <c r="O64" s="6"/>
      <c r="P64" s="6"/>
      <c r="Q64" s="123"/>
      <c r="R64" s="5"/>
      <c r="S64" s="5"/>
      <c r="T64" s="5"/>
      <c r="U64" s="5"/>
      <c r="V64" s="5"/>
      <c r="W64" s="5"/>
      <c r="X64" s="5"/>
      <c r="Y64" s="5"/>
      <c r="Z64" s="195"/>
      <c r="AA64" s="6"/>
      <c r="AB64" s="6"/>
      <c r="AC64" s="6"/>
      <c r="AD64" s="6"/>
      <c r="AE64" s="6"/>
      <c r="AF64" s="6"/>
      <c r="AG64" s="6"/>
      <c r="AH64" s="6"/>
      <c r="AI64" s="6"/>
      <c r="AJ64" s="6"/>
      <c r="AK64" s="6"/>
      <c r="AL64" s="6"/>
      <c r="AM64" s="6"/>
      <c r="AN64" s="6"/>
      <c r="AO64" s="6"/>
      <c r="AP64" s="6"/>
      <c r="AQ64" s="6"/>
      <c r="AR64" s="6"/>
      <c r="AS64" s="6"/>
      <c r="AT64" s="6"/>
      <c r="AU64" s="6"/>
      <c r="AV64" s="6"/>
      <c r="AW64" s="6"/>
      <c r="AX64" s="6"/>
      <c r="AY64" s="6"/>
      <c r="AZ64" s="6"/>
      <c r="BA64" s="6"/>
      <c r="BB64" s="6"/>
      <c r="BC64" s="6"/>
      <c r="BD64" s="6"/>
      <c r="BE64" s="6"/>
      <c r="BF64" s="6"/>
      <c r="BG64" s="6"/>
      <c r="BH64" s="6"/>
      <c r="BI64" s="6"/>
      <c r="BJ64" s="6"/>
      <c r="BK64" s="6"/>
      <c r="BL64" s="6"/>
      <c r="BM64" s="6"/>
      <c r="BN64" s="6"/>
      <c r="BO64" s="6"/>
      <c r="BP64" s="6"/>
      <c r="BQ64" s="6"/>
      <c r="BR64" s="6"/>
      <c r="BS64" s="6"/>
      <c r="BT64" s="6"/>
      <c r="BU64" s="6"/>
      <c r="BV64" s="6"/>
      <c r="BW64" s="6"/>
      <c r="BX64" s="6"/>
      <c r="BY64" s="6"/>
      <c r="BZ64" s="6"/>
    </row>
    <row r="65" spans="1:78" x14ac:dyDescent="0.2">
      <c r="A65" s="13"/>
      <c r="B65" s="13"/>
      <c r="C65" s="13"/>
      <c r="D65" s="13"/>
      <c r="E65" s="63"/>
      <c r="F65" s="13"/>
      <c r="G65" s="13"/>
      <c r="H65" s="13"/>
      <c r="I65" s="13"/>
      <c r="J65" s="13"/>
      <c r="K65" s="101"/>
      <c r="L65" s="5"/>
      <c r="M65" s="4"/>
      <c r="N65" s="6"/>
      <c r="O65" s="6"/>
      <c r="P65" s="4"/>
      <c r="Q65" s="124"/>
      <c r="R65" s="5"/>
      <c r="S65" s="5"/>
      <c r="T65" s="5"/>
      <c r="U65" s="5"/>
      <c r="V65" s="5"/>
      <c r="W65" s="5"/>
      <c r="X65" s="5"/>
      <c r="Y65" s="5"/>
      <c r="Z65" s="168"/>
      <c r="AA65" s="116"/>
      <c r="AB65" s="116"/>
      <c r="AC65" s="116"/>
      <c r="AD65" s="116"/>
      <c r="AE65" s="116"/>
      <c r="AF65" s="116"/>
      <c r="AG65" s="116"/>
      <c r="AH65" s="116"/>
      <c r="AI65" s="116"/>
      <c r="AJ65" s="116"/>
      <c r="AK65" s="116"/>
      <c r="AL65" s="116"/>
      <c r="AM65" s="116"/>
      <c r="AN65" s="116"/>
      <c r="AO65" s="116"/>
      <c r="AP65" s="116"/>
      <c r="AQ65" s="116"/>
      <c r="AR65" s="116"/>
      <c r="AS65" s="116"/>
      <c r="AT65" s="116"/>
      <c r="AU65" s="116"/>
      <c r="AV65" s="116"/>
      <c r="AW65" s="116"/>
      <c r="AX65" s="116"/>
      <c r="AY65" s="116"/>
      <c r="AZ65" s="116"/>
      <c r="BA65" s="116"/>
      <c r="BB65" s="116"/>
      <c r="BC65" s="116"/>
      <c r="BD65" s="116"/>
      <c r="BE65" s="116"/>
      <c r="BF65" s="116"/>
      <c r="BG65" s="116"/>
      <c r="BH65" s="116"/>
      <c r="BI65" s="116"/>
      <c r="BJ65" s="116"/>
      <c r="BK65" s="116"/>
      <c r="BL65" s="116"/>
      <c r="BM65" s="116"/>
      <c r="BN65" s="116"/>
      <c r="BO65" s="116"/>
      <c r="BP65" s="116"/>
      <c r="BQ65" s="116"/>
      <c r="BR65" s="116"/>
      <c r="BS65" s="116"/>
      <c r="BT65" s="116"/>
      <c r="BU65" s="116"/>
      <c r="BV65" s="116"/>
      <c r="BW65" s="116"/>
      <c r="BX65" s="6"/>
      <c r="BY65" s="6"/>
      <c r="BZ65" s="116"/>
    </row>
    <row r="66" spans="1:78" x14ac:dyDescent="0.2">
      <c r="A66" s="13"/>
      <c r="B66" s="13"/>
      <c r="C66" s="13"/>
      <c r="D66" s="13"/>
      <c r="E66" s="63"/>
      <c r="F66" s="13"/>
      <c r="G66" s="13"/>
      <c r="H66" s="13"/>
      <c r="I66" s="13"/>
      <c r="J66" s="13"/>
      <c r="K66" s="101"/>
      <c r="L66" s="5"/>
      <c r="M66" s="4"/>
      <c r="N66" s="6"/>
      <c r="O66" s="6"/>
      <c r="P66" s="4"/>
      <c r="Q66" s="124"/>
      <c r="R66" s="5"/>
      <c r="S66" s="5"/>
      <c r="T66" s="5"/>
      <c r="U66" s="5"/>
      <c r="V66" s="5"/>
      <c r="W66" s="5"/>
      <c r="X66" s="5"/>
      <c r="Y66" s="5"/>
      <c r="Z66" s="168"/>
      <c r="AA66" s="116"/>
      <c r="AB66" s="116"/>
      <c r="AC66" s="116"/>
      <c r="AD66" s="116"/>
      <c r="AE66" s="116"/>
      <c r="AF66" s="116"/>
      <c r="AG66" s="116"/>
      <c r="AH66" s="116"/>
      <c r="AI66" s="116"/>
      <c r="AJ66" s="116"/>
      <c r="AK66" s="116"/>
      <c r="AL66" s="116"/>
      <c r="AM66" s="116"/>
      <c r="AN66" s="116"/>
      <c r="AO66" s="116"/>
      <c r="AP66" s="116"/>
      <c r="AQ66" s="116"/>
      <c r="AR66" s="116"/>
      <c r="AS66" s="116"/>
      <c r="AT66" s="116"/>
      <c r="AU66" s="116"/>
      <c r="AV66" s="116"/>
      <c r="AW66" s="116"/>
      <c r="AX66" s="116"/>
      <c r="AY66" s="116"/>
      <c r="AZ66" s="116"/>
      <c r="BA66" s="116"/>
      <c r="BB66" s="116"/>
      <c r="BC66" s="116"/>
      <c r="BD66" s="116"/>
      <c r="BE66" s="116"/>
      <c r="BF66" s="116"/>
      <c r="BG66" s="116"/>
      <c r="BH66" s="116"/>
      <c r="BI66" s="116"/>
      <c r="BJ66" s="116"/>
      <c r="BK66" s="116"/>
      <c r="BL66" s="116"/>
      <c r="BM66" s="116"/>
      <c r="BN66" s="116"/>
      <c r="BO66" s="116"/>
      <c r="BP66" s="116"/>
      <c r="BQ66" s="116"/>
      <c r="BR66" s="116"/>
      <c r="BS66" s="116"/>
      <c r="BT66" s="116"/>
      <c r="BU66" s="116"/>
      <c r="BV66" s="116"/>
      <c r="BW66" s="116"/>
      <c r="BX66" s="6"/>
      <c r="BY66" s="6"/>
      <c r="BZ66" s="116"/>
    </row>
    <row r="67" spans="1:78" x14ac:dyDescent="0.2">
      <c r="A67" s="12"/>
      <c r="B67" s="13"/>
      <c r="C67" s="13"/>
      <c r="D67" s="13"/>
      <c r="E67" s="63"/>
      <c r="F67" s="13"/>
      <c r="G67" s="13"/>
      <c r="H67" s="13"/>
      <c r="I67" s="13"/>
      <c r="J67" s="13"/>
      <c r="K67" s="101"/>
      <c r="L67" s="5"/>
      <c r="M67" s="4"/>
      <c r="N67" s="6"/>
      <c r="O67" s="6"/>
      <c r="P67" s="4"/>
      <c r="Q67" s="124"/>
      <c r="R67" s="5"/>
      <c r="S67" s="5"/>
      <c r="T67" s="5"/>
      <c r="U67" s="5"/>
      <c r="V67" s="5"/>
      <c r="W67" s="5"/>
      <c r="X67" s="5"/>
      <c r="Y67" s="5"/>
      <c r="Z67" s="168"/>
      <c r="AA67" s="116"/>
      <c r="AB67" s="116"/>
      <c r="AC67" s="116"/>
      <c r="AD67" s="116"/>
      <c r="AE67" s="116"/>
      <c r="AF67" s="116"/>
      <c r="AG67" s="116"/>
      <c r="AH67" s="116"/>
      <c r="AI67" s="116"/>
      <c r="AJ67" s="116"/>
      <c r="AK67" s="116"/>
      <c r="AL67" s="116"/>
      <c r="AM67" s="116"/>
      <c r="AN67" s="116"/>
      <c r="AO67" s="116"/>
      <c r="AP67" s="116"/>
      <c r="AQ67" s="116"/>
      <c r="AR67" s="116"/>
      <c r="AS67" s="116"/>
      <c r="AT67" s="116"/>
      <c r="AU67" s="116"/>
      <c r="AV67" s="116"/>
      <c r="AW67" s="116"/>
      <c r="AX67" s="116"/>
      <c r="AY67" s="116"/>
      <c r="AZ67" s="116"/>
      <c r="BA67" s="116"/>
      <c r="BB67" s="116"/>
      <c r="BC67" s="116"/>
      <c r="BD67" s="116"/>
      <c r="BE67" s="116"/>
      <c r="BF67" s="116"/>
      <c r="BG67" s="116"/>
      <c r="BH67" s="116"/>
      <c r="BI67" s="116"/>
      <c r="BJ67" s="116"/>
      <c r="BK67" s="116"/>
      <c r="BL67" s="116"/>
      <c r="BM67" s="116"/>
      <c r="BN67" s="116"/>
      <c r="BO67" s="116"/>
      <c r="BP67" s="116"/>
      <c r="BQ67" s="116"/>
      <c r="BR67" s="116"/>
      <c r="BS67" s="116"/>
      <c r="BT67" s="116"/>
      <c r="BU67" s="116"/>
      <c r="BV67" s="116"/>
      <c r="BW67" s="116"/>
      <c r="BX67" s="6"/>
      <c r="BY67" s="6"/>
      <c r="BZ67" s="116"/>
    </row>
    <row r="68" spans="1:78" x14ac:dyDescent="0.2">
      <c r="A68" s="13"/>
      <c r="B68" s="13"/>
      <c r="C68" s="13"/>
      <c r="D68" s="13"/>
      <c r="E68" s="63"/>
      <c r="F68" s="13"/>
      <c r="G68" s="13"/>
      <c r="H68" s="13"/>
      <c r="I68" s="13"/>
      <c r="J68" s="13"/>
      <c r="K68" s="101"/>
      <c r="L68" s="5"/>
      <c r="M68" s="4"/>
      <c r="N68" s="6"/>
      <c r="O68" s="6"/>
      <c r="P68" s="4"/>
      <c r="Q68" s="124"/>
      <c r="R68" s="5"/>
      <c r="S68" s="5"/>
      <c r="T68" s="5"/>
      <c r="U68" s="5"/>
      <c r="V68" s="5"/>
      <c r="W68" s="5"/>
      <c r="X68" s="5"/>
      <c r="Y68" s="5"/>
      <c r="Z68" s="168"/>
      <c r="AA68" s="116"/>
      <c r="AB68" s="116"/>
      <c r="AC68" s="116"/>
      <c r="AD68" s="116"/>
      <c r="AE68" s="116"/>
      <c r="AF68" s="116"/>
      <c r="AG68" s="116"/>
      <c r="AH68" s="116"/>
      <c r="AI68" s="116"/>
      <c r="AJ68" s="116"/>
      <c r="AK68" s="116"/>
      <c r="AL68" s="116"/>
      <c r="AM68" s="116"/>
      <c r="AN68" s="116"/>
      <c r="AO68" s="116"/>
      <c r="AP68" s="116"/>
      <c r="AQ68" s="116"/>
      <c r="AR68" s="116"/>
      <c r="AS68" s="116"/>
      <c r="AT68" s="116"/>
      <c r="AU68" s="116"/>
      <c r="AV68" s="116"/>
      <c r="AW68" s="116"/>
      <c r="AX68" s="116"/>
      <c r="AY68" s="116"/>
      <c r="AZ68" s="116"/>
      <c r="BA68" s="116"/>
      <c r="BB68" s="116"/>
      <c r="BC68" s="116"/>
      <c r="BD68" s="116"/>
      <c r="BE68" s="116"/>
      <c r="BF68" s="116"/>
      <c r="BG68" s="116"/>
      <c r="BH68" s="116"/>
      <c r="BI68" s="116"/>
      <c r="BJ68" s="116"/>
      <c r="BK68" s="116"/>
      <c r="BL68" s="116"/>
      <c r="BM68" s="116"/>
      <c r="BN68" s="116"/>
      <c r="BO68" s="116"/>
      <c r="BP68" s="116"/>
      <c r="BQ68" s="116"/>
      <c r="BR68" s="116"/>
      <c r="BS68" s="116"/>
      <c r="BT68" s="116"/>
      <c r="BU68" s="116"/>
      <c r="BV68" s="116"/>
      <c r="BW68" s="116"/>
      <c r="BX68" s="6"/>
      <c r="BY68" s="6"/>
      <c r="BZ68" s="116"/>
    </row>
    <row r="69" spans="1:78" x14ac:dyDescent="0.2">
      <c r="A69" s="13"/>
      <c r="B69" s="13"/>
      <c r="C69" s="13"/>
      <c r="D69" s="13"/>
      <c r="E69" s="63"/>
      <c r="F69" s="13"/>
      <c r="G69" s="13"/>
      <c r="H69" s="13"/>
      <c r="I69" s="13"/>
      <c r="J69" s="13"/>
      <c r="K69" s="101"/>
      <c r="L69" s="5"/>
      <c r="M69" s="4"/>
      <c r="N69" s="6"/>
      <c r="O69" s="6"/>
      <c r="P69" s="4"/>
      <c r="Q69" s="124"/>
      <c r="R69" s="5"/>
      <c r="S69" s="5"/>
      <c r="T69" s="5"/>
      <c r="U69" s="5"/>
      <c r="V69" s="5"/>
      <c r="W69" s="5"/>
      <c r="X69" s="5"/>
      <c r="Y69" s="5"/>
      <c r="Z69" s="168"/>
      <c r="AA69" s="116"/>
      <c r="AB69" s="116"/>
      <c r="AC69" s="116"/>
      <c r="AD69" s="116"/>
      <c r="AE69" s="116"/>
      <c r="AF69" s="116"/>
      <c r="AG69" s="116"/>
      <c r="AH69" s="116"/>
      <c r="AI69" s="116"/>
      <c r="AJ69" s="116"/>
      <c r="AK69" s="116"/>
      <c r="AL69" s="116"/>
      <c r="AM69" s="116"/>
      <c r="AN69" s="116"/>
      <c r="AO69" s="116"/>
      <c r="AP69" s="116"/>
      <c r="AQ69" s="116"/>
      <c r="AR69" s="116"/>
      <c r="AS69" s="116"/>
      <c r="AT69" s="116"/>
      <c r="AU69" s="116"/>
      <c r="AV69" s="116"/>
      <c r="AW69" s="116"/>
      <c r="AX69" s="116"/>
      <c r="AY69" s="116"/>
      <c r="AZ69" s="116"/>
      <c r="BA69" s="116"/>
      <c r="BB69" s="116"/>
      <c r="BC69" s="116"/>
      <c r="BD69" s="116"/>
      <c r="BE69" s="116"/>
      <c r="BF69" s="116"/>
      <c r="BG69" s="116"/>
      <c r="BH69" s="116"/>
      <c r="BI69" s="116"/>
      <c r="BJ69" s="116"/>
      <c r="BK69" s="116"/>
      <c r="BL69" s="116"/>
      <c r="BM69" s="116"/>
      <c r="BN69" s="116"/>
      <c r="BO69" s="116"/>
      <c r="BP69" s="116"/>
      <c r="BQ69" s="116"/>
      <c r="BR69" s="116"/>
      <c r="BS69" s="116"/>
      <c r="BT69" s="116"/>
      <c r="BU69" s="116"/>
      <c r="BV69" s="116"/>
      <c r="BW69" s="116"/>
      <c r="BX69" s="6"/>
      <c r="BY69" s="6"/>
      <c r="BZ69" s="116"/>
    </row>
    <row r="70" spans="1:78" x14ac:dyDescent="0.2">
      <c r="A70" s="13"/>
      <c r="B70" s="13"/>
      <c r="C70" s="13"/>
      <c r="D70" s="13"/>
      <c r="E70" s="63"/>
      <c r="F70" s="13"/>
      <c r="G70" s="13"/>
      <c r="H70" s="13"/>
      <c r="I70" s="13"/>
      <c r="J70" s="13"/>
      <c r="K70" s="101"/>
      <c r="L70" s="5"/>
      <c r="M70" s="4"/>
      <c r="N70" s="6"/>
      <c r="O70" s="6"/>
      <c r="P70" s="4"/>
      <c r="Q70" s="124"/>
      <c r="R70" s="5"/>
      <c r="S70" s="5"/>
      <c r="T70" s="5"/>
      <c r="U70" s="5"/>
      <c r="V70" s="5"/>
      <c r="W70" s="5"/>
      <c r="X70" s="5"/>
      <c r="Y70" s="5"/>
      <c r="Z70" s="168"/>
      <c r="AA70" s="116"/>
      <c r="AB70" s="116"/>
      <c r="AC70" s="116"/>
      <c r="AD70" s="116"/>
      <c r="AE70" s="116"/>
      <c r="AF70" s="116"/>
      <c r="AG70" s="116"/>
      <c r="AH70" s="116"/>
      <c r="AI70" s="116"/>
      <c r="AJ70" s="116"/>
      <c r="AK70" s="116"/>
      <c r="AL70" s="116"/>
      <c r="AM70" s="116"/>
      <c r="AN70" s="116"/>
      <c r="AO70" s="116"/>
      <c r="AP70" s="116"/>
      <c r="AQ70" s="116"/>
      <c r="AR70" s="116"/>
      <c r="AS70" s="116"/>
      <c r="AT70" s="116"/>
      <c r="AU70" s="116"/>
      <c r="AV70" s="116"/>
      <c r="AW70" s="116"/>
      <c r="AX70" s="116"/>
      <c r="AY70" s="116"/>
      <c r="AZ70" s="116"/>
      <c r="BA70" s="116"/>
      <c r="BB70" s="116"/>
      <c r="BC70" s="116"/>
      <c r="BD70" s="116"/>
      <c r="BE70" s="116"/>
      <c r="BF70" s="116"/>
      <c r="BG70" s="116"/>
      <c r="BH70" s="116"/>
      <c r="BI70" s="116"/>
      <c r="BJ70" s="116"/>
      <c r="BK70" s="116"/>
      <c r="BL70" s="116"/>
      <c r="BM70" s="116"/>
      <c r="BN70" s="116"/>
      <c r="BO70" s="116"/>
      <c r="BP70" s="116"/>
      <c r="BQ70" s="116"/>
      <c r="BR70" s="116"/>
      <c r="BS70" s="116"/>
      <c r="BT70" s="116"/>
      <c r="BU70" s="116"/>
      <c r="BV70" s="116"/>
      <c r="BW70" s="116"/>
      <c r="BX70" s="6"/>
      <c r="BY70" s="6"/>
      <c r="BZ70" s="116"/>
    </row>
    <row r="71" spans="1:78" x14ac:dyDescent="0.2">
      <c r="A71" s="13"/>
      <c r="B71" s="13"/>
      <c r="C71" s="13"/>
      <c r="D71" s="13"/>
      <c r="E71" s="63"/>
      <c r="F71" s="13"/>
      <c r="G71" s="13"/>
      <c r="H71" s="13"/>
      <c r="I71" s="13"/>
      <c r="J71" s="13"/>
      <c r="K71" s="101"/>
      <c r="L71" s="5"/>
      <c r="M71" s="4"/>
      <c r="N71" s="6"/>
      <c r="O71" s="6"/>
      <c r="P71" s="4"/>
      <c r="Q71" s="124"/>
      <c r="R71" s="5"/>
      <c r="S71" s="5"/>
      <c r="T71" s="5"/>
      <c r="U71" s="5"/>
      <c r="V71" s="5"/>
      <c r="W71" s="5"/>
      <c r="X71" s="5"/>
      <c r="Y71" s="5"/>
      <c r="Z71" s="168"/>
      <c r="AA71" s="116"/>
      <c r="AB71" s="116"/>
      <c r="AC71" s="116"/>
      <c r="AD71" s="116"/>
      <c r="AE71" s="116"/>
      <c r="AF71" s="116"/>
      <c r="AG71" s="116"/>
      <c r="AH71" s="116"/>
      <c r="AI71" s="116"/>
      <c r="AJ71" s="116"/>
      <c r="AK71" s="116"/>
      <c r="AL71" s="116"/>
      <c r="AM71" s="116"/>
      <c r="AN71" s="116"/>
      <c r="AO71" s="116"/>
      <c r="AP71" s="116"/>
      <c r="AQ71" s="116"/>
      <c r="AR71" s="116"/>
      <c r="AS71" s="116"/>
      <c r="AT71" s="116"/>
      <c r="AU71" s="116"/>
      <c r="AV71" s="116"/>
      <c r="AW71" s="116"/>
      <c r="AX71" s="116"/>
      <c r="AY71" s="116"/>
      <c r="AZ71" s="116"/>
      <c r="BA71" s="116"/>
      <c r="BB71" s="116"/>
      <c r="BC71" s="116"/>
      <c r="BD71" s="116"/>
      <c r="BE71" s="116"/>
      <c r="BF71" s="116"/>
      <c r="BG71" s="116"/>
      <c r="BH71" s="116"/>
      <c r="BI71" s="116"/>
      <c r="BJ71" s="116"/>
      <c r="BK71" s="116"/>
      <c r="BL71" s="116"/>
      <c r="BM71" s="116"/>
      <c r="BN71" s="116"/>
      <c r="BO71" s="116"/>
      <c r="BP71" s="116"/>
      <c r="BQ71" s="116"/>
      <c r="BR71" s="116"/>
      <c r="BS71" s="116"/>
      <c r="BT71" s="116"/>
      <c r="BU71" s="116"/>
      <c r="BV71" s="116"/>
      <c r="BW71" s="116"/>
      <c r="BX71" s="6"/>
      <c r="BY71" s="6"/>
      <c r="BZ71" s="116"/>
    </row>
    <row r="72" spans="1:78" x14ac:dyDescent="0.2">
      <c r="A72" s="12"/>
      <c r="B72" s="13"/>
      <c r="C72" s="13"/>
      <c r="D72" s="13"/>
      <c r="E72" s="63"/>
      <c r="F72" s="13"/>
      <c r="G72" s="13"/>
      <c r="H72" s="13"/>
      <c r="I72" s="13"/>
      <c r="J72" s="13"/>
      <c r="K72" s="101"/>
      <c r="L72" s="5"/>
      <c r="M72" s="4"/>
      <c r="N72" s="6"/>
      <c r="O72" s="6"/>
      <c r="P72" s="4"/>
      <c r="Q72" s="124"/>
      <c r="R72" s="5"/>
      <c r="S72" s="5"/>
      <c r="T72" s="5"/>
      <c r="U72" s="5"/>
      <c r="V72" s="5"/>
      <c r="W72" s="5"/>
      <c r="X72" s="5"/>
      <c r="Y72" s="5"/>
      <c r="Z72" s="168"/>
      <c r="AA72" s="116"/>
      <c r="AB72" s="116"/>
      <c r="AC72" s="116"/>
      <c r="AD72" s="116"/>
      <c r="AE72" s="116"/>
      <c r="AF72" s="116"/>
      <c r="AG72" s="116"/>
      <c r="AH72" s="116"/>
      <c r="AI72" s="116"/>
      <c r="AJ72" s="116"/>
      <c r="AK72" s="116"/>
      <c r="AL72" s="116"/>
      <c r="AM72" s="116"/>
      <c r="AN72" s="116"/>
      <c r="AO72" s="116"/>
      <c r="AP72" s="116"/>
      <c r="AQ72" s="116"/>
      <c r="AR72" s="116"/>
      <c r="AS72" s="116"/>
      <c r="AT72" s="116"/>
      <c r="AU72" s="116"/>
      <c r="AV72" s="116"/>
      <c r="AW72" s="116"/>
      <c r="AX72" s="116"/>
      <c r="AY72" s="116"/>
      <c r="AZ72" s="116"/>
      <c r="BA72" s="116"/>
      <c r="BB72" s="116"/>
      <c r="BC72" s="116"/>
      <c r="BD72" s="116"/>
      <c r="BE72" s="116"/>
      <c r="BF72" s="116"/>
      <c r="BG72" s="116"/>
      <c r="BH72" s="116"/>
      <c r="BI72" s="116"/>
      <c r="BJ72" s="116"/>
      <c r="BK72" s="116"/>
      <c r="BL72" s="116"/>
      <c r="BM72" s="116"/>
      <c r="BN72" s="116"/>
      <c r="BO72" s="116"/>
      <c r="BP72" s="116"/>
      <c r="BQ72" s="116"/>
      <c r="BR72" s="116"/>
      <c r="BS72" s="116"/>
      <c r="BT72" s="116"/>
      <c r="BU72" s="116"/>
      <c r="BV72" s="116"/>
      <c r="BW72" s="116"/>
      <c r="BX72" s="6"/>
      <c r="BY72" s="6"/>
      <c r="BZ72" s="116"/>
    </row>
    <row r="73" spans="1:78" x14ac:dyDescent="0.2">
      <c r="A73" s="13"/>
      <c r="B73" s="13"/>
      <c r="C73" s="13"/>
      <c r="D73" s="13"/>
      <c r="E73" s="63"/>
      <c r="F73" s="13"/>
      <c r="G73" s="13"/>
      <c r="H73" s="13"/>
      <c r="I73" s="13"/>
      <c r="J73" s="13"/>
      <c r="K73" s="13"/>
      <c r="L73" s="13"/>
      <c r="M73" s="4"/>
      <c r="N73" s="6"/>
      <c r="O73" s="6"/>
      <c r="P73" s="6"/>
      <c r="Q73" s="123"/>
      <c r="R73" s="5"/>
      <c r="S73" s="5"/>
      <c r="T73" s="5"/>
      <c r="U73" s="5"/>
      <c r="V73" s="5"/>
      <c r="W73" s="5"/>
      <c r="X73" s="5"/>
      <c r="Y73" s="5"/>
      <c r="Z73" s="168"/>
      <c r="AA73" s="116"/>
      <c r="AB73" s="116"/>
      <c r="AC73" s="116"/>
      <c r="AD73" s="116"/>
      <c r="AE73" s="116"/>
      <c r="AF73" s="116"/>
      <c r="AG73" s="116"/>
      <c r="AH73" s="116"/>
      <c r="AI73" s="116"/>
      <c r="AJ73" s="116"/>
      <c r="AK73" s="116"/>
      <c r="AL73" s="116"/>
      <c r="AM73" s="116"/>
      <c r="AN73" s="116"/>
      <c r="AO73" s="116"/>
      <c r="AP73" s="116"/>
      <c r="AQ73" s="116"/>
      <c r="AR73" s="116"/>
      <c r="AS73" s="116"/>
      <c r="AT73" s="116"/>
      <c r="AU73" s="116"/>
      <c r="AV73" s="116"/>
      <c r="AW73" s="116"/>
      <c r="AX73" s="116"/>
      <c r="AY73" s="116"/>
      <c r="AZ73" s="116"/>
      <c r="BA73" s="116"/>
      <c r="BB73" s="116"/>
      <c r="BC73" s="116"/>
      <c r="BD73" s="116"/>
      <c r="BE73" s="116"/>
      <c r="BF73" s="116"/>
      <c r="BG73" s="116"/>
      <c r="BH73" s="116"/>
      <c r="BI73" s="116"/>
      <c r="BJ73" s="116"/>
      <c r="BK73" s="116"/>
      <c r="BL73" s="116"/>
      <c r="BM73" s="116"/>
      <c r="BN73" s="116"/>
      <c r="BO73" s="116"/>
      <c r="BP73" s="116"/>
      <c r="BQ73" s="116"/>
      <c r="BR73" s="116"/>
      <c r="BS73" s="116"/>
      <c r="BT73" s="116"/>
      <c r="BU73" s="116"/>
      <c r="BV73" s="116"/>
      <c r="BW73" s="116"/>
      <c r="BX73" s="6"/>
      <c r="BY73" s="6"/>
      <c r="BZ73" s="116"/>
    </row>
    <row r="74" spans="1:78" x14ac:dyDescent="0.2">
      <c r="A74" s="13"/>
      <c r="B74" s="13"/>
      <c r="C74" s="13"/>
      <c r="D74" s="13"/>
      <c r="E74" s="63"/>
      <c r="F74" s="13"/>
      <c r="G74" s="13"/>
      <c r="H74" s="13"/>
      <c r="I74" s="13"/>
      <c r="J74" s="13"/>
      <c r="K74" s="13"/>
      <c r="L74" s="13"/>
      <c r="M74" s="4"/>
      <c r="N74" s="6"/>
      <c r="O74" s="6"/>
      <c r="P74" s="4"/>
      <c r="Q74" s="124"/>
      <c r="R74" s="5"/>
      <c r="S74" s="5"/>
      <c r="T74" s="5"/>
      <c r="U74" s="5"/>
      <c r="V74" s="5"/>
      <c r="W74" s="5"/>
      <c r="X74" s="5"/>
      <c r="Y74" s="5"/>
      <c r="Z74" s="168"/>
      <c r="AA74" s="116"/>
      <c r="AB74" s="116"/>
      <c r="AC74" s="116"/>
      <c r="AD74" s="116"/>
      <c r="AE74" s="116"/>
      <c r="AF74" s="116"/>
      <c r="AG74" s="116"/>
      <c r="AH74" s="116"/>
      <c r="AI74" s="116"/>
      <c r="AJ74" s="116"/>
      <c r="AK74" s="116"/>
      <c r="AL74" s="116"/>
      <c r="AM74" s="116"/>
      <c r="AN74" s="116"/>
      <c r="AO74" s="116"/>
      <c r="AP74" s="116"/>
      <c r="AQ74" s="116"/>
      <c r="AR74" s="116"/>
      <c r="AS74" s="116"/>
      <c r="AT74" s="116"/>
      <c r="AU74" s="116"/>
      <c r="AV74" s="116"/>
      <c r="AW74" s="116"/>
      <c r="AX74" s="116"/>
      <c r="AY74" s="116"/>
      <c r="AZ74" s="116"/>
      <c r="BA74" s="116"/>
      <c r="BB74" s="116"/>
      <c r="BC74" s="116"/>
      <c r="BD74" s="116"/>
      <c r="BE74" s="116"/>
      <c r="BF74" s="116"/>
      <c r="BG74" s="116"/>
      <c r="BH74" s="116"/>
      <c r="BI74" s="116"/>
      <c r="BJ74" s="116"/>
      <c r="BK74" s="116"/>
      <c r="BL74" s="116"/>
      <c r="BM74" s="116"/>
      <c r="BN74" s="116"/>
      <c r="BO74" s="116"/>
      <c r="BP74" s="116"/>
      <c r="BQ74" s="116"/>
      <c r="BR74" s="116"/>
      <c r="BS74" s="116"/>
      <c r="BT74" s="116"/>
      <c r="BU74" s="116"/>
      <c r="BV74" s="116"/>
      <c r="BW74" s="116"/>
      <c r="BX74" s="6"/>
      <c r="BY74" s="6"/>
      <c r="BZ74" s="116"/>
    </row>
    <row r="75" spans="1:78" x14ac:dyDescent="0.2">
      <c r="A75" s="13"/>
      <c r="B75" s="13"/>
      <c r="C75" s="13"/>
      <c r="D75" s="13"/>
      <c r="E75" s="63"/>
      <c r="F75" s="13"/>
      <c r="G75" s="13"/>
      <c r="H75" s="13"/>
      <c r="I75" s="13"/>
      <c r="J75" s="13"/>
      <c r="K75" s="13"/>
      <c r="L75" s="13"/>
      <c r="M75" s="4"/>
      <c r="N75" s="6"/>
      <c r="O75" s="6"/>
      <c r="P75" s="4"/>
      <c r="Q75" s="124"/>
      <c r="R75" s="5"/>
      <c r="S75" s="5"/>
      <c r="T75" s="5"/>
      <c r="U75" s="5"/>
      <c r="V75" s="5"/>
      <c r="W75" s="5"/>
      <c r="X75" s="5"/>
      <c r="Y75" s="5"/>
      <c r="Z75" s="168"/>
      <c r="AA75" s="116"/>
      <c r="AB75" s="116"/>
      <c r="AC75" s="116"/>
      <c r="AD75" s="116"/>
      <c r="AE75" s="116"/>
      <c r="AF75" s="116"/>
      <c r="AG75" s="116"/>
      <c r="AH75" s="116"/>
      <c r="AI75" s="116"/>
      <c r="AJ75" s="116"/>
      <c r="AK75" s="116"/>
      <c r="AL75" s="116"/>
      <c r="AM75" s="116"/>
      <c r="AN75" s="116"/>
      <c r="AO75" s="116"/>
      <c r="AP75" s="116"/>
      <c r="AQ75" s="116"/>
      <c r="AR75" s="116"/>
      <c r="AS75" s="116"/>
      <c r="AT75" s="116"/>
      <c r="AU75" s="116"/>
      <c r="AV75" s="116"/>
      <c r="AW75" s="116"/>
      <c r="AX75" s="116"/>
      <c r="AY75" s="116"/>
      <c r="AZ75" s="116"/>
      <c r="BA75" s="116"/>
      <c r="BB75" s="116"/>
      <c r="BC75" s="116"/>
      <c r="BD75" s="116"/>
      <c r="BE75" s="116"/>
      <c r="BF75" s="116"/>
      <c r="BG75" s="116"/>
      <c r="BH75" s="116"/>
      <c r="BI75" s="116"/>
      <c r="BJ75" s="116"/>
      <c r="BK75" s="116"/>
      <c r="BL75" s="116"/>
      <c r="BM75" s="116"/>
      <c r="BN75" s="116"/>
      <c r="BO75" s="116"/>
      <c r="BP75" s="116"/>
      <c r="BQ75" s="116"/>
      <c r="BR75" s="116"/>
      <c r="BS75" s="116"/>
      <c r="BT75" s="116"/>
      <c r="BU75" s="116"/>
      <c r="BV75" s="116"/>
      <c r="BW75" s="116"/>
      <c r="BX75" s="6"/>
      <c r="BY75" s="6"/>
      <c r="BZ75" s="116"/>
    </row>
    <row r="76" spans="1:78" x14ac:dyDescent="0.2">
      <c r="A76" s="12"/>
      <c r="B76" s="13"/>
      <c r="C76" s="13"/>
      <c r="D76" s="13"/>
      <c r="E76" s="63"/>
      <c r="F76" s="13"/>
      <c r="G76" s="13"/>
      <c r="H76" s="13"/>
      <c r="I76" s="13"/>
      <c r="J76" s="13"/>
      <c r="K76" s="101"/>
      <c r="L76" s="5"/>
      <c r="M76" s="4"/>
      <c r="N76" s="6"/>
      <c r="O76" s="6"/>
      <c r="P76" s="4"/>
      <c r="Q76" s="123"/>
      <c r="R76" s="5"/>
      <c r="S76" s="5"/>
      <c r="T76" s="5"/>
      <c r="U76" s="5"/>
      <c r="V76" s="5"/>
      <c r="W76" s="5"/>
      <c r="X76" s="5"/>
      <c r="Y76" s="5"/>
      <c r="Z76" s="168"/>
      <c r="AA76" s="116"/>
      <c r="AB76" s="116"/>
      <c r="AC76" s="116"/>
      <c r="AD76" s="116"/>
      <c r="AE76" s="116"/>
      <c r="AF76" s="116"/>
      <c r="AG76" s="116"/>
      <c r="AH76" s="116"/>
      <c r="AI76" s="116"/>
      <c r="AJ76" s="116"/>
      <c r="AK76" s="116"/>
      <c r="AL76" s="116"/>
      <c r="AM76" s="116"/>
      <c r="AN76" s="116"/>
      <c r="AO76" s="116"/>
      <c r="AP76" s="116"/>
      <c r="AQ76" s="116"/>
      <c r="AR76" s="116"/>
      <c r="AS76" s="116"/>
      <c r="AT76" s="116"/>
      <c r="AU76" s="116"/>
      <c r="AV76" s="116"/>
      <c r="AW76" s="116"/>
      <c r="AX76" s="116"/>
      <c r="AY76" s="116"/>
      <c r="AZ76" s="116"/>
      <c r="BA76" s="116"/>
      <c r="BB76" s="116"/>
      <c r="BC76" s="116"/>
      <c r="BD76" s="116"/>
      <c r="BE76" s="116"/>
      <c r="BF76" s="116"/>
      <c r="BG76" s="116"/>
      <c r="BH76" s="116"/>
      <c r="BI76" s="116"/>
      <c r="BJ76" s="116"/>
      <c r="BK76" s="116"/>
      <c r="BL76" s="116"/>
      <c r="BM76" s="116"/>
      <c r="BN76" s="116"/>
      <c r="BO76" s="116"/>
      <c r="BP76" s="116"/>
      <c r="BQ76" s="116"/>
      <c r="BR76" s="116"/>
      <c r="BS76" s="116"/>
      <c r="BT76" s="116"/>
      <c r="BU76" s="116"/>
      <c r="BV76" s="116"/>
      <c r="BW76" s="116"/>
      <c r="BX76" s="6"/>
      <c r="BY76" s="6"/>
      <c r="BZ76" s="116"/>
    </row>
    <row r="77" spans="1:78" x14ac:dyDescent="0.2">
      <c r="A77" s="13"/>
      <c r="B77" s="13"/>
      <c r="C77" s="13"/>
      <c r="D77" s="13"/>
      <c r="E77" s="63"/>
      <c r="F77" s="13"/>
      <c r="G77" s="13"/>
      <c r="H77" s="13"/>
      <c r="I77" s="13"/>
      <c r="J77" s="13"/>
      <c r="K77" s="101"/>
      <c r="L77" s="5"/>
      <c r="M77" s="6"/>
      <c r="N77" s="6"/>
      <c r="O77" s="6"/>
      <c r="P77" s="6"/>
      <c r="Q77" s="123"/>
      <c r="R77" s="5"/>
      <c r="S77" s="5"/>
      <c r="T77" s="5"/>
      <c r="U77" s="5"/>
      <c r="V77" s="5"/>
      <c r="W77" s="5"/>
      <c r="X77" s="5"/>
      <c r="Y77" s="5"/>
      <c r="Z77" s="168"/>
      <c r="AA77" s="116"/>
      <c r="AB77" s="116"/>
      <c r="AC77" s="116"/>
      <c r="AD77" s="116"/>
      <c r="AE77" s="116"/>
      <c r="AF77" s="116"/>
      <c r="AG77" s="116"/>
      <c r="AH77" s="116"/>
      <c r="AI77" s="116"/>
      <c r="AJ77" s="116"/>
      <c r="AK77" s="116"/>
      <c r="AL77" s="116"/>
      <c r="AM77" s="116"/>
      <c r="AN77" s="116"/>
      <c r="AO77" s="116"/>
      <c r="AP77" s="116"/>
      <c r="AQ77" s="116"/>
      <c r="AR77" s="116"/>
      <c r="AS77" s="116"/>
      <c r="AT77" s="116"/>
      <c r="AU77" s="116"/>
      <c r="AV77" s="116"/>
      <c r="AW77" s="116"/>
      <c r="AX77" s="116"/>
      <c r="AY77" s="116"/>
      <c r="AZ77" s="116"/>
      <c r="BA77" s="116"/>
      <c r="BB77" s="116"/>
      <c r="BC77" s="116"/>
      <c r="BD77" s="116"/>
      <c r="BE77" s="116"/>
      <c r="BF77" s="116"/>
      <c r="BG77" s="116"/>
      <c r="BH77" s="116"/>
      <c r="BI77" s="116"/>
      <c r="BJ77" s="116"/>
      <c r="BK77" s="116"/>
      <c r="BL77" s="116"/>
      <c r="BM77" s="116"/>
      <c r="BN77" s="116"/>
      <c r="BO77" s="116"/>
      <c r="BP77" s="116"/>
      <c r="BQ77" s="116"/>
      <c r="BR77" s="116"/>
      <c r="BS77" s="116"/>
      <c r="BT77" s="116"/>
      <c r="BU77" s="116"/>
      <c r="BV77" s="116"/>
      <c r="BW77" s="116"/>
      <c r="BX77" s="6"/>
      <c r="BY77" s="6"/>
      <c r="BZ77" s="116"/>
    </row>
    <row r="78" spans="1:78" x14ac:dyDescent="0.2">
      <c r="A78" s="13"/>
      <c r="B78" s="13"/>
      <c r="C78" s="13"/>
      <c r="D78" s="13"/>
      <c r="E78" s="63"/>
      <c r="F78" s="13"/>
      <c r="G78" s="13"/>
      <c r="H78" s="13"/>
      <c r="I78" s="13"/>
      <c r="J78" s="13"/>
      <c r="K78" s="101"/>
      <c r="L78" s="5"/>
      <c r="M78" s="6"/>
      <c r="N78" s="6"/>
      <c r="O78" s="6"/>
      <c r="P78" s="6"/>
      <c r="Q78" s="123"/>
      <c r="R78" s="5"/>
      <c r="S78" s="5"/>
      <c r="T78" s="5"/>
      <c r="U78" s="5"/>
      <c r="V78" s="5"/>
      <c r="W78" s="5"/>
      <c r="X78" s="5"/>
      <c r="Y78" s="5"/>
      <c r="Z78" s="168"/>
      <c r="AA78" s="116"/>
      <c r="AB78" s="116"/>
      <c r="AC78" s="116"/>
      <c r="AD78" s="116"/>
      <c r="AE78" s="116"/>
      <c r="AF78" s="116"/>
      <c r="AG78" s="116"/>
      <c r="AH78" s="116"/>
      <c r="AI78" s="116"/>
      <c r="AJ78" s="116"/>
      <c r="AK78" s="116"/>
      <c r="AL78" s="116"/>
      <c r="AM78" s="116"/>
      <c r="AN78" s="116"/>
      <c r="AO78" s="116"/>
      <c r="AP78" s="116"/>
      <c r="AQ78" s="116"/>
      <c r="AR78" s="116"/>
      <c r="AS78" s="116"/>
      <c r="AT78" s="116"/>
      <c r="AU78" s="116"/>
      <c r="AV78" s="116"/>
      <c r="AW78" s="116"/>
      <c r="AX78" s="116"/>
      <c r="AY78" s="116"/>
      <c r="AZ78" s="116"/>
      <c r="BA78" s="116"/>
      <c r="BB78" s="116"/>
      <c r="BC78" s="116"/>
      <c r="BD78" s="116"/>
      <c r="BE78" s="116"/>
      <c r="BF78" s="116"/>
      <c r="BG78" s="116"/>
      <c r="BH78" s="116"/>
      <c r="BI78" s="116"/>
      <c r="BJ78" s="116"/>
      <c r="BK78" s="116"/>
      <c r="BL78" s="116"/>
      <c r="BM78" s="116"/>
      <c r="BN78" s="116"/>
      <c r="BO78" s="116"/>
      <c r="BP78" s="116"/>
      <c r="BQ78" s="116"/>
      <c r="BR78" s="116"/>
      <c r="BS78" s="116"/>
      <c r="BT78" s="116"/>
      <c r="BU78" s="116"/>
      <c r="BV78" s="116"/>
      <c r="BW78" s="116"/>
      <c r="BX78" s="6"/>
      <c r="BY78" s="6"/>
      <c r="BZ78" s="116"/>
    </row>
    <row r="79" spans="1:78" x14ac:dyDescent="0.2">
      <c r="A79" s="13"/>
      <c r="B79" s="101"/>
      <c r="C79" s="101"/>
      <c r="D79" s="101"/>
      <c r="E79" s="101"/>
      <c r="F79" s="101"/>
      <c r="G79" s="101"/>
      <c r="H79" s="101"/>
      <c r="I79" s="101"/>
      <c r="J79" s="101"/>
      <c r="K79" s="101"/>
      <c r="L79" s="101"/>
      <c r="M79" s="6"/>
      <c r="N79" s="6"/>
      <c r="O79" s="6"/>
      <c r="P79" s="6"/>
      <c r="Q79" s="123"/>
      <c r="R79" s="5"/>
      <c r="S79" s="5"/>
      <c r="T79" s="5"/>
      <c r="U79" s="5"/>
      <c r="V79" s="5"/>
      <c r="W79" s="5"/>
      <c r="X79" s="5"/>
      <c r="Y79" s="5"/>
      <c r="Z79" s="168"/>
      <c r="AA79" s="116"/>
      <c r="AB79" s="116"/>
      <c r="AC79" s="116"/>
      <c r="AD79" s="116"/>
      <c r="AE79" s="116"/>
      <c r="AF79" s="116"/>
      <c r="AG79" s="116"/>
      <c r="AH79" s="116"/>
      <c r="AI79" s="116"/>
      <c r="AJ79" s="116"/>
      <c r="AK79" s="116"/>
      <c r="AL79" s="116"/>
      <c r="AM79" s="116"/>
      <c r="AN79" s="116"/>
      <c r="AO79" s="116"/>
      <c r="AP79" s="116"/>
      <c r="AQ79" s="116"/>
      <c r="AR79" s="116"/>
      <c r="AS79" s="116"/>
      <c r="AT79" s="116"/>
      <c r="AU79" s="116"/>
      <c r="AV79" s="116"/>
      <c r="AW79" s="116"/>
      <c r="AX79" s="116"/>
      <c r="AY79" s="116"/>
      <c r="AZ79" s="116"/>
      <c r="BA79" s="116"/>
      <c r="BB79" s="116"/>
      <c r="BC79" s="116"/>
      <c r="BD79" s="116"/>
      <c r="BE79" s="116"/>
      <c r="BF79" s="116"/>
      <c r="BG79" s="116"/>
      <c r="BH79" s="116"/>
      <c r="BI79" s="116"/>
      <c r="BJ79" s="116"/>
      <c r="BK79" s="116"/>
      <c r="BL79" s="116"/>
      <c r="BM79" s="116"/>
      <c r="BN79" s="116"/>
      <c r="BO79" s="116"/>
      <c r="BP79" s="116"/>
      <c r="BQ79" s="116"/>
      <c r="BR79" s="116"/>
      <c r="BS79" s="116"/>
      <c r="BT79" s="116"/>
      <c r="BU79" s="116"/>
      <c r="BV79" s="116"/>
      <c r="BW79" s="116"/>
      <c r="BX79" s="6"/>
      <c r="BY79" s="6"/>
      <c r="BZ79" s="116"/>
    </row>
    <row r="80" spans="1:78" x14ac:dyDescent="0.2">
      <c r="A80" s="12"/>
      <c r="B80" s="101"/>
      <c r="C80" s="101"/>
      <c r="D80" s="101"/>
      <c r="E80" s="101"/>
      <c r="F80" s="101"/>
      <c r="G80" s="101"/>
      <c r="H80" s="101"/>
      <c r="I80" s="101"/>
      <c r="J80" s="101"/>
      <c r="K80" s="101"/>
      <c r="L80" s="101"/>
      <c r="M80" s="6"/>
      <c r="N80" s="6"/>
      <c r="O80" s="6"/>
      <c r="P80" s="6"/>
      <c r="Q80" s="123"/>
      <c r="R80" s="5"/>
      <c r="S80" s="5"/>
      <c r="T80" s="5"/>
      <c r="U80" s="5"/>
      <c r="V80" s="5"/>
      <c r="W80" s="5"/>
      <c r="X80" s="5"/>
      <c r="Y80" s="5"/>
      <c r="Z80" s="168"/>
      <c r="AA80" s="116"/>
      <c r="AB80" s="116"/>
      <c r="AC80" s="116"/>
      <c r="AD80" s="116"/>
      <c r="AE80" s="116"/>
      <c r="AF80" s="116"/>
      <c r="AG80" s="116"/>
      <c r="AH80" s="116"/>
      <c r="AI80" s="116"/>
      <c r="AJ80" s="116"/>
      <c r="AK80" s="116"/>
      <c r="AL80" s="116"/>
      <c r="AM80" s="116"/>
      <c r="AN80" s="116"/>
      <c r="AO80" s="116"/>
      <c r="AP80" s="116"/>
      <c r="AQ80" s="116"/>
      <c r="AR80" s="116"/>
      <c r="AS80" s="116"/>
      <c r="AT80" s="116"/>
      <c r="AU80" s="116"/>
      <c r="AV80" s="116"/>
      <c r="AW80" s="116"/>
      <c r="AX80" s="116"/>
      <c r="AY80" s="116"/>
      <c r="AZ80" s="116"/>
      <c r="BA80" s="116"/>
      <c r="BB80" s="116"/>
      <c r="BC80" s="116"/>
      <c r="BD80" s="116"/>
      <c r="BE80" s="116"/>
      <c r="BF80" s="116"/>
      <c r="BG80" s="116"/>
      <c r="BH80" s="116"/>
      <c r="BI80" s="116"/>
      <c r="BJ80" s="116"/>
      <c r="BK80" s="116"/>
      <c r="BL80" s="116"/>
      <c r="BM80" s="116"/>
      <c r="BN80" s="116"/>
      <c r="BO80" s="116"/>
      <c r="BP80" s="116"/>
      <c r="BQ80" s="116"/>
      <c r="BR80" s="116"/>
      <c r="BS80" s="116"/>
      <c r="BT80" s="116"/>
      <c r="BU80" s="116"/>
      <c r="BV80" s="116"/>
      <c r="BW80" s="116"/>
      <c r="BX80" s="6"/>
      <c r="BY80" s="6"/>
      <c r="BZ80" s="116"/>
    </row>
    <row r="81" spans="1:78" x14ac:dyDescent="0.2">
      <c r="A81" s="13"/>
      <c r="B81" s="13"/>
      <c r="C81" s="13"/>
      <c r="D81" s="13"/>
      <c r="E81" s="63"/>
      <c r="F81" s="13"/>
      <c r="G81" s="13"/>
      <c r="H81" s="13"/>
      <c r="I81" s="13"/>
      <c r="J81" s="13"/>
      <c r="K81" s="101"/>
      <c r="L81" s="5"/>
      <c r="M81" s="6"/>
      <c r="N81" s="6"/>
      <c r="O81" s="6"/>
      <c r="P81" s="6"/>
      <c r="Q81" s="123"/>
      <c r="R81" s="5"/>
      <c r="S81" s="5"/>
      <c r="T81" s="5"/>
      <c r="U81" s="5"/>
      <c r="V81" s="5"/>
      <c r="W81" s="5"/>
      <c r="X81" s="5"/>
      <c r="Y81" s="5"/>
      <c r="Z81" s="168"/>
      <c r="AA81" s="116"/>
      <c r="AB81" s="116"/>
      <c r="AC81" s="116"/>
      <c r="AD81" s="116"/>
      <c r="AE81" s="116"/>
      <c r="AF81" s="116"/>
      <c r="AG81" s="116"/>
      <c r="AH81" s="116"/>
      <c r="AI81" s="116"/>
      <c r="AJ81" s="116"/>
      <c r="AK81" s="116"/>
      <c r="AL81" s="116"/>
      <c r="AM81" s="116"/>
      <c r="AN81" s="116"/>
      <c r="AO81" s="116"/>
      <c r="AP81" s="116"/>
      <c r="AQ81" s="116"/>
      <c r="AR81" s="116"/>
      <c r="AS81" s="116"/>
      <c r="AT81" s="116"/>
      <c r="AU81" s="116"/>
      <c r="AV81" s="116"/>
      <c r="AW81" s="116"/>
      <c r="AX81" s="116"/>
      <c r="AY81" s="116"/>
      <c r="AZ81" s="116"/>
      <c r="BA81" s="116"/>
      <c r="BB81" s="116"/>
      <c r="BC81" s="116"/>
      <c r="BD81" s="116"/>
      <c r="BE81" s="116"/>
      <c r="BF81" s="116"/>
      <c r="BG81" s="116"/>
      <c r="BH81" s="116"/>
      <c r="BI81" s="116"/>
      <c r="BJ81" s="116"/>
      <c r="BK81" s="116"/>
      <c r="BL81" s="116"/>
      <c r="BM81" s="116"/>
      <c r="BN81" s="116"/>
      <c r="BO81" s="116"/>
      <c r="BP81" s="116"/>
      <c r="BQ81" s="116"/>
      <c r="BR81" s="116"/>
      <c r="BS81" s="116"/>
      <c r="BT81" s="116"/>
      <c r="BU81" s="116"/>
      <c r="BV81" s="116"/>
      <c r="BW81" s="116"/>
      <c r="BX81" s="6"/>
      <c r="BY81" s="6"/>
      <c r="BZ81" s="116"/>
    </row>
    <row r="82" spans="1:78" x14ac:dyDescent="0.2">
      <c r="A82" s="13"/>
      <c r="B82" s="13"/>
      <c r="C82" s="13"/>
      <c r="D82" s="13"/>
      <c r="E82" s="63"/>
      <c r="F82" s="13"/>
      <c r="G82" s="13"/>
      <c r="H82" s="13"/>
      <c r="I82" s="13"/>
      <c r="J82" s="13"/>
      <c r="K82" s="101"/>
      <c r="L82" s="5"/>
      <c r="M82" s="6"/>
      <c r="N82" s="6"/>
      <c r="O82" s="6"/>
      <c r="P82" s="6"/>
      <c r="Q82" s="123"/>
      <c r="R82" s="5"/>
      <c r="S82" s="5"/>
      <c r="T82" s="5"/>
      <c r="U82" s="5"/>
      <c r="V82" s="5"/>
      <c r="W82" s="5"/>
      <c r="X82" s="5"/>
      <c r="Y82" s="5"/>
      <c r="Z82" s="168"/>
      <c r="AA82" s="116"/>
      <c r="AB82" s="116"/>
      <c r="AC82" s="116"/>
      <c r="AD82" s="116"/>
      <c r="AE82" s="116"/>
      <c r="AF82" s="116"/>
      <c r="AG82" s="116"/>
      <c r="AH82" s="116"/>
      <c r="AI82" s="116"/>
      <c r="AJ82" s="116"/>
      <c r="AK82" s="116"/>
      <c r="AL82" s="116"/>
      <c r="AM82" s="116"/>
      <c r="AN82" s="116"/>
      <c r="AO82" s="116"/>
      <c r="AP82" s="116"/>
      <c r="AQ82" s="116"/>
      <c r="AR82" s="116"/>
      <c r="AS82" s="116"/>
      <c r="AT82" s="116"/>
      <c r="AU82" s="116"/>
      <c r="AV82" s="116"/>
      <c r="AW82" s="116"/>
      <c r="AX82" s="116"/>
      <c r="AY82" s="116"/>
      <c r="AZ82" s="116"/>
      <c r="BA82" s="116"/>
      <c r="BB82" s="116"/>
      <c r="BC82" s="116"/>
      <c r="BD82" s="116"/>
      <c r="BE82" s="116"/>
      <c r="BF82" s="116"/>
      <c r="BG82" s="116"/>
      <c r="BH82" s="116"/>
      <c r="BI82" s="116"/>
      <c r="BJ82" s="116"/>
      <c r="BK82" s="116"/>
      <c r="BL82" s="116"/>
      <c r="BM82" s="116"/>
      <c r="BN82" s="116"/>
      <c r="BO82" s="116"/>
      <c r="BP82" s="116"/>
      <c r="BQ82" s="116"/>
      <c r="BR82" s="116"/>
      <c r="BS82" s="116"/>
      <c r="BT82" s="116"/>
      <c r="BU82" s="116"/>
      <c r="BV82" s="116"/>
      <c r="BW82" s="116"/>
      <c r="BX82" s="6"/>
      <c r="BY82" s="6"/>
      <c r="BZ82" s="116"/>
    </row>
    <row r="83" spans="1:78" x14ac:dyDescent="0.2">
      <c r="A83" s="13"/>
      <c r="B83" s="13"/>
      <c r="C83" s="13"/>
      <c r="D83" s="13"/>
      <c r="E83" s="63"/>
      <c r="F83" s="13"/>
      <c r="G83" s="13"/>
      <c r="H83" s="13"/>
      <c r="I83" s="13"/>
      <c r="J83" s="13"/>
      <c r="K83" s="101"/>
      <c r="L83" s="5"/>
      <c r="M83" s="6"/>
      <c r="N83" s="6"/>
      <c r="O83" s="6"/>
      <c r="P83" s="6"/>
      <c r="Q83" s="123"/>
      <c r="R83" s="5"/>
      <c r="S83" s="5"/>
      <c r="T83" s="5"/>
      <c r="U83" s="5"/>
      <c r="V83" s="5"/>
      <c r="W83" s="5"/>
      <c r="X83" s="5"/>
      <c r="Y83" s="5"/>
      <c r="Z83" s="168"/>
      <c r="AA83" s="116"/>
      <c r="AB83" s="116"/>
      <c r="AC83" s="116"/>
      <c r="AD83" s="116"/>
      <c r="AE83" s="116"/>
      <c r="AF83" s="116"/>
      <c r="AG83" s="116"/>
      <c r="AH83" s="116"/>
      <c r="AI83" s="116"/>
      <c r="AJ83" s="116"/>
      <c r="AK83" s="116"/>
      <c r="AL83" s="116"/>
      <c r="AM83" s="116"/>
      <c r="AN83" s="116"/>
      <c r="AO83" s="116"/>
      <c r="AP83" s="116"/>
      <c r="AQ83" s="116"/>
      <c r="AR83" s="116"/>
      <c r="AS83" s="116"/>
      <c r="AT83" s="116"/>
      <c r="AU83" s="116"/>
      <c r="AV83" s="116"/>
      <c r="AW83" s="116"/>
      <c r="AX83" s="116"/>
      <c r="AY83" s="116"/>
      <c r="AZ83" s="116"/>
      <c r="BA83" s="116"/>
      <c r="BB83" s="116"/>
      <c r="BC83" s="116"/>
      <c r="BD83" s="116"/>
      <c r="BE83" s="116"/>
      <c r="BF83" s="116"/>
      <c r="BG83" s="116"/>
      <c r="BH83" s="116"/>
      <c r="BI83" s="116"/>
      <c r="BJ83" s="116"/>
      <c r="BK83" s="116"/>
      <c r="BL83" s="116"/>
      <c r="BM83" s="116"/>
      <c r="BN83" s="116"/>
      <c r="BO83" s="116"/>
      <c r="BP83" s="116"/>
      <c r="BQ83" s="116"/>
      <c r="BR83" s="116"/>
      <c r="BS83" s="116"/>
      <c r="BT83" s="116"/>
      <c r="BU83" s="116"/>
      <c r="BV83" s="116"/>
      <c r="BW83" s="116"/>
      <c r="BX83" s="6"/>
      <c r="BY83" s="6"/>
      <c r="BZ83" s="116"/>
    </row>
    <row r="84" spans="1:78" x14ac:dyDescent="0.2">
      <c r="A84" s="13"/>
      <c r="B84" s="13"/>
      <c r="C84" s="13"/>
      <c r="D84" s="13"/>
      <c r="E84" s="63"/>
      <c r="F84" s="13"/>
      <c r="G84" s="13"/>
      <c r="H84" s="13"/>
      <c r="I84" s="13"/>
      <c r="J84" s="13"/>
      <c r="K84" s="101"/>
      <c r="L84" s="5"/>
      <c r="M84" s="6"/>
      <c r="N84" s="6"/>
      <c r="O84" s="6"/>
      <c r="P84" s="6"/>
      <c r="Q84" s="123"/>
      <c r="R84" s="5"/>
      <c r="S84" s="5"/>
      <c r="T84" s="5"/>
      <c r="U84" s="5"/>
      <c r="V84" s="5"/>
      <c r="W84" s="5"/>
      <c r="X84" s="5"/>
      <c r="Y84" s="5"/>
      <c r="Z84" s="168"/>
      <c r="AA84" s="116"/>
      <c r="AB84" s="116"/>
      <c r="AC84" s="116"/>
      <c r="AD84" s="116"/>
      <c r="AE84" s="116"/>
      <c r="AF84" s="116"/>
      <c r="AG84" s="116"/>
      <c r="AH84" s="116"/>
      <c r="AI84" s="116"/>
      <c r="AJ84" s="116"/>
      <c r="AK84" s="116"/>
      <c r="AL84" s="116"/>
      <c r="AM84" s="116"/>
      <c r="AN84" s="116"/>
      <c r="AO84" s="116"/>
      <c r="AP84" s="116"/>
      <c r="AQ84" s="116"/>
      <c r="AR84" s="116"/>
      <c r="AS84" s="116"/>
      <c r="AT84" s="116"/>
      <c r="AU84" s="116"/>
      <c r="AV84" s="116"/>
      <c r="AW84" s="116"/>
      <c r="AX84" s="116"/>
      <c r="AY84" s="116"/>
      <c r="AZ84" s="116"/>
      <c r="BA84" s="116"/>
      <c r="BB84" s="116"/>
      <c r="BC84" s="116"/>
      <c r="BD84" s="116"/>
      <c r="BE84" s="116"/>
      <c r="BF84" s="116"/>
      <c r="BG84" s="116"/>
      <c r="BH84" s="116"/>
      <c r="BI84" s="116"/>
      <c r="BJ84" s="116"/>
      <c r="BK84" s="116"/>
      <c r="BL84" s="116"/>
      <c r="BM84" s="116"/>
      <c r="BN84" s="116"/>
      <c r="BO84" s="116"/>
      <c r="BP84" s="116"/>
      <c r="BQ84" s="116"/>
      <c r="BR84" s="116"/>
      <c r="BS84" s="116"/>
      <c r="BT84" s="116"/>
      <c r="BU84" s="116"/>
      <c r="BV84" s="116"/>
      <c r="BW84" s="116"/>
      <c r="BX84" s="6"/>
      <c r="BY84" s="6"/>
      <c r="BZ84" s="116"/>
    </row>
    <row r="85" spans="1:78" x14ac:dyDescent="0.2">
      <c r="A85" s="5"/>
      <c r="B85" s="5"/>
      <c r="C85" s="5"/>
      <c r="D85" s="5"/>
      <c r="E85" s="5"/>
      <c r="F85" s="5"/>
      <c r="G85" s="5"/>
      <c r="H85" s="5"/>
      <c r="I85" s="5"/>
      <c r="J85" s="5"/>
      <c r="K85" s="37"/>
      <c r="L85" s="5"/>
      <c r="M85" s="6"/>
      <c r="N85" s="6"/>
      <c r="O85" s="6"/>
      <c r="P85" s="6"/>
      <c r="Q85" s="123"/>
      <c r="R85" s="5"/>
      <c r="S85" s="5"/>
      <c r="T85" s="5"/>
      <c r="U85" s="5"/>
      <c r="V85" s="5"/>
      <c r="W85" s="5"/>
      <c r="X85" s="5"/>
      <c r="Y85" s="5"/>
      <c r="Z85" s="168"/>
      <c r="AA85" s="116"/>
      <c r="AB85" s="116"/>
      <c r="AC85" s="116"/>
      <c r="AD85" s="116"/>
      <c r="AE85" s="116"/>
      <c r="AF85" s="116"/>
      <c r="AG85" s="116"/>
      <c r="AH85" s="116"/>
      <c r="AI85" s="116"/>
      <c r="AJ85" s="116"/>
      <c r="AK85" s="116"/>
      <c r="AL85" s="116"/>
      <c r="AM85" s="116"/>
      <c r="AN85" s="116"/>
      <c r="AO85" s="116"/>
      <c r="AP85" s="116"/>
      <c r="AQ85" s="116"/>
      <c r="AR85" s="116"/>
      <c r="AS85" s="116"/>
      <c r="AT85" s="116"/>
      <c r="AU85" s="116"/>
      <c r="AV85" s="116"/>
      <c r="AW85" s="116"/>
      <c r="AX85" s="116"/>
      <c r="AY85" s="116"/>
      <c r="AZ85" s="116"/>
      <c r="BA85" s="116"/>
      <c r="BB85" s="116"/>
      <c r="BC85" s="116"/>
      <c r="BD85" s="116"/>
      <c r="BE85" s="116"/>
      <c r="BF85" s="116"/>
      <c r="BG85" s="116"/>
      <c r="BH85" s="116"/>
      <c r="BI85" s="116"/>
      <c r="BJ85" s="116"/>
      <c r="BK85" s="116"/>
      <c r="BL85" s="116"/>
      <c r="BM85" s="116"/>
      <c r="BN85" s="116"/>
      <c r="BO85" s="116"/>
      <c r="BP85" s="116"/>
      <c r="BQ85" s="116"/>
      <c r="BR85" s="116"/>
      <c r="BS85" s="116"/>
      <c r="BT85" s="116"/>
      <c r="BU85" s="116"/>
      <c r="BV85" s="116"/>
      <c r="BW85" s="116"/>
      <c r="BX85" s="6"/>
      <c r="BY85" s="6"/>
      <c r="BZ85" s="116"/>
    </row>
    <row r="86" spans="1:78" x14ac:dyDescent="0.2">
      <c r="A86" s="13"/>
      <c r="B86" s="13"/>
      <c r="C86" s="13"/>
      <c r="D86" s="13"/>
      <c r="E86" s="63"/>
      <c r="F86" s="13"/>
      <c r="G86" s="13"/>
      <c r="H86" s="13"/>
      <c r="I86" s="13"/>
      <c r="J86" s="13"/>
      <c r="K86" s="101"/>
      <c r="L86" s="5"/>
      <c r="M86" s="6"/>
      <c r="N86" s="6"/>
      <c r="O86" s="6"/>
      <c r="P86" s="6"/>
      <c r="Q86" s="123"/>
      <c r="R86" s="5"/>
      <c r="S86" s="5"/>
      <c r="T86" s="5"/>
      <c r="U86" s="5"/>
      <c r="V86" s="5"/>
      <c r="W86" s="5"/>
      <c r="X86" s="5"/>
      <c r="Y86" s="5"/>
      <c r="Z86" s="168"/>
      <c r="AA86" s="116"/>
      <c r="AB86" s="116"/>
      <c r="AC86" s="116"/>
      <c r="AD86" s="116"/>
      <c r="AE86" s="116"/>
      <c r="AF86" s="116"/>
      <c r="AG86" s="116"/>
      <c r="AH86" s="116"/>
      <c r="AI86" s="116"/>
      <c r="AJ86" s="116"/>
      <c r="AK86" s="116"/>
      <c r="AL86" s="116"/>
      <c r="AM86" s="116"/>
      <c r="AN86" s="116"/>
      <c r="AO86" s="116"/>
      <c r="AP86" s="116"/>
      <c r="AQ86" s="116"/>
      <c r="AR86" s="116"/>
      <c r="AS86" s="116"/>
      <c r="AT86" s="116"/>
      <c r="AU86" s="116"/>
      <c r="AV86" s="116"/>
      <c r="AW86" s="116"/>
      <c r="AX86" s="116"/>
      <c r="AY86" s="116"/>
      <c r="AZ86" s="116"/>
      <c r="BA86" s="116"/>
      <c r="BB86" s="116"/>
      <c r="BC86" s="116"/>
      <c r="BD86" s="116"/>
      <c r="BE86" s="116"/>
      <c r="BF86" s="116"/>
      <c r="BG86" s="116"/>
      <c r="BH86" s="116"/>
      <c r="BI86" s="116"/>
      <c r="BJ86" s="116"/>
      <c r="BK86" s="116"/>
      <c r="BL86" s="116"/>
      <c r="BM86" s="116"/>
      <c r="BN86" s="116"/>
      <c r="BO86" s="116"/>
      <c r="BP86" s="116"/>
      <c r="BQ86" s="116"/>
      <c r="BR86" s="116"/>
      <c r="BS86" s="116"/>
      <c r="BT86" s="116"/>
      <c r="BU86" s="116"/>
      <c r="BV86" s="116"/>
      <c r="BW86" s="116"/>
      <c r="BX86" s="6"/>
      <c r="BY86" s="6"/>
      <c r="BZ86" s="116"/>
    </row>
    <row r="87" spans="1:78" x14ac:dyDescent="0.2">
      <c r="A87" s="14"/>
      <c r="B87" s="13"/>
      <c r="C87" s="13"/>
      <c r="D87" s="13"/>
      <c r="E87" s="63"/>
      <c r="F87" s="13"/>
      <c r="G87" s="13"/>
      <c r="H87" s="13"/>
      <c r="I87" s="13"/>
      <c r="J87" s="13"/>
      <c r="K87" s="101"/>
      <c r="L87" s="5"/>
      <c r="M87" s="6"/>
      <c r="N87" s="6"/>
      <c r="O87" s="6"/>
      <c r="P87" s="6"/>
      <c r="Q87" s="123"/>
      <c r="R87" s="5"/>
      <c r="S87" s="5"/>
      <c r="T87" s="5"/>
      <c r="U87" s="5"/>
      <c r="V87" s="5"/>
      <c r="W87" s="5"/>
      <c r="X87" s="5"/>
      <c r="Y87" s="5"/>
      <c r="Z87" s="168"/>
      <c r="AA87" s="116"/>
      <c r="AB87" s="116"/>
      <c r="AC87" s="116"/>
      <c r="AD87" s="116"/>
      <c r="AE87" s="116"/>
      <c r="AF87" s="116"/>
      <c r="AG87" s="116"/>
      <c r="AH87" s="116"/>
      <c r="AI87" s="116"/>
      <c r="AJ87" s="116"/>
      <c r="AK87" s="116"/>
      <c r="AL87" s="116"/>
      <c r="AM87" s="116"/>
      <c r="AN87" s="116"/>
      <c r="AO87" s="116"/>
      <c r="AP87" s="116"/>
      <c r="AQ87" s="116"/>
      <c r="AR87" s="116"/>
      <c r="AS87" s="116"/>
      <c r="AT87" s="116"/>
      <c r="AU87" s="116"/>
      <c r="AV87" s="116"/>
      <c r="AW87" s="116"/>
      <c r="AX87" s="116"/>
      <c r="AY87" s="116"/>
      <c r="AZ87" s="116"/>
      <c r="BA87" s="116"/>
      <c r="BB87" s="116"/>
      <c r="BC87" s="116"/>
      <c r="BD87" s="116"/>
      <c r="BE87" s="116"/>
      <c r="BF87" s="116"/>
      <c r="BG87" s="116"/>
      <c r="BH87" s="116"/>
      <c r="BI87" s="116"/>
      <c r="BJ87" s="116"/>
      <c r="BK87" s="116"/>
      <c r="BL87" s="116"/>
      <c r="BM87" s="116"/>
      <c r="BN87" s="116"/>
      <c r="BO87" s="116"/>
      <c r="BP87" s="116"/>
      <c r="BQ87" s="116"/>
      <c r="BR87" s="116"/>
      <c r="BS87" s="116"/>
      <c r="BT87" s="116"/>
      <c r="BU87" s="116"/>
      <c r="BV87" s="116"/>
      <c r="BW87" s="116"/>
      <c r="BX87" s="6"/>
      <c r="BY87" s="6"/>
      <c r="BZ87" s="116"/>
    </row>
    <row r="88" spans="1:78" x14ac:dyDescent="0.2">
      <c r="A88" s="14"/>
      <c r="B88" s="13"/>
      <c r="C88" s="13"/>
      <c r="D88" s="13"/>
      <c r="E88" s="63"/>
      <c r="F88" s="13"/>
      <c r="G88" s="13"/>
      <c r="H88" s="13"/>
      <c r="I88" s="13"/>
      <c r="J88" s="13"/>
      <c r="K88" s="101"/>
      <c r="L88" s="5"/>
      <c r="M88" s="6"/>
      <c r="N88" s="6"/>
      <c r="O88" s="6"/>
      <c r="P88" s="6"/>
      <c r="Q88" s="123"/>
      <c r="R88" s="5"/>
      <c r="S88" s="5"/>
      <c r="T88" s="5"/>
      <c r="U88" s="5"/>
      <c r="V88" s="5"/>
      <c r="W88" s="5"/>
      <c r="X88" s="5"/>
      <c r="Y88" s="5"/>
      <c r="Z88" s="168"/>
      <c r="AA88" s="116"/>
      <c r="AB88" s="116"/>
      <c r="AC88" s="116"/>
      <c r="AD88" s="116"/>
      <c r="AE88" s="116"/>
      <c r="AF88" s="116"/>
      <c r="AG88" s="116"/>
      <c r="AH88" s="116"/>
      <c r="AI88" s="116"/>
      <c r="AJ88" s="116"/>
      <c r="AK88" s="116"/>
      <c r="AL88" s="116"/>
      <c r="AM88" s="116"/>
      <c r="AN88" s="116"/>
      <c r="AO88" s="116"/>
      <c r="AP88" s="116"/>
      <c r="AQ88" s="116"/>
      <c r="AR88" s="116"/>
      <c r="AS88" s="116"/>
      <c r="AT88" s="116"/>
      <c r="AU88" s="116"/>
      <c r="AV88" s="116"/>
      <c r="AW88" s="116"/>
      <c r="AX88" s="116"/>
      <c r="AY88" s="116"/>
      <c r="AZ88" s="116"/>
      <c r="BA88" s="116"/>
      <c r="BB88" s="116"/>
      <c r="BC88" s="116"/>
      <c r="BD88" s="116"/>
      <c r="BE88" s="116"/>
      <c r="BF88" s="116"/>
      <c r="BG88" s="116"/>
      <c r="BH88" s="116"/>
      <c r="BI88" s="116"/>
      <c r="BJ88" s="116"/>
      <c r="BK88" s="116"/>
      <c r="BL88" s="116"/>
      <c r="BM88" s="116"/>
      <c r="BN88" s="116"/>
      <c r="BO88" s="116"/>
      <c r="BP88" s="116"/>
      <c r="BQ88" s="116"/>
      <c r="BR88" s="116"/>
      <c r="BS88" s="116"/>
      <c r="BT88" s="116"/>
      <c r="BU88" s="116"/>
      <c r="BV88" s="116"/>
      <c r="BW88" s="116"/>
      <c r="BX88" s="6"/>
      <c r="BY88" s="6"/>
      <c r="BZ88" s="116"/>
    </row>
    <row r="89" spans="1:78" x14ac:dyDescent="0.2">
      <c r="A89" s="5"/>
      <c r="B89" s="5"/>
      <c r="C89" s="5"/>
      <c r="D89" s="5"/>
      <c r="E89" s="5"/>
      <c r="F89" s="5"/>
      <c r="G89" s="5"/>
      <c r="H89" s="5"/>
      <c r="I89" s="5"/>
      <c r="J89" s="5"/>
      <c r="K89" s="5"/>
      <c r="L89" s="37"/>
      <c r="M89" s="6"/>
      <c r="N89" s="6"/>
      <c r="O89" s="6"/>
      <c r="P89" s="6"/>
      <c r="Q89" s="123"/>
      <c r="R89" s="5"/>
      <c r="S89" s="5"/>
      <c r="T89" s="5"/>
      <c r="U89" s="5"/>
      <c r="V89" s="5"/>
      <c r="W89" s="5"/>
      <c r="X89" s="5"/>
      <c r="Y89" s="5"/>
      <c r="Z89" s="168"/>
      <c r="AA89" s="116"/>
      <c r="AB89" s="116"/>
      <c r="AC89" s="116"/>
      <c r="AD89" s="116"/>
      <c r="AE89" s="116"/>
      <c r="AF89" s="116"/>
      <c r="AG89" s="116"/>
      <c r="AH89" s="116"/>
      <c r="AI89" s="116"/>
      <c r="AJ89" s="116"/>
      <c r="AK89" s="116"/>
      <c r="AL89" s="116"/>
      <c r="AM89" s="116"/>
      <c r="AN89" s="116"/>
      <c r="AO89" s="116"/>
      <c r="AP89" s="116"/>
      <c r="AQ89" s="116"/>
      <c r="AR89" s="116"/>
      <c r="AS89" s="116"/>
      <c r="AT89" s="116"/>
      <c r="AU89" s="116"/>
      <c r="AV89" s="116"/>
      <c r="AW89" s="116"/>
      <c r="AX89" s="116"/>
      <c r="AY89" s="116"/>
      <c r="AZ89" s="116"/>
      <c r="BA89" s="116"/>
      <c r="BB89" s="116"/>
      <c r="BC89" s="116"/>
      <c r="BD89" s="116"/>
      <c r="BE89" s="116"/>
      <c r="BF89" s="116"/>
      <c r="BG89" s="116"/>
      <c r="BH89" s="116"/>
      <c r="BI89" s="116"/>
      <c r="BJ89" s="116"/>
      <c r="BK89" s="116"/>
      <c r="BL89" s="116"/>
      <c r="BM89" s="116"/>
      <c r="BN89" s="116"/>
      <c r="BO89" s="116"/>
      <c r="BP89" s="116"/>
      <c r="BQ89" s="116"/>
      <c r="BR89" s="116"/>
      <c r="BS89" s="116"/>
      <c r="BT89" s="116"/>
      <c r="BU89" s="116"/>
      <c r="BV89" s="116"/>
      <c r="BW89" s="116"/>
      <c r="BX89" s="6"/>
      <c r="BY89" s="6"/>
      <c r="BZ89" s="116"/>
    </row>
    <row r="90" spans="1:78" x14ac:dyDescent="0.2">
      <c r="A90" s="8"/>
      <c r="B90" s="5"/>
      <c r="C90" s="5"/>
      <c r="D90" s="5"/>
      <c r="E90" s="64"/>
      <c r="F90" s="5"/>
      <c r="G90" s="5"/>
      <c r="H90" s="5"/>
      <c r="I90" s="5"/>
      <c r="J90" s="5"/>
      <c r="K90" s="101"/>
      <c r="L90" s="5"/>
      <c r="M90" s="4"/>
      <c r="N90" s="6"/>
      <c r="O90" s="6"/>
      <c r="P90" s="6"/>
      <c r="Q90" s="124"/>
      <c r="R90" s="5"/>
      <c r="S90" s="5"/>
      <c r="T90" s="5"/>
      <c r="U90" s="5"/>
      <c r="V90" s="5"/>
      <c r="W90" s="5"/>
      <c r="X90" s="5"/>
      <c r="Y90" s="5"/>
      <c r="Z90" s="168"/>
      <c r="AA90" s="116"/>
      <c r="AB90" s="116"/>
      <c r="AC90" s="116"/>
      <c r="AD90" s="116"/>
      <c r="AE90" s="116"/>
      <c r="AF90" s="116"/>
      <c r="AG90" s="116"/>
      <c r="AH90" s="116"/>
      <c r="AI90" s="116"/>
      <c r="AJ90" s="116"/>
      <c r="AK90" s="116"/>
      <c r="AL90" s="116"/>
      <c r="AM90" s="116"/>
      <c r="AN90" s="116"/>
      <c r="AO90" s="116"/>
      <c r="AP90" s="116"/>
      <c r="AQ90" s="116"/>
      <c r="AR90" s="116"/>
      <c r="AS90" s="116"/>
      <c r="AT90" s="116"/>
      <c r="AU90" s="116"/>
      <c r="AV90" s="116"/>
      <c r="AW90" s="116"/>
      <c r="AX90" s="116"/>
      <c r="AY90" s="116"/>
      <c r="AZ90" s="116"/>
      <c r="BA90" s="116"/>
      <c r="BB90" s="116"/>
      <c r="BC90" s="116"/>
      <c r="BD90" s="116"/>
      <c r="BE90" s="116"/>
      <c r="BF90" s="116"/>
      <c r="BG90" s="116"/>
      <c r="BH90" s="116"/>
      <c r="BI90" s="116"/>
      <c r="BJ90" s="116"/>
      <c r="BK90" s="116"/>
      <c r="BL90" s="116"/>
      <c r="BM90" s="116"/>
      <c r="BN90" s="116"/>
      <c r="BO90" s="116"/>
      <c r="BP90" s="116"/>
      <c r="BQ90" s="116"/>
      <c r="BR90" s="116"/>
      <c r="BS90" s="116"/>
      <c r="BT90" s="116"/>
      <c r="BU90" s="116"/>
      <c r="BV90" s="116"/>
      <c r="BW90" s="116"/>
      <c r="BX90" s="6"/>
      <c r="BY90" s="6"/>
      <c r="BZ90" s="116"/>
    </row>
    <row r="91" spans="1:78" x14ac:dyDescent="0.2">
      <c r="A91" s="5"/>
      <c r="B91" s="5"/>
      <c r="C91" s="5"/>
      <c r="D91" s="5"/>
      <c r="E91" s="64"/>
      <c r="F91" s="5"/>
      <c r="G91" s="5"/>
      <c r="H91" s="13"/>
      <c r="I91" s="5"/>
      <c r="J91" s="5"/>
      <c r="K91" s="101"/>
      <c r="L91" s="5"/>
      <c r="M91" s="4"/>
      <c r="N91" s="6"/>
      <c r="O91" s="6"/>
      <c r="P91" s="6"/>
      <c r="Q91" s="124"/>
      <c r="R91" s="5"/>
      <c r="S91" s="5"/>
      <c r="T91" s="5"/>
      <c r="U91" s="5"/>
      <c r="V91" s="5"/>
      <c r="W91" s="5"/>
      <c r="X91" s="5"/>
      <c r="Y91" s="5"/>
      <c r="Z91" s="168"/>
      <c r="AA91" s="116"/>
      <c r="AB91" s="116"/>
      <c r="AC91" s="116"/>
      <c r="AD91" s="116"/>
      <c r="AE91" s="116"/>
      <c r="AF91" s="116"/>
      <c r="AG91" s="116"/>
      <c r="AH91" s="116"/>
      <c r="AI91" s="116"/>
      <c r="AJ91" s="116"/>
      <c r="AK91" s="116"/>
      <c r="AL91" s="116"/>
      <c r="AM91" s="116"/>
      <c r="AN91" s="116"/>
      <c r="AO91" s="116"/>
      <c r="AP91" s="116"/>
      <c r="AQ91" s="116"/>
      <c r="AR91" s="116"/>
      <c r="AS91" s="116"/>
      <c r="AT91" s="116"/>
      <c r="AU91" s="116"/>
      <c r="AV91" s="116"/>
      <c r="AW91" s="116"/>
      <c r="AX91" s="116"/>
      <c r="AY91" s="116"/>
      <c r="AZ91" s="116"/>
      <c r="BA91" s="116"/>
      <c r="BB91" s="116"/>
      <c r="BC91" s="116"/>
      <c r="BD91" s="116"/>
      <c r="BE91" s="116"/>
      <c r="BF91" s="116"/>
      <c r="BG91" s="116"/>
      <c r="BH91" s="116"/>
      <c r="BI91" s="116"/>
      <c r="BJ91" s="116"/>
      <c r="BK91" s="116"/>
      <c r="BL91" s="116"/>
      <c r="BM91" s="116"/>
      <c r="BN91" s="116"/>
      <c r="BO91" s="116"/>
      <c r="BP91" s="116"/>
      <c r="BQ91" s="116"/>
      <c r="BR91" s="116"/>
      <c r="BS91" s="116"/>
      <c r="BT91" s="116"/>
      <c r="BU91" s="116"/>
      <c r="BV91" s="116"/>
      <c r="BW91" s="116"/>
      <c r="BX91" s="6"/>
      <c r="BY91" s="6"/>
      <c r="BZ91" s="116"/>
    </row>
    <row r="92" spans="1:78" x14ac:dyDescent="0.2">
      <c r="A92" s="5"/>
      <c r="B92" s="5"/>
      <c r="C92" s="5"/>
      <c r="D92" s="5"/>
      <c r="E92" s="64"/>
      <c r="F92" s="5"/>
      <c r="G92" s="5"/>
      <c r="H92" s="13"/>
      <c r="I92" s="5"/>
      <c r="J92" s="5"/>
      <c r="K92" s="101"/>
      <c r="L92" s="5"/>
      <c r="M92" s="4"/>
      <c r="N92" s="6"/>
      <c r="O92" s="6"/>
      <c r="P92" s="6"/>
      <c r="Q92" s="124"/>
      <c r="R92" s="5"/>
      <c r="S92" s="5"/>
      <c r="T92" s="5"/>
      <c r="U92" s="5"/>
      <c r="V92" s="5"/>
      <c r="W92" s="5"/>
      <c r="X92" s="5"/>
      <c r="Y92" s="5"/>
      <c r="Z92" s="168"/>
      <c r="AA92" s="116"/>
      <c r="AB92" s="116"/>
      <c r="AC92" s="116"/>
      <c r="AD92" s="116"/>
      <c r="AE92" s="116"/>
      <c r="AF92" s="116"/>
      <c r="AG92" s="116"/>
      <c r="AH92" s="116"/>
      <c r="AI92" s="116"/>
      <c r="AJ92" s="116"/>
      <c r="AK92" s="116"/>
      <c r="AL92" s="116"/>
      <c r="AM92" s="116"/>
      <c r="AN92" s="116"/>
      <c r="AO92" s="116"/>
      <c r="AP92" s="116"/>
      <c r="AQ92" s="116"/>
      <c r="AR92" s="116"/>
      <c r="AS92" s="116"/>
      <c r="AT92" s="116"/>
      <c r="AU92" s="116"/>
      <c r="AV92" s="116"/>
      <c r="AW92" s="116"/>
      <c r="AX92" s="116"/>
      <c r="AY92" s="116"/>
      <c r="AZ92" s="116"/>
      <c r="BA92" s="116"/>
      <c r="BB92" s="116"/>
      <c r="BC92" s="116"/>
      <c r="BD92" s="116"/>
      <c r="BE92" s="116"/>
      <c r="BF92" s="116"/>
      <c r="BG92" s="116"/>
      <c r="BH92" s="116"/>
      <c r="BI92" s="116"/>
      <c r="BJ92" s="116"/>
      <c r="BK92" s="116"/>
      <c r="BL92" s="116"/>
      <c r="BM92" s="116"/>
      <c r="BN92" s="116"/>
      <c r="BO92" s="116"/>
      <c r="BP92" s="116"/>
      <c r="BQ92" s="116"/>
      <c r="BR92" s="116"/>
      <c r="BS92" s="116"/>
      <c r="BT92" s="116"/>
      <c r="BU92" s="116"/>
      <c r="BV92" s="116"/>
      <c r="BW92" s="116"/>
      <c r="BX92" s="6"/>
      <c r="BY92" s="6"/>
      <c r="BZ92" s="116"/>
    </row>
    <row r="93" spans="1:78" x14ac:dyDescent="0.2">
      <c r="A93" s="5"/>
      <c r="B93" s="5"/>
      <c r="C93" s="5"/>
      <c r="D93" s="5"/>
      <c r="E93" s="64"/>
      <c r="F93" s="5"/>
      <c r="G93" s="5"/>
      <c r="H93" s="13"/>
      <c r="I93" s="5"/>
      <c r="J93" s="5"/>
      <c r="K93" s="101"/>
      <c r="L93" s="5"/>
      <c r="M93" s="4"/>
      <c r="N93" s="6"/>
      <c r="O93" s="6"/>
      <c r="P93" s="6"/>
      <c r="Q93" s="124"/>
      <c r="R93" s="5"/>
      <c r="S93" s="5"/>
      <c r="T93" s="5"/>
      <c r="U93" s="5"/>
      <c r="V93" s="5"/>
      <c r="W93" s="5"/>
      <c r="X93" s="5"/>
      <c r="Y93" s="5"/>
      <c r="Z93" s="168"/>
      <c r="AA93" s="116"/>
      <c r="AB93" s="116"/>
      <c r="AC93" s="116"/>
      <c r="AD93" s="116"/>
      <c r="AE93" s="116"/>
      <c r="AF93" s="116"/>
      <c r="AG93" s="116"/>
      <c r="AH93" s="116"/>
      <c r="AI93" s="116"/>
      <c r="AJ93" s="116"/>
      <c r="AK93" s="116"/>
      <c r="AL93" s="116"/>
      <c r="AM93" s="116"/>
      <c r="AN93" s="116"/>
      <c r="AO93" s="116"/>
      <c r="AP93" s="116"/>
      <c r="AQ93" s="116"/>
      <c r="AR93" s="116"/>
      <c r="AS93" s="116"/>
      <c r="AT93" s="116"/>
      <c r="AU93" s="116"/>
      <c r="AV93" s="116"/>
      <c r="AW93" s="116"/>
      <c r="AX93" s="116"/>
      <c r="AY93" s="116"/>
      <c r="AZ93" s="116"/>
      <c r="BA93" s="116"/>
      <c r="BB93" s="116"/>
      <c r="BC93" s="116"/>
      <c r="BD93" s="116"/>
      <c r="BE93" s="116"/>
      <c r="BF93" s="116"/>
      <c r="BG93" s="116"/>
      <c r="BH93" s="116"/>
      <c r="BI93" s="116"/>
      <c r="BJ93" s="116"/>
      <c r="BK93" s="116"/>
      <c r="BL93" s="116"/>
      <c r="BM93" s="116"/>
      <c r="BN93" s="116"/>
      <c r="BO93" s="116"/>
      <c r="BP93" s="116"/>
      <c r="BQ93" s="116"/>
      <c r="BR93" s="116"/>
      <c r="BS93" s="116"/>
      <c r="BT93" s="116"/>
      <c r="BU93" s="116"/>
      <c r="BV93" s="116"/>
      <c r="BW93" s="116"/>
      <c r="BX93" s="6"/>
      <c r="BY93" s="6"/>
      <c r="BZ93" s="116"/>
    </row>
    <row r="94" spans="1:78" x14ac:dyDescent="0.2">
      <c r="A94" s="5"/>
      <c r="B94" s="5"/>
      <c r="C94" s="5"/>
      <c r="D94" s="5"/>
      <c r="E94" s="64"/>
      <c r="F94" s="5"/>
      <c r="G94" s="5"/>
      <c r="H94" s="13"/>
      <c r="I94" s="5"/>
      <c r="J94" s="5"/>
      <c r="K94" s="101"/>
      <c r="L94" s="5"/>
      <c r="M94" s="4"/>
      <c r="N94" s="6"/>
      <c r="O94" s="6"/>
      <c r="P94" s="6"/>
      <c r="Q94" s="124"/>
      <c r="R94" s="5"/>
      <c r="S94" s="5"/>
      <c r="T94" s="5"/>
      <c r="U94" s="5"/>
      <c r="V94" s="5"/>
      <c r="W94" s="5"/>
      <c r="X94" s="5"/>
      <c r="Y94" s="5"/>
      <c r="Z94" s="168"/>
      <c r="AA94" s="116"/>
      <c r="AB94" s="116"/>
      <c r="AC94" s="116"/>
      <c r="AD94" s="116"/>
      <c r="AE94" s="116"/>
      <c r="AF94" s="116"/>
      <c r="AG94" s="116"/>
      <c r="AH94" s="116"/>
      <c r="AI94" s="116"/>
      <c r="AJ94" s="116"/>
      <c r="AK94" s="116"/>
      <c r="AL94" s="116"/>
      <c r="AM94" s="116"/>
      <c r="AN94" s="116"/>
      <c r="AO94" s="116"/>
      <c r="AP94" s="116"/>
      <c r="AQ94" s="116"/>
      <c r="AR94" s="116"/>
      <c r="AS94" s="116"/>
      <c r="AT94" s="116"/>
      <c r="AU94" s="116"/>
      <c r="AV94" s="116"/>
      <c r="AW94" s="116"/>
      <c r="AX94" s="116"/>
      <c r="AY94" s="116"/>
      <c r="AZ94" s="116"/>
      <c r="BA94" s="116"/>
      <c r="BB94" s="116"/>
      <c r="BC94" s="116"/>
      <c r="BD94" s="116"/>
      <c r="BE94" s="116"/>
      <c r="BF94" s="116"/>
      <c r="BG94" s="116"/>
      <c r="BH94" s="116"/>
      <c r="BI94" s="116"/>
      <c r="BJ94" s="116"/>
      <c r="BK94" s="116"/>
      <c r="BL94" s="116"/>
      <c r="BM94" s="116"/>
      <c r="BN94" s="116"/>
      <c r="BO94" s="116"/>
      <c r="BP94" s="116"/>
      <c r="BQ94" s="116"/>
      <c r="BR94" s="116"/>
      <c r="BS94" s="116"/>
      <c r="BT94" s="116"/>
      <c r="BU94" s="116"/>
      <c r="BV94" s="116"/>
      <c r="BW94" s="116"/>
      <c r="BX94" s="6"/>
      <c r="BY94" s="6"/>
      <c r="BZ94" s="116"/>
    </row>
    <row r="95" spans="1:78" x14ac:dyDescent="0.2">
      <c r="A95" s="5"/>
      <c r="B95" s="5"/>
      <c r="C95" s="5"/>
      <c r="D95" s="5"/>
      <c r="E95" s="64"/>
      <c r="F95" s="5"/>
      <c r="G95" s="5"/>
      <c r="H95" s="13"/>
      <c r="I95" s="5"/>
      <c r="J95" s="5"/>
      <c r="K95" s="101"/>
      <c r="L95" s="5"/>
      <c r="M95" s="4"/>
      <c r="N95" s="6"/>
      <c r="O95" s="6"/>
      <c r="P95" s="6"/>
      <c r="Q95" s="124"/>
      <c r="R95" s="5"/>
      <c r="S95" s="5"/>
      <c r="T95" s="5"/>
      <c r="U95" s="5"/>
      <c r="V95" s="5"/>
      <c r="W95" s="5"/>
      <c r="X95" s="5"/>
      <c r="Y95" s="5"/>
      <c r="Z95" s="168"/>
      <c r="AA95" s="116"/>
      <c r="AB95" s="116"/>
      <c r="AC95" s="116"/>
      <c r="AD95" s="116"/>
      <c r="AE95" s="116"/>
      <c r="AF95" s="116"/>
      <c r="AG95" s="116"/>
      <c r="AH95" s="116"/>
      <c r="AI95" s="116"/>
      <c r="AJ95" s="116"/>
      <c r="AK95" s="116"/>
      <c r="AL95" s="116"/>
      <c r="AM95" s="116"/>
      <c r="AN95" s="116"/>
      <c r="AO95" s="116"/>
      <c r="AP95" s="116"/>
      <c r="AQ95" s="116"/>
      <c r="AR95" s="116"/>
      <c r="AS95" s="116"/>
      <c r="AT95" s="116"/>
      <c r="AU95" s="116"/>
      <c r="AV95" s="116"/>
      <c r="AW95" s="116"/>
      <c r="AX95" s="116"/>
      <c r="AY95" s="116"/>
      <c r="AZ95" s="116"/>
      <c r="BA95" s="116"/>
      <c r="BB95" s="116"/>
      <c r="BC95" s="116"/>
      <c r="BD95" s="116"/>
      <c r="BE95" s="116"/>
      <c r="BF95" s="116"/>
      <c r="BG95" s="116"/>
      <c r="BH95" s="116"/>
      <c r="BI95" s="116"/>
      <c r="BJ95" s="116"/>
      <c r="BK95" s="116"/>
      <c r="BL95" s="116"/>
      <c r="BM95" s="116"/>
      <c r="BN95" s="116"/>
      <c r="BO95" s="116"/>
      <c r="BP95" s="116"/>
      <c r="BQ95" s="116"/>
      <c r="BR95" s="116"/>
      <c r="BS95" s="116"/>
      <c r="BT95" s="116"/>
      <c r="BU95" s="116"/>
      <c r="BV95" s="116"/>
      <c r="BW95" s="116"/>
      <c r="BX95" s="6"/>
      <c r="BY95" s="6"/>
      <c r="BZ95" s="116"/>
    </row>
    <row r="96" spans="1:78" x14ac:dyDescent="0.2">
      <c r="A96" s="5"/>
      <c r="B96" s="5"/>
      <c r="C96" s="5"/>
      <c r="D96" s="5"/>
      <c r="E96" s="5"/>
      <c r="F96" s="5"/>
      <c r="G96" s="5"/>
      <c r="H96" s="5"/>
      <c r="I96" s="5"/>
      <c r="J96" s="5"/>
      <c r="K96" s="5"/>
      <c r="L96" s="37"/>
      <c r="M96" s="6"/>
      <c r="N96" s="6"/>
      <c r="O96" s="6"/>
      <c r="P96" s="6"/>
      <c r="Q96" s="123"/>
      <c r="R96" s="5"/>
      <c r="S96" s="5"/>
      <c r="T96" s="5"/>
      <c r="U96" s="5"/>
      <c r="V96" s="5"/>
      <c r="W96" s="5"/>
      <c r="X96" s="5"/>
      <c r="Y96" s="5"/>
      <c r="Z96" s="168"/>
      <c r="AA96" s="116"/>
      <c r="AB96" s="116"/>
      <c r="AC96" s="116"/>
      <c r="AD96" s="116"/>
      <c r="AE96" s="116"/>
      <c r="AF96" s="116"/>
      <c r="AG96" s="116"/>
      <c r="AH96" s="116"/>
      <c r="AI96" s="116"/>
      <c r="AJ96" s="116"/>
      <c r="AK96" s="116"/>
      <c r="AL96" s="116"/>
      <c r="AM96" s="116"/>
      <c r="AN96" s="116"/>
      <c r="AO96" s="116"/>
      <c r="AP96" s="116"/>
      <c r="AQ96" s="116"/>
      <c r="AR96" s="116"/>
      <c r="AS96" s="116"/>
      <c r="AT96" s="116"/>
      <c r="AU96" s="116"/>
      <c r="AV96" s="116"/>
      <c r="AW96" s="116"/>
      <c r="AX96" s="116"/>
      <c r="AY96" s="116"/>
      <c r="AZ96" s="116"/>
      <c r="BA96" s="116"/>
      <c r="BB96" s="116"/>
      <c r="BC96" s="116"/>
      <c r="BD96" s="116"/>
      <c r="BE96" s="116"/>
      <c r="BF96" s="116"/>
      <c r="BG96" s="116"/>
      <c r="BH96" s="116"/>
      <c r="BI96" s="116"/>
      <c r="BJ96" s="116"/>
      <c r="BK96" s="116"/>
      <c r="BL96" s="116"/>
      <c r="BM96" s="116"/>
      <c r="BN96" s="116"/>
      <c r="BO96" s="116"/>
      <c r="BP96" s="116"/>
      <c r="BQ96" s="116"/>
      <c r="BR96" s="116"/>
      <c r="BS96" s="116"/>
      <c r="BT96" s="116"/>
      <c r="BU96" s="116"/>
      <c r="BV96" s="116"/>
      <c r="BW96" s="116"/>
      <c r="BX96" s="116"/>
      <c r="BY96" s="116"/>
      <c r="BZ96" s="116"/>
    </row>
    <row r="97" spans="1:78" x14ac:dyDescent="0.2">
      <c r="A97" s="5"/>
      <c r="B97" s="5"/>
      <c r="C97" s="5"/>
      <c r="D97" s="5"/>
      <c r="E97" s="5"/>
      <c r="F97" s="5"/>
      <c r="G97" s="5"/>
      <c r="H97" s="5"/>
      <c r="I97" s="5"/>
      <c r="J97" s="5"/>
      <c r="K97" s="5"/>
      <c r="L97" s="37"/>
      <c r="M97" s="6"/>
      <c r="N97" s="6"/>
      <c r="O97" s="6"/>
      <c r="P97" s="6"/>
      <c r="Q97" s="123"/>
      <c r="R97" s="5"/>
      <c r="S97" s="5"/>
      <c r="T97" s="5"/>
      <c r="U97" s="5"/>
      <c r="V97" s="5"/>
      <c r="W97" s="5"/>
      <c r="X97" s="5"/>
      <c r="Y97" s="5"/>
      <c r="Z97" s="168"/>
      <c r="AA97" s="116"/>
      <c r="AB97" s="116"/>
      <c r="AC97" s="116"/>
      <c r="AD97" s="116"/>
      <c r="AE97" s="116"/>
      <c r="AF97" s="116"/>
      <c r="AG97" s="116"/>
      <c r="AH97" s="116"/>
      <c r="AI97" s="116"/>
      <c r="AJ97" s="116"/>
      <c r="AK97" s="116"/>
      <c r="AL97" s="116"/>
      <c r="AM97" s="116"/>
      <c r="AN97" s="116"/>
      <c r="AO97" s="116"/>
      <c r="AP97" s="116"/>
      <c r="AQ97" s="116"/>
      <c r="AR97" s="116"/>
      <c r="AS97" s="116"/>
      <c r="AT97" s="116"/>
      <c r="AU97" s="116"/>
      <c r="AV97" s="116"/>
      <c r="AW97" s="116"/>
      <c r="AX97" s="116"/>
      <c r="AY97" s="116"/>
      <c r="AZ97" s="116"/>
      <c r="BA97" s="116"/>
      <c r="BB97" s="116"/>
      <c r="BC97" s="116"/>
      <c r="BD97" s="116"/>
      <c r="BE97" s="116"/>
      <c r="BF97" s="116"/>
      <c r="BG97" s="116"/>
      <c r="BH97" s="116"/>
      <c r="BI97" s="116"/>
      <c r="BJ97" s="116"/>
      <c r="BK97" s="116"/>
      <c r="BL97" s="116"/>
      <c r="BM97" s="116"/>
      <c r="BN97" s="116"/>
      <c r="BO97" s="116"/>
      <c r="BP97" s="116"/>
      <c r="BQ97" s="116"/>
      <c r="BR97" s="116"/>
      <c r="BS97" s="116"/>
      <c r="BT97" s="116"/>
      <c r="BU97" s="116"/>
      <c r="BV97" s="116"/>
      <c r="BW97" s="116"/>
      <c r="BX97" s="116"/>
      <c r="BY97" s="116"/>
      <c r="BZ97" s="116"/>
    </row>
    <row r="98" spans="1:78" x14ac:dyDescent="0.2">
      <c r="A98" s="5"/>
      <c r="B98" s="5"/>
      <c r="C98" s="5"/>
      <c r="D98" s="5"/>
      <c r="E98" s="5"/>
      <c r="F98" s="5"/>
      <c r="G98" s="5"/>
      <c r="H98" s="5"/>
      <c r="I98" s="5"/>
      <c r="J98" s="5"/>
      <c r="K98" s="5"/>
      <c r="L98" s="37"/>
      <c r="M98" s="6"/>
      <c r="N98" s="6"/>
      <c r="O98" s="6"/>
      <c r="P98" s="6"/>
      <c r="Q98" s="123"/>
      <c r="R98" s="5"/>
      <c r="S98" s="5"/>
      <c r="T98" s="5"/>
      <c r="U98" s="5"/>
      <c r="V98" s="5"/>
      <c r="W98" s="5"/>
      <c r="X98" s="5"/>
      <c r="Y98" s="5"/>
      <c r="Z98" s="168"/>
      <c r="AA98" s="116"/>
      <c r="AB98" s="116"/>
      <c r="AC98" s="116"/>
      <c r="AD98" s="116"/>
      <c r="AE98" s="116"/>
      <c r="AF98" s="116"/>
      <c r="AG98" s="116"/>
      <c r="AH98" s="116"/>
      <c r="AI98" s="116"/>
      <c r="AJ98" s="116"/>
      <c r="AK98" s="116"/>
      <c r="AL98" s="116"/>
      <c r="AM98" s="116"/>
      <c r="AN98" s="116"/>
      <c r="AO98" s="116"/>
      <c r="AP98" s="116"/>
      <c r="AQ98" s="116"/>
      <c r="AR98" s="116"/>
      <c r="AS98" s="116"/>
      <c r="AT98" s="116"/>
      <c r="AU98" s="116"/>
      <c r="AV98" s="116"/>
      <c r="AW98" s="116"/>
      <c r="AX98" s="116"/>
      <c r="AY98" s="116"/>
      <c r="AZ98" s="116"/>
      <c r="BA98" s="116"/>
      <c r="BB98" s="116"/>
      <c r="BC98" s="116"/>
      <c r="BD98" s="116"/>
      <c r="BE98" s="116"/>
      <c r="BF98" s="116"/>
      <c r="BG98" s="116"/>
      <c r="BH98" s="116"/>
      <c r="BI98" s="116"/>
      <c r="BJ98" s="116"/>
      <c r="BK98" s="116"/>
      <c r="BL98" s="116"/>
      <c r="BM98" s="116"/>
      <c r="BN98" s="116"/>
      <c r="BO98" s="116"/>
      <c r="BP98" s="116"/>
      <c r="BQ98" s="116"/>
      <c r="BR98" s="116"/>
      <c r="BS98" s="116"/>
      <c r="BT98" s="116"/>
      <c r="BU98" s="116"/>
      <c r="BV98" s="116"/>
      <c r="BW98" s="116"/>
      <c r="BX98" s="116"/>
      <c r="BY98" s="116"/>
      <c r="BZ98" s="116"/>
    </row>
    <row r="99" spans="1:78" x14ac:dyDescent="0.2">
      <c r="A99" s="5"/>
      <c r="B99" s="5"/>
      <c r="C99" s="5"/>
      <c r="D99" s="5"/>
      <c r="E99" s="5"/>
      <c r="F99" s="5"/>
      <c r="G99" s="5"/>
      <c r="H99" s="5"/>
      <c r="I99" s="5"/>
      <c r="J99" s="5"/>
      <c r="K99" s="5"/>
      <c r="L99" s="37"/>
      <c r="M99" s="6"/>
      <c r="N99" s="6"/>
      <c r="O99" s="6"/>
      <c r="P99" s="6"/>
      <c r="Q99" s="123"/>
      <c r="R99" s="5"/>
      <c r="S99" s="5"/>
      <c r="T99" s="5"/>
      <c r="U99" s="5"/>
      <c r="V99" s="5"/>
      <c r="W99" s="5"/>
      <c r="X99" s="5"/>
      <c r="Y99" s="5"/>
      <c r="Z99" s="168"/>
      <c r="AA99" s="116"/>
      <c r="AB99" s="116"/>
      <c r="AC99" s="116"/>
      <c r="AD99" s="116"/>
      <c r="AE99" s="116"/>
      <c r="AF99" s="116"/>
      <c r="AG99" s="116"/>
      <c r="AH99" s="116"/>
      <c r="AI99" s="116"/>
      <c r="AJ99" s="116"/>
      <c r="AK99" s="116"/>
      <c r="AL99" s="116"/>
      <c r="AM99" s="116"/>
      <c r="AN99" s="116"/>
      <c r="AO99" s="116"/>
      <c r="AP99" s="116"/>
      <c r="AQ99" s="116"/>
      <c r="AR99" s="116"/>
      <c r="AS99" s="116"/>
      <c r="AT99" s="116"/>
      <c r="AU99" s="116"/>
      <c r="AV99" s="116"/>
      <c r="AW99" s="116"/>
      <c r="AX99" s="116"/>
      <c r="AY99" s="116"/>
      <c r="AZ99" s="116"/>
      <c r="BA99" s="116"/>
      <c r="BB99" s="116"/>
      <c r="BC99" s="116"/>
      <c r="BD99" s="116"/>
      <c r="BE99" s="116"/>
      <c r="BF99" s="116"/>
      <c r="BG99" s="116"/>
      <c r="BH99" s="116"/>
      <c r="BI99" s="116"/>
      <c r="BJ99" s="116"/>
      <c r="BK99" s="116"/>
      <c r="BL99" s="116"/>
      <c r="BM99" s="116"/>
      <c r="BN99" s="116"/>
      <c r="BO99" s="116"/>
      <c r="BP99" s="116"/>
      <c r="BQ99" s="116"/>
      <c r="BR99" s="116"/>
      <c r="BS99" s="116"/>
      <c r="BT99" s="116"/>
      <c r="BU99" s="116"/>
      <c r="BV99" s="116"/>
      <c r="BW99" s="116"/>
      <c r="BX99" s="116"/>
      <c r="BY99" s="116"/>
      <c r="BZ99" s="116"/>
    </row>
    <row r="100" spans="1:78" x14ac:dyDescent="0.2">
      <c r="A100" s="5"/>
      <c r="B100" s="5"/>
      <c r="C100" s="5"/>
      <c r="D100" s="5"/>
      <c r="E100" s="5"/>
      <c r="F100" s="5"/>
      <c r="G100" s="5"/>
      <c r="H100" s="5"/>
      <c r="I100" s="5"/>
      <c r="J100" s="5"/>
      <c r="K100" s="5"/>
      <c r="L100" s="37"/>
      <c r="M100" s="6"/>
      <c r="N100" s="6"/>
      <c r="O100" s="6"/>
      <c r="P100" s="6"/>
      <c r="Q100" s="123"/>
      <c r="R100" s="5"/>
      <c r="S100" s="5"/>
      <c r="T100" s="5"/>
      <c r="U100" s="5"/>
      <c r="V100" s="5"/>
      <c r="W100" s="5"/>
      <c r="X100" s="5"/>
      <c r="Y100" s="5"/>
      <c r="Z100" s="168"/>
      <c r="AA100" s="116"/>
      <c r="AB100" s="116"/>
      <c r="AC100" s="116"/>
      <c r="AD100" s="116"/>
      <c r="AE100" s="116"/>
      <c r="AF100" s="116"/>
      <c r="AG100" s="116"/>
      <c r="AH100" s="116"/>
      <c r="AI100" s="116"/>
      <c r="AJ100" s="116"/>
      <c r="AK100" s="116"/>
      <c r="AL100" s="116"/>
      <c r="AM100" s="116"/>
      <c r="AN100" s="116"/>
      <c r="AO100" s="116"/>
      <c r="AP100" s="116"/>
      <c r="AQ100" s="116"/>
      <c r="AR100" s="116"/>
      <c r="AS100" s="116"/>
      <c r="AT100" s="116"/>
      <c r="AU100" s="116"/>
      <c r="AV100" s="116"/>
      <c r="AW100" s="116"/>
      <c r="AX100" s="116"/>
      <c r="AY100" s="116"/>
      <c r="AZ100" s="116"/>
      <c r="BA100" s="116"/>
      <c r="BB100" s="116"/>
      <c r="BC100" s="116"/>
      <c r="BD100" s="116"/>
      <c r="BE100" s="116"/>
      <c r="BF100" s="116"/>
      <c r="BG100" s="116"/>
      <c r="BH100" s="116"/>
      <c r="BI100" s="116"/>
      <c r="BJ100" s="116"/>
      <c r="BK100" s="116"/>
      <c r="BL100" s="116"/>
      <c r="BM100" s="116"/>
      <c r="BN100" s="116"/>
      <c r="BO100" s="116"/>
      <c r="BP100" s="116"/>
      <c r="BQ100" s="116"/>
      <c r="BR100" s="116"/>
      <c r="BS100" s="116"/>
      <c r="BT100" s="116"/>
      <c r="BU100" s="116"/>
      <c r="BV100" s="116"/>
      <c r="BW100" s="116"/>
      <c r="BX100" s="116"/>
      <c r="BY100" s="116"/>
      <c r="BZ100" s="116"/>
    </row>
    <row r="101" spans="1:78" x14ac:dyDescent="0.2">
      <c r="A101" s="5"/>
      <c r="B101" s="5"/>
      <c r="C101" s="5"/>
      <c r="D101" s="5"/>
      <c r="E101" s="5"/>
      <c r="F101" s="5"/>
      <c r="G101" s="5"/>
      <c r="H101" s="5"/>
      <c r="I101" s="5"/>
      <c r="J101" s="5"/>
      <c r="K101" s="5"/>
      <c r="L101" s="37"/>
      <c r="M101" s="6"/>
      <c r="N101" s="6"/>
      <c r="O101" s="6"/>
      <c r="P101" s="6"/>
      <c r="Q101" s="123"/>
      <c r="R101" s="5"/>
      <c r="S101" s="5"/>
      <c r="T101" s="5"/>
      <c r="U101" s="5"/>
      <c r="V101" s="5"/>
      <c r="W101" s="5"/>
      <c r="X101" s="5"/>
      <c r="Y101" s="5"/>
      <c r="Z101" s="168"/>
      <c r="AA101" s="116"/>
      <c r="AB101" s="116"/>
      <c r="AC101" s="116"/>
      <c r="AD101" s="116"/>
      <c r="AE101" s="116"/>
      <c r="AF101" s="116"/>
      <c r="AG101" s="116"/>
      <c r="AH101" s="116"/>
      <c r="AI101" s="116"/>
      <c r="AJ101" s="116"/>
      <c r="AK101" s="116"/>
      <c r="AL101" s="116"/>
      <c r="AM101" s="116"/>
      <c r="AN101" s="116"/>
      <c r="AO101" s="116"/>
      <c r="AP101" s="116"/>
      <c r="AQ101" s="116"/>
      <c r="AR101" s="116"/>
      <c r="AS101" s="116"/>
      <c r="AT101" s="116"/>
      <c r="AU101" s="116"/>
      <c r="AV101" s="116"/>
      <c r="AW101" s="116"/>
      <c r="AX101" s="116"/>
      <c r="AY101" s="116"/>
      <c r="AZ101" s="116"/>
      <c r="BA101" s="116"/>
      <c r="BB101" s="116"/>
      <c r="BC101" s="116"/>
      <c r="BD101" s="116"/>
      <c r="BE101" s="116"/>
      <c r="BF101" s="116"/>
      <c r="BG101" s="116"/>
      <c r="BH101" s="116"/>
      <c r="BI101" s="116"/>
      <c r="BJ101" s="116"/>
      <c r="BK101" s="116"/>
      <c r="BL101" s="116"/>
      <c r="BM101" s="116"/>
      <c r="BN101" s="116"/>
      <c r="BO101" s="116"/>
      <c r="BP101" s="116"/>
      <c r="BQ101" s="116"/>
      <c r="BR101" s="116"/>
      <c r="BS101" s="116"/>
      <c r="BT101" s="116"/>
      <c r="BU101" s="116"/>
      <c r="BV101" s="116"/>
      <c r="BW101" s="116"/>
      <c r="BX101" s="116"/>
      <c r="BY101" s="116"/>
      <c r="BZ101" s="116"/>
    </row>
    <row r="102" spans="1:78" x14ac:dyDescent="0.2">
      <c r="A102" s="5"/>
      <c r="B102" s="5"/>
      <c r="C102" s="5"/>
      <c r="D102" s="5"/>
      <c r="E102" s="5"/>
      <c r="F102" s="5"/>
      <c r="G102" s="5"/>
      <c r="H102" s="5"/>
      <c r="I102" s="5"/>
      <c r="J102" s="5"/>
      <c r="K102" s="5"/>
      <c r="L102" s="37"/>
      <c r="M102" s="6"/>
      <c r="N102" s="6"/>
      <c r="O102" s="6"/>
      <c r="P102" s="6"/>
      <c r="Q102" s="123"/>
      <c r="R102" s="5"/>
      <c r="S102" s="5"/>
      <c r="T102" s="5"/>
      <c r="U102" s="5"/>
      <c r="V102" s="5"/>
      <c r="W102" s="5"/>
      <c r="X102" s="5"/>
      <c r="Y102" s="5"/>
      <c r="Z102" s="168"/>
      <c r="AA102" s="116"/>
      <c r="AB102" s="116"/>
      <c r="AC102" s="116"/>
      <c r="AD102" s="116"/>
      <c r="AE102" s="116"/>
      <c r="AF102" s="116"/>
      <c r="AG102" s="116"/>
      <c r="AH102" s="116"/>
      <c r="AI102" s="116"/>
      <c r="AJ102" s="116"/>
      <c r="AK102" s="116"/>
      <c r="AL102" s="116"/>
      <c r="AM102" s="116"/>
      <c r="AN102" s="116"/>
      <c r="AO102" s="116"/>
      <c r="AP102" s="116"/>
      <c r="AQ102" s="116"/>
      <c r="AR102" s="116"/>
      <c r="AS102" s="116"/>
      <c r="AT102" s="116"/>
      <c r="AU102" s="116"/>
      <c r="AV102" s="116"/>
      <c r="AW102" s="116"/>
      <c r="AX102" s="116"/>
      <c r="AY102" s="116"/>
      <c r="AZ102" s="116"/>
      <c r="BA102" s="116"/>
      <c r="BB102" s="116"/>
      <c r="BC102" s="116"/>
      <c r="BD102" s="116"/>
      <c r="BE102" s="116"/>
      <c r="BF102" s="116"/>
      <c r="BG102" s="116"/>
      <c r="BH102" s="116"/>
      <c r="BI102" s="116"/>
      <c r="BJ102" s="116"/>
      <c r="BK102" s="116"/>
      <c r="BL102" s="116"/>
      <c r="BM102" s="116"/>
      <c r="BN102" s="116"/>
      <c r="BO102" s="116"/>
      <c r="BP102" s="116"/>
      <c r="BQ102" s="116"/>
      <c r="BR102" s="116"/>
      <c r="BS102" s="116"/>
      <c r="BT102" s="116"/>
      <c r="BU102" s="116"/>
      <c r="BV102" s="116"/>
      <c r="BW102" s="116"/>
      <c r="BX102" s="116"/>
      <c r="BY102" s="116"/>
      <c r="BZ102" s="116"/>
    </row>
    <row r="103" spans="1:78" x14ac:dyDescent="0.2">
      <c r="A103" s="5"/>
      <c r="B103" s="5"/>
      <c r="C103" s="5"/>
      <c r="D103" s="5"/>
      <c r="E103" s="5"/>
      <c r="F103" s="5"/>
      <c r="G103" s="5"/>
      <c r="H103" s="5"/>
      <c r="I103" s="5"/>
      <c r="J103" s="5"/>
      <c r="K103" s="5"/>
      <c r="L103" s="37"/>
      <c r="M103" s="6"/>
      <c r="N103" s="6"/>
      <c r="O103" s="6"/>
      <c r="P103" s="6"/>
      <c r="Q103" s="123"/>
      <c r="R103" s="5"/>
      <c r="S103" s="5"/>
      <c r="T103" s="5"/>
      <c r="U103" s="5"/>
      <c r="V103" s="5"/>
      <c r="W103" s="5"/>
      <c r="X103" s="5"/>
      <c r="Y103" s="5"/>
      <c r="Z103" s="168"/>
      <c r="AA103" s="116"/>
      <c r="AB103" s="116"/>
      <c r="AC103" s="116"/>
      <c r="AD103" s="116"/>
      <c r="AE103" s="116"/>
      <c r="AF103" s="116"/>
      <c r="AG103" s="116"/>
      <c r="AH103" s="116"/>
      <c r="AI103" s="116"/>
      <c r="AJ103" s="116"/>
      <c r="AK103" s="116"/>
      <c r="AL103" s="116"/>
      <c r="AM103" s="116"/>
      <c r="AN103" s="116"/>
      <c r="AO103" s="116"/>
      <c r="AP103" s="116"/>
      <c r="AQ103" s="116"/>
      <c r="AR103" s="116"/>
      <c r="AS103" s="116"/>
      <c r="AT103" s="116"/>
      <c r="AU103" s="116"/>
      <c r="AV103" s="116"/>
      <c r="AW103" s="116"/>
      <c r="AX103" s="116"/>
      <c r="AY103" s="116"/>
      <c r="AZ103" s="116"/>
      <c r="BA103" s="116"/>
      <c r="BB103" s="116"/>
      <c r="BC103" s="116"/>
      <c r="BD103" s="116"/>
      <c r="BE103" s="116"/>
      <c r="BF103" s="116"/>
      <c r="BG103" s="116"/>
      <c r="BH103" s="116"/>
      <c r="BI103" s="116"/>
      <c r="BJ103" s="116"/>
      <c r="BK103" s="116"/>
      <c r="BL103" s="116"/>
      <c r="BM103" s="116"/>
      <c r="BN103" s="116"/>
      <c r="BO103" s="116"/>
      <c r="BP103" s="116"/>
      <c r="BQ103" s="116"/>
      <c r="BR103" s="116"/>
      <c r="BS103" s="116"/>
      <c r="BT103" s="116"/>
      <c r="BU103" s="116"/>
      <c r="BV103" s="116"/>
      <c r="BW103" s="116"/>
      <c r="BX103" s="116"/>
      <c r="BY103" s="116"/>
      <c r="BZ103" s="116"/>
    </row>
    <row r="104" spans="1:78" x14ac:dyDescent="0.2">
      <c r="A104" s="5"/>
      <c r="B104" s="5"/>
      <c r="C104" s="5"/>
      <c r="D104" s="5"/>
      <c r="E104" s="5"/>
      <c r="F104" s="5"/>
      <c r="G104" s="5"/>
      <c r="H104" s="5"/>
      <c r="I104" s="5"/>
      <c r="J104" s="5"/>
      <c r="K104" s="5"/>
      <c r="L104" s="37"/>
      <c r="M104" s="6"/>
      <c r="N104" s="6"/>
      <c r="O104" s="6"/>
      <c r="P104" s="6"/>
      <c r="Q104" s="123"/>
      <c r="R104" s="5"/>
      <c r="S104" s="5"/>
      <c r="T104" s="5"/>
      <c r="U104" s="5"/>
      <c r="V104" s="5"/>
      <c r="W104" s="5"/>
      <c r="X104" s="5"/>
      <c r="Y104" s="5"/>
      <c r="Z104" s="168"/>
      <c r="AA104" s="116"/>
      <c r="AB104" s="116"/>
      <c r="AC104" s="116"/>
      <c r="AD104" s="116"/>
      <c r="AE104" s="116"/>
      <c r="AF104" s="116"/>
      <c r="AG104" s="116"/>
      <c r="AH104" s="116"/>
      <c r="AI104" s="116"/>
      <c r="AJ104" s="116"/>
      <c r="AK104" s="116"/>
      <c r="AL104" s="116"/>
      <c r="AM104" s="116"/>
      <c r="AN104" s="116"/>
      <c r="AO104" s="116"/>
      <c r="AP104" s="116"/>
      <c r="AQ104" s="116"/>
      <c r="AR104" s="116"/>
      <c r="AS104" s="116"/>
      <c r="AT104" s="116"/>
      <c r="AU104" s="116"/>
      <c r="AV104" s="116"/>
      <c r="AW104" s="116"/>
      <c r="AX104" s="116"/>
      <c r="AY104" s="116"/>
      <c r="AZ104" s="116"/>
      <c r="BA104" s="116"/>
      <c r="BB104" s="116"/>
      <c r="BC104" s="116"/>
      <c r="BD104" s="116"/>
      <c r="BE104" s="116"/>
      <c r="BF104" s="116"/>
      <c r="BG104" s="116"/>
      <c r="BH104" s="116"/>
      <c r="BI104" s="116"/>
      <c r="BJ104" s="116"/>
      <c r="BK104" s="116"/>
      <c r="BL104" s="116"/>
      <c r="BM104" s="116"/>
      <c r="BN104" s="116"/>
      <c r="BO104" s="116"/>
      <c r="BP104" s="116"/>
      <c r="BQ104" s="116"/>
      <c r="BR104" s="116"/>
      <c r="BS104" s="116"/>
      <c r="BT104" s="116"/>
      <c r="BU104" s="116"/>
      <c r="BV104" s="116"/>
      <c r="BW104" s="116"/>
      <c r="BX104" s="116"/>
      <c r="BY104" s="116"/>
      <c r="BZ104" s="116"/>
    </row>
    <row r="105" spans="1:78" x14ac:dyDescent="0.2">
      <c r="A105" s="5"/>
      <c r="B105" s="5"/>
      <c r="C105" s="5"/>
      <c r="D105" s="5"/>
      <c r="E105" s="5"/>
      <c r="F105" s="5"/>
      <c r="G105" s="5"/>
      <c r="H105" s="5"/>
      <c r="I105" s="5"/>
      <c r="J105" s="5"/>
      <c r="K105" s="5"/>
      <c r="L105" s="37"/>
      <c r="M105" s="6"/>
      <c r="N105" s="6"/>
      <c r="O105" s="6"/>
      <c r="P105" s="6"/>
      <c r="Q105" s="123"/>
      <c r="R105" s="5"/>
      <c r="S105" s="5"/>
      <c r="T105" s="5"/>
      <c r="U105" s="5"/>
      <c r="V105" s="5"/>
      <c r="W105" s="5"/>
      <c r="X105" s="5"/>
      <c r="Y105" s="5"/>
      <c r="Z105" s="168"/>
      <c r="AA105" s="116"/>
      <c r="AB105" s="116"/>
      <c r="AC105" s="116"/>
      <c r="AD105" s="116"/>
      <c r="AE105" s="116"/>
      <c r="AF105" s="116"/>
      <c r="AG105" s="116"/>
      <c r="AH105" s="116"/>
      <c r="AI105" s="116"/>
      <c r="AJ105" s="116"/>
      <c r="AK105" s="116"/>
      <c r="AL105" s="116"/>
      <c r="AM105" s="116"/>
      <c r="AN105" s="116"/>
      <c r="AO105" s="116"/>
      <c r="AP105" s="116"/>
      <c r="AQ105" s="116"/>
      <c r="AR105" s="116"/>
      <c r="AS105" s="116"/>
      <c r="AT105" s="116"/>
      <c r="AU105" s="116"/>
      <c r="AV105" s="116"/>
      <c r="AW105" s="116"/>
      <c r="AX105" s="116"/>
      <c r="AY105" s="116"/>
      <c r="AZ105" s="116"/>
      <c r="BA105" s="116"/>
      <c r="BB105" s="116"/>
      <c r="BC105" s="116"/>
      <c r="BD105" s="116"/>
      <c r="BE105" s="116"/>
      <c r="BF105" s="116"/>
      <c r="BG105" s="116"/>
      <c r="BH105" s="116"/>
      <c r="BI105" s="116"/>
      <c r="BJ105" s="116"/>
      <c r="BK105" s="116"/>
      <c r="BL105" s="116"/>
      <c r="BM105" s="116"/>
      <c r="BN105" s="116"/>
      <c r="BO105" s="116"/>
      <c r="BP105" s="116"/>
      <c r="BQ105" s="116"/>
      <c r="BR105" s="116"/>
      <c r="BS105" s="116"/>
      <c r="BT105" s="116"/>
      <c r="BU105" s="116"/>
      <c r="BV105" s="116"/>
      <c r="BW105" s="116"/>
      <c r="BX105" s="116"/>
      <c r="BY105" s="116"/>
      <c r="BZ105" s="116"/>
    </row>
    <row r="106" spans="1:78" x14ac:dyDescent="0.2">
      <c r="A106" s="5"/>
      <c r="B106" s="5"/>
      <c r="C106" s="5"/>
      <c r="D106" s="5"/>
      <c r="E106" s="5"/>
      <c r="F106" s="5"/>
      <c r="G106" s="5"/>
      <c r="H106" s="5"/>
      <c r="I106" s="5"/>
      <c r="J106" s="5"/>
      <c r="K106" s="5"/>
      <c r="L106" s="37"/>
      <c r="M106" s="6"/>
      <c r="N106" s="6"/>
      <c r="O106" s="6"/>
      <c r="P106" s="6"/>
      <c r="Q106" s="123"/>
      <c r="R106" s="5"/>
      <c r="S106" s="5"/>
      <c r="T106" s="5"/>
      <c r="U106" s="5"/>
      <c r="V106" s="5"/>
      <c r="W106" s="5"/>
      <c r="X106" s="5"/>
      <c r="Y106" s="5"/>
      <c r="Z106" s="168"/>
      <c r="AA106" s="116"/>
      <c r="AB106" s="116"/>
      <c r="AC106" s="116"/>
      <c r="AD106" s="116"/>
      <c r="AE106" s="116"/>
      <c r="AF106" s="116"/>
      <c r="AG106" s="116"/>
      <c r="AH106" s="116"/>
      <c r="AI106" s="116"/>
      <c r="AJ106" s="116"/>
      <c r="AK106" s="116"/>
      <c r="AL106" s="116"/>
      <c r="AM106" s="116"/>
      <c r="AN106" s="116"/>
      <c r="AO106" s="116"/>
      <c r="AP106" s="116"/>
      <c r="AQ106" s="116"/>
      <c r="AR106" s="116"/>
      <c r="AS106" s="116"/>
      <c r="AT106" s="116"/>
      <c r="AU106" s="116"/>
      <c r="AV106" s="116"/>
      <c r="AW106" s="116"/>
      <c r="AX106" s="116"/>
      <c r="AY106" s="116"/>
      <c r="AZ106" s="116"/>
      <c r="BA106" s="116"/>
      <c r="BB106" s="116"/>
      <c r="BC106" s="116"/>
      <c r="BD106" s="116"/>
      <c r="BE106" s="116"/>
      <c r="BF106" s="116"/>
      <c r="BG106" s="116"/>
      <c r="BH106" s="116"/>
      <c r="BI106" s="116"/>
      <c r="BJ106" s="116"/>
      <c r="BK106" s="116"/>
      <c r="BL106" s="116"/>
      <c r="BM106" s="116"/>
      <c r="BN106" s="116"/>
      <c r="BO106" s="116"/>
      <c r="BP106" s="116"/>
      <c r="BQ106" s="116"/>
      <c r="BR106" s="116"/>
      <c r="BS106" s="116"/>
      <c r="BT106" s="116"/>
      <c r="BU106" s="116"/>
      <c r="BV106" s="116"/>
      <c r="BW106" s="116"/>
      <c r="BX106" s="116"/>
      <c r="BY106" s="116"/>
      <c r="BZ106" s="116"/>
    </row>
    <row r="107" spans="1:78" x14ac:dyDescent="0.2">
      <c r="A107" s="5"/>
      <c r="B107" s="5"/>
      <c r="C107" s="5"/>
      <c r="D107" s="5"/>
      <c r="E107" s="5"/>
      <c r="F107" s="5"/>
      <c r="G107" s="5"/>
      <c r="H107" s="5"/>
      <c r="I107" s="5"/>
      <c r="J107" s="5"/>
      <c r="K107" s="5"/>
      <c r="L107" s="37"/>
      <c r="M107" s="6"/>
      <c r="N107" s="6"/>
      <c r="O107" s="6"/>
      <c r="P107" s="6"/>
      <c r="Q107" s="123"/>
      <c r="R107" s="5"/>
      <c r="S107" s="5"/>
      <c r="T107" s="5"/>
      <c r="U107" s="5"/>
      <c r="V107" s="5"/>
      <c r="W107" s="5"/>
      <c r="X107" s="5"/>
      <c r="Y107" s="5"/>
      <c r="Z107" s="168"/>
      <c r="AA107" s="116"/>
      <c r="AB107" s="116"/>
      <c r="AC107" s="116"/>
      <c r="AD107" s="116"/>
      <c r="AE107" s="116"/>
      <c r="AF107" s="116"/>
      <c r="AG107" s="116"/>
      <c r="AH107" s="116"/>
      <c r="AI107" s="116"/>
      <c r="AJ107" s="116"/>
      <c r="AK107" s="116"/>
      <c r="AL107" s="116"/>
      <c r="AM107" s="116"/>
      <c r="AN107" s="116"/>
      <c r="AO107" s="116"/>
      <c r="AP107" s="116"/>
      <c r="AQ107" s="116"/>
      <c r="AR107" s="116"/>
      <c r="AS107" s="116"/>
      <c r="AT107" s="116"/>
      <c r="AU107" s="116"/>
      <c r="AV107" s="116"/>
      <c r="AW107" s="116"/>
      <c r="AX107" s="116"/>
      <c r="AY107" s="116"/>
      <c r="AZ107" s="116"/>
      <c r="BA107" s="116"/>
      <c r="BB107" s="116"/>
      <c r="BC107" s="116"/>
      <c r="BD107" s="116"/>
      <c r="BE107" s="116"/>
      <c r="BF107" s="116"/>
      <c r="BG107" s="116"/>
      <c r="BH107" s="116"/>
      <c r="BI107" s="116"/>
      <c r="BJ107" s="116"/>
      <c r="BK107" s="116"/>
      <c r="BL107" s="116"/>
      <c r="BM107" s="116"/>
      <c r="BN107" s="116"/>
      <c r="BO107" s="116"/>
      <c r="BP107" s="116"/>
      <c r="BQ107" s="116"/>
      <c r="BR107" s="116"/>
      <c r="BS107" s="116"/>
      <c r="BT107" s="116"/>
      <c r="BU107" s="116"/>
      <c r="BV107" s="116"/>
      <c r="BW107" s="116"/>
      <c r="BX107" s="116"/>
      <c r="BY107" s="116"/>
      <c r="BZ107" s="116"/>
    </row>
    <row r="108" spans="1:78" x14ac:dyDescent="0.2">
      <c r="A108" s="5"/>
      <c r="B108" s="5"/>
      <c r="C108" s="5"/>
      <c r="D108" s="5"/>
      <c r="E108" s="5"/>
      <c r="F108" s="5"/>
      <c r="G108" s="5"/>
      <c r="H108" s="5"/>
      <c r="I108" s="5"/>
      <c r="J108" s="5"/>
      <c r="K108" s="5"/>
      <c r="L108" s="37"/>
      <c r="M108" s="6"/>
      <c r="N108" s="6"/>
      <c r="O108" s="6"/>
      <c r="P108" s="6"/>
      <c r="Q108" s="123"/>
      <c r="R108" s="5"/>
      <c r="S108" s="5"/>
      <c r="T108" s="5"/>
      <c r="U108" s="5"/>
      <c r="V108" s="5"/>
      <c r="W108" s="5"/>
      <c r="X108" s="5"/>
      <c r="Y108" s="5"/>
      <c r="Z108" s="168"/>
      <c r="AA108" s="116"/>
      <c r="AB108" s="116"/>
      <c r="AC108" s="116"/>
      <c r="AD108" s="116"/>
      <c r="AE108" s="116"/>
      <c r="AF108" s="116"/>
      <c r="AG108" s="116"/>
      <c r="AH108" s="116"/>
      <c r="AI108" s="116"/>
      <c r="AJ108" s="116"/>
      <c r="AK108" s="116"/>
      <c r="AL108" s="116"/>
      <c r="AM108" s="116"/>
      <c r="AN108" s="116"/>
      <c r="AO108" s="116"/>
      <c r="AP108" s="116"/>
      <c r="AQ108" s="116"/>
      <c r="AR108" s="116"/>
      <c r="AS108" s="116"/>
      <c r="AT108" s="116"/>
      <c r="AU108" s="116"/>
      <c r="AV108" s="116"/>
      <c r="AW108" s="116"/>
      <c r="AX108" s="116"/>
      <c r="AY108" s="116"/>
      <c r="AZ108" s="116"/>
      <c r="BA108" s="116"/>
      <c r="BB108" s="116"/>
      <c r="BC108" s="116"/>
      <c r="BD108" s="116"/>
      <c r="BE108" s="116"/>
      <c r="BF108" s="116"/>
      <c r="BG108" s="116"/>
      <c r="BH108" s="116"/>
      <c r="BI108" s="116"/>
      <c r="BJ108" s="116"/>
      <c r="BK108" s="116"/>
      <c r="BL108" s="116"/>
      <c r="BM108" s="116"/>
      <c r="BN108" s="116"/>
      <c r="BO108" s="116"/>
      <c r="BP108" s="116"/>
      <c r="BQ108" s="116"/>
      <c r="BR108" s="116"/>
      <c r="BS108" s="116"/>
      <c r="BT108" s="116"/>
      <c r="BU108" s="116"/>
      <c r="BV108" s="116"/>
      <c r="BW108" s="116"/>
      <c r="BX108" s="116"/>
      <c r="BY108" s="116"/>
      <c r="BZ108" s="116"/>
    </row>
    <row r="109" spans="1:78" x14ac:dyDescent="0.2">
      <c r="A109" s="5"/>
      <c r="B109" s="5"/>
      <c r="C109" s="5"/>
      <c r="D109" s="5"/>
      <c r="E109" s="5"/>
      <c r="F109" s="5"/>
      <c r="G109" s="5"/>
      <c r="H109" s="5"/>
      <c r="I109" s="5"/>
      <c r="J109" s="5"/>
      <c r="K109" s="5"/>
      <c r="L109" s="37"/>
      <c r="M109" s="6"/>
      <c r="N109" s="6"/>
      <c r="O109" s="6"/>
      <c r="P109" s="6"/>
      <c r="Q109" s="123"/>
      <c r="R109" s="5"/>
      <c r="S109" s="5"/>
      <c r="T109" s="5"/>
      <c r="U109" s="5"/>
      <c r="V109" s="5"/>
      <c r="W109" s="5"/>
      <c r="X109" s="5"/>
      <c r="Y109" s="5"/>
      <c r="Z109" s="168"/>
      <c r="AA109" s="116"/>
      <c r="AB109" s="116"/>
      <c r="AC109" s="116"/>
      <c r="AD109" s="116"/>
      <c r="AE109" s="116"/>
      <c r="AF109" s="116"/>
      <c r="AG109" s="116"/>
      <c r="AH109" s="116"/>
      <c r="AI109" s="116"/>
      <c r="AJ109" s="116"/>
      <c r="AK109" s="116"/>
      <c r="AL109" s="116"/>
      <c r="AM109" s="116"/>
      <c r="AN109" s="116"/>
      <c r="AO109" s="116"/>
      <c r="AP109" s="116"/>
      <c r="AQ109" s="116"/>
      <c r="AR109" s="116"/>
      <c r="AS109" s="116"/>
      <c r="AT109" s="116"/>
      <c r="AU109" s="116"/>
      <c r="AV109" s="116"/>
      <c r="AW109" s="116"/>
      <c r="AX109" s="116"/>
      <c r="AY109" s="116"/>
      <c r="AZ109" s="116"/>
      <c r="BA109" s="116"/>
      <c r="BB109" s="116"/>
      <c r="BC109" s="116"/>
      <c r="BD109" s="116"/>
      <c r="BE109" s="116"/>
      <c r="BF109" s="116"/>
      <c r="BG109" s="116"/>
      <c r="BH109" s="116"/>
      <c r="BI109" s="116"/>
      <c r="BJ109" s="116"/>
      <c r="BK109" s="116"/>
      <c r="BL109" s="116"/>
      <c r="BM109" s="116"/>
      <c r="BN109" s="116"/>
      <c r="BO109" s="116"/>
      <c r="BP109" s="116"/>
      <c r="BQ109" s="116"/>
      <c r="BR109" s="116"/>
      <c r="BS109" s="116"/>
      <c r="BT109" s="116"/>
      <c r="BU109" s="116"/>
      <c r="BV109" s="116"/>
      <c r="BW109" s="116"/>
      <c r="BX109" s="116"/>
      <c r="BY109" s="116"/>
      <c r="BZ109" s="116"/>
    </row>
    <row r="110" spans="1:78" x14ac:dyDescent="0.2">
      <c r="A110" s="5"/>
      <c r="B110" s="5"/>
      <c r="C110" s="5"/>
      <c r="D110" s="5"/>
      <c r="E110" s="5"/>
      <c r="F110" s="5"/>
      <c r="G110" s="5"/>
      <c r="H110" s="5"/>
      <c r="I110" s="5"/>
      <c r="J110" s="5"/>
      <c r="K110" s="5"/>
      <c r="L110" s="37"/>
      <c r="M110" s="6"/>
      <c r="N110" s="6"/>
      <c r="O110" s="6"/>
      <c r="P110" s="6"/>
      <c r="Q110" s="123"/>
      <c r="R110" s="5"/>
      <c r="S110" s="5"/>
      <c r="T110" s="5"/>
      <c r="U110" s="5"/>
      <c r="V110" s="5"/>
      <c r="W110" s="5"/>
      <c r="X110" s="5"/>
      <c r="Y110" s="5"/>
      <c r="Z110" s="168"/>
      <c r="AA110" s="116"/>
      <c r="AB110" s="116"/>
      <c r="AC110" s="116"/>
      <c r="AD110" s="116"/>
      <c r="AE110" s="116"/>
      <c r="AF110" s="116"/>
      <c r="AG110" s="116"/>
      <c r="AH110" s="116"/>
      <c r="AI110" s="116"/>
      <c r="AJ110" s="116"/>
      <c r="AK110" s="116"/>
      <c r="AL110" s="116"/>
      <c r="AM110" s="116"/>
      <c r="AN110" s="116"/>
      <c r="AO110" s="116"/>
      <c r="AP110" s="116"/>
      <c r="AQ110" s="116"/>
      <c r="AR110" s="116"/>
      <c r="AS110" s="116"/>
      <c r="AT110" s="116"/>
      <c r="AU110" s="116"/>
      <c r="AV110" s="116"/>
      <c r="AW110" s="116"/>
      <c r="AX110" s="116"/>
      <c r="AY110" s="116"/>
      <c r="AZ110" s="116"/>
      <c r="BA110" s="116"/>
      <c r="BB110" s="116"/>
      <c r="BC110" s="116"/>
      <c r="BD110" s="116"/>
      <c r="BE110" s="116"/>
      <c r="BF110" s="116"/>
      <c r="BG110" s="116"/>
      <c r="BH110" s="116"/>
      <c r="BI110" s="116"/>
      <c r="BJ110" s="116"/>
      <c r="BK110" s="116"/>
      <c r="BL110" s="116"/>
      <c r="BM110" s="116"/>
      <c r="BN110" s="116"/>
      <c r="BO110" s="116"/>
      <c r="BP110" s="116"/>
      <c r="BQ110" s="116"/>
      <c r="BR110" s="116"/>
      <c r="BS110" s="116"/>
      <c r="BT110" s="116"/>
      <c r="BU110" s="116"/>
      <c r="BV110" s="116"/>
      <c r="BW110" s="116"/>
      <c r="BX110" s="116"/>
      <c r="BY110" s="116"/>
      <c r="BZ110" s="116"/>
    </row>
    <row r="111" spans="1:78" x14ac:dyDescent="0.2">
      <c r="A111" s="5"/>
      <c r="B111" s="5"/>
      <c r="C111" s="5"/>
      <c r="D111" s="5"/>
      <c r="E111" s="5"/>
      <c r="F111" s="5"/>
      <c r="G111" s="5"/>
      <c r="H111" s="5"/>
      <c r="I111" s="5"/>
      <c r="J111" s="5"/>
      <c r="K111" s="5"/>
      <c r="L111" s="37"/>
      <c r="M111" s="6"/>
      <c r="N111" s="6"/>
      <c r="O111" s="6"/>
      <c r="P111" s="6"/>
      <c r="Q111" s="123"/>
      <c r="R111" s="5"/>
      <c r="S111" s="5"/>
      <c r="T111" s="5"/>
      <c r="U111" s="5"/>
      <c r="V111" s="5"/>
      <c r="W111" s="5"/>
      <c r="X111" s="5"/>
      <c r="Y111" s="5"/>
      <c r="Z111" s="168"/>
      <c r="AA111" s="116"/>
      <c r="AB111" s="116"/>
      <c r="AC111" s="116"/>
      <c r="AD111" s="116"/>
      <c r="AE111" s="116"/>
      <c r="AF111" s="116"/>
      <c r="AG111" s="116"/>
      <c r="AH111" s="116"/>
      <c r="AI111" s="116"/>
      <c r="AJ111" s="116"/>
      <c r="AK111" s="116"/>
      <c r="AL111" s="116"/>
      <c r="AM111" s="116"/>
      <c r="AN111" s="116"/>
      <c r="AO111" s="116"/>
      <c r="AP111" s="116"/>
      <c r="AQ111" s="116"/>
      <c r="AR111" s="116"/>
      <c r="AS111" s="116"/>
      <c r="AT111" s="116"/>
      <c r="AU111" s="116"/>
      <c r="AV111" s="116"/>
      <c r="AW111" s="116"/>
      <c r="AX111" s="116"/>
      <c r="AY111" s="116"/>
      <c r="AZ111" s="116"/>
      <c r="BA111" s="116"/>
      <c r="BB111" s="116"/>
      <c r="BC111" s="116"/>
      <c r="BD111" s="116"/>
      <c r="BE111" s="116"/>
      <c r="BF111" s="116"/>
      <c r="BG111" s="116"/>
      <c r="BH111" s="116"/>
      <c r="BI111" s="116"/>
      <c r="BJ111" s="116"/>
      <c r="BK111" s="116"/>
      <c r="BL111" s="116"/>
      <c r="BM111" s="116"/>
      <c r="BN111" s="116"/>
      <c r="BO111" s="116"/>
      <c r="BP111" s="116"/>
      <c r="BQ111" s="116"/>
      <c r="BR111" s="116"/>
      <c r="BS111" s="116"/>
      <c r="BT111" s="116"/>
      <c r="BU111" s="116"/>
      <c r="BV111" s="116"/>
      <c r="BW111" s="116"/>
      <c r="BX111" s="116"/>
      <c r="BY111" s="116"/>
      <c r="BZ111" s="116"/>
    </row>
    <row r="112" spans="1:78" x14ac:dyDescent="0.2">
      <c r="A112" s="5"/>
      <c r="B112" s="5"/>
      <c r="C112" s="5"/>
      <c r="D112" s="5"/>
      <c r="E112" s="5"/>
      <c r="F112" s="5"/>
      <c r="G112" s="5"/>
      <c r="H112" s="5"/>
      <c r="I112" s="5"/>
      <c r="J112" s="5"/>
      <c r="K112" s="5"/>
      <c r="L112" s="37"/>
      <c r="M112" s="6"/>
      <c r="N112" s="6"/>
      <c r="O112" s="6"/>
      <c r="P112" s="6"/>
      <c r="Q112" s="123"/>
      <c r="R112" s="5"/>
      <c r="S112" s="5"/>
      <c r="T112" s="5"/>
      <c r="U112" s="5"/>
      <c r="V112" s="5"/>
      <c r="W112" s="5"/>
      <c r="X112" s="5"/>
      <c r="Y112" s="5"/>
      <c r="Z112" s="168"/>
      <c r="AA112" s="116"/>
      <c r="AB112" s="116"/>
      <c r="AC112" s="116"/>
      <c r="AD112" s="116"/>
      <c r="AE112" s="116"/>
      <c r="AF112" s="116"/>
      <c r="AG112" s="116"/>
      <c r="AH112" s="116"/>
      <c r="AI112" s="116"/>
      <c r="AJ112" s="116"/>
      <c r="AK112" s="116"/>
      <c r="AL112" s="116"/>
      <c r="AM112" s="116"/>
      <c r="AN112" s="116"/>
      <c r="AO112" s="116"/>
      <c r="AP112" s="116"/>
      <c r="AQ112" s="116"/>
      <c r="AR112" s="116"/>
      <c r="AS112" s="116"/>
      <c r="AT112" s="116"/>
      <c r="AU112" s="116"/>
      <c r="AV112" s="116"/>
      <c r="AW112" s="116"/>
      <c r="AX112" s="116"/>
      <c r="AY112" s="116"/>
      <c r="AZ112" s="116"/>
      <c r="BA112" s="116"/>
      <c r="BB112" s="116"/>
      <c r="BC112" s="116"/>
      <c r="BD112" s="116"/>
      <c r="BE112" s="116"/>
      <c r="BF112" s="116"/>
      <c r="BG112" s="116"/>
      <c r="BH112" s="116"/>
      <c r="BI112" s="116"/>
      <c r="BJ112" s="116"/>
      <c r="BK112" s="116"/>
      <c r="BL112" s="116"/>
      <c r="BM112" s="116"/>
      <c r="BN112" s="116"/>
      <c r="BO112" s="116"/>
      <c r="BP112" s="116"/>
      <c r="BQ112" s="116"/>
      <c r="BR112" s="116"/>
      <c r="BS112" s="116"/>
      <c r="BT112" s="116"/>
      <c r="BU112" s="116"/>
      <c r="BV112" s="116"/>
      <c r="BW112" s="116"/>
      <c r="BX112" s="116"/>
      <c r="BY112" s="116"/>
      <c r="BZ112" s="116"/>
    </row>
    <row r="113" spans="1:78" x14ac:dyDescent="0.2">
      <c r="A113" s="5"/>
      <c r="B113" s="5"/>
      <c r="C113" s="5"/>
      <c r="D113" s="5"/>
      <c r="E113" s="5"/>
      <c r="F113" s="5"/>
      <c r="G113" s="5"/>
      <c r="H113" s="5"/>
      <c r="I113" s="5"/>
      <c r="J113" s="5"/>
      <c r="K113" s="5"/>
      <c r="L113" s="37"/>
      <c r="M113" s="6"/>
      <c r="N113" s="6"/>
      <c r="O113" s="6"/>
      <c r="P113" s="6"/>
      <c r="Q113" s="123"/>
      <c r="R113" s="5"/>
      <c r="S113" s="5"/>
      <c r="T113" s="5"/>
      <c r="U113" s="5"/>
      <c r="V113" s="5"/>
      <c r="W113" s="5"/>
      <c r="X113" s="5"/>
      <c r="Y113" s="5"/>
      <c r="Z113" s="168"/>
      <c r="AA113" s="116"/>
      <c r="AB113" s="116"/>
      <c r="AC113" s="116"/>
      <c r="AD113" s="116"/>
      <c r="AE113" s="116"/>
      <c r="AF113" s="116"/>
      <c r="AG113" s="116"/>
      <c r="AH113" s="116"/>
      <c r="AI113" s="116"/>
      <c r="AJ113" s="116"/>
      <c r="AK113" s="116"/>
      <c r="AL113" s="116"/>
      <c r="AM113" s="116"/>
      <c r="AN113" s="116"/>
      <c r="AO113" s="116"/>
      <c r="AP113" s="116"/>
      <c r="AQ113" s="116"/>
      <c r="AR113" s="116"/>
      <c r="AS113" s="116"/>
      <c r="AT113" s="116"/>
      <c r="AU113" s="116"/>
      <c r="AV113" s="116"/>
      <c r="AW113" s="116"/>
      <c r="AX113" s="116"/>
      <c r="AY113" s="116"/>
      <c r="AZ113" s="116"/>
      <c r="BA113" s="116"/>
      <c r="BB113" s="116"/>
      <c r="BC113" s="116"/>
      <c r="BD113" s="116"/>
      <c r="BE113" s="116"/>
      <c r="BF113" s="116"/>
      <c r="BG113" s="116"/>
      <c r="BH113" s="116"/>
      <c r="BI113" s="116"/>
      <c r="BJ113" s="116"/>
      <c r="BK113" s="116"/>
      <c r="BL113" s="116"/>
      <c r="BM113" s="116"/>
      <c r="BN113" s="116"/>
      <c r="BO113" s="116"/>
      <c r="BP113" s="116"/>
      <c r="BQ113" s="116"/>
      <c r="BR113" s="116"/>
      <c r="BS113" s="116"/>
      <c r="BT113" s="116"/>
      <c r="BU113" s="116"/>
      <c r="BV113" s="116"/>
      <c r="BW113" s="116"/>
      <c r="BX113" s="116"/>
      <c r="BY113" s="116"/>
      <c r="BZ113" s="116"/>
    </row>
    <row r="114" spans="1:78" x14ac:dyDescent="0.2">
      <c r="A114" s="5"/>
      <c r="B114" s="5"/>
      <c r="C114" s="5"/>
      <c r="D114" s="5"/>
      <c r="E114" s="5"/>
      <c r="F114" s="5"/>
      <c r="G114" s="5"/>
      <c r="H114" s="5"/>
      <c r="I114" s="5"/>
      <c r="J114" s="5"/>
      <c r="K114" s="5"/>
      <c r="L114" s="37"/>
      <c r="M114" s="6"/>
      <c r="N114" s="6"/>
      <c r="O114" s="6"/>
      <c r="P114" s="6"/>
      <c r="Q114" s="123"/>
      <c r="R114" s="5"/>
      <c r="S114" s="5"/>
      <c r="T114" s="5"/>
      <c r="U114" s="5"/>
      <c r="V114" s="5"/>
      <c r="W114" s="5"/>
      <c r="X114" s="5"/>
      <c r="Y114" s="5"/>
      <c r="Z114" s="168"/>
      <c r="AA114" s="116"/>
      <c r="AB114" s="116"/>
      <c r="AC114" s="116"/>
      <c r="AD114" s="116"/>
      <c r="AE114" s="116"/>
      <c r="AF114" s="116"/>
      <c r="AG114" s="116"/>
      <c r="AH114" s="116"/>
      <c r="AI114" s="116"/>
      <c r="AJ114" s="116"/>
      <c r="AK114" s="116"/>
      <c r="AL114" s="116"/>
      <c r="AM114" s="116"/>
      <c r="AN114" s="116"/>
      <c r="AO114" s="116"/>
      <c r="AP114" s="116"/>
      <c r="AQ114" s="116"/>
      <c r="AR114" s="116"/>
      <c r="AS114" s="116"/>
      <c r="AT114" s="116"/>
      <c r="AU114" s="116"/>
      <c r="AV114" s="116"/>
      <c r="AW114" s="116"/>
      <c r="AX114" s="116"/>
      <c r="AY114" s="116"/>
      <c r="AZ114" s="116"/>
      <c r="BA114" s="116"/>
      <c r="BB114" s="116"/>
      <c r="BC114" s="116"/>
      <c r="BD114" s="116"/>
      <c r="BE114" s="116"/>
      <c r="BF114" s="116"/>
      <c r="BG114" s="116"/>
      <c r="BH114" s="116"/>
      <c r="BI114" s="116"/>
      <c r="BJ114" s="116"/>
      <c r="BK114" s="116"/>
      <c r="BL114" s="116"/>
      <c r="BM114" s="116"/>
      <c r="BN114" s="116"/>
      <c r="BO114" s="116"/>
      <c r="BP114" s="116"/>
      <c r="BQ114" s="116"/>
      <c r="BR114" s="116"/>
      <c r="BS114" s="116"/>
      <c r="BT114" s="116"/>
      <c r="BU114" s="116"/>
      <c r="BV114" s="116"/>
      <c r="BW114" s="116"/>
      <c r="BX114" s="116"/>
      <c r="BY114" s="116"/>
      <c r="BZ114" s="116"/>
    </row>
    <row r="115" spans="1:78" x14ac:dyDescent="0.2">
      <c r="A115" s="5"/>
      <c r="B115" s="5"/>
      <c r="C115" s="5"/>
      <c r="D115" s="5"/>
      <c r="E115" s="5"/>
      <c r="F115" s="5"/>
      <c r="G115" s="5"/>
      <c r="H115" s="5"/>
      <c r="I115" s="5"/>
      <c r="J115" s="5"/>
      <c r="K115" s="5"/>
      <c r="L115" s="37"/>
      <c r="M115" s="6"/>
      <c r="N115" s="6"/>
      <c r="O115" s="6"/>
      <c r="P115" s="6"/>
      <c r="Q115" s="123"/>
      <c r="R115" s="5"/>
      <c r="S115" s="5"/>
      <c r="T115" s="5"/>
      <c r="U115" s="5"/>
      <c r="V115" s="5"/>
      <c r="W115" s="5"/>
      <c r="X115" s="5"/>
      <c r="Y115" s="5"/>
      <c r="Z115" s="168"/>
      <c r="AA115" s="116"/>
      <c r="AB115" s="116"/>
      <c r="AC115" s="116"/>
      <c r="AD115" s="116"/>
      <c r="AE115" s="116"/>
      <c r="AF115" s="116"/>
      <c r="AG115" s="116"/>
      <c r="AH115" s="116"/>
      <c r="AI115" s="116"/>
      <c r="AJ115" s="116"/>
      <c r="AK115" s="116"/>
      <c r="AL115" s="116"/>
      <c r="AM115" s="116"/>
      <c r="AN115" s="116"/>
      <c r="AO115" s="116"/>
      <c r="AP115" s="116"/>
      <c r="AQ115" s="116"/>
      <c r="AR115" s="116"/>
      <c r="AS115" s="116"/>
      <c r="AT115" s="116"/>
      <c r="AU115" s="116"/>
      <c r="AV115" s="116"/>
      <c r="AW115" s="116"/>
      <c r="AX115" s="116"/>
      <c r="AY115" s="116"/>
      <c r="AZ115" s="116"/>
      <c r="BA115" s="116"/>
      <c r="BB115" s="116"/>
      <c r="BC115" s="116"/>
      <c r="BD115" s="116"/>
      <c r="BE115" s="116"/>
      <c r="BF115" s="116"/>
      <c r="BG115" s="116"/>
      <c r="BH115" s="116"/>
      <c r="BI115" s="116"/>
      <c r="BJ115" s="116"/>
      <c r="BK115" s="116"/>
      <c r="BL115" s="116"/>
      <c r="BM115" s="116"/>
      <c r="BN115" s="116"/>
      <c r="BO115" s="116"/>
      <c r="BP115" s="116"/>
      <c r="BQ115" s="116"/>
      <c r="BR115" s="116"/>
      <c r="BS115" s="116"/>
      <c r="BT115" s="116"/>
      <c r="BU115" s="116"/>
      <c r="BV115" s="116"/>
      <c r="BW115" s="116"/>
      <c r="BX115" s="116"/>
      <c r="BY115" s="116"/>
      <c r="BZ115" s="116"/>
    </row>
    <row r="116" spans="1:78" x14ac:dyDescent="0.2">
      <c r="A116" s="5"/>
      <c r="B116" s="5"/>
      <c r="C116" s="5"/>
      <c r="D116" s="5"/>
      <c r="E116" s="5"/>
      <c r="F116" s="5"/>
      <c r="G116" s="5"/>
      <c r="H116" s="5"/>
      <c r="I116" s="5"/>
      <c r="J116" s="5"/>
      <c r="K116" s="5"/>
      <c r="L116" s="37"/>
      <c r="M116" s="6"/>
      <c r="N116" s="6"/>
      <c r="O116" s="6"/>
      <c r="P116" s="6"/>
      <c r="Q116" s="123"/>
      <c r="R116" s="5"/>
      <c r="S116" s="5"/>
      <c r="T116" s="5"/>
      <c r="U116" s="5"/>
      <c r="V116" s="5"/>
      <c r="W116" s="5"/>
      <c r="X116" s="5"/>
      <c r="Y116" s="5"/>
      <c r="Z116" s="168"/>
      <c r="AA116" s="116"/>
      <c r="AB116" s="116"/>
      <c r="AC116" s="116"/>
      <c r="AD116" s="116"/>
      <c r="AE116" s="116"/>
      <c r="AF116" s="116"/>
      <c r="AG116" s="116"/>
      <c r="AH116" s="116"/>
      <c r="AI116" s="116"/>
      <c r="AJ116" s="116"/>
      <c r="AK116" s="116"/>
      <c r="AL116" s="116"/>
      <c r="AM116" s="116"/>
      <c r="AN116" s="116"/>
      <c r="AO116" s="116"/>
      <c r="AP116" s="116"/>
      <c r="AQ116" s="116"/>
      <c r="AR116" s="116"/>
      <c r="AS116" s="116"/>
      <c r="AT116" s="116"/>
      <c r="AU116" s="116"/>
      <c r="AV116" s="116"/>
      <c r="AW116" s="116"/>
      <c r="AX116" s="116"/>
      <c r="AY116" s="116"/>
      <c r="AZ116" s="116"/>
      <c r="BA116" s="116"/>
      <c r="BB116" s="116"/>
      <c r="BC116" s="116"/>
      <c r="BD116" s="116"/>
      <c r="BE116" s="116"/>
      <c r="BF116" s="116"/>
      <c r="BG116" s="116"/>
      <c r="BH116" s="116"/>
      <c r="BI116" s="116"/>
      <c r="BJ116" s="116"/>
      <c r="BK116" s="116"/>
      <c r="BL116" s="116"/>
      <c r="BM116" s="116"/>
      <c r="BN116" s="116"/>
      <c r="BO116" s="116"/>
      <c r="BP116" s="116"/>
      <c r="BQ116" s="116"/>
      <c r="BR116" s="116"/>
      <c r="BS116" s="116"/>
      <c r="BT116" s="116"/>
      <c r="BU116" s="116"/>
      <c r="BV116" s="116"/>
      <c r="BW116" s="116"/>
      <c r="BX116" s="116"/>
      <c r="BY116" s="116"/>
      <c r="BZ116" s="116"/>
    </row>
    <row r="117" spans="1:78" x14ac:dyDescent="0.2">
      <c r="A117" s="5"/>
      <c r="B117" s="5"/>
      <c r="C117" s="5"/>
      <c r="D117" s="5"/>
      <c r="E117" s="5"/>
      <c r="F117" s="5"/>
      <c r="G117" s="5"/>
      <c r="H117" s="5"/>
      <c r="I117" s="5"/>
      <c r="J117" s="5"/>
      <c r="K117" s="5"/>
      <c r="L117" s="37"/>
      <c r="M117" s="6"/>
      <c r="N117" s="6"/>
      <c r="O117" s="6"/>
      <c r="P117" s="6"/>
      <c r="Q117" s="123"/>
      <c r="R117" s="5"/>
      <c r="S117" s="5"/>
      <c r="T117" s="5"/>
      <c r="U117" s="5"/>
      <c r="V117" s="5"/>
      <c r="W117" s="5"/>
      <c r="X117" s="5"/>
      <c r="Y117" s="5"/>
      <c r="Z117" s="168"/>
      <c r="AA117" s="116"/>
      <c r="AB117" s="116"/>
      <c r="AC117" s="116"/>
      <c r="AD117" s="116"/>
      <c r="AE117" s="116"/>
      <c r="AF117" s="116"/>
      <c r="AG117" s="116"/>
      <c r="AH117" s="116"/>
      <c r="AI117" s="116"/>
      <c r="AJ117" s="116"/>
      <c r="AK117" s="116"/>
      <c r="AL117" s="116"/>
      <c r="AM117" s="116"/>
      <c r="AN117" s="116"/>
      <c r="AO117" s="116"/>
      <c r="AP117" s="116"/>
      <c r="AQ117" s="116"/>
      <c r="AR117" s="116"/>
      <c r="AS117" s="116"/>
      <c r="AT117" s="116"/>
      <c r="AU117" s="116"/>
      <c r="AV117" s="116"/>
      <c r="AW117" s="116"/>
      <c r="AX117" s="116"/>
      <c r="AY117" s="116"/>
      <c r="AZ117" s="116"/>
      <c r="BA117" s="116"/>
      <c r="BB117" s="116"/>
      <c r="BC117" s="116"/>
      <c r="BD117" s="116"/>
      <c r="BE117" s="116"/>
      <c r="BF117" s="116"/>
      <c r="BG117" s="116"/>
      <c r="BH117" s="116"/>
      <c r="BI117" s="116"/>
      <c r="BJ117" s="116"/>
      <c r="BK117" s="116"/>
      <c r="BL117" s="116"/>
      <c r="BM117" s="116"/>
      <c r="BN117" s="116"/>
      <c r="BO117" s="116"/>
      <c r="BP117" s="116"/>
      <c r="BQ117" s="116"/>
      <c r="BR117" s="116"/>
      <c r="BS117" s="116"/>
      <c r="BT117" s="116"/>
      <c r="BU117" s="116"/>
      <c r="BV117" s="116"/>
      <c r="BW117" s="116"/>
      <c r="BX117" s="116"/>
      <c r="BY117" s="116"/>
      <c r="BZ117" s="116"/>
    </row>
    <row r="118" spans="1:78" x14ac:dyDescent="0.2">
      <c r="A118" s="5"/>
      <c r="B118" s="5"/>
      <c r="C118" s="5"/>
      <c r="D118" s="5"/>
      <c r="E118" s="5"/>
      <c r="F118" s="5"/>
      <c r="G118" s="5"/>
      <c r="H118" s="5"/>
      <c r="I118" s="5"/>
      <c r="J118" s="5"/>
      <c r="K118" s="5"/>
      <c r="L118" s="37"/>
      <c r="M118" s="6"/>
      <c r="N118" s="6"/>
      <c r="O118" s="6"/>
      <c r="P118" s="6"/>
      <c r="Q118" s="123"/>
      <c r="R118" s="5"/>
      <c r="S118" s="5"/>
      <c r="T118" s="5"/>
      <c r="U118" s="5"/>
      <c r="V118" s="5"/>
      <c r="W118" s="5"/>
      <c r="X118" s="5"/>
      <c r="Y118" s="5"/>
      <c r="Z118" s="168"/>
      <c r="AA118" s="116"/>
      <c r="AB118" s="116"/>
      <c r="AC118" s="116"/>
      <c r="AD118" s="116"/>
      <c r="AE118" s="116"/>
      <c r="AF118" s="116"/>
      <c r="AG118" s="116"/>
      <c r="AH118" s="116"/>
      <c r="AI118" s="116"/>
      <c r="AJ118" s="116"/>
      <c r="AK118" s="116"/>
      <c r="AL118" s="116"/>
      <c r="AM118" s="116"/>
      <c r="AN118" s="116"/>
      <c r="AO118" s="116"/>
      <c r="AP118" s="116"/>
      <c r="AQ118" s="116"/>
      <c r="AR118" s="116"/>
      <c r="AS118" s="116"/>
      <c r="AT118" s="116"/>
      <c r="AU118" s="116"/>
      <c r="AV118" s="116"/>
      <c r="AW118" s="116"/>
      <c r="AX118" s="116"/>
      <c r="AY118" s="116"/>
      <c r="AZ118" s="116"/>
      <c r="BA118" s="116"/>
      <c r="BB118" s="116"/>
      <c r="BC118" s="116"/>
      <c r="BD118" s="116"/>
      <c r="BE118" s="116"/>
      <c r="BF118" s="116"/>
      <c r="BG118" s="116"/>
      <c r="BH118" s="116"/>
      <c r="BI118" s="116"/>
      <c r="BJ118" s="116"/>
      <c r="BK118" s="116"/>
      <c r="BL118" s="116"/>
      <c r="BM118" s="116"/>
      <c r="BN118" s="116"/>
      <c r="BO118" s="116"/>
      <c r="BP118" s="116"/>
      <c r="BQ118" s="116"/>
      <c r="BR118" s="116"/>
      <c r="BS118" s="116"/>
      <c r="BT118" s="116"/>
      <c r="BU118" s="116"/>
      <c r="BV118" s="116"/>
      <c r="BW118" s="116"/>
      <c r="BX118" s="116"/>
      <c r="BY118" s="116"/>
      <c r="BZ118" s="116"/>
    </row>
    <row r="119" spans="1:78" x14ac:dyDescent="0.2">
      <c r="A119" s="5"/>
      <c r="B119" s="5"/>
      <c r="C119" s="5"/>
      <c r="D119" s="5"/>
      <c r="E119" s="5"/>
      <c r="F119" s="5"/>
      <c r="G119" s="5"/>
      <c r="H119" s="5"/>
      <c r="I119" s="5"/>
      <c r="J119" s="5"/>
      <c r="K119" s="5"/>
      <c r="L119" s="37"/>
      <c r="M119" s="6"/>
      <c r="N119" s="6"/>
      <c r="O119" s="6"/>
      <c r="P119" s="6"/>
      <c r="Q119" s="123"/>
      <c r="R119" s="5"/>
      <c r="S119" s="5"/>
      <c r="T119" s="5"/>
      <c r="U119" s="5"/>
      <c r="V119" s="5"/>
      <c r="W119" s="5"/>
      <c r="X119" s="5"/>
      <c r="Y119" s="5"/>
      <c r="Z119" s="168"/>
      <c r="AA119" s="116"/>
      <c r="AB119" s="116"/>
      <c r="AC119" s="116"/>
      <c r="AD119" s="116"/>
      <c r="AE119" s="116"/>
      <c r="AF119" s="116"/>
      <c r="AG119" s="116"/>
      <c r="AH119" s="116"/>
      <c r="AI119" s="116"/>
      <c r="AJ119" s="116"/>
      <c r="AK119" s="116"/>
      <c r="AL119" s="116"/>
      <c r="AM119" s="116"/>
      <c r="AN119" s="116"/>
      <c r="AO119" s="116"/>
      <c r="AP119" s="116"/>
      <c r="AQ119" s="116"/>
      <c r="AR119" s="116"/>
      <c r="AS119" s="116"/>
      <c r="AT119" s="116"/>
      <c r="AU119" s="116"/>
      <c r="AV119" s="116"/>
      <c r="AW119" s="116"/>
      <c r="AX119" s="116"/>
      <c r="AY119" s="116"/>
      <c r="AZ119" s="116"/>
      <c r="BA119" s="116"/>
      <c r="BB119" s="116"/>
      <c r="BC119" s="116"/>
      <c r="BD119" s="116"/>
      <c r="BE119" s="116"/>
      <c r="BF119" s="116"/>
      <c r="BG119" s="116"/>
      <c r="BH119" s="116"/>
      <c r="BI119" s="116"/>
      <c r="BJ119" s="116"/>
      <c r="BK119" s="116"/>
      <c r="BL119" s="116"/>
      <c r="BM119" s="116"/>
      <c r="BN119" s="116"/>
      <c r="BO119" s="116"/>
      <c r="BP119" s="116"/>
      <c r="BQ119" s="116"/>
      <c r="BR119" s="116"/>
      <c r="BS119" s="116"/>
      <c r="BT119" s="116"/>
      <c r="BU119" s="116"/>
      <c r="BV119" s="116"/>
      <c r="BW119" s="116"/>
      <c r="BX119" s="116"/>
      <c r="BY119" s="116"/>
      <c r="BZ119" s="116"/>
    </row>
    <row r="120" spans="1:78" x14ac:dyDescent="0.2">
      <c r="A120" s="5"/>
      <c r="B120" s="5"/>
      <c r="C120" s="5"/>
      <c r="D120" s="5"/>
      <c r="E120" s="5"/>
      <c r="F120" s="5"/>
      <c r="G120" s="5"/>
      <c r="H120" s="5"/>
      <c r="I120" s="5"/>
      <c r="J120" s="5"/>
      <c r="K120" s="5"/>
      <c r="L120" s="37"/>
      <c r="M120" s="6"/>
      <c r="N120" s="6"/>
      <c r="O120" s="6"/>
      <c r="P120" s="6"/>
      <c r="Q120" s="123"/>
      <c r="R120" s="5"/>
      <c r="S120" s="5"/>
      <c r="T120" s="5"/>
      <c r="U120" s="5"/>
      <c r="V120" s="5"/>
      <c r="W120" s="5"/>
      <c r="X120" s="5"/>
      <c r="Y120" s="5"/>
      <c r="Z120" s="168"/>
      <c r="AA120" s="116"/>
      <c r="AB120" s="116"/>
      <c r="AC120" s="116"/>
      <c r="AD120" s="116"/>
      <c r="AE120" s="116"/>
      <c r="AF120" s="116"/>
      <c r="AG120" s="116"/>
      <c r="AH120" s="116"/>
      <c r="AI120" s="116"/>
      <c r="AJ120" s="116"/>
      <c r="AK120" s="116"/>
      <c r="AL120" s="116"/>
      <c r="AM120" s="116"/>
      <c r="AN120" s="116"/>
      <c r="AO120" s="116"/>
      <c r="AP120" s="116"/>
      <c r="AQ120" s="116"/>
      <c r="AR120" s="116"/>
      <c r="AS120" s="116"/>
      <c r="AT120" s="116"/>
      <c r="AU120" s="116"/>
      <c r="AV120" s="116"/>
      <c r="AW120" s="116"/>
      <c r="AX120" s="116"/>
      <c r="AY120" s="116"/>
      <c r="AZ120" s="116"/>
      <c r="BA120" s="116"/>
      <c r="BB120" s="116"/>
      <c r="BC120" s="116"/>
      <c r="BD120" s="116"/>
      <c r="BE120" s="116"/>
      <c r="BF120" s="116"/>
      <c r="BG120" s="116"/>
      <c r="BH120" s="116"/>
      <c r="BI120" s="116"/>
      <c r="BJ120" s="116"/>
      <c r="BK120" s="116"/>
      <c r="BL120" s="116"/>
      <c r="BM120" s="116"/>
      <c r="BN120" s="116"/>
      <c r="BO120" s="116"/>
      <c r="BP120" s="116"/>
      <c r="BQ120" s="116"/>
      <c r="BR120" s="116"/>
      <c r="BS120" s="116"/>
      <c r="BT120" s="116"/>
      <c r="BU120" s="116"/>
      <c r="BV120" s="116"/>
      <c r="BW120" s="116"/>
      <c r="BX120" s="116"/>
      <c r="BY120" s="116"/>
      <c r="BZ120" s="116"/>
    </row>
    <row r="121" spans="1:78" x14ac:dyDescent="0.2">
      <c r="A121" s="5"/>
      <c r="B121" s="5"/>
      <c r="C121" s="5"/>
      <c r="D121" s="5"/>
      <c r="E121" s="5"/>
      <c r="F121" s="5"/>
      <c r="G121" s="5"/>
      <c r="H121" s="5"/>
      <c r="I121" s="5"/>
      <c r="J121" s="5"/>
      <c r="K121" s="5"/>
      <c r="L121" s="37"/>
      <c r="M121" s="6"/>
      <c r="N121" s="6"/>
      <c r="O121" s="6"/>
      <c r="P121" s="6"/>
      <c r="Q121" s="123"/>
      <c r="R121" s="5"/>
      <c r="S121" s="5"/>
      <c r="T121" s="5"/>
      <c r="U121" s="5"/>
      <c r="V121" s="5"/>
      <c r="W121" s="5"/>
      <c r="X121" s="5"/>
      <c r="Y121" s="5"/>
      <c r="Z121" s="168"/>
      <c r="AA121" s="116"/>
      <c r="AB121" s="116"/>
      <c r="AC121" s="116"/>
      <c r="AD121" s="116"/>
      <c r="AE121" s="116"/>
      <c r="AF121" s="116"/>
      <c r="AG121" s="116"/>
      <c r="AH121" s="116"/>
      <c r="AI121" s="116"/>
      <c r="AJ121" s="116"/>
      <c r="AK121" s="116"/>
      <c r="AL121" s="116"/>
      <c r="AM121" s="116"/>
      <c r="AN121" s="116"/>
      <c r="AO121" s="116"/>
      <c r="AP121" s="116"/>
      <c r="AQ121" s="116"/>
      <c r="AR121" s="116"/>
      <c r="AS121" s="116"/>
      <c r="AT121" s="116"/>
      <c r="AU121" s="116"/>
      <c r="AV121" s="116"/>
      <c r="AW121" s="116"/>
      <c r="AX121" s="116"/>
      <c r="AY121" s="116"/>
      <c r="AZ121" s="116"/>
      <c r="BA121" s="116"/>
      <c r="BB121" s="116"/>
      <c r="BC121" s="116"/>
      <c r="BD121" s="116"/>
      <c r="BE121" s="116"/>
      <c r="BF121" s="116"/>
      <c r="BG121" s="116"/>
      <c r="BH121" s="116"/>
      <c r="BI121" s="116"/>
      <c r="BJ121" s="116"/>
      <c r="BK121" s="116"/>
      <c r="BL121" s="116"/>
      <c r="BM121" s="116"/>
      <c r="BN121" s="116"/>
      <c r="BO121" s="116"/>
      <c r="BP121" s="116"/>
      <c r="BQ121" s="116"/>
      <c r="BR121" s="116"/>
      <c r="BS121" s="116"/>
      <c r="BT121" s="116"/>
      <c r="BU121" s="116"/>
      <c r="BV121" s="116"/>
      <c r="BW121" s="116"/>
      <c r="BX121" s="116"/>
      <c r="BY121" s="116"/>
      <c r="BZ121" s="116"/>
    </row>
    <row r="122" spans="1:78" x14ac:dyDescent="0.2">
      <c r="A122" s="5"/>
      <c r="B122" s="5"/>
      <c r="C122" s="5"/>
      <c r="D122" s="5"/>
      <c r="E122" s="5"/>
      <c r="F122" s="5"/>
      <c r="G122" s="5"/>
      <c r="H122" s="5"/>
      <c r="I122" s="5"/>
      <c r="J122" s="5"/>
      <c r="K122" s="5"/>
      <c r="L122" s="37"/>
      <c r="M122" s="6"/>
      <c r="N122" s="6"/>
      <c r="O122" s="6"/>
      <c r="P122" s="6"/>
      <c r="Q122" s="123"/>
      <c r="R122" s="5"/>
      <c r="S122" s="5"/>
      <c r="T122" s="5"/>
      <c r="U122" s="5"/>
      <c r="V122" s="5"/>
      <c r="W122" s="5"/>
      <c r="X122" s="5"/>
      <c r="Y122" s="5"/>
      <c r="Z122" s="168"/>
      <c r="AA122" s="116"/>
      <c r="AB122" s="116"/>
      <c r="AC122" s="116"/>
      <c r="AD122" s="116"/>
      <c r="AE122" s="116"/>
      <c r="AF122" s="116"/>
      <c r="AG122" s="116"/>
      <c r="AH122" s="116"/>
      <c r="AI122" s="116"/>
      <c r="AJ122" s="116"/>
      <c r="AK122" s="116"/>
      <c r="AL122" s="116"/>
      <c r="AM122" s="116"/>
      <c r="AN122" s="116"/>
      <c r="AO122" s="116"/>
      <c r="AP122" s="116"/>
      <c r="AQ122" s="116"/>
      <c r="AR122" s="116"/>
      <c r="AS122" s="116"/>
      <c r="AT122" s="116"/>
      <c r="AU122" s="116"/>
      <c r="AV122" s="116"/>
      <c r="AW122" s="116"/>
      <c r="AX122" s="116"/>
      <c r="AY122" s="116"/>
      <c r="AZ122" s="116"/>
      <c r="BA122" s="116"/>
      <c r="BB122" s="116"/>
      <c r="BC122" s="116"/>
      <c r="BD122" s="116"/>
      <c r="BE122" s="116"/>
      <c r="BF122" s="116"/>
      <c r="BG122" s="116"/>
      <c r="BH122" s="116"/>
      <c r="BI122" s="116"/>
      <c r="BJ122" s="116"/>
      <c r="BK122" s="116"/>
      <c r="BL122" s="116"/>
      <c r="BM122" s="116"/>
      <c r="BN122" s="116"/>
      <c r="BO122" s="116"/>
      <c r="BP122" s="116"/>
      <c r="BQ122" s="116"/>
      <c r="BR122" s="116"/>
      <c r="BS122" s="116"/>
      <c r="BT122" s="116"/>
      <c r="BU122" s="116"/>
      <c r="BV122" s="116"/>
      <c r="BW122" s="116"/>
      <c r="BX122" s="116"/>
      <c r="BY122" s="116"/>
      <c r="BZ122" s="116"/>
    </row>
    <row r="123" spans="1:78" x14ac:dyDescent="0.2">
      <c r="A123" s="5"/>
      <c r="B123" s="5"/>
      <c r="C123" s="5"/>
      <c r="D123" s="5"/>
      <c r="E123" s="5"/>
      <c r="F123" s="5"/>
      <c r="G123" s="5"/>
      <c r="H123" s="5"/>
      <c r="I123" s="5"/>
      <c r="J123" s="5"/>
      <c r="K123" s="5"/>
      <c r="L123" s="37"/>
      <c r="M123" s="6"/>
      <c r="N123" s="6"/>
      <c r="O123" s="6"/>
      <c r="P123" s="6"/>
      <c r="Q123" s="123"/>
      <c r="R123" s="5"/>
      <c r="S123" s="5"/>
      <c r="T123" s="5"/>
      <c r="U123" s="5"/>
      <c r="V123" s="5"/>
      <c r="W123" s="5"/>
      <c r="X123" s="5"/>
      <c r="Y123" s="5"/>
      <c r="Z123" s="168"/>
      <c r="AA123" s="116"/>
      <c r="AB123" s="116"/>
      <c r="AC123" s="116"/>
      <c r="AD123" s="116"/>
      <c r="AE123" s="116"/>
      <c r="AF123" s="116"/>
      <c r="AG123" s="116"/>
      <c r="AH123" s="116"/>
      <c r="AI123" s="116"/>
      <c r="AJ123" s="116"/>
      <c r="AK123" s="116"/>
      <c r="AL123" s="116"/>
      <c r="AM123" s="116"/>
      <c r="AN123" s="116"/>
      <c r="AO123" s="116"/>
      <c r="AP123" s="116"/>
      <c r="AQ123" s="116"/>
      <c r="AR123" s="116"/>
      <c r="AS123" s="116"/>
      <c r="AT123" s="116"/>
      <c r="AU123" s="116"/>
      <c r="AV123" s="116"/>
      <c r="AW123" s="116"/>
      <c r="AX123" s="116"/>
      <c r="AY123" s="116"/>
      <c r="AZ123" s="116"/>
      <c r="BA123" s="116"/>
      <c r="BB123" s="116"/>
      <c r="BC123" s="116"/>
      <c r="BD123" s="116"/>
      <c r="BE123" s="116"/>
      <c r="BF123" s="116"/>
      <c r="BG123" s="116"/>
      <c r="BH123" s="116"/>
      <c r="BI123" s="116"/>
      <c r="BJ123" s="116"/>
      <c r="BK123" s="116"/>
      <c r="BL123" s="116"/>
      <c r="BM123" s="116"/>
      <c r="BN123" s="116"/>
      <c r="BO123" s="116"/>
      <c r="BP123" s="116"/>
      <c r="BQ123" s="116"/>
      <c r="BR123" s="116"/>
      <c r="BS123" s="116"/>
      <c r="BT123" s="116"/>
      <c r="BU123" s="116"/>
      <c r="BV123" s="116"/>
      <c r="BW123" s="116"/>
      <c r="BX123" s="116"/>
      <c r="BY123" s="116"/>
      <c r="BZ123" s="116"/>
    </row>
    <row r="124" spans="1:78" x14ac:dyDescent="0.2">
      <c r="A124" s="5"/>
      <c r="B124" s="5"/>
      <c r="C124" s="5"/>
      <c r="D124" s="5"/>
      <c r="E124" s="5"/>
      <c r="F124" s="5"/>
      <c r="G124" s="5"/>
      <c r="H124" s="5"/>
      <c r="I124" s="5"/>
      <c r="J124" s="5"/>
      <c r="K124" s="5"/>
      <c r="L124" s="37"/>
      <c r="M124" s="6"/>
      <c r="N124" s="6"/>
      <c r="O124" s="6"/>
      <c r="P124" s="6"/>
      <c r="Q124" s="123"/>
      <c r="R124" s="5"/>
      <c r="S124" s="5"/>
      <c r="T124" s="5"/>
      <c r="U124" s="5"/>
      <c r="V124" s="5"/>
      <c r="W124" s="5"/>
      <c r="X124" s="5"/>
      <c r="Y124" s="5"/>
      <c r="Z124" s="168"/>
      <c r="AA124" s="116"/>
      <c r="AB124" s="116"/>
      <c r="AC124" s="116"/>
      <c r="AD124" s="116"/>
      <c r="AE124" s="116"/>
      <c r="AF124" s="116"/>
      <c r="AG124" s="116"/>
      <c r="AH124" s="116"/>
      <c r="AI124" s="116"/>
      <c r="AJ124" s="116"/>
      <c r="AK124" s="116"/>
      <c r="AL124" s="116"/>
      <c r="AM124" s="116"/>
      <c r="AN124" s="116"/>
      <c r="AO124" s="116"/>
      <c r="AP124" s="116"/>
      <c r="AQ124" s="116"/>
      <c r="AR124" s="116"/>
      <c r="AS124" s="116"/>
      <c r="AT124" s="116"/>
      <c r="AU124" s="116"/>
      <c r="AV124" s="116"/>
      <c r="AW124" s="116"/>
      <c r="AX124" s="116"/>
      <c r="AY124" s="116"/>
      <c r="AZ124" s="116"/>
      <c r="BA124" s="116"/>
      <c r="BB124" s="116"/>
      <c r="BC124" s="116"/>
      <c r="BD124" s="116"/>
      <c r="BE124" s="116"/>
      <c r="BF124" s="116"/>
      <c r="BG124" s="116"/>
      <c r="BH124" s="116"/>
      <c r="BI124" s="116"/>
      <c r="BJ124" s="116"/>
      <c r="BK124" s="116"/>
      <c r="BL124" s="116"/>
      <c r="BM124" s="116"/>
      <c r="BN124" s="116"/>
      <c r="BO124" s="116"/>
      <c r="BP124" s="116"/>
      <c r="BQ124" s="116"/>
      <c r="BR124" s="116"/>
      <c r="BS124" s="116"/>
      <c r="BT124" s="116"/>
      <c r="BU124" s="116"/>
      <c r="BV124" s="116"/>
      <c r="BW124" s="116"/>
      <c r="BX124" s="116"/>
      <c r="BY124" s="116"/>
      <c r="BZ124" s="116"/>
    </row>
    <row r="125" spans="1:78" x14ac:dyDescent="0.2">
      <c r="A125" s="5"/>
      <c r="B125" s="5"/>
      <c r="C125" s="5"/>
      <c r="D125" s="5"/>
      <c r="E125" s="5"/>
      <c r="F125" s="5"/>
      <c r="G125" s="5"/>
      <c r="H125" s="5"/>
      <c r="I125" s="5"/>
      <c r="J125" s="5"/>
      <c r="K125" s="5"/>
      <c r="L125" s="37"/>
      <c r="M125" s="6"/>
      <c r="N125" s="6"/>
      <c r="O125" s="6"/>
      <c r="P125" s="6"/>
      <c r="Q125" s="123"/>
      <c r="R125" s="5"/>
      <c r="S125" s="5"/>
      <c r="T125" s="5"/>
      <c r="U125" s="5"/>
      <c r="V125" s="5"/>
      <c r="W125" s="5"/>
      <c r="X125" s="5"/>
      <c r="Y125" s="5"/>
      <c r="Z125" s="168"/>
      <c r="AA125" s="116"/>
      <c r="AB125" s="116"/>
      <c r="AC125" s="116"/>
      <c r="AD125" s="116"/>
      <c r="AE125" s="116"/>
      <c r="AF125" s="116"/>
      <c r="AG125" s="116"/>
      <c r="AH125" s="116"/>
      <c r="AI125" s="116"/>
      <c r="AJ125" s="116"/>
      <c r="AK125" s="116"/>
      <c r="AL125" s="116"/>
      <c r="AM125" s="116"/>
      <c r="AN125" s="116"/>
      <c r="AO125" s="116"/>
      <c r="AP125" s="116"/>
      <c r="AQ125" s="116"/>
      <c r="AR125" s="116"/>
      <c r="AS125" s="116"/>
      <c r="AT125" s="116"/>
      <c r="AU125" s="116"/>
      <c r="AV125" s="116"/>
      <c r="AW125" s="116"/>
      <c r="AX125" s="116"/>
      <c r="AY125" s="116"/>
      <c r="AZ125" s="116"/>
      <c r="BA125" s="116"/>
      <c r="BB125" s="116"/>
      <c r="BC125" s="116"/>
      <c r="BD125" s="116"/>
      <c r="BE125" s="116"/>
      <c r="BF125" s="116"/>
      <c r="BG125" s="116"/>
      <c r="BH125" s="116"/>
      <c r="BI125" s="116"/>
      <c r="BJ125" s="116"/>
      <c r="BK125" s="116"/>
      <c r="BL125" s="116"/>
      <c r="BM125" s="116"/>
      <c r="BN125" s="116"/>
      <c r="BO125" s="116"/>
      <c r="BP125" s="116"/>
      <c r="BQ125" s="116"/>
      <c r="BR125" s="116"/>
      <c r="BS125" s="116"/>
      <c r="BT125" s="116"/>
      <c r="BU125" s="116"/>
      <c r="BV125" s="116"/>
      <c r="BW125" s="116"/>
      <c r="BX125" s="116"/>
      <c r="BY125" s="116"/>
      <c r="BZ125" s="116"/>
    </row>
    <row r="126" spans="1:78" x14ac:dyDescent="0.2">
      <c r="A126" s="5"/>
      <c r="B126" s="5"/>
      <c r="C126" s="5"/>
      <c r="D126" s="5"/>
      <c r="E126" s="5"/>
      <c r="F126" s="5"/>
      <c r="G126" s="5"/>
      <c r="H126" s="5"/>
      <c r="I126" s="5"/>
      <c r="J126" s="5"/>
      <c r="K126" s="5"/>
      <c r="L126" s="37"/>
      <c r="M126" s="6"/>
      <c r="N126" s="6"/>
      <c r="O126" s="6"/>
      <c r="P126" s="6"/>
      <c r="Q126" s="123"/>
      <c r="R126" s="5"/>
      <c r="S126" s="5"/>
      <c r="T126" s="5"/>
      <c r="U126" s="5"/>
      <c r="V126" s="5"/>
      <c r="W126" s="5"/>
      <c r="X126" s="5"/>
      <c r="Y126" s="5"/>
      <c r="Z126" s="168"/>
      <c r="AA126" s="116"/>
      <c r="AB126" s="116"/>
      <c r="AC126" s="116"/>
      <c r="AD126" s="116"/>
      <c r="AE126" s="116"/>
      <c r="AF126" s="116"/>
      <c r="AG126" s="116"/>
      <c r="AH126" s="116"/>
      <c r="AI126" s="116"/>
      <c r="AJ126" s="116"/>
      <c r="AK126" s="116"/>
      <c r="AL126" s="116"/>
      <c r="AM126" s="116"/>
      <c r="AN126" s="116"/>
      <c r="AO126" s="116"/>
      <c r="AP126" s="116"/>
      <c r="AQ126" s="116"/>
      <c r="AR126" s="116"/>
      <c r="AS126" s="116"/>
      <c r="AT126" s="116"/>
      <c r="AU126" s="116"/>
      <c r="AV126" s="116"/>
      <c r="AW126" s="116"/>
      <c r="AX126" s="116"/>
      <c r="AY126" s="116"/>
      <c r="AZ126" s="116"/>
      <c r="BA126" s="116"/>
      <c r="BB126" s="116"/>
      <c r="BC126" s="116"/>
      <c r="BD126" s="116"/>
      <c r="BE126" s="116"/>
      <c r="BF126" s="116"/>
      <c r="BG126" s="116"/>
      <c r="BH126" s="116"/>
      <c r="BI126" s="116"/>
      <c r="BJ126" s="116"/>
      <c r="BK126" s="116"/>
      <c r="BL126" s="116"/>
      <c r="BM126" s="116"/>
      <c r="BN126" s="116"/>
      <c r="BO126" s="116"/>
      <c r="BP126" s="116"/>
      <c r="BQ126" s="116"/>
      <c r="BR126" s="116"/>
      <c r="BS126" s="116"/>
      <c r="BT126" s="116"/>
      <c r="BU126" s="116"/>
      <c r="BV126" s="116"/>
      <c r="BW126" s="116"/>
      <c r="BX126" s="116"/>
      <c r="BY126" s="116"/>
      <c r="BZ126" s="116"/>
    </row>
    <row r="127" spans="1:78" x14ac:dyDescent="0.2">
      <c r="R127" s="5"/>
      <c r="S127" s="5"/>
      <c r="T127" s="5"/>
      <c r="U127" s="5"/>
      <c r="V127" s="5"/>
      <c r="W127" s="5"/>
      <c r="X127" s="5"/>
      <c r="Y127" s="5"/>
    </row>
    <row r="128" spans="1:78" x14ac:dyDescent="0.2">
      <c r="R128" s="5"/>
      <c r="S128" s="5"/>
      <c r="T128" s="5"/>
      <c r="U128" s="5"/>
      <c r="V128" s="5"/>
      <c r="W128" s="5"/>
      <c r="X128" s="5"/>
      <c r="Y128" s="5"/>
    </row>
    <row r="129" spans="18:25" x14ac:dyDescent="0.2">
      <c r="R129" s="5"/>
      <c r="S129" s="5"/>
      <c r="T129" s="5"/>
      <c r="U129" s="5"/>
      <c r="V129" s="5"/>
      <c r="W129" s="5"/>
      <c r="X129" s="5"/>
      <c r="Y129" s="5"/>
    </row>
    <row r="130" spans="18:25" x14ac:dyDescent="0.2">
      <c r="R130" s="5"/>
      <c r="S130" s="5"/>
      <c r="T130" s="5"/>
      <c r="U130" s="5"/>
      <c r="V130" s="5"/>
      <c r="W130" s="5"/>
      <c r="X130" s="5"/>
      <c r="Y130" s="5"/>
    </row>
    <row r="131" spans="18:25" x14ac:dyDescent="0.2">
      <c r="R131" s="5"/>
      <c r="S131" s="5"/>
      <c r="T131" s="5"/>
      <c r="U131" s="5"/>
      <c r="V131" s="5"/>
      <c r="W131" s="5"/>
      <c r="X131" s="5"/>
      <c r="Y131" s="5"/>
    </row>
    <row r="132" spans="18:25" x14ac:dyDescent="0.2">
      <c r="R132" s="5"/>
      <c r="S132" s="5"/>
      <c r="T132" s="5"/>
      <c r="U132" s="5"/>
      <c r="V132" s="5"/>
      <c r="W132" s="5"/>
      <c r="X132" s="5"/>
      <c r="Y132" s="5"/>
    </row>
    <row r="133" spans="18:25" x14ac:dyDescent="0.2">
      <c r="R133" s="5"/>
      <c r="S133" s="5"/>
      <c r="T133" s="5"/>
      <c r="U133" s="5"/>
      <c r="V133" s="5"/>
      <c r="W133" s="5"/>
      <c r="X133" s="5"/>
      <c r="Y133" s="5"/>
    </row>
    <row r="134" spans="18:25" x14ac:dyDescent="0.2">
      <c r="R134" s="5"/>
      <c r="S134" s="5"/>
      <c r="T134" s="5"/>
      <c r="U134" s="5"/>
      <c r="V134" s="5"/>
      <c r="W134" s="5"/>
      <c r="X134" s="5"/>
      <c r="Y134" s="5"/>
    </row>
    <row r="135" spans="18:25" x14ac:dyDescent="0.2">
      <c r="R135" s="5"/>
      <c r="S135" s="5"/>
      <c r="T135" s="5"/>
      <c r="U135" s="5"/>
      <c r="V135" s="5"/>
      <c r="W135" s="5"/>
      <c r="X135" s="5"/>
      <c r="Y135" s="5"/>
    </row>
    <row r="136" spans="18:25" x14ac:dyDescent="0.2">
      <c r="R136" s="5"/>
      <c r="S136" s="5"/>
      <c r="T136" s="5"/>
      <c r="U136" s="5"/>
      <c r="V136" s="5"/>
      <c r="W136" s="5"/>
      <c r="X136" s="5"/>
      <c r="Y136" s="5"/>
    </row>
    <row r="137" spans="18:25" x14ac:dyDescent="0.2">
      <c r="R137" s="5"/>
      <c r="S137" s="5"/>
      <c r="T137" s="5"/>
      <c r="U137" s="5"/>
      <c r="V137" s="5"/>
      <c r="W137" s="5"/>
      <c r="X137" s="5"/>
      <c r="Y137" s="5"/>
    </row>
    <row r="138" spans="18:25" x14ac:dyDescent="0.2">
      <c r="R138" s="5"/>
      <c r="S138" s="5"/>
      <c r="T138" s="5"/>
      <c r="U138" s="5"/>
      <c r="V138" s="5"/>
      <c r="W138" s="5"/>
      <c r="X138" s="5"/>
      <c r="Y138" s="5"/>
    </row>
    <row r="139" spans="18:25" x14ac:dyDescent="0.2">
      <c r="R139" s="5"/>
      <c r="S139" s="5"/>
      <c r="T139" s="5"/>
      <c r="U139" s="5"/>
      <c r="V139" s="5"/>
      <c r="W139" s="5"/>
      <c r="X139" s="5"/>
      <c r="Y139" s="5"/>
    </row>
    <row r="140" spans="18:25" x14ac:dyDescent="0.2">
      <c r="R140" s="5"/>
      <c r="S140" s="5"/>
      <c r="T140" s="5"/>
      <c r="U140" s="5"/>
      <c r="V140" s="5"/>
      <c r="W140" s="5"/>
      <c r="X140" s="5"/>
      <c r="Y140" s="5"/>
    </row>
    <row r="141" spans="18:25" x14ac:dyDescent="0.2">
      <c r="R141" s="5"/>
      <c r="S141" s="5"/>
      <c r="T141" s="5"/>
      <c r="U141" s="5"/>
      <c r="V141" s="5"/>
      <c r="W141" s="5"/>
      <c r="X141" s="5"/>
      <c r="Y141" s="5"/>
    </row>
    <row r="142" spans="18:25" x14ac:dyDescent="0.2">
      <c r="R142" s="5"/>
      <c r="S142" s="5"/>
      <c r="T142" s="5"/>
      <c r="U142" s="5"/>
      <c r="V142" s="5"/>
      <c r="W142" s="5"/>
      <c r="X142" s="5"/>
      <c r="Y142" s="5"/>
    </row>
    <row r="143" spans="18:25" x14ac:dyDescent="0.2">
      <c r="R143" s="5"/>
      <c r="S143" s="5"/>
      <c r="T143" s="5"/>
      <c r="U143" s="5"/>
      <c r="V143" s="5"/>
      <c r="W143" s="5"/>
      <c r="X143" s="5"/>
      <c r="Y143" s="5"/>
    </row>
    <row r="144" spans="18:25" x14ac:dyDescent="0.2">
      <c r="R144" s="5"/>
      <c r="S144" s="5"/>
      <c r="T144" s="5"/>
      <c r="U144" s="5"/>
      <c r="V144" s="5"/>
      <c r="W144" s="5"/>
      <c r="X144" s="5"/>
      <c r="Y144" s="5"/>
    </row>
    <row r="145" spans="18:25" x14ac:dyDescent="0.2">
      <c r="R145" s="5"/>
      <c r="S145" s="5"/>
      <c r="T145" s="5"/>
      <c r="U145" s="5"/>
      <c r="V145" s="5"/>
      <c r="W145" s="5"/>
      <c r="X145" s="5"/>
      <c r="Y145" s="5"/>
    </row>
    <row r="146" spans="18:25" x14ac:dyDescent="0.2">
      <c r="R146" s="5"/>
      <c r="S146" s="5"/>
      <c r="T146" s="5"/>
      <c r="U146" s="5"/>
      <c r="V146" s="5"/>
      <c r="W146" s="5"/>
      <c r="X146" s="5"/>
      <c r="Y146" s="5"/>
    </row>
    <row r="147" spans="18:25" x14ac:dyDescent="0.2">
      <c r="R147" s="5"/>
      <c r="S147" s="5"/>
      <c r="T147" s="5"/>
      <c r="U147" s="5"/>
      <c r="V147" s="5"/>
      <c r="W147" s="5"/>
      <c r="X147" s="5"/>
      <c r="Y147" s="5"/>
    </row>
    <row r="148" spans="18:25" x14ac:dyDescent="0.2">
      <c r="R148" s="5"/>
      <c r="S148" s="5"/>
      <c r="T148" s="5"/>
      <c r="U148" s="5"/>
      <c r="V148" s="5"/>
      <c r="W148" s="5"/>
      <c r="X148" s="5"/>
      <c r="Y148" s="5"/>
    </row>
    <row r="149" spans="18:25" x14ac:dyDescent="0.2">
      <c r="R149" s="5"/>
      <c r="S149" s="5"/>
      <c r="T149" s="5"/>
      <c r="U149" s="5"/>
      <c r="V149" s="5"/>
      <c r="W149" s="5"/>
      <c r="X149" s="5"/>
      <c r="Y149" s="5"/>
    </row>
    <row r="150" spans="18:25" x14ac:dyDescent="0.2">
      <c r="R150" s="5"/>
      <c r="S150" s="5"/>
      <c r="T150" s="5"/>
      <c r="U150" s="5"/>
      <c r="V150" s="5"/>
      <c r="W150" s="5"/>
      <c r="X150" s="5"/>
      <c r="Y150" s="5"/>
    </row>
    <row r="151" spans="18:25" x14ac:dyDescent="0.2">
      <c r="R151" s="5"/>
      <c r="S151" s="5"/>
      <c r="T151" s="5"/>
      <c r="U151" s="5"/>
      <c r="V151" s="5"/>
      <c r="W151" s="5"/>
      <c r="X151" s="5"/>
      <c r="Y151" s="5"/>
    </row>
    <row r="152" spans="18:25" x14ac:dyDescent="0.2">
      <c r="R152" s="5"/>
      <c r="S152" s="5"/>
      <c r="T152" s="5"/>
      <c r="U152" s="5"/>
      <c r="V152" s="5"/>
      <c r="W152" s="5"/>
      <c r="X152" s="5"/>
      <c r="Y152" s="5"/>
    </row>
    <row r="153" spans="18:25" x14ac:dyDescent="0.2">
      <c r="R153" s="5"/>
      <c r="S153" s="5"/>
      <c r="T153" s="5"/>
      <c r="U153" s="5"/>
      <c r="V153" s="5"/>
      <c r="W153" s="5"/>
      <c r="X153" s="5"/>
      <c r="Y153" s="5"/>
    </row>
    <row r="154" spans="18:25" x14ac:dyDescent="0.2">
      <c r="R154" s="5"/>
      <c r="S154" s="5"/>
      <c r="T154" s="5"/>
      <c r="U154" s="5"/>
      <c r="V154" s="5"/>
      <c r="W154" s="5"/>
      <c r="X154" s="5"/>
      <c r="Y154" s="5"/>
    </row>
    <row r="155" spans="18:25" x14ac:dyDescent="0.2">
      <c r="R155" s="5"/>
      <c r="S155" s="5"/>
      <c r="T155" s="5"/>
      <c r="U155" s="5"/>
      <c r="V155" s="5"/>
      <c r="W155" s="5"/>
      <c r="X155" s="5"/>
      <c r="Y155" s="5"/>
    </row>
    <row r="156" spans="18:25" x14ac:dyDescent="0.2">
      <c r="R156" s="5"/>
      <c r="S156" s="5"/>
      <c r="T156" s="5"/>
      <c r="U156" s="5"/>
      <c r="V156" s="5"/>
      <c r="W156" s="5"/>
      <c r="X156" s="5"/>
      <c r="Y156" s="5"/>
    </row>
    <row r="157" spans="18:25" x14ac:dyDescent="0.2">
      <c r="R157" s="5"/>
      <c r="S157" s="5"/>
      <c r="T157" s="5"/>
      <c r="U157" s="5"/>
      <c r="V157" s="5"/>
      <c r="W157" s="5"/>
      <c r="X157" s="5"/>
      <c r="Y157" s="5"/>
    </row>
    <row r="158" spans="18:25" x14ac:dyDescent="0.2">
      <c r="R158" s="5"/>
      <c r="S158" s="5"/>
      <c r="T158" s="5"/>
      <c r="U158" s="5"/>
      <c r="V158" s="5"/>
      <c r="W158" s="5"/>
      <c r="X158" s="5"/>
      <c r="Y158" s="5"/>
    </row>
    <row r="159" spans="18:25" x14ac:dyDescent="0.2">
      <c r="R159" s="5"/>
      <c r="S159" s="5"/>
      <c r="T159" s="5"/>
      <c r="U159" s="5"/>
      <c r="V159" s="5"/>
      <c r="W159" s="5"/>
      <c r="X159" s="5"/>
      <c r="Y159" s="5"/>
    </row>
    <row r="160" spans="18:25" x14ac:dyDescent="0.2">
      <c r="R160" s="5"/>
      <c r="S160" s="5"/>
      <c r="T160" s="5"/>
      <c r="U160" s="5"/>
      <c r="V160" s="5"/>
      <c r="W160" s="5"/>
      <c r="X160" s="5"/>
      <c r="Y160" s="5"/>
    </row>
    <row r="161" spans="18:25" x14ac:dyDescent="0.2">
      <c r="R161" s="5"/>
      <c r="S161" s="5"/>
      <c r="T161" s="5"/>
      <c r="U161" s="5"/>
      <c r="V161" s="5"/>
      <c r="W161" s="5"/>
      <c r="X161" s="5"/>
      <c r="Y161" s="5"/>
    </row>
    <row r="162" spans="18:25" x14ac:dyDescent="0.2">
      <c r="R162" s="5"/>
      <c r="S162" s="5"/>
      <c r="T162" s="5"/>
      <c r="U162" s="5"/>
      <c r="V162" s="5"/>
      <c r="W162" s="5"/>
      <c r="X162" s="5"/>
      <c r="Y162" s="5"/>
    </row>
    <row r="163" spans="18:25" x14ac:dyDescent="0.2">
      <c r="R163" s="5"/>
      <c r="S163" s="5"/>
      <c r="T163" s="5"/>
      <c r="U163" s="5"/>
      <c r="V163" s="5"/>
      <c r="W163" s="5"/>
      <c r="X163" s="5"/>
      <c r="Y163" s="5"/>
    </row>
    <row r="164" spans="18:25" x14ac:dyDescent="0.2">
      <c r="R164" s="5"/>
      <c r="S164" s="5"/>
      <c r="T164" s="5"/>
      <c r="U164" s="5"/>
      <c r="V164" s="5"/>
      <c r="W164" s="5"/>
      <c r="X164" s="5"/>
      <c r="Y164" s="5"/>
    </row>
    <row r="165" spans="18:25" x14ac:dyDescent="0.2">
      <c r="R165" s="5"/>
      <c r="S165" s="5"/>
      <c r="T165" s="5"/>
      <c r="U165" s="5"/>
      <c r="V165" s="5"/>
      <c r="W165" s="5"/>
      <c r="X165" s="5"/>
      <c r="Y165" s="5"/>
    </row>
    <row r="166" spans="18:25" x14ac:dyDescent="0.2">
      <c r="R166" s="5"/>
      <c r="S166" s="5"/>
      <c r="T166" s="5"/>
      <c r="U166" s="5"/>
      <c r="V166" s="5"/>
      <c r="W166" s="5"/>
      <c r="X166" s="5"/>
      <c r="Y166" s="5"/>
    </row>
    <row r="167" spans="18:25" x14ac:dyDescent="0.2">
      <c r="R167" s="5"/>
      <c r="S167" s="5"/>
      <c r="T167" s="5"/>
      <c r="U167" s="5"/>
      <c r="V167" s="5"/>
      <c r="W167" s="5"/>
      <c r="X167" s="5"/>
      <c r="Y167" s="5"/>
    </row>
    <row r="168" spans="18:25" x14ac:dyDescent="0.2">
      <c r="R168" s="5"/>
      <c r="S168" s="5"/>
      <c r="T168" s="5"/>
      <c r="U168" s="5"/>
      <c r="V168" s="5"/>
      <c r="W168" s="5"/>
      <c r="X168" s="5"/>
      <c r="Y168" s="5"/>
    </row>
    <row r="169" spans="18:25" x14ac:dyDescent="0.2">
      <c r="R169" s="5"/>
      <c r="S169" s="5"/>
      <c r="T169" s="5"/>
      <c r="U169" s="5"/>
      <c r="V169" s="5"/>
      <c r="W169" s="5"/>
      <c r="X169" s="5"/>
      <c r="Y169" s="5"/>
    </row>
    <row r="170" spans="18:25" x14ac:dyDescent="0.2">
      <c r="R170" s="5"/>
      <c r="S170" s="5"/>
      <c r="T170" s="5"/>
      <c r="U170" s="5"/>
      <c r="V170" s="5"/>
      <c r="W170" s="5"/>
      <c r="X170" s="5"/>
      <c r="Y170" s="5"/>
    </row>
    <row r="171" spans="18:25" x14ac:dyDescent="0.2">
      <c r="R171" s="5"/>
      <c r="S171" s="5"/>
      <c r="T171" s="5"/>
      <c r="U171" s="5"/>
      <c r="V171" s="5"/>
      <c r="W171" s="5"/>
      <c r="X171" s="5"/>
      <c r="Y171" s="5"/>
    </row>
    <row r="172" spans="18:25" x14ac:dyDescent="0.2">
      <c r="R172" s="5"/>
      <c r="S172" s="5"/>
      <c r="T172" s="5"/>
      <c r="U172" s="5"/>
      <c r="V172" s="5"/>
      <c r="W172" s="5"/>
      <c r="X172" s="5"/>
      <c r="Y172" s="5"/>
    </row>
    <row r="173" spans="18:25" x14ac:dyDescent="0.2">
      <c r="R173" s="5"/>
      <c r="S173" s="5"/>
      <c r="T173" s="5"/>
      <c r="U173" s="5"/>
      <c r="V173" s="5"/>
      <c r="W173" s="5"/>
      <c r="X173" s="5"/>
      <c r="Y173" s="5"/>
    </row>
    <row r="174" spans="18:25" x14ac:dyDescent="0.2">
      <c r="R174" s="5"/>
      <c r="S174" s="5"/>
      <c r="T174" s="5"/>
      <c r="U174" s="5"/>
      <c r="V174" s="5"/>
      <c r="W174" s="5"/>
      <c r="X174" s="5"/>
      <c r="Y174" s="5"/>
    </row>
    <row r="175" spans="18:25" x14ac:dyDescent="0.2">
      <c r="R175" s="5"/>
      <c r="S175" s="5"/>
      <c r="T175" s="5"/>
      <c r="U175" s="5"/>
      <c r="V175" s="5"/>
      <c r="W175" s="5"/>
      <c r="X175" s="5"/>
      <c r="Y175" s="5"/>
    </row>
    <row r="176" spans="18:25" x14ac:dyDescent="0.2">
      <c r="R176" s="5"/>
      <c r="S176" s="5"/>
      <c r="T176" s="5"/>
      <c r="U176" s="5"/>
      <c r="V176" s="5"/>
      <c r="W176" s="5"/>
      <c r="X176" s="5"/>
      <c r="Y176" s="5"/>
    </row>
    <row r="177" spans="18:25" x14ac:dyDescent="0.2">
      <c r="R177" s="5"/>
      <c r="S177" s="5"/>
      <c r="T177" s="5"/>
      <c r="U177" s="5"/>
      <c r="V177" s="5"/>
      <c r="W177" s="5"/>
      <c r="X177" s="5"/>
      <c r="Y177" s="5"/>
    </row>
    <row r="178" spans="18:25" x14ac:dyDescent="0.2">
      <c r="R178" s="5"/>
      <c r="S178" s="5"/>
      <c r="T178" s="5"/>
      <c r="U178" s="5"/>
      <c r="V178" s="5"/>
      <c r="W178" s="5"/>
      <c r="X178" s="5"/>
      <c r="Y178" s="5"/>
    </row>
    <row r="179" spans="18:25" x14ac:dyDescent="0.2">
      <c r="R179" s="5"/>
      <c r="S179" s="5"/>
      <c r="T179" s="5"/>
      <c r="U179" s="5"/>
      <c r="V179" s="5"/>
      <c r="W179" s="5"/>
      <c r="X179" s="5"/>
      <c r="Y179" s="5"/>
    </row>
    <row r="180" spans="18:25" x14ac:dyDescent="0.2">
      <c r="R180" s="5"/>
      <c r="S180" s="5"/>
      <c r="T180" s="5"/>
      <c r="U180" s="5"/>
      <c r="V180" s="5"/>
      <c r="W180" s="5"/>
      <c r="X180" s="5"/>
      <c r="Y180" s="5"/>
    </row>
    <row r="181" spans="18:25" x14ac:dyDescent="0.2">
      <c r="R181" s="5"/>
      <c r="S181" s="5"/>
      <c r="T181" s="5"/>
      <c r="U181" s="5"/>
      <c r="V181" s="5"/>
      <c r="W181" s="5"/>
      <c r="X181" s="5"/>
      <c r="Y181" s="5"/>
    </row>
    <row r="182" spans="18:25" x14ac:dyDescent="0.2">
      <c r="R182" s="5"/>
      <c r="S182" s="5"/>
      <c r="T182" s="5"/>
      <c r="U182" s="5"/>
      <c r="V182" s="5"/>
      <c r="W182" s="5"/>
      <c r="X182" s="5"/>
      <c r="Y182" s="5"/>
    </row>
    <row r="183" spans="18:25" x14ac:dyDescent="0.2">
      <c r="R183" s="5"/>
      <c r="S183" s="5"/>
      <c r="T183" s="5"/>
      <c r="U183" s="5"/>
      <c r="V183" s="5"/>
      <c r="W183" s="5"/>
      <c r="X183" s="5"/>
      <c r="Y183" s="5"/>
    </row>
    <row r="184" spans="18:25" x14ac:dyDescent="0.2">
      <c r="R184" s="5"/>
      <c r="S184" s="5"/>
      <c r="T184" s="5"/>
      <c r="U184" s="5"/>
      <c r="V184" s="5"/>
      <c r="W184" s="5"/>
      <c r="X184" s="5"/>
      <c r="Y184" s="5"/>
    </row>
    <row r="185" spans="18:25" x14ac:dyDescent="0.2">
      <c r="R185" s="5"/>
      <c r="S185" s="5"/>
      <c r="T185" s="5"/>
      <c r="U185" s="5"/>
      <c r="V185" s="5"/>
      <c r="W185" s="5"/>
      <c r="X185" s="5"/>
      <c r="Y185" s="5"/>
    </row>
    <row r="186" spans="18:25" x14ac:dyDescent="0.2">
      <c r="R186" s="5"/>
      <c r="S186" s="5"/>
      <c r="T186" s="5"/>
      <c r="U186" s="5"/>
      <c r="V186" s="5"/>
      <c r="W186" s="5"/>
      <c r="X186" s="5"/>
      <c r="Y186" s="5"/>
    </row>
    <row r="187" spans="18:25" x14ac:dyDescent="0.2">
      <c r="R187" s="5"/>
      <c r="S187" s="5"/>
      <c r="T187" s="5"/>
      <c r="U187" s="5"/>
      <c r="V187" s="5"/>
      <c r="W187" s="5"/>
      <c r="X187" s="5"/>
      <c r="Y187" s="5"/>
    </row>
    <row r="188" spans="18:25" x14ac:dyDescent="0.2">
      <c r="R188" s="5"/>
      <c r="S188" s="5"/>
      <c r="T188" s="5"/>
      <c r="U188" s="5"/>
      <c r="V188" s="5"/>
      <c r="W188" s="5"/>
      <c r="X188" s="5"/>
      <c r="Y188" s="5"/>
    </row>
    <row r="189" spans="18:25" x14ac:dyDescent="0.2">
      <c r="R189" s="5"/>
      <c r="S189" s="5"/>
      <c r="T189" s="5"/>
      <c r="U189" s="5"/>
      <c r="V189" s="5"/>
      <c r="W189" s="5"/>
      <c r="X189" s="5"/>
      <c r="Y189" s="5"/>
    </row>
    <row r="190" spans="18:25" x14ac:dyDescent="0.2">
      <c r="R190" s="5"/>
      <c r="S190" s="5"/>
      <c r="T190" s="5"/>
      <c r="U190" s="5"/>
      <c r="V190" s="5"/>
      <c r="W190" s="5"/>
      <c r="X190" s="5"/>
      <c r="Y190" s="5"/>
    </row>
    <row r="191" spans="18:25" x14ac:dyDescent="0.2">
      <c r="R191" s="5"/>
      <c r="S191" s="5"/>
      <c r="T191" s="5"/>
      <c r="U191" s="5"/>
      <c r="V191" s="5"/>
      <c r="W191" s="5"/>
      <c r="X191" s="5"/>
      <c r="Y191" s="5"/>
    </row>
    <row r="192" spans="18:25" x14ac:dyDescent="0.2">
      <c r="R192" s="5"/>
      <c r="S192" s="5"/>
      <c r="T192" s="5"/>
      <c r="U192" s="5"/>
      <c r="V192" s="5"/>
      <c r="W192" s="5"/>
      <c r="X192" s="5"/>
      <c r="Y192" s="5"/>
    </row>
    <row r="193" spans="18:25" x14ac:dyDescent="0.2">
      <c r="R193" s="5"/>
      <c r="S193" s="5"/>
      <c r="T193" s="5"/>
      <c r="U193" s="5"/>
      <c r="V193" s="5"/>
      <c r="W193" s="5"/>
      <c r="X193" s="5"/>
      <c r="Y193" s="5"/>
    </row>
    <row r="194" spans="18:25" x14ac:dyDescent="0.2">
      <c r="R194" s="5"/>
      <c r="S194" s="5"/>
      <c r="T194" s="5"/>
      <c r="U194" s="5"/>
      <c r="V194" s="5"/>
      <c r="W194" s="5"/>
      <c r="X194" s="5"/>
      <c r="Y194" s="5"/>
    </row>
    <row r="195" spans="18:25" x14ac:dyDescent="0.2">
      <c r="R195" s="5"/>
      <c r="S195" s="5"/>
      <c r="T195" s="5"/>
      <c r="U195" s="5"/>
      <c r="V195" s="5"/>
      <c r="W195" s="5"/>
      <c r="X195" s="5"/>
      <c r="Y195" s="5"/>
    </row>
    <row r="196" spans="18:25" x14ac:dyDescent="0.2">
      <c r="R196" s="5"/>
      <c r="S196" s="5"/>
      <c r="T196" s="5"/>
      <c r="U196" s="5"/>
      <c r="V196" s="5"/>
      <c r="W196" s="5"/>
      <c r="X196" s="5"/>
      <c r="Y196" s="5"/>
    </row>
    <row r="197" spans="18:25" x14ac:dyDescent="0.2">
      <c r="R197" s="5"/>
      <c r="S197" s="5"/>
      <c r="T197" s="5"/>
      <c r="U197" s="5"/>
      <c r="V197" s="5"/>
      <c r="W197" s="5"/>
      <c r="X197" s="5"/>
      <c r="Y197" s="5"/>
    </row>
    <row r="198" spans="18:25" x14ac:dyDescent="0.2">
      <c r="R198" s="5"/>
      <c r="S198" s="5"/>
      <c r="T198" s="5"/>
      <c r="U198" s="5"/>
      <c r="V198" s="5"/>
      <c r="W198" s="5"/>
      <c r="X198" s="5"/>
      <c r="Y198" s="5"/>
    </row>
    <row r="199" spans="18:25" x14ac:dyDescent="0.2">
      <c r="R199" s="5"/>
      <c r="S199" s="5"/>
      <c r="T199" s="5"/>
      <c r="U199" s="5"/>
      <c r="V199" s="5"/>
      <c r="W199" s="5"/>
      <c r="X199" s="5"/>
      <c r="Y199" s="5"/>
    </row>
    <row r="200" spans="18:25" x14ac:dyDescent="0.2">
      <c r="R200" s="5"/>
      <c r="S200" s="5"/>
      <c r="T200" s="5"/>
      <c r="U200" s="5"/>
      <c r="V200" s="5"/>
      <c r="W200" s="5"/>
      <c r="X200" s="5"/>
      <c r="Y200" s="5"/>
    </row>
    <row r="201" spans="18:25" x14ac:dyDescent="0.2">
      <c r="R201" s="5"/>
      <c r="S201" s="5"/>
      <c r="T201" s="5"/>
      <c r="U201" s="5"/>
      <c r="V201" s="5"/>
      <c r="W201" s="5"/>
      <c r="X201" s="5"/>
      <c r="Y201" s="5"/>
    </row>
    <row r="202" spans="18:25" x14ac:dyDescent="0.2">
      <c r="R202" s="5"/>
      <c r="S202" s="5"/>
      <c r="T202" s="5"/>
      <c r="U202" s="5"/>
      <c r="V202" s="5"/>
      <c r="W202" s="5"/>
      <c r="X202" s="5"/>
      <c r="Y202" s="5"/>
    </row>
    <row r="203" spans="18:25" x14ac:dyDescent="0.2">
      <c r="R203" s="5"/>
      <c r="S203" s="5"/>
      <c r="T203" s="5"/>
      <c r="U203" s="5"/>
      <c r="V203" s="5"/>
      <c r="W203" s="5"/>
      <c r="X203" s="5"/>
      <c r="Y203" s="5"/>
    </row>
    <row r="204" spans="18:25" x14ac:dyDescent="0.2">
      <c r="R204" s="5"/>
      <c r="S204" s="5"/>
      <c r="T204" s="5"/>
      <c r="U204" s="5"/>
      <c r="V204" s="5"/>
      <c r="W204" s="5"/>
      <c r="X204" s="5"/>
      <c r="Y204" s="5"/>
    </row>
    <row r="205" spans="18:25" x14ac:dyDescent="0.2">
      <c r="R205" s="5"/>
      <c r="S205" s="5"/>
      <c r="T205" s="5"/>
      <c r="U205" s="5"/>
      <c r="V205" s="5"/>
      <c r="W205" s="5"/>
      <c r="X205" s="5"/>
      <c r="Y205" s="5"/>
    </row>
    <row r="206" spans="18:25" x14ac:dyDescent="0.2">
      <c r="R206" s="5"/>
      <c r="S206" s="5"/>
      <c r="T206" s="5"/>
      <c r="U206" s="5"/>
      <c r="V206" s="5"/>
      <c r="W206" s="5"/>
      <c r="X206" s="5"/>
      <c r="Y206" s="5"/>
    </row>
    <row r="207" spans="18:25" x14ac:dyDescent="0.2">
      <c r="R207" s="5"/>
      <c r="S207" s="5"/>
      <c r="T207" s="5"/>
      <c r="U207" s="5"/>
      <c r="V207" s="5"/>
      <c r="W207" s="5"/>
      <c r="X207" s="5"/>
      <c r="Y207" s="5"/>
    </row>
    <row r="208" spans="18:25" x14ac:dyDescent="0.2">
      <c r="R208" s="5"/>
      <c r="S208" s="5"/>
      <c r="T208" s="5"/>
      <c r="U208" s="5"/>
      <c r="V208" s="5"/>
      <c r="W208" s="5"/>
      <c r="X208" s="5"/>
      <c r="Y208" s="5"/>
    </row>
    <row r="209" spans="18:25" x14ac:dyDescent="0.2">
      <c r="R209" s="5"/>
      <c r="S209" s="5"/>
      <c r="T209" s="5"/>
      <c r="U209" s="5"/>
      <c r="V209" s="5"/>
      <c r="W209" s="5"/>
      <c r="X209" s="5"/>
      <c r="Y209" s="5"/>
    </row>
  </sheetData>
  <dataConsolidate/>
  <mergeCells count="77">
    <mergeCell ref="BI8:BI9"/>
    <mergeCell ref="BA8:BA9"/>
    <mergeCell ref="BB8:BB9"/>
    <mergeCell ref="BH8:BH9"/>
    <mergeCell ref="A12:F12"/>
    <mergeCell ref="AN8:AN9"/>
    <mergeCell ref="AO8:AO9"/>
    <mergeCell ref="AQ8:AQ9"/>
    <mergeCell ref="BE8:BE9"/>
    <mergeCell ref="BD8:BD9"/>
    <mergeCell ref="AE8:AE9"/>
    <mergeCell ref="Z8:Z9"/>
    <mergeCell ref="AA8:AA9"/>
    <mergeCell ref="AB8:AB9"/>
    <mergeCell ref="AD8:AD9"/>
    <mergeCell ref="BU8:BU9"/>
    <mergeCell ref="A38:F38"/>
    <mergeCell ref="A29:G29"/>
    <mergeCell ref="A11:D11"/>
    <mergeCell ref="R8:Y8"/>
    <mergeCell ref="A37:C37"/>
    <mergeCell ref="A30:F30"/>
    <mergeCell ref="A21:D21"/>
    <mergeCell ref="A8:L8"/>
    <mergeCell ref="A22:F22"/>
    <mergeCell ref="AT8:AT9"/>
    <mergeCell ref="AC8:AC9"/>
    <mergeCell ref="BF8:BF9"/>
    <mergeCell ref="AG8:AG9"/>
    <mergeCell ref="AP8:AP9"/>
    <mergeCell ref="AH8:AH9"/>
    <mergeCell ref="BR8:BR9"/>
    <mergeCell ref="AF8:AF9"/>
    <mergeCell ref="BO8:BO9"/>
    <mergeCell ref="BP8:BP9"/>
    <mergeCell ref="AI8:AI9"/>
    <mergeCell ref="AJ8:AJ9"/>
    <mergeCell ref="AM8:AM9"/>
    <mergeCell ref="BQ8:BQ9"/>
    <mergeCell ref="AK8:AK9"/>
    <mergeCell ref="AR8:AR9"/>
    <mergeCell ref="BG8:BG9"/>
    <mergeCell ref="AS8:AS9"/>
    <mergeCell ref="BC8:BC9"/>
    <mergeCell ref="AW8:AW9"/>
    <mergeCell ref="AZ8:AZ9"/>
    <mergeCell ref="AY8:AY9"/>
    <mergeCell ref="A1:J1"/>
    <mergeCell ref="A2:J2"/>
    <mergeCell ref="D5:E5"/>
    <mergeCell ref="AB7:AD7"/>
    <mergeCell ref="Z6:BZ6"/>
    <mergeCell ref="L2:S2"/>
    <mergeCell ref="BT7:BV7"/>
    <mergeCell ref="BX7:BY7"/>
    <mergeCell ref="BK7:BL7"/>
    <mergeCell ref="A7:Y7"/>
    <mergeCell ref="L4:S5"/>
    <mergeCell ref="BM7:BR7"/>
    <mergeCell ref="BD7:BF7"/>
    <mergeCell ref="BH7:BJ7"/>
    <mergeCell ref="BT8:BT9"/>
    <mergeCell ref="BZ8:BZ9"/>
    <mergeCell ref="AQ7:AT7"/>
    <mergeCell ref="AU7:AV7"/>
    <mergeCell ref="BW8:BW9"/>
    <mergeCell ref="BX8:BX9"/>
    <mergeCell ref="AU8:AU9"/>
    <mergeCell ref="BM8:BM9"/>
    <mergeCell ref="BK8:BK9"/>
    <mergeCell ref="AV8:AV9"/>
    <mergeCell ref="BL8:BL9"/>
    <mergeCell ref="BS8:BS9"/>
    <mergeCell ref="BJ8:BJ9"/>
    <mergeCell ref="BN8:BN9"/>
    <mergeCell ref="BV8:BV9"/>
    <mergeCell ref="BY8:BY9"/>
  </mergeCells>
  <phoneticPr fontId="21"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Sheet2.placeOrder">
                <anchor moveWithCells="1">
                  <from>
                    <xdr:col>0</xdr:col>
                    <xdr:colOff>1238250</xdr:colOff>
                    <xdr:row>1</xdr:row>
                    <xdr:rowOff>85725</xdr:rowOff>
                  </from>
                  <to>
                    <xdr:col>2</xdr:col>
                    <xdr:colOff>762000</xdr:colOff>
                    <xdr:row>1</xdr:row>
                    <xdr:rowOff>285750</xdr:rowOff>
                  </to>
                </anchor>
              </controlPr>
            </control>
          </mc:Choice>
        </mc:AlternateContent>
        <mc:AlternateContent xmlns:mc="http://schemas.openxmlformats.org/markup-compatibility/2006">
          <mc:Choice Requires="x14">
            <control shapeId="30722" r:id="rId5" name="Button 2">
              <controlPr defaultSize="0" print="0" autoFill="0" autoPict="0" macro="[0]!Sheet2.cancelOrder">
                <anchor moveWithCells="1">
                  <from>
                    <xdr:col>3</xdr:col>
                    <xdr:colOff>314325</xdr:colOff>
                    <xdr:row>1</xdr:row>
                    <xdr:rowOff>85725</xdr:rowOff>
                  </from>
                  <to>
                    <xdr:col>5</xdr:col>
                    <xdr:colOff>447675</xdr:colOff>
                    <xdr:row>1</xdr:row>
                    <xdr:rowOff>285750</xdr:rowOff>
                  </to>
                </anchor>
              </controlPr>
            </control>
          </mc:Choice>
        </mc:AlternateContent>
        <mc:AlternateContent xmlns:mc="http://schemas.openxmlformats.org/markup-compatibility/2006">
          <mc:Choice Requires="x14">
            <control shapeId="30723" r:id="rId6" name="Button 3">
              <controlPr defaultSize="0" print="0" autoFill="0" autoPict="0" macro="[0]!Sheet2.onShowError">
                <anchor moveWithCells="1">
                  <from>
                    <xdr:col>8</xdr:col>
                    <xdr:colOff>285750</xdr:colOff>
                    <xdr:row>1</xdr:row>
                    <xdr:rowOff>85725</xdr:rowOff>
                  </from>
                  <to>
                    <xdr:col>9</xdr:col>
                    <xdr:colOff>57150</xdr:colOff>
                    <xdr:row>1</xdr:row>
                    <xdr:rowOff>285750</xdr:rowOff>
                  </to>
                </anchor>
              </controlPr>
            </control>
          </mc:Choice>
        </mc:AlternateContent>
        <mc:AlternateContent xmlns:mc="http://schemas.openxmlformats.org/markup-compatibility/2006">
          <mc:Choice Requires="x14">
            <control shapeId="30724" r:id="rId7" name="Button 4">
              <controlPr defaultSize="0" print="0" autoFill="0" autoPict="0" macro="[0]!createComboLegs">
                <anchor moveWithCells="1">
                  <from>
                    <xdr:col>0</xdr:col>
                    <xdr:colOff>123825</xdr:colOff>
                    <xdr:row>1</xdr:row>
                    <xdr:rowOff>85725</xdr:rowOff>
                  </from>
                  <to>
                    <xdr:col>0</xdr:col>
                    <xdr:colOff>1000125</xdr:colOff>
                    <xdr:row>1</xdr:row>
                    <xdr:rowOff>285750</xdr:rowOff>
                  </to>
                </anchor>
              </controlPr>
            </control>
          </mc:Choice>
        </mc:AlternateContent>
        <mc:AlternateContent xmlns:mc="http://schemas.openxmlformats.org/markup-compatibility/2006">
          <mc:Choice Requires="x14">
            <control shapeId="30725" r:id="rId8" name="Button 5">
              <controlPr defaultSize="0" print="0" autoFill="0" autoPict="0" macro="[0]!Sheet2.applyTemplate">
                <anchor moveWithCells="1">
                  <from>
                    <xdr:col>6</xdr:col>
                    <xdr:colOff>114300</xdr:colOff>
                    <xdr:row>1</xdr:row>
                    <xdr:rowOff>85725</xdr:rowOff>
                  </from>
                  <to>
                    <xdr:col>8</xdr:col>
                    <xdr:colOff>133350</xdr:colOff>
                    <xdr:row>1</xdr:row>
                    <xdr:rowOff>285750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U209"/>
  <sheetViews>
    <sheetView zoomScale="80" zoomScaleNormal="80" workbookViewId="0">
      <selection activeCell="Q35" sqref="Q35"/>
    </sheetView>
  </sheetViews>
  <sheetFormatPr defaultRowHeight="12.75" x14ac:dyDescent="0.2"/>
  <cols>
    <col min="3" max="3" width="14.7109375" customWidth="1"/>
    <col min="8" max="8" width="12" bestFit="1" customWidth="1"/>
    <col min="9" max="9" width="18.5703125" customWidth="1"/>
    <col min="10" max="10" width="18.140625" customWidth="1"/>
    <col min="11" max="11" width="8.5703125" bestFit="1" customWidth="1"/>
    <col min="15" max="15" width="7" customWidth="1"/>
    <col min="16" max="16" width="12.42578125" customWidth="1"/>
    <col min="17" max="17" width="5.5703125" customWidth="1"/>
    <col min="18" max="19" width="10.7109375" customWidth="1"/>
    <col min="20" max="20" width="20" customWidth="1"/>
  </cols>
  <sheetData>
    <row r="1" spans="1:21" x14ac:dyDescent="0.2">
      <c r="A1" s="360" t="s">
        <v>48</v>
      </c>
      <c r="B1" s="274"/>
      <c r="C1" s="274"/>
      <c r="D1" s="274"/>
      <c r="E1" s="275"/>
      <c r="F1" s="26"/>
    </row>
    <row r="2" spans="1:21" ht="28.5" customHeight="1" x14ac:dyDescent="0.2">
      <c r="A2" s="457"/>
      <c r="B2" s="277"/>
      <c r="C2" s="277"/>
      <c r="D2" s="277"/>
      <c r="E2" s="278"/>
      <c r="F2" s="26"/>
      <c r="J2" s="478" t="s">
        <v>392</v>
      </c>
      <c r="K2" s="479"/>
      <c r="L2" s="479"/>
      <c r="M2" s="479"/>
      <c r="N2" s="479"/>
      <c r="O2" s="480"/>
    </row>
    <row r="3" spans="1:21" ht="12.75" customHeight="1" x14ac:dyDescent="0.2">
      <c r="I3" s="27"/>
      <c r="K3" s="177"/>
      <c r="L3" s="177"/>
      <c r="M3" s="177"/>
    </row>
    <row r="4" spans="1:21" x14ac:dyDescent="0.2">
      <c r="A4" s="408" t="s">
        <v>52</v>
      </c>
      <c r="B4" s="424"/>
      <c r="C4" s="424"/>
      <c r="D4" s="424"/>
      <c r="E4" s="424"/>
      <c r="F4" s="424"/>
      <c r="G4" s="425"/>
      <c r="M4" s="177"/>
    </row>
    <row r="5" spans="1:21" x14ac:dyDescent="0.2">
      <c r="A5" s="323" t="s">
        <v>59</v>
      </c>
      <c r="B5" s="426"/>
      <c r="C5" s="350"/>
      <c r="D5" s="427"/>
      <c r="E5" s="428"/>
      <c r="F5" s="17"/>
      <c r="G5" s="18"/>
      <c r="M5" s="177"/>
    </row>
    <row r="7" spans="1:21" x14ac:dyDescent="0.2">
      <c r="A7" s="429" t="s">
        <v>319</v>
      </c>
      <c r="B7" s="265"/>
      <c r="C7" s="265"/>
      <c r="D7" s="265"/>
      <c r="E7" s="265"/>
      <c r="F7" s="265"/>
      <c r="G7" s="265"/>
      <c r="H7" s="265"/>
      <c r="I7" s="265"/>
      <c r="J7" s="265"/>
      <c r="K7" s="265"/>
      <c r="L7" s="265"/>
      <c r="M7" s="265"/>
      <c r="N7" s="265"/>
      <c r="O7" s="265"/>
      <c r="P7" s="265"/>
      <c r="Q7" s="461"/>
      <c r="S7" s="481" t="s">
        <v>126</v>
      </c>
      <c r="T7" s="481"/>
      <c r="U7" s="482"/>
    </row>
    <row r="8" spans="1:21" x14ac:dyDescent="0.2">
      <c r="A8" s="344" t="s">
        <v>95</v>
      </c>
      <c r="B8" s="345"/>
      <c r="C8" s="345"/>
      <c r="D8" s="345"/>
      <c r="E8" s="345"/>
      <c r="F8" s="345"/>
      <c r="G8" s="431"/>
      <c r="H8" s="279" t="s">
        <v>9</v>
      </c>
      <c r="I8" s="277"/>
      <c r="J8" s="277"/>
      <c r="K8" s="277"/>
      <c r="L8" s="277"/>
      <c r="M8" s="277"/>
      <c r="N8" s="277"/>
      <c r="O8" s="277"/>
      <c r="P8" s="277"/>
      <c r="Q8" s="278"/>
      <c r="S8" s="483"/>
      <c r="T8" s="426"/>
      <c r="U8" s="484"/>
    </row>
    <row r="9" spans="1:21" x14ac:dyDescent="0.2">
      <c r="A9" s="110" t="s">
        <v>10</v>
      </c>
      <c r="B9" s="110" t="s">
        <v>22</v>
      </c>
      <c r="C9" s="110" t="s">
        <v>565</v>
      </c>
      <c r="D9" s="110" t="s">
        <v>11</v>
      </c>
      <c r="E9" s="110" t="s">
        <v>24</v>
      </c>
      <c r="F9" s="110" t="s">
        <v>13</v>
      </c>
      <c r="G9" s="110" t="s">
        <v>41</v>
      </c>
      <c r="H9" s="110" t="s">
        <v>101</v>
      </c>
      <c r="I9" s="110" t="s">
        <v>102</v>
      </c>
      <c r="J9" s="111" t="s">
        <v>103</v>
      </c>
      <c r="K9" s="111" t="s">
        <v>74</v>
      </c>
      <c r="L9" s="113" t="s">
        <v>13</v>
      </c>
      <c r="M9" s="112" t="s">
        <v>104</v>
      </c>
      <c r="N9" s="113" t="s">
        <v>15</v>
      </c>
      <c r="O9" s="113" t="s">
        <v>35</v>
      </c>
      <c r="P9" s="111" t="s">
        <v>114</v>
      </c>
      <c r="Q9" s="164" t="s">
        <v>23</v>
      </c>
      <c r="S9" s="42" t="s">
        <v>130</v>
      </c>
      <c r="T9" s="41"/>
      <c r="U9" s="43"/>
    </row>
    <row r="10" spans="1:21" x14ac:dyDescent="0.2">
      <c r="A10" s="6"/>
      <c r="B10" s="6"/>
      <c r="C10" s="6"/>
      <c r="D10" s="6"/>
      <c r="E10" s="6"/>
      <c r="F10" s="6"/>
      <c r="G10" s="123"/>
      <c r="H10" s="5"/>
      <c r="I10" s="5"/>
      <c r="J10" s="5"/>
      <c r="K10" s="5"/>
      <c r="L10" s="5"/>
      <c r="M10" s="5"/>
      <c r="N10" s="5"/>
      <c r="O10" s="5"/>
      <c r="P10" s="5"/>
      <c r="Q10" s="5"/>
      <c r="S10" s="42" t="s">
        <v>125</v>
      </c>
      <c r="T10" s="36"/>
      <c r="U10" s="46"/>
    </row>
    <row r="11" spans="1:21" x14ac:dyDescent="0.2">
      <c r="A11" s="6"/>
      <c r="B11" s="6"/>
      <c r="C11" s="6"/>
      <c r="D11" s="6"/>
      <c r="E11" s="6"/>
      <c r="F11" s="6"/>
      <c r="G11" s="123"/>
      <c r="H11" s="5"/>
      <c r="I11" s="5"/>
      <c r="J11" s="5"/>
      <c r="K11" s="5"/>
      <c r="L11" s="5"/>
      <c r="M11" s="5"/>
      <c r="N11" s="5"/>
      <c r="O11" s="5"/>
      <c r="P11" s="5"/>
      <c r="Q11" s="5"/>
      <c r="S11" s="44" t="s">
        <v>127</v>
      </c>
      <c r="T11" s="36"/>
      <c r="U11" s="47" t="s">
        <v>131</v>
      </c>
    </row>
    <row r="12" spans="1:21" x14ac:dyDescent="0.2">
      <c r="A12" s="6"/>
      <c r="B12" s="6"/>
      <c r="C12" s="6"/>
      <c r="D12" s="6"/>
      <c r="E12" s="6"/>
      <c r="F12" s="6"/>
      <c r="G12" s="123"/>
      <c r="H12" s="5"/>
      <c r="I12" s="5"/>
      <c r="J12" s="5"/>
      <c r="K12" s="5"/>
      <c r="L12" s="5"/>
      <c r="M12" s="5"/>
      <c r="N12" s="5"/>
      <c r="O12" s="5"/>
      <c r="P12" s="5"/>
      <c r="Q12" s="5"/>
      <c r="S12" s="44" t="s">
        <v>103</v>
      </c>
      <c r="T12" s="48"/>
      <c r="U12" s="47" t="s">
        <v>132</v>
      </c>
    </row>
    <row r="13" spans="1:21" x14ac:dyDescent="0.2">
      <c r="A13" s="6"/>
      <c r="B13" s="6"/>
      <c r="C13" s="6"/>
      <c r="D13" s="6"/>
      <c r="E13" s="6"/>
      <c r="F13" s="6"/>
      <c r="G13" s="123"/>
      <c r="H13" s="5"/>
      <c r="I13" s="5"/>
      <c r="J13" s="5"/>
      <c r="K13" s="5"/>
      <c r="L13" s="5"/>
      <c r="M13" s="5"/>
      <c r="N13" s="5"/>
      <c r="O13" s="5"/>
      <c r="P13" s="5"/>
      <c r="Q13" s="5"/>
      <c r="S13" s="44" t="s">
        <v>10</v>
      </c>
      <c r="T13" s="36"/>
      <c r="U13" s="46"/>
    </row>
    <row r="14" spans="1:21" x14ac:dyDescent="0.2">
      <c r="A14" s="6"/>
      <c r="B14" s="6"/>
      <c r="C14" s="6"/>
      <c r="D14" s="6"/>
      <c r="E14" s="6"/>
      <c r="F14" s="6"/>
      <c r="G14" s="123"/>
      <c r="H14" s="5"/>
      <c r="I14" s="5"/>
      <c r="J14" s="5"/>
      <c r="K14" s="5"/>
      <c r="L14" s="5"/>
      <c r="M14" s="5"/>
      <c r="N14" s="5"/>
      <c r="O14" s="5"/>
      <c r="P14" s="5"/>
      <c r="Q14" s="5"/>
      <c r="S14" s="44" t="s">
        <v>65</v>
      </c>
      <c r="T14" s="36"/>
      <c r="U14" s="46"/>
    </row>
    <row r="15" spans="1:21" x14ac:dyDescent="0.2">
      <c r="A15" s="6"/>
      <c r="B15" s="6"/>
      <c r="C15" s="6"/>
      <c r="D15" s="6"/>
      <c r="E15" s="6"/>
      <c r="F15" s="6"/>
      <c r="G15" s="123"/>
      <c r="H15" s="5"/>
      <c r="I15" s="5"/>
      <c r="J15" s="5"/>
      <c r="K15" s="5"/>
      <c r="L15" s="5"/>
      <c r="M15" s="5"/>
      <c r="N15" s="5"/>
      <c r="O15" s="5"/>
      <c r="P15" s="5"/>
      <c r="Q15" s="5"/>
      <c r="S15" s="44" t="s">
        <v>13</v>
      </c>
      <c r="T15" s="36"/>
      <c r="U15" s="46"/>
    </row>
    <row r="16" spans="1:21" x14ac:dyDescent="0.2">
      <c r="A16" s="6"/>
      <c r="B16" s="6"/>
      <c r="C16" s="6"/>
      <c r="D16" s="6"/>
      <c r="E16" s="6"/>
      <c r="F16" s="6"/>
      <c r="G16" s="123"/>
      <c r="H16" s="5"/>
      <c r="I16" s="5"/>
      <c r="J16" s="5"/>
      <c r="K16" s="5"/>
      <c r="L16" s="5"/>
      <c r="M16" s="5"/>
      <c r="N16" s="5"/>
      <c r="O16" s="5"/>
      <c r="P16" s="5"/>
      <c r="Q16" s="5"/>
      <c r="S16" s="44" t="s">
        <v>14</v>
      </c>
      <c r="T16" s="36"/>
      <c r="U16" s="46"/>
    </row>
    <row r="17" spans="1:21" x14ac:dyDescent="0.2">
      <c r="A17" s="6"/>
      <c r="B17" s="6"/>
      <c r="C17" s="6"/>
      <c r="D17" s="6"/>
      <c r="E17" s="6"/>
      <c r="F17" s="6"/>
      <c r="G17" s="123"/>
      <c r="H17" s="5"/>
      <c r="I17" s="5"/>
      <c r="J17" s="5"/>
      <c r="K17" s="5"/>
      <c r="L17" s="5"/>
      <c r="M17" s="5"/>
      <c r="N17" s="5"/>
      <c r="O17" s="5"/>
      <c r="P17" s="5"/>
      <c r="Q17" s="5"/>
      <c r="S17" s="44"/>
      <c r="T17" s="45"/>
      <c r="U17" s="46"/>
    </row>
    <row r="18" spans="1:21" x14ac:dyDescent="0.2">
      <c r="A18" s="6"/>
      <c r="B18" s="6"/>
      <c r="C18" s="6"/>
      <c r="D18" s="6"/>
      <c r="E18" s="6"/>
      <c r="F18" s="6"/>
      <c r="G18" s="123"/>
      <c r="H18" s="5"/>
      <c r="I18" s="5"/>
      <c r="J18" s="5"/>
      <c r="K18" s="5"/>
      <c r="L18" s="5"/>
      <c r="M18" s="5"/>
      <c r="N18" s="5"/>
      <c r="O18" s="5"/>
      <c r="P18" s="5"/>
      <c r="Q18" s="5"/>
    </row>
    <row r="19" spans="1:21" x14ac:dyDescent="0.2">
      <c r="A19" s="6"/>
      <c r="B19" s="6"/>
      <c r="C19" s="6"/>
      <c r="D19" s="6"/>
      <c r="E19" s="6"/>
      <c r="F19" s="6"/>
      <c r="G19" s="123"/>
      <c r="H19" s="5"/>
      <c r="I19" s="5"/>
      <c r="J19" s="5"/>
      <c r="K19" s="5"/>
      <c r="L19" s="5"/>
      <c r="M19" s="5"/>
      <c r="N19" s="5"/>
      <c r="O19" s="5"/>
      <c r="P19" s="5"/>
      <c r="Q19" s="5"/>
    </row>
    <row r="20" spans="1:21" x14ac:dyDescent="0.2">
      <c r="A20" s="6"/>
      <c r="B20" s="6"/>
      <c r="C20" s="6"/>
      <c r="D20" s="6"/>
      <c r="E20" s="6"/>
      <c r="F20" s="6"/>
      <c r="G20" s="123"/>
      <c r="H20" s="5"/>
      <c r="I20" s="5"/>
      <c r="J20" s="5"/>
      <c r="K20" s="5"/>
      <c r="L20" s="5"/>
      <c r="M20" s="5"/>
      <c r="N20" s="5"/>
      <c r="O20" s="5"/>
      <c r="P20" s="5"/>
      <c r="Q20" s="5"/>
    </row>
    <row r="21" spans="1:21" x14ac:dyDescent="0.2">
      <c r="A21" s="6"/>
      <c r="B21" s="6"/>
      <c r="C21" s="6"/>
      <c r="D21" s="6"/>
      <c r="E21" s="6"/>
      <c r="F21" s="6"/>
      <c r="G21" s="123"/>
      <c r="H21" s="5"/>
      <c r="I21" s="5"/>
      <c r="J21" s="5"/>
      <c r="K21" s="5"/>
      <c r="L21" s="5"/>
      <c r="M21" s="5"/>
      <c r="N21" s="5"/>
      <c r="O21" s="5"/>
      <c r="P21" s="5"/>
      <c r="Q21" s="5"/>
    </row>
    <row r="22" spans="1:21" x14ac:dyDescent="0.2">
      <c r="A22" s="6"/>
      <c r="B22" s="6"/>
      <c r="C22" s="6"/>
      <c r="D22" s="6"/>
      <c r="E22" s="6"/>
      <c r="F22" s="6"/>
      <c r="G22" s="123"/>
      <c r="H22" s="5"/>
      <c r="I22" s="5"/>
      <c r="J22" s="5"/>
      <c r="K22" s="5"/>
      <c r="L22" s="5"/>
      <c r="M22" s="5"/>
      <c r="N22" s="5"/>
      <c r="O22" s="5"/>
      <c r="P22" s="5"/>
      <c r="Q22" s="5"/>
    </row>
    <row r="23" spans="1:21" x14ac:dyDescent="0.2">
      <c r="A23" s="6"/>
      <c r="B23" s="6"/>
      <c r="C23" s="6"/>
      <c r="D23" s="6"/>
      <c r="E23" s="6"/>
      <c r="F23" s="6"/>
      <c r="G23" s="123"/>
      <c r="H23" s="5"/>
      <c r="I23" s="5"/>
      <c r="J23" s="5"/>
      <c r="K23" s="5"/>
      <c r="L23" s="5"/>
      <c r="M23" s="5"/>
      <c r="N23" s="5"/>
      <c r="O23" s="5"/>
      <c r="P23" s="5"/>
      <c r="Q23" s="5"/>
    </row>
    <row r="24" spans="1:21" x14ac:dyDescent="0.2">
      <c r="A24" s="6"/>
      <c r="B24" s="6"/>
      <c r="C24" s="6"/>
      <c r="D24" s="6"/>
      <c r="E24" s="6"/>
      <c r="F24" s="6"/>
      <c r="G24" s="123"/>
      <c r="H24" s="5"/>
      <c r="I24" s="5"/>
      <c r="J24" s="5"/>
      <c r="K24" s="5"/>
      <c r="L24" s="5"/>
      <c r="M24" s="5"/>
      <c r="N24" s="5"/>
      <c r="O24" s="5"/>
      <c r="P24" s="5"/>
      <c r="Q24" s="5"/>
    </row>
    <row r="25" spans="1:21" x14ac:dyDescent="0.2">
      <c r="A25" s="6"/>
      <c r="B25" s="6"/>
      <c r="C25" s="6"/>
      <c r="D25" s="6"/>
      <c r="E25" s="6"/>
      <c r="F25" s="6"/>
      <c r="G25" s="123"/>
      <c r="H25" s="5"/>
      <c r="I25" s="5"/>
      <c r="J25" s="5"/>
      <c r="K25" s="5"/>
      <c r="L25" s="5"/>
      <c r="M25" s="5"/>
      <c r="N25" s="5"/>
      <c r="O25" s="5"/>
      <c r="P25" s="5"/>
      <c r="Q25" s="5"/>
    </row>
    <row r="26" spans="1:21" x14ac:dyDescent="0.2">
      <c r="A26" s="6"/>
      <c r="B26" s="6"/>
      <c r="C26" s="6"/>
      <c r="D26" s="6"/>
      <c r="E26" s="6"/>
      <c r="F26" s="6"/>
      <c r="G26" s="123"/>
      <c r="H26" s="5"/>
      <c r="I26" s="5"/>
      <c r="J26" s="5"/>
      <c r="K26" s="5"/>
      <c r="L26" s="5"/>
      <c r="M26" s="5"/>
      <c r="N26" s="5"/>
      <c r="O26" s="5"/>
      <c r="P26" s="5"/>
      <c r="Q26" s="5"/>
    </row>
    <row r="27" spans="1:21" x14ac:dyDescent="0.2">
      <c r="A27" s="6"/>
      <c r="B27" s="6"/>
      <c r="C27" s="6"/>
      <c r="D27" s="6"/>
      <c r="E27" s="6"/>
      <c r="F27" s="6"/>
      <c r="G27" s="123"/>
      <c r="H27" s="5"/>
      <c r="I27" s="5"/>
      <c r="J27" s="5"/>
      <c r="K27" s="5"/>
      <c r="L27" s="5"/>
      <c r="M27" s="5"/>
      <c r="N27" s="5"/>
      <c r="O27" s="5"/>
      <c r="P27" s="5"/>
      <c r="Q27" s="5"/>
    </row>
    <row r="28" spans="1:21" x14ac:dyDescent="0.2">
      <c r="A28" s="6"/>
      <c r="B28" s="6"/>
      <c r="C28" s="6"/>
      <c r="D28" s="6"/>
      <c r="E28" s="6"/>
      <c r="F28" s="6"/>
      <c r="G28" s="123"/>
      <c r="H28" s="5"/>
      <c r="I28" s="5"/>
      <c r="J28" s="5"/>
      <c r="K28" s="5"/>
      <c r="L28" s="5"/>
      <c r="M28" s="5"/>
      <c r="N28" s="5"/>
      <c r="O28" s="5"/>
      <c r="P28" s="5"/>
      <c r="Q28" s="5"/>
    </row>
    <row r="29" spans="1:21" x14ac:dyDescent="0.2">
      <c r="A29" s="6"/>
      <c r="B29" s="6"/>
      <c r="C29" s="6"/>
      <c r="D29" s="6"/>
      <c r="E29" s="6"/>
      <c r="F29" s="6"/>
      <c r="G29" s="123"/>
      <c r="H29" s="5"/>
      <c r="I29" s="5"/>
      <c r="J29" s="5"/>
      <c r="K29" s="5"/>
      <c r="L29" s="5"/>
      <c r="M29" s="5"/>
      <c r="N29" s="5"/>
      <c r="O29" s="5"/>
      <c r="P29" s="5"/>
      <c r="Q29" s="5"/>
    </row>
    <row r="30" spans="1:21" x14ac:dyDescent="0.2">
      <c r="A30" s="6"/>
      <c r="B30" s="6"/>
      <c r="C30" s="6"/>
      <c r="D30" s="6"/>
      <c r="E30" s="6"/>
      <c r="F30" s="6"/>
      <c r="G30" s="123"/>
      <c r="H30" s="5"/>
      <c r="I30" s="5"/>
      <c r="J30" s="5"/>
      <c r="K30" s="5"/>
      <c r="L30" s="5"/>
      <c r="M30" s="5"/>
      <c r="N30" s="5"/>
      <c r="O30" s="5"/>
      <c r="P30" s="5"/>
      <c r="Q30" s="5"/>
    </row>
    <row r="31" spans="1:21" x14ac:dyDescent="0.2">
      <c r="A31" s="6"/>
      <c r="B31" s="6"/>
      <c r="C31" s="6"/>
      <c r="D31" s="6"/>
      <c r="E31" s="6"/>
      <c r="F31" s="6"/>
      <c r="G31" s="123"/>
      <c r="H31" s="5"/>
      <c r="I31" s="5"/>
      <c r="J31" s="5"/>
      <c r="K31" s="5"/>
      <c r="L31" s="5"/>
      <c r="M31" s="5"/>
      <c r="N31" s="5"/>
      <c r="O31" s="5"/>
      <c r="P31" s="5"/>
      <c r="Q31" s="5"/>
    </row>
    <row r="32" spans="1:21" x14ac:dyDescent="0.2">
      <c r="A32" s="6"/>
      <c r="B32" s="6"/>
      <c r="C32" s="6"/>
      <c r="D32" s="6"/>
      <c r="E32" s="6"/>
      <c r="F32" s="6"/>
      <c r="G32" s="123"/>
      <c r="H32" s="5"/>
      <c r="I32" s="5"/>
      <c r="J32" s="5"/>
      <c r="K32" s="5"/>
      <c r="L32" s="5"/>
      <c r="M32" s="5"/>
      <c r="N32" s="5"/>
      <c r="O32" s="5"/>
      <c r="P32" s="5"/>
      <c r="Q32" s="5"/>
    </row>
    <row r="33" spans="1:17" x14ac:dyDescent="0.2">
      <c r="A33" s="6"/>
      <c r="B33" s="6"/>
      <c r="C33" s="6"/>
      <c r="D33" s="6"/>
      <c r="E33" s="6"/>
      <c r="F33" s="6"/>
      <c r="G33" s="123"/>
      <c r="H33" s="5"/>
      <c r="I33" s="5"/>
      <c r="J33" s="5"/>
      <c r="K33" s="5"/>
      <c r="L33" s="5"/>
      <c r="M33" s="5"/>
      <c r="N33" s="5"/>
      <c r="O33" s="5"/>
      <c r="P33" s="5"/>
      <c r="Q33" s="5"/>
    </row>
    <row r="34" spans="1:17" x14ac:dyDescent="0.2">
      <c r="A34" s="6"/>
      <c r="B34" s="6"/>
      <c r="C34" s="6"/>
      <c r="D34" s="6"/>
      <c r="E34" s="6"/>
      <c r="F34" s="6"/>
      <c r="G34" s="123"/>
      <c r="H34" s="5"/>
      <c r="I34" s="5"/>
      <c r="J34" s="5"/>
      <c r="K34" s="5"/>
      <c r="L34" s="5"/>
      <c r="M34" s="5"/>
      <c r="N34" s="5"/>
      <c r="O34" s="5"/>
      <c r="P34" s="5"/>
      <c r="Q34" s="5"/>
    </row>
    <row r="35" spans="1:17" x14ac:dyDescent="0.2">
      <c r="A35" s="6"/>
      <c r="B35" s="6"/>
      <c r="C35" s="6"/>
      <c r="D35" s="6"/>
      <c r="E35" s="6"/>
      <c r="F35" s="6"/>
      <c r="G35" s="123"/>
      <c r="H35" s="5"/>
      <c r="I35" s="5"/>
      <c r="J35" s="5"/>
      <c r="K35" s="5"/>
      <c r="L35" s="5"/>
      <c r="M35" s="5"/>
      <c r="N35" s="5"/>
      <c r="O35" s="5"/>
      <c r="P35" s="5"/>
      <c r="Q35" s="5"/>
    </row>
    <row r="36" spans="1:17" x14ac:dyDescent="0.2">
      <c r="A36" s="6"/>
      <c r="B36" s="6"/>
      <c r="C36" s="6"/>
      <c r="D36" s="6"/>
      <c r="E36" s="6"/>
      <c r="F36" s="6"/>
      <c r="G36" s="123"/>
      <c r="H36" s="5"/>
      <c r="I36" s="5"/>
      <c r="J36" s="5"/>
      <c r="K36" s="5"/>
      <c r="L36" s="5"/>
      <c r="M36" s="5"/>
      <c r="N36" s="5"/>
      <c r="O36" s="5"/>
      <c r="P36" s="5"/>
      <c r="Q36" s="5"/>
    </row>
    <row r="37" spans="1:17" x14ac:dyDescent="0.2">
      <c r="A37" s="6"/>
      <c r="B37" s="6"/>
      <c r="C37" s="6"/>
      <c r="D37" s="6"/>
      <c r="E37" s="6"/>
      <c r="F37" s="6"/>
      <c r="G37" s="123"/>
      <c r="H37" s="5"/>
      <c r="I37" s="5"/>
      <c r="J37" s="5"/>
      <c r="K37" s="5"/>
      <c r="L37" s="5"/>
      <c r="M37" s="5"/>
      <c r="N37" s="5"/>
      <c r="O37" s="5"/>
      <c r="P37" s="5"/>
      <c r="Q37" s="5"/>
    </row>
    <row r="38" spans="1:17" x14ac:dyDescent="0.2">
      <c r="A38" s="6"/>
      <c r="B38" s="6"/>
      <c r="C38" s="6"/>
      <c r="D38" s="6"/>
      <c r="E38" s="6"/>
      <c r="F38" s="6"/>
      <c r="G38" s="123"/>
      <c r="H38" s="5"/>
      <c r="I38" s="5"/>
      <c r="J38" s="5"/>
      <c r="K38" s="5"/>
      <c r="L38" s="5"/>
      <c r="M38" s="5"/>
      <c r="N38" s="5"/>
      <c r="O38" s="5"/>
      <c r="P38" s="5"/>
      <c r="Q38" s="5"/>
    </row>
    <row r="39" spans="1:17" x14ac:dyDescent="0.2">
      <c r="A39" s="6"/>
      <c r="B39" s="6"/>
      <c r="C39" s="6"/>
      <c r="D39" s="6"/>
      <c r="E39" s="6"/>
      <c r="F39" s="6"/>
      <c r="G39" s="123"/>
      <c r="H39" s="5"/>
      <c r="I39" s="5"/>
      <c r="J39" s="5"/>
      <c r="K39" s="5"/>
      <c r="L39" s="5"/>
      <c r="M39" s="5"/>
      <c r="N39" s="5"/>
      <c r="O39" s="5"/>
      <c r="P39" s="5"/>
      <c r="Q39" s="5"/>
    </row>
    <row r="40" spans="1:17" x14ac:dyDescent="0.2">
      <c r="A40" s="6"/>
      <c r="B40" s="6"/>
      <c r="C40" s="6"/>
      <c r="D40" s="6"/>
      <c r="E40" s="6"/>
      <c r="F40" s="6"/>
      <c r="G40" s="123"/>
      <c r="H40" s="5"/>
      <c r="I40" s="5"/>
      <c r="J40" s="5"/>
      <c r="K40" s="5"/>
      <c r="L40" s="5"/>
      <c r="M40" s="5"/>
      <c r="N40" s="5"/>
      <c r="O40" s="5"/>
      <c r="P40" s="5"/>
      <c r="Q40" s="5"/>
    </row>
    <row r="41" spans="1:17" x14ac:dyDescent="0.2">
      <c r="A41" s="6"/>
      <c r="B41" s="6"/>
      <c r="C41" s="6"/>
      <c r="D41" s="6"/>
      <c r="E41" s="6"/>
      <c r="F41" s="6"/>
      <c r="G41" s="123"/>
      <c r="H41" s="5"/>
      <c r="I41" s="5"/>
      <c r="J41" s="5"/>
      <c r="K41" s="5"/>
      <c r="L41" s="5"/>
      <c r="M41" s="5"/>
      <c r="N41" s="5"/>
      <c r="O41" s="5"/>
      <c r="P41" s="5"/>
      <c r="Q41" s="5"/>
    </row>
    <row r="42" spans="1:17" x14ac:dyDescent="0.2">
      <c r="A42" s="6"/>
      <c r="B42" s="6"/>
      <c r="C42" s="6"/>
      <c r="D42" s="6"/>
      <c r="E42" s="6"/>
      <c r="F42" s="6"/>
      <c r="G42" s="123"/>
      <c r="H42" s="5"/>
      <c r="I42" s="5"/>
      <c r="J42" s="5"/>
      <c r="K42" s="5"/>
      <c r="L42" s="5"/>
      <c r="M42" s="5"/>
      <c r="N42" s="5"/>
      <c r="O42" s="5"/>
      <c r="P42" s="5"/>
      <c r="Q42" s="5"/>
    </row>
    <row r="43" spans="1:17" x14ac:dyDescent="0.2">
      <c r="A43" s="6"/>
      <c r="B43" s="6"/>
      <c r="C43" s="6"/>
      <c r="D43" s="6"/>
      <c r="E43" s="6"/>
      <c r="F43" s="6"/>
      <c r="G43" s="123"/>
      <c r="H43" s="5"/>
      <c r="I43" s="5"/>
      <c r="J43" s="5"/>
      <c r="K43" s="5"/>
      <c r="L43" s="5"/>
      <c r="M43" s="5"/>
      <c r="N43" s="5"/>
      <c r="O43" s="5"/>
      <c r="P43" s="5"/>
      <c r="Q43" s="5"/>
    </row>
    <row r="44" spans="1:17" x14ac:dyDescent="0.2">
      <c r="A44" s="6"/>
      <c r="B44" s="6"/>
      <c r="C44" s="6"/>
      <c r="D44" s="6"/>
      <c r="E44" s="6"/>
      <c r="F44" s="6"/>
      <c r="G44" s="123"/>
      <c r="H44" s="5"/>
      <c r="I44" s="5"/>
      <c r="J44" s="5"/>
      <c r="K44" s="5"/>
      <c r="L44" s="5"/>
      <c r="M44" s="5"/>
      <c r="N44" s="5"/>
      <c r="O44" s="5"/>
      <c r="P44" s="5"/>
      <c r="Q44" s="5"/>
    </row>
    <row r="45" spans="1:17" x14ac:dyDescent="0.2">
      <c r="A45" s="6"/>
      <c r="B45" s="6"/>
      <c r="C45" s="6"/>
      <c r="D45" s="6"/>
      <c r="E45" s="6"/>
      <c r="F45" s="6"/>
      <c r="G45" s="123"/>
      <c r="H45" s="5"/>
      <c r="I45" s="5"/>
      <c r="J45" s="5"/>
      <c r="K45" s="5"/>
      <c r="L45" s="5"/>
      <c r="M45" s="5"/>
      <c r="N45" s="5"/>
      <c r="O45" s="5"/>
      <c r="P45" s="5"/>
      <c r="Q45" s="5"/>
    </row>
    <row r="46" spans="1:17" x14ac:dyDescent="0.2">
      <c r="A46" s="6"/>
      <c r="B46" s="6"/>
      <c r="C46" s="6"/>
      <c r="D46" s="6"/>
      <c r="E46" s="6"/>
      <c r="F46" s="6"/>
      <c r="G46" s="123"/>
      <c r="H46" s="5"/>
      <c r="I46" s="5"/>
      <c r="J46" s="5"/>
      <c r="K46" s="5"/>
      <c r="L46" s="5"/>
      <c r="M46" s="5"/>
      <c r="N46" s="5"/>
      <c r="O46" s="5"/>
      <c r="P46" s="5"/>
      <c r="Q46" s="5"/>
    </row>
    <row r="47" spans="1:17" x14ac:dyDescent="0.2">
      <c r="A47" s="6"/>
      <c r="B47" s="6"/>
      <c r="C47" s="6"/>
      <c r="D47" s="6"/>
      <c r="E47" s="6"/>
      <c r="F47" s="6"/>
      <c r="G47" s="123"/>
      <c r="H47" s="5"/>
      <c r="I47" s="5"/>
      <c r="J47" s="5"/>
      <c r="K47" s="5"/>
      <c r="L47" s="5"/>
      <c r="M47" s="5"/>
      <c r="N47" s="5"/>
      <c r="O47" s="5"/>
      <c r="P47" s="5"/>
      <c r="Q47" s="5"/>
    </row>
    <row r="48" spans="1:17" x14ac:dyDescent="0.2">
      <c r="A48" s="6"/>
      <c r="B48" s="6"/>
      <c r="C48" s="6"/>
      <c r="D48" s="6"/>
      <c r="E48" s="6"/>
      <c r="F48" s="6"/>
      <c r="G48" s="123"/>
      <c r="H48" s="5"/>
      <c r="I48" s="5"/>
      <c r="J48" s="5"/>
      <c r="K48" s="5"/>
      <c r="L48" s="5"/>
      <c r="M48" s="5"/>
      <c r="N48" s="5"/>
      <c r="O48" s="5"/>
      <c r="P48" s="5"/>
      <c r="Q48" s="5"/>
    </row>
    <row r="49" spans="1:17" x14ac:dyDescent="0.2">
      <c r="A49" s="6"/>
      <c r="B49" s="6"/>
      <c r="C49" s="6"/>
      <c r="D49" s="6"/>
      <c r="E49" s="6"/>
      <c r="F49" s="6"/>
      <c r="G49" s="123"/>
      <c r="H49" s="5"/>
      <c r="I49" s="5"/>
      <c r="J49" s="5"/>
      <c r="K49" s="5"/>
      <c r="L49" s="5"/>
      <c r="M49" s="5"/>
      <c r="N49" s="5"/>
      <c r="O49" s="5"/>
      <c r="P49" s="5"/>
      <c r="Q49" s="5"/>
    </row>
    <row r="50" spans="1:17" x14ac:dyDescent="0.2">
      <c r="A50" s="6"/>
      <c r="B50" s="6"/>
      <c r="C50" s="6"/>
      <c r="D50" s="6"/>
      <c r="E50" s="6"/>
      <c r="F50" s="6"/>
      <c r="G50" s="123"/>
      <c r="H50" s="5"/>
      <c r="I50" s="5"/>
      <c r="J50" s="5"/>
      <c r="K50" s="5"/>
      <c r="L50" s="5"/>
      <c r="M50" s="5"/>
      <c r="N50" s="5"/>
      <c r="O50" s="5"/>
      <c r="P50" s="5"/>
      <c r="Q50" s="5"/>
    </row>
    <row r="51" spans="1:17" x14ac:dyDescent="0.2">
      <c r="A51" s="6"/>
      <c r="B51" s="6"/>
      <c r="C51" s="6"/>
      <c r="D51" s="6"/>
      <c r="E51" s="6"/>
      <c r="F51" s="6"/>
      <c r="G51" s="123"/>
      <c r="H51" s="5"/>
      <c r="I51" s="5"/>
      <c r="J51" s="5"/>
      <c r="K51" s="5"/>
      <c r="L51" s="5"/>
      <c r="M51" s="5"/>
      <c r="N51" s="5"/>
      <c r="O51" s="5"/>
      <c r="P51" s="5"/>
      <c r="Q51" s="5"/>
    </row>
    <row r="52" spans="1:17" x14ac:dyDescent="0.2">
      <c r="A52" s="6"/>
      <c r="B52" s="6"/>
      <c r="C52" s="6"/>
      <c r="D52" s="6"/>
      <c r="E52" s="6"/>
      <c r="F52" s="6"/>
      <c r="G52" s="123"/>
      <c r="H52" s="5"/>
      <c r="I52" s="5"/>
      <c r="J52" s="5"/>
      <c r="K52" s="5"/>
      <c r="L52" s="5"/>
      <c r="M52" s="5"/>
      <c r="N52" s="5"/>
      <c r="O52" s="5"/>
      <c r="P52" s="5"/>
      <c r="Q52" s="5"/>
    </row>
    <row r="53" spans="1:17" x14ac:dyDescent="0.2">
      <c r="A53" s="6"/>
      <c r="B53" s="6"/>
      <c r="C53" s="6"/>
      <c r="D53" s="6"/>
      <c r="E53" s="6"/>
      <c r="F53" s="6"/>
      <c r="G53" s="123"/>
      <c r="H53" s="5"/>
      <c r="I53" s="5"/>
      <c r="J53" s="5"/>
      <c r="K53" s="5"/>
      <c r="L53" s="5"/>
      <c r="M53" s="5"/>
      <c r="N53" s="5"/>
      <c r="O53" s="5"/>
      <c r="P53" s="5"/>
      <c r="Q53" s="5"/>
    </row>
    <row r="54" spans="1:17" x14ac:dyDescent="0.2">
      <c r="A54" s="6"/>
      <c r="B54" s="6"/>
      <c r="C54" s="6"/>
      <c r="D54" s="6"/>
      <c r="E54" s="6"/>
      <c r="F54" s="6"/>
      <c r="G54" s="123"/>
      <c r="H54" s="5"/>
      <c r="I54" s="5"/>
      <c r="J54" s="5"/>
      <c r="K54" s="5"/>
      <c r="L54" s="5"/>
      <c r="M54" s="5"/>
      <c r="N54" s="5"/>
      <c r="O54" s="5"/>
      <c r="P54" s="5"/>
      <c r="Q54" s="5"/>
    </row>
    <row r="55" spans="1:17" x14ac:dyDescent="0.2">
      <c r="A55" s="6"/>
      <c r="B55" s="6"/>
      <c r="C55" s="6"/>
      <c r="D55" s="6"/>
      <c r="E55" s="6"/>
      <c r="F55" s="6"/>
      <c r="G55" s="123"/>
      <c r="H55" s="5"/>
      <c r="I55" s="5"/>
      <c r="J55" s="5"/>
      <c r="K55" s="5"/>
      <c r="L55" s="5"/>
      <c r="M55" s="5"/>
      <c r="N55" s="5"/>
      <c r="O55" s="5"/>
      <c r="P55" s="5"/>
      <c r="Q55" s="5"/>
    </row>
    <row r="56" spans="1:17" x14ac:dyDescent="0.2">
      <c r="A56" s="6"/>
      <c r="B56" s="6"/>
      <c r="C56" s="6"/>
      <c r="D56" s="6"/>
      <c r="E56" s="6"/>
      <c r="F56" s="6"/>
      <c r="G56" s="123"/>
      <c r="H56" s="5"/>
      <c r="I56" s="5"/>
      <c r="J56" s="5"/>
      <c r="K56" s="5"/>
      <c r="L56" s="5"/>
      <c r="M56" s="5"/>
      <c r="N56" s="5"/>
      <c r="O56" s="5"/>
      <c r="P56" s="5"/>
      <c r="Q56" s="5"/>
    </row>
    <row r="57" spans="1:17" x14ac:dyDescent="0.2">
      <c r="A57" s="6"/>
      <c r="B57" s="6"/>
      <c r="C57" s="6"/>
      <c r="D57" s="6"/>
      <c r="E57" s="6"/>
      <c r="F57" s="6"/>
      <c r="G57" s="123"/>
      <c r="H57" s="5"/>
      <c r="I57" s="5"/>
      <c r="J57" s="5"/>
      <c r="K57" s="5"/>
      <c r="L57" s="5"/>
      <c r="M57" s="5"/>
      <c r="N57" s="5"/>
      <c r="O57" s="5"/>
      <c r="P57" s="5"/>
      <c r="Q57" s="5"/>
    </row>
    <row r="58" spans="1:17" x14ac:dyDescent="0.2">
      <c r="A58" s="6"/>
      <c r="B58" s="6"/>
      <c r="C58" s="6"/>
      <c r="D58" s="6"/>
      <c r="E58" s="6"/>
      <c r="F58" s="6"/>
      <c r="G58" s="123"/>
      <c r="H58" s="5"/>
      <c r="I58" s="5"/>
      <c r="J58" s="5"/>
      <c r="K58" s="5"/>
      <c r="L58" s="5"/>
      <c r="M58" s="5"/>
      <c r="N58" s="5"/>
      <c r="O58" s="5"/>
      <c r="P58" s="5"/>
      <c r="Q58" s="5"/>
    </row>
    <row r="59" spans="1:17" x14ac:dyDescent="0.2">
      <c r="A59" s="6"/>
      <c r="B59" s="6"/>
      <c r="C59" s="6"/>
      <c r="D59" s="6"/>
      <c r="E59" s="6"/>
      <c r="F59" s="6"/>
      <c r="G59" s="123"/>
      <c r="H59" s="5"/>
      <c r="I59" s="5"/>
      <c r="J59" s="5"/>
      <c r="K59" s="5"/>
      <c r="L59" s="5"/>
      <c r="M59" s="5"/>
      <c r="N59" s="5"/>
      <c r="O59" s="5"/>
      <c r="P59" s="5"/>
      <c r="Q59" s="5"/>
    </row>
    <row r="60" spans="1:17" x14ac:dyDescent="0.2">
      <c r="A60" s="6"/>
      <c r="B60" s="6"/>
      <c r="C60" s="6"/>
      <c r="D60" s="6"/>
      <c r="E60" s="6"/>
      <c r="F60" s="6"/>
      <c r="G60" s="123"/>
      <c r="H60" s="5"/>
      <c r="I60" s="5"/>
      <c r="J60" s="5"/>
      <c r="K60" s="5"/>
      <c r="L60" s="5"/>
      <c r="M60" s="5"/>
      <c r="N60" s="5"/>
      <c r="O60" s="5"/>
      <c r="P60" s="5"/>
      <c r="Q60" s="5"/>
    </row>
    <row r="61" spans="1:17" x14ac:dyDescent="0.2">
      <c r="A61" s="6"/>
      <c r="B61" s="6"/>
      <c r="C61" s="6"/>
      <c r="D61" s="6"/>
      <c r="E61" s="6"/>
      <c r="F61" s="6"/>
      <c r="G61" s="123"/>
      <c r="H61" s="5"/>
      <c r="I61" s="5"/>
      <c r="J61" s="5"/>
      <c r="K61" s="5"/>
      <c r="L61" s="5"/>
      <c r="M61" s="5"/>
      <c r="N61" s="5"/>
      <c r="O61" s="5"/>
      <c r="P61" s="5"/>
      <c r="Q61" s="5"/>
    </row>
    <row r="62" spans="1:17" x14ac:dyDescent="0.2">
      <c r="A62" s="6"/>
      <c r="B62" s="6"/>
      <c r="C62" s="6"/>
      <c r="D62" s="6"/>
      <c r="E62" s="6"/>
      <c r="F62" s="6"/>
      <c r="G62" s="123"/>
      <c r="H62" s="5"/>
      <c r="I62" s="5"/>
      <c r="J62" s="5"/>
      <c r="K62" s="5"/>
      <c r="L62" s="5"/>
      <c r="M62" s="5"/>
      <c r="N62" s="5"/>
      <c r="O62" s="5"/>
      <c r="P62" s="5"/>
      <c r="Q62" s="5"/>
    </row>
    <row r="63" spans="1:17" x14ac:dyDescent="0.2">
      <c r="A63" s="6"/>
      <c r="B63" s="6"/>
      <c r="C63" s="6"/>
      <c r="D63" s="6"/>
      <c r="E63" s="6"/>
      <c r="F63" s="6"/>
      <c r="G63" s="123"/>
      <c r="H63" s="5"/>
      <c r="I63" s="5"/>
      <c r="J63" s="5"/>
      <c r="K63" s="5"/>
      <c r="L63" s="5"/>
      <c r="M63" s="5"/>
      <c r="N63" s="5"/>
      <c r="O63" s="5"/>
      <c r="P63" s="5"/>
      <c r="Q63" s="5"/>
    </row>
    <row r="64" spans="1:17" x14ac:dyDescent="0.2">
      <c r="A64" s="6"/>
      <c r="B64" s="6"/>
      <c r="C64" s="6"/>
      <c r="D64" s="6"/>
      <c r="E64" s="6"/>
      <c r="F64" s="6"/>
      <c r="G64" s="123"/>
      <c r="H64" s="5"/>
      <c r="I64" s="5"/>
      <c r="J64" s="5"/>
      <c r="K64" s="5"/>
      <c r="L64" s="5"/>
      <c r="M64" s="5"/>
      <c r="N64" s="5"/>
      <c r="O64" s="5"/>
      <c r="P64" s="5"/>
      <c r="Q64" s="5"/>
    </row>
    <row r="65" spans="1:17" x14ac:dyDescent="0.2">
      <c r="A65" s="6"/>
      <c r="B65" s="6"/>
      <c r="C65" s="6"/>
      <c r="D65" s="6"/>
      <c r="E65" s="6"/>
      <c r="F65" s="6"/>
      <c r="G65" s="123"/>
      <c r="H65" s="5"/>
      <c r="I65" s="5"/>
      <c r="J65" s="5"/>
      <c r="K65" s="5"/>
      <c r="L65" s="5"/>
      <c r="M65" s="5"/>
      <c r="N65" s="5"/>
      <c r="O65" s="5"/>
      <c r="P65" s="5"/>
      <c r="Q65" s="5"/>
    </row>
    <row r="66" spans="1:17" x14ac:dyDescent="0.2">
      <c r="A66" s="6"/>
      <c r="B66" s="6"/>
      <c r="C66" s="6"/>
      <c r="D66" s="6"/>
      <c r="E66" s="6"/>
      <c r="F66" s="6"/>
      <c r="G66" s="123"/>
      <c r="H66" s="5"/>
      <c r="I66" s="5"/>
      <c r="J66" s="5"/>
      <c r="K66" s="5"/>
      <c r="L66" s="5"/>
      <c r="M66" s="5"/>
      <c r="N66" s="5"/>
      <c r="O66" s="5"/>
      <c r="P66" s="5"/>
      <c r="Q66" s="5"/>
    </row>
    <row r="67" spans="1:17" x14ac:dyDescent="0.2">
      <c r="A67" s="6"/>
      <c r="B67" s="6"/>
      <c r="C67" s="6"/>
      <c r="D67" s="6"/>
      <c r="E67" s="6"/>
      <c r="F67" s="6"/>
      <c r="G67" s="123"/>
      <c r="H67" s="5"/>
      <c r="I67" s="5"/>
      <c r="J67" s="5"/>
      <c r="K67" s="5"/>
      <c r="L67" s="5"/>
      <c r="M67" s="5"/>
      <c r="N67" s="5"/>
      <c r="O67" s="5"/>
      <c r="P67" s="5"/>
      <c r="Q67" s="5"/>
    </row>
    <row r="68" spans="1:17" x14ac:dyDescent="0.2">
      <c r="A68" s="6"/>
      <c r="B68" s="6"/>
      <c r="C68" s="6"/>
      <c r="D68" s="6"/>
      <c r="E68" s="6"/>
      <c r="F68" s="6"/>
      <c r="G68" s="123"/>
      <c r="H68" s="5"/>
      <c r="I68" s="5"/>
      <c r="J68" s="5"/>
      <c r="K68" s="5"/>
      <c r="L68" s="5"/>
      <c r="M68" s="5"/>
      <c r="N68" s="5"/>
      <c r="O68" s="5"/>
      <c r="P68" s="5"/>
      <c r="Q68" s="5"/>
    </row>
    <row r="69" spans="1:17" x14ac:dyDescent="0.2">
      <c r="A69" s="6"/>
      <c r="B69" s="6"/>
      <c r="C69" s="6"/>
      <c r="D69" s="6"/>
      <c r="E69" s="6"/>
      <c r="F69" s="6"/>
      <c r="G69" s="123"/>
      <c r="H69" s="5"/>
      <c r="I69" s="5"/>
      <c r="J69" s="5"/>
      <c r="K69" s="5"/>
      <c r="L69" s="5"/>
      <c r="M69" s="5"/>
      <c r="N69" s="5"/>
      <c r="O69" s="5"/>
      <c r="P69" s="5"/>
      <c r="Q69" s="5"/>
    </row>
    <row r="70" spans="1:17" x14ac:dyDescent="0.2">
      <c r="A70" s="6"/>
      <c r="B70" s="6"/>
      <c r="C70" s="6"/>
      <c r="D70" s="6"/>
      <c r="E70" s="6"/>
      <c r="F70" s="6"/>
      <c r="G70" s="123"/>
      <c r="H70" s="5"/>
      <c r="I70" s="5"/>
      <c r="J70" s="5"/>
      <c r="K70" s="5"/>
      <c r="L70" s="5"/>
      <c r="M70" s="5"/>
      <c r="N70" s="5"/>
      <c r="O70" s="5"/>
      <c r="P70" s="5"/>
      <c r="Q70" s="5"/>
    </row>
    <row r="71" spans="1:17" x14ac:dyDescent="0.2">
      <c r="A71" s="6"/>
      <c r="B71" s="6"/>
      <c r="C71" s="6"/>
      <c r="D71" s="6"/>
      <c r="E71" s="6"/>
      <c r="F71" s="6"/>
      <c r="G71" s="123"/>
      <c r="H71" s="5"/>
      <c r="I71" s="5"/>
      <c r="J71" s="5"/>
      <c r="K71" s="5"/>
      <c r="L71" s="5"/>
      <c r="M71" s="5"/>
      <c r="N71" s="5"/>
      <c r="O71" s="5"/>
      <c r="P71" s="5"/>
      <c r="Q71" s="5"/>
    </row>
    <row r="72" spans="1:17" x14ac:dyDescent="0.2">
      <c r="A72" s="6"/>
      <c r="B72" s="6"/>
      <c r="C72" s="6"/>
      <c r="D72" s="6"/>
      <c r="E72" s="6"/>
      <c r="F72" s="6"/>
      <c r="G72" s="123"/>
      <c r="H72" s="5"/>
      <c r="I72" s="5"/>
      <c r="J72" s="5"/>
      <c r="K72" s="5"/>
      <c r="L72" s="5"/>
      <c r="M72" s="5"/>
      <c r="N72" s="5"/>
      <c r="O72" s="5"/>
      <c r="P72" s="5"/>
      <c r="Q72" s="5"/>
    </row>
    <row r="73" spans="1:17" x14ac:dyDescent="0.2">
      <c r="A73" s="6"/>
      <c r="B73" s="6"/>
      <c r="C73" s="6"/>
      <c r="D73" s="6"/>
      <c r="E73" s="6"/>
      <c r="F73" s="6"/>
      <c r="G73" s="123"/>
      <c r="H73" s="5"/>
      <c r="I73" s="5"/>
      <c r="J73" s="5"/>
      <c r="K73" s="5"/>
      <c r="L73" s="5"/>
      <c r="M73" s="5"/>
      <c r="N73" s="5"/>
      <c r="O73" s="5"/>
      <c r="P73" s="5"/>
      <c r="Q73" s="5"/>
    </row>
    <row r="74" spans="1:17" x14ac:dyDescent="0.2">
      <c r="A74" s="6"/>
      <c r="B74" s="6"/>
      <c r="C74" s="6"/>
      <c r="D74" s="6"/>
      <c r="E74" s="6"/>
      <c r="F74" s="6"/>
      <c r="G74" s="123"/>
      <c r="H74" s="5"/>
      <c r="I74" s="5"/>
      <c r="J74" s="5"/>
      <c r="K74" s="5"/>
      <c r="L74" s="5"/>
      <c r="M74" s="5"/>
      <c r="N74" s="5"/>
      <c r="O74" s="5"/>
      <c r="P74" s="5"/>
      <c r="Q74" s="5"/>
    </row>
    <row r="75" spans="1:17" x14ac:dyDescent="0.2">
      <c r="A75" s="6"/>
      <c r="B75" s="6"/>
      <c r="C75" s="6"/>
      <c r="D75" s="6"/>
      <c r="E75" s="6"/>
      <c r="F75" s="6"/>
      <c r="G75" s="123"/>
      <c r="H75" s="5"/>
      <c r="I75" s="5"/>
      <c r="J75" s="5"/>
      <c r="K75" s="5"/>
      <c r="L75" s="5"/>
      <c r="M75" s="5"/>
      <c r="N75" s="5"/>
      <c r="O75" s="5"/>
      <c r="P75" s="5"/>
      <c r="Q75" s="5"/>
    </row>
    <row r="76" spans="1:17" x14ac:dyDescent="0.2">
      <c r="A76" s="6"/>
      <c r="B76" s="6"/>
      <c r="C76" s="6"/>
      <c r="D76" s="6"/>
      <c r="E76" s="6"/>
      <c r="F76" s="6"/>
      <c r="G76" s="123"/>
      <c r="H76" s="5"/>
      <c r="I76" s="5"/>
      <c r="J76" s="5"/>
      <c r="K76" s="5"/>
      <c r="L76" s="5"/>
      <c r="M76" s="5"/>
      <c r="N76" s="5"/>
      <c r="O76" s="5"/>
      <c r="P76" s="5"/>
      <c r="Q76" s="5"/>
    </row>
    <row r="77" spans="1:17" x14ac:dyDescent="0.2">
      <c r="A77" s="6"/>
      <c r="B77" s="6"/>
      <c r="C77" s="6"/>
      <c r="D77" s="6"/>
      <c r="E77" s="6"/>
      <c r="F77" s="6"/>
      <c r="G77" s="123"/>
      <c r="H77" s="5"/>
      <c r="I77" s="5"/>
      <c r="J77" s="5"/>
      <c r="K77" s="5"/>
      <c r="L77" s="5"/>
      <c r="M77" s="5"/>
      <c r="N77" s="5"/>
      <c r="O77" s="5"/>
      <c r="P77" s="5"/>
      <c r="Q77" s="5"/>
    </row>
    <row r="78" spans="1:17" x14ac:dyDescent="0.2">
      <c r="A78" s="6"/>
      <c r="B78" s="6"/>
      <c r="C78" s="6"/>
      <c r="D78" s="6"/>
      <c r="E78" s="6"/>
      <c r="F78" s="6"/>
      <c r="G78" s="123"/>
      <c r="H78" s="5"/>
      <c r="I78" s="5"/>
      <c r="J78" s="5"/>
      <c r="K78" s="5"/>
      <c r="L78" s="5"/>
      <c r="M78" s="5"/>
      <c r="N78" s="5"/>
      <c r="O78" s="5"/>
      <c r="P78" s="5"/>
      <c r="Q78" s="5"/>
    </row>
    <row r="79" spans="1:17" x14ac:dyDescent="0.2">
      <c r="A79" s="6"/>
      <c r="B79" s="6"/>
      <c r="C79" s="6"/>
      <c r="D79" s="6"/>
      <c r="E79" s="6"/>
      <c r="F79" s="6"/>
      <c r="G79" s="123"/>
      <c r="H79" s="5"/>
      <c r="I79" s="5"/>
      <c r="J79" s="5"/>
      <c r="K79" s="5"/>
      <c r="L79" s="5"/>
      <c r="M79" s="5"/>
      <c r="N79" s="5"/>
      <c r="O79" s="5"/>
      <c r="P79" s="5"/>
      <c r="Q79" s="5"/>
    </row>
    <row r="80" spans="1:17" x14ac:dyDescent="0.2">
      <c r="A80" s="6"/>
      <c r="B80" s="6"/>
      <c r="C80" s="6"/>
      <c r="D80" s="6"/>
      <c r="E80" s="6"/>
      <c r="F80" s="6"/>
      <c r="G80" s="123"/>
      <c r="H80" s="5"/>
      <c r="I80" s="5"/>
      <c r="J80" s="5"/>
      <c r="K80" s="5"/>
      <c r="L80" s="5"/>
      <c r="M80" s="5"/>
      <c r="N80" s="5"/>
      <c r="O80" s="5"/>
      <c r="P80" s="5"/>
      <c r="Q80" s="5"/>
    </row>
    <row r="81" spans="1:17" x14ac:dyDescent="0.2">
      <c r="A81" s="6"/>
      <c r="B81" s="6"/>
      <c r="C81" s="6"/>
      <c r="D81" s="6"/>
      <c r="E81" s="6"/>
      <c r="F81" s="6"/>
      <c r="G81" s="123"/>
      <c r="H81" s="5"/>
      <c r="I81" s="5"/>
      <c r="J81" s="5"/>
      <c r="K81" s="5"/>
      <c r="L81" s="5"/>
      <c r="M81" s="5"/>
      <c r="N81" s="5"/>
      <c r="O81" s="5"/>
      <c r="P81" s="5"/>
      <c r="Q81" s="5"/>
    </row>
    <row r="82" spans="1:17" x14ac:dyDescent="0.2">
      <c r="A82" s="6"/>
      <c r="B82" s="6"/>
      <c r="C82" s="6"/>
      <c r="D82" s="6"/>
      <c r="E82" s="6"/>
      <c r="F82" s="6"/>
      <c r="G82" s="123"/>
      <c r="H82" s="5"/>
      <c r="I82" s="5"/>
      <c r="J82" s="5"/>
      <c r="K82" s="5"/>
      <c r="L82" s="5"/>
      <c r="M82" s="5"/>
      <c r="N82" s="5"/>
      <c r="O82" s="5"/>
      <c r="P82" s="5"/>
      <c r="Q82" s="5"/>
    </row>
    <row r="83" spans="1:17" x14ac:dyDescent="0.2">
      <c r="A83" s="6"/>
      <c r="B83" s="6"/>
      <c r="C83" s="6"/>
      <c r="D83" s="6"/>
      <c r="E83" s="6"/>
      <c r="F83" s="6"/>
      <c r="G83" s="123"/>
      <c r="H83" s="5"/>
      <c r="I83" s="5"/>
      <c r="J83" s="5"/>
      <c r="K83" s="5"/>
      <c r="L83" s="5"/>
      <c r="M83" s="5"/>
      <c r="N83" s="5"/>
      <c r="O83" s="5"/>
      <c r="P83" s="5"/>
      <c r="Q83" s="5"/>
    </row>
    <row r="84" spans="1:17" x14ac:dyDescent="0.2">
      <c r="A84" s="6"/>
      <c r="B84" s="6"/>
      <c r="C84" s="6"/>
      <c r="D84" s="6"/>
      <c r="E84" s="6"/>
      <c r="F84" s="6"/>
      <c r="G84" s="123"/>
      <c r="H84" s="5"/>
      <c r="I84" s="5"/>
      <c r="J84" s="5"/>
      <c r="K84" s="5"/>
      <c r="L84" s="5"/>
      <c r="M84" s="5"/>
      <c r="N84" s="5"/>
      <c r="O84" s="5"/>
      <c r="P84" s="5"/>
      <c r="Q84" s="5"/>
    </row>
    <row r="85" spans="1:17" x14ac:dyDescent="0.2">
      <c r="A85" s="6"/>
      <c r="B85" s="6"/>
      <c r="C85" s="6"/>
      <c r="D85" s="6"/>
      <c r="E85" s="6"/>
      <c r="F85" s="6"/>
      <c r="G85" s="123"/>
      <c r="H85" s="5"/>
      <c r="I85" s="5"/>
      <c r="J85" s="5"/>
      <c r="K85" s="5"/>
      <c r="L85" s="5"/>
      <c r="M85" s="5"/>
      <c r="N85" s="5"/>
      <c r="O85" s="5"/>
      <c r="P85" s="5"/>
      <c r="Q85" s="5"/>
    </row>
    <row r="86" spans="1:17" x14ac:dyDescent="0.2">
      <c r="A86" s="6"/>
      <c r="B86" s="6"/>
      <c r="C86" s="6"/>
      <c r="D86" s="6"/>
      <c r="E86" s="6"/>
      <c r="F86" s="6"/>
      <c r="G86" s="123"/>
      <c r="H86" s="5"/>
      <c r="I86" s="5"/>
      <c r="J86" s="5"/>
      <c r="K86" s="5"/>
      <c r="L86" s="5"/>
      <c r="M86" s="5"/>
      <c r="N86" s="5"/>
      <c r="O86" s="5"/>
      <c r="P86" s="5"/>
      <c r="Q86" s="5"/>
    </row>
    <row r="87" spans="1:17" x14ac:dyDescent="0.2">
      <c r="A87" s="6"/>
      <c r="B87" s="6"/>
      <c r="C87" s="6"/>
      <c r="D87" s="6"/>
      <c r="E87" s="6"/>
      <c r="F87" s="6"/>
      <c r="G87" s="123"/>
      <c r="H87" s="5"/>
      <c r="I87" s="5"/>
      <c r="J87" s="5"/>
      <c r="K87" s="5"/>
      <c r="L87" s="5"/>
      <c r="M87" s="5"/>
      <c r="N87" s="5"/>
      <c r="O87" s="5"/>
      <c r="P87" s="5"/>
      <c r="Q87" s="5"/>
    </row>
    <row r="88" spans="1:17" x14ac:dyDescent="0.2">
      <c r="A88" s="6"/>
      <c r="B88" s="6"/>
      <c r="C88" s="6"/>
      <c r="D88" s="6"/>
      <c r="E88" s="6"/>
      <c r="F88" s="6"/>
      <c r="G88" s="123"/>
      <c r="H88" s="5"/>
      <c r="I88" s="5"/>
      <c r="J88" s="5"/>
      <c r="K88" s="5"/>
      <c r="L88" s="5"/>
      <c r="M88" s="5"/>
      <c r="N88" s="5"/>
      <c r="O88" s="5"/>
      <c r="P88" s="5"/>
      <c r="Q88" s="5"/>
    </row>
    <row r="89" spans="1:17" x14ac:dyDescent="0.2">
      <c r="A89" s="6"/>
      <c r="B89" s="6"/>
      <c r="C89" s="6"/>
      <c r="D89" s="6"/>
      <c r="E89" s="6"/>
      <c r="F89" s="6"/>
      <c r="G89" s="123"/>
      <c r="H89" s="5"/>
      <c r="I89" s="5"/>
      <c r="J89" s="5"/>
      <c r="K89" s="5"/>
      <c r="L89" s="5"/>
      <c r="M89" s="5"/>
      <c r="N89" s="5"/>
      <c r="O89" s="5"/>
      <c r="P89" s="5"/>
      <c r="Q89" s="5"/>
    </row>
    <row r="90" spans="1:17" x14ac:dyDescent="0.2">
      <c r="A90" s="6"/>
      <c r="B90" s="6"/>
      <c r="C90" s="6"/>
      <c r="D90" s="6"/>
      <c r="E90" s="6"/>
      <c r="F90" s="6"/>
      <c r="G90" s="123"/>
      <c r="H90" s="5"/>
      <c r="I90" s="5"/>
      <c r="J90" s="5"/>
      <c r="K90" s="5"/>
      <c r="L90" s="5"/>
      <c r="M90" s="5"/>
      <c r="N90" s="5"/>
      <c r="O90" s="5"/>
      <c r="P90" s="5"/>
      <c r="Q90" s="5"/>
    </row>
    <row r="91" spans="1:17" x14ac:dyDescent="0.2">
      <c r="A91" s="6"/>
      <c r="B91" s="6"/>
      <c r="C91" s="6"/>
      <c r="D91" s="6"/>
      <c r="E91" s="6"/>
      <c r="F91" s="6"/>
      <c r="G91" s="123"/>
      <c r="H91" s="5"/>
      <c r="I91" s="5"/>
      <c r="J91" s="5"/>
      <c r="K91" s="5"/>
      <c r="L91" s="5"/>
      <c r="M91" s="5"/>
      <c r="N91" s="5"/>
      <c r="O91" s="5"/>
      <c r="P91" s="5"/>
      <c r="Q91" s="5"/>
    </row>
    <row r="92" spans="1:17" x14ac:dyDescent="0.2">
      <c r="A92" s="6"/>
      <c r="B92" s="6"/>
      <c r="C92" s="6"/>
      <c r="D92" s="6"/>
      <c r="E92" s="6"/>
      <c r="F92" s="6"/>
      <c r="G92" s="123"/>
      <c r="H92" s="5"/>
      <c r="I92" s="5"/>
      <c r="J92" s="5"/>
      <c r="K92" s="5"/>
      <c r="L92" s="5"/>
      <c r="M92" s="5"/>
      <c r="N92" s="5"/>
      <c r="O92" s="5"/>
      <c r="P92" s="5"/>
      <c r="Q92" s="5"/>
    </row>
    <row r="93" spans="1:17" x14ac:dyDescent="0.2">
      <c r="A93" s="6"/>
      <c r="B93" s="6"/>
      <c r="C93" s="6"/>
      <c r="D93" s="6"/>
      <c r="E93" s="6"/>
      <c r="F93" s="6"/>
      <c r="G93" s="123"/>
      <c r="H93" s="5"/>
      <c r="I93" s="5"/>
      <c r="J93" s="5"/>
      <c r="K93" s="5"/>
      <c r="L93" s="5"/>
      <c r="M93" s="5"/>
      <c r="N93" s="5"/>
      <c r="O93" s="5"/>
      <c r="P93" s="5"/>
      <c r="Q93" s="5"/>
    </row>
    <row r="94" spans="1:17" x14ac:dyDescent="0.2">
      <c r="A94" s="6"/>
      <c r="B94" s="6"/>
      <c r="C94" s="6"/>
      <c r="D94" s="6"/>
      <c r="E94" s="6"/>
      <c r="F94" s="6"/>
      <c r="G94" s="123"/>
      <c r="H94" s="5"/>
      <c r="I94" s="5"/>
      <c r="J94" s="5"/>
      <c r="K94" s="5"/>
      <c r="L94" s="5"/>
      <c r="M94" s="5"/>
      <c r="N94" s="5"/>
      <c r="O94" s="5"/>
      <c r="P94" s="5"/>
      <c r="Q94" s="5"/>
    </row>
    <row r="95" spans="1:17" x14ac:dyDescent="0.2">
      <c r="A95" s="6"/>
      <c r="B95" s="6"/>
      <c r="C95" s="6"/>
      <c r="D95" s="6"/>
      <c r="E95" s="6"/>
      <c r="F95" s="6"/>
      <c r="G95" s="123"/>
      <c r="H95" s="5"/>
      <c r="I95" s="5"/>
      <c r="J95" s="5"/>
      <c r="K95" s="5"/>
      <c r="L95" s="5"/>
      <c r="M95" s="5"/>
      <c r="N95" s="5"/>
      <c r="O95" s="5"/>
      <c r="P95" s="5"/>
      <c r="Q95" s="5"/>
    </row>
    <row r="96" spans="1:17" x14ac:dyDescent="0.2">
      <c r="A96" s="6"/>
      <c r="B96" s="6"/>
      <c r="C96" s="6"/>
      <c r="D96" s="6"/>
      <c r="E96" s="6"/>
      <c r="F96" s="6"/>
      <c r="G96" s="123"/>
      <c r="H96" s="5"/>
      <c r="I96" s="5"/>
      <c r="J96" s="5"/>
      <c r="K96" s="5"/>
      <c r="L96" s="5"/>
      <c r="M96" s="5"/>
      <c r="N96" s="5"/>
      <c r="O96" s="5"/>
      <c r="P96" s="5"/>
      <c r="Q96" s="5"/>
    </row>
    <row r="97" spans="1:17" x14ac:dyDescent="0.2">
      <c r="A97" s="6"/>
      <c r="B97" s="6"/>
      <c r="C97" s="6"/>
      <c r="D97" s="6"/>
      <c r="E97" s="6"/>
      <c r="F97" s="6"/>
      <c r="G97" s="123"/>
      <c r="H97" s="5"/>
      <c r="I97" s="5"/>
      <c r="J97" s="5"/>
      <c r="K97" s="5"/>
      <c r="L97" s="5"/>
      <c r="M97" s="5"/>
      <c r="N97" s="5"/>
      <c r="O97" s="5"/>
      <c r="P97" s="5"/>
      <c r="Q97" s="5"/>
    </row>
    <row r="98" spans="1:17" x14ac:dyDescent="0.2">
      <c r="A98" s="6"/>
      <c r="B98" s="6"/>
      <c r="C98" s="6"/>
      <c r="D98" s="6"/>
      <c r="E98" s="6"/>
      <c r="F98" s="6"/>
      <c r="G98" s="123"/>
      <c r="H98" s="5"/>
      <c r="I98" s="5"/>
      <c r="J98" s="5"/>
      <c r="K98" s="5"/>
      <c r="L98" s="5"/>
      <c r="M98" s="5"/>
      <c r="N98" s="5"/>
      <c r="O98" s="5"/>
      <c r="P98" s="5"/>
      <c r="Q98" s="5"/>
    </row>
    <row r="99" spans="1:17" x14ac:dyDescent="0.2">
      <c r="A99" s="6"/>
      <c r="B99" s="6"/>
      <c r="C99" s="6"/>
      <c r="D99" s="6"/>
      <c r="E99" s="6"/>
      <c r="F99" s="6"/>
      <c r="G99" s="123"/>
      <c r="H99" s="5"/>
      <c r="I99" s="5"/>
      <c r="J99" s="5"/>
      <c r="K99" s="5"/>
      <c r="L99" s="5"/>
      <c r="M99" s="5"/>
      <c r="N99" s="5"/>
      <c r="O99" s="5"/>
      <c r="P99" s="5"/>
      <c r="Q99" s="5"/>
    </row>
    <row r="100" spans="1:17" x14ac:dyDescent="0.2">
      <c r="A100" s="6"/>
      <c r="B100" s="6"/>
      <c r="C100" s="6"/>
      <c r="D100" s="6"/>
      <c r="E100" s="6"/>
      <c r="F100" s="6"/>
      <c r="G100" s="123"/>
      <c r="H100" s="5"/>
      <c r="I100" s="5"/>
      <c r="J100" s="5"/>
      <c r="K100" s="5"/>
      <c r="L100" s="5"/>
      <c r="M100" s="5"/>
      <c r="N100" s="5"/>
      <c r="O100" s="5"/>
      <c r="P100" s="5"/>
      <c r="Q100" s="5"/>
    </row>
    <row r="101" spans="1:17" x14ac:dyDescent="0.2">
      <c r="A101" s="6"/>
      <c r="B101" s="6"/>
      <c r="C101" s="6"/>
      <c r="D101" s="6"/>
      <c r="E101" s="6"/>
      <c r="F101" s="6"/>
      <c r="G101" s="123"/>
      <c r="H101" s="5"/>
      <c r="I101" s="5"/>
      <c r="J101" s="5"/>
      <c r="K101" s="5"/>
      <c r="L101" s="5"/>
      <c r="M101" s="5"/>
      <c r="N101" s="5"/>
      <c r="O101" s="5"/>
      <c r="P101" s="5"/>
      <c r="Q101" s="5"/>
    </row>
    <row r="102" spans="1:17" x14ac:dyDescent="0.2">
      <c r="A102" s="6"/>
      <c r="B102" s="6"/>
      <c r="C102" s="6"/>
      <c r="D102" s="6"/>
      <c r="E102" s="6"/>
      <c r="F102" s="6"/>
      <c r="G102" s="123"/>
      <c r="H102" s="5"/>
      <c r="I102" s="5"/>
      <c r="J102" s="5"/>
      <c r="K102" s="5"/>
      <c r="L102" s="5"/>
      <c r="M102" s="5"/>
      <c r="N102" s="5"/>
      <c r="O102" s="5"/>
      <c r="P102" s="5"/>
      <c r="Q102" s="5"/>
    </row>
    <row r="103" spans="1:17" x14ac:dyDescent="0.2">
      <c r="A103" s="6"/>
      <c r="B103" s="6"/>
      <c r="C103" s="6"/>
      <c r="D103" s="6"/>
      <c r="E103" s="6"/>
      <c r="F103" s="6"/>
      <c r="G103" s="123"/>
      <c r="H103" s="5"/>
      <c r="I103" s="5"/>
      <c r="J103" s="5"/>
      <c r="K103" s="5"/>
      <c r="L103" s="5"/>
      <c r="M103" s="5"/>
      <c r="N103" s="5"/>
      <c r="O103" s="5"/>
      <c r="P103" s="5"/>
      <c r="Q103" s="5"/>
    </row>
    <row r="104" spans="1:17" x14ac:dyDescent="0.2">
      <c r="A104" s="6"/>
      <c r="B104" s="6"/>
      <c r="C104" s="6"/>
      <c r="D104" s="6"/>
      <c r="E104" s="6"/>
      <c r="F104" s="6"/>
      <c r="G104" s="123"/>
      <c r="H104" s="5"/>
      <c r="I104" s="5"/>
      <c r="J104" s="5"/>
      <c r="K104" s="5"/>
      <c r="L104" s="5"/>
      <c r="M104" s="5"/>
      <c r="N104" s="5"/>
      <c r="O104" s="5"/>
      <c r="P104" s="5"/>
      <c r="Q104" s="5"/>
    </row>
    <row r="105" spans="1:17" x14ac:dyDescent="0.2">
      <c r="A105" s="6"/>
      <c r="B105" s="6"/>
      <c r="C105" s="6"/>
      <c r="D105" s="6"/>
      <c r="E105" s="6"/>
      <c r="F105" s="6"/>
      <c r="G105" s="123"/>
      <c r="H105" s="5"/>
      <c r="I105" s="5"/>
      <c r="J105" s="5"/>
      <c r="K105" s="5"/>
      <c r="L105" s="5"/>
      <c r="M105" s="5"/>
      <c r="N105" s="5"/>
      <c r="O105" s="5"/>
      <c r="P105" s="5"/>
      <c r="Q105" s="5"/>
    </row>
    <row r="106" spans="1:17" x14ac:dyDescent="0.2">
      <c r="A106" s="6"/>
      <c r="B106" s="6"/>
      <c r="C106" s="6"/>
      <c r="D106" s="6"/>
      <c r="E106" s="6"/>
      <c r="F106" s="6"/>
      <c r="G106" s="123"/>
      <c r="H106" s="5"/>
      <c r="I106" s="5"/>
      <c r="J106" s="5"/>
      <c r="K106" s="5"/>
      <c r="L106" s="5"/>
      <c r="M106" s="5"/>
      <c r="N106" s="5"/>
      <c r="O106" s="5"/>
      <c r="P106" s="5"/>
      <c r="Q106" s="5"/>
    </row>
    <row r="107" spans="1:17" x14ac:dyDescent="0.2">
      <c r="A107" s="6"/>
      <c r="B107" s="6"/>
      <c r="C107" s="6"/>
      <c r="D107" s="6"/>
      <c r="E107" s="6"/>
      <c r="F107" s="6"/>
      <c r="G107" s="123"/>
      <c r="H107" s="5"/>
      <c r="I107" s="5"/>
      <c r="J107" s="5"/>
      <c r="K107" s="5"/>
      <c r="L107" s="5"/>
      <c r="M107" s="5"/>
      <c r="N107" s="5"/>
      <c r="O107" s="5"/>
      <c r="P107" s="5"/>
      <c r="Q107" s="5"/>
    </row>
    <row r="108" spans="1:17" x14ac:dyDescent="0.2">
      <c r="A108" s="6"/>
      <c r="B108" s="6"/>
      <c r="C108" s="6"/>
      <c r="D108" s="6"/>
      <c r="E108" s="6"/>
      <c r="F108" s="6"/>
      <c r="G108" s="123"/>
      <c r="H108" s="5"/>
      <c r="I108" s="5"/>
      <c r="J108" s="5"/>
      <c r="K108" s="5"/>
      <c r="L108" s="5"/>
      <c r="M108" s="5"/>
      <c r="N108" s="5"/>
      <c r="O108" s="5"/>
      <c r="P108" s="5"/>
      <c r="Q108" s="5"/>
    </row>
    <row r="109" spans="1:17" x14ac:dyDescent="0.2">
      <c r="A109" s="6"/>
      <c r="B109" s="6"/>
      <c r="C109" s="6"/>
      <c r="D109" s="6"/>
      <c r="E109" s="6"/>
      <c r="F109" s="6"/>
      <c r="G109" s="123"/>
      <c r="H109" s="5"/>
      <c r="I109" s="5"/>
      <c r="J109" s="5"/>
      <c r="K109" s="5"/>
      <c r="L109" s="5"/>
      <c r="M109" s="5"/>
      <c r="N109" s="5"/>
      <c r="O109" s="5"/>
      <c r="P109" s="5"/>
      <c r="Q109" s="5"/>
    </row>
    <row r="110" spans="1:17" x14ac:dyDescent="0.2">
      <c r="A110" s="6"/>
      <c r="B110" s="6"/>
      <c r="C110" s="6"/>
      <c r="D110" s="6"/>
      <c r="E110" s="6"/>
      <c r="F110" s="6"/>
      <c r="G110" s="123"/>
      <c r="H110" s="5"/>
      <c r="I110" s="5"/>
      <c r="J110" s="5"/>
      <c r="K110" s="5"/>
      <c r="L110" s="5"/>
      <c r="M110" s="5"/>
      <c r="N110" s="5"/>
      <c r="O110" s="5"/>
      <c r="P110" s="5"/>
      <c r="Q110" s="5"/>
    </row>
    <row r="111" spans="1:17" x14ac:dyDescent="0.2">
      <c r="A111" s="6"/>
      <c r="B111" s="6"/>
      <c r="C111" s="6"/>
      <c r="D111" s="6"/>
      <c r="E111" s="6"/>
      <c r="F111" s="6"/>
      <c r="G111" s="123"/>
      <c r="H111" s="5"/>
      <c r="I111" s="5"/>
      <c r="J111" s="5"/>
      <c r="K111" s="5"/>
      <c r="L111" s="5"/>
      <c r="M111" s="5"/>
      <c r="N111" s="5"/>
      <c r="O111" s="5"/>
      <c r="P111" s="5"/>
      <c r="Q111" s="5"/>
    </row>
    <row r="112" spans="1:17" x14ac:dyDescent="0.2">
      <c r="A112" s="6"/>
      <c r="B112" s="6"/>
      <c r="C112" s="6"/>
      <c r="D112" s="6"/>
      <c r="E112" s="6"/>
      <c r="F112" s="6"/>
      <c r="G112" s="123"/>
      <c r="H112" s="5"/>
      <c r="I112" s="5"/>
      <c r="J112" s="5"/>
      <c r="K112" s="5"/>
      <c r="L112" s="5"/>
      <c r="M112" s="5"/>
      <c r="N112" s="5"/>
      <c r="O112" s="5"/>
      <c r="P112" s="5"/>
      <c r="Q112" s="5"/>
    </row>
    <row r="113" spans="1:17" x14ac:dyDescent="0.2">
      <c r="A113" s="6"/>
      <c r="B113" s="6"/>
      <c r="C113" s="6"/>
      <c r="D113" s="6"/>
      <c r="E113" s="6"/>
      <c r="F113" s="6"/>
      <c r="G113" s="123"/>
      <c r="H113" s="5"/>
      <c r="I113" s="5"/>
      <c r="J113" s="5"/>
      <c r="K113" s="5"/>
      <c r="L113" s="5"/>
      <c r="M113" s="5"/>
      <c r="N113" s="5"/>
      <c r="O113" s="5"/>
      <c r="P113" s="5"/>
      <c r="Q113" s="5"/>
    </row>
    <row r="114" spans="1:17" x14ac:dyDescent="0.2">
      <c r="A114" s="6"/>
      <c r="B114" s="6"/>
      <c r="C114" s="6"/>
      <c r="D114" s="6"/>
      <c r="E114" s="6"/>
      <c r="F114" s="6"/>
      <c r="G114" s="123"/>
      <c r="H114" s="5"/>
      <c r="I114" s="5"/>
      <c r="J114" s="5"/>
      <c r="K114" s="5"/>
      <c r="L114" s="5"/>
      <c r="M114" s="5"/>
      <c r="N114" s="5"/>
      <c r="O114" s="5"/>
      <c r="P114" s="5"/>
      <c r="Q114" s="5"/>
    </row>
    <row r="115" spans="1:17" x14ac:dyDescent="0.2">
      <c r="A115" s="6"/>
      <c r="B115" s="6"/>
      <c r="C115" s="6"/>
      <c r="D115" s="6"/>
      <c r="E115" s="6"/>
      <c r="F115" s="6"/>
      <c r="G115" s="123"/>
      <c r="H115" s="5"/>
      <c r="I115" s="5"/>
      <c r="J115" s="5"/>
      <c r="K115" s="5"/>
      <c r="L115" s="5"/>
      <c r="M115" s="5"/>
      <c r="N115" s="5"/>
      <c r="O115" s="5"/>
      <c r="P115" s="5"/>
      <c r="Q115" s="5"/>
    </row>
    <row r="116" spans="1:17" x14ac:dyDescent="0.2">
      <c r="A116" s="6"/>
      <c r="B116" s="6"/>
      <c r="C116" s="6"/>
      <c r="D116" s="6"/>
      <c r="E116" s="6"/>
      <c r="F116" s="6"/>
      <c r="G116" s="123"/>
      <c r="H116" s="5"/>
      <c r="I116" s="5"/>
      <c r="J116" s="5"/>
      <c r="K116" s="5"/>
      <c r="L116" s="5"/>
      <c r="M116" s="5"/>
      <c r="N116" s="5"/>
      <c r="O116" s="5"/>
      <c r="P116" s="5"/>
      <c r="Q116" s="5"/>
    </row>
    <row r="117" spans="1:17" x14ac:dyDescent="0.2">
      <c r="A117" s="6"/>
      <c r="B117" s="6"/>
      <c r="C117" s="6"/>
      <c r="D117" s="6"/>
      <c r="E117" s="6"/>
      <c r="F117" s="6"/>
      <c r="G117" s="123"/>
      <c r="H117" s="5"/>
      <c r="I117" s="5"/>
      <c r="J117" s="5"/>
      <c r="K117" s="5"/>
      <c r="L117" s="5"/>
      <c r="M117" s="5"/>
      <c r="N117" s="5"/>
      <c r="O117" s="5"/>
      <c r="P117" s="5"/>
      <c r="Q117" s="5"/>
    </row>
    <row r="118" spans="1:17" x14ac:dyDescent="0.2">
      <c r="A118" s="6"/>
      <c r="B118" s="6"/>
      <c r="C118" s="6"/>
      <c r="D118" s="6"/>
      <c r="E118" s="6"/>
      <c r="F118" s="6"/>
      <c r="G118" s="123"/>
      <c r="H118" s="5"/>
      <c r="I118" s="5"/>
      <c r="J118" s="5"/>
      <c r="K118" s="5"/>
      <c r="L118" s="5"/>
      <c r="M118" s="5"/>
      <c r="N118" s="5"/>
      <c r="O118" s="5"/>
      <c r="P118" s="5"/>
      <c r="Q118" s="5"/>
    </row>
    <row r="119" spans="1:17" x14ac:dyDescent="0.2">
      <c r="A119" s="6"/>
      <c r="B119" s="6"/>
      <c r="C119" s="6"/>
      <c r="D119" s="6"/>
      <c r="E119" s="6"/>
      <c r="F119" s="6"/>
      <c r="G119" s="123"/>
      <c r="H119" s="5"/>
      <c r="I119" s="5"/>
      <c r="J119" s="5"/>
      <c r="K119" s="5"/>
      <c r="L119" s="5"/>
      <c r="M119" s="5"/>
      <c r="N119" s="5"/>
      <c r="O119" s="5"/>
      <c r="P119" s="5"/>
      <c r="Q119" s="5"/>
    </row>
    <row r="120" spans="1:17" x14ac:dyDescent="0.2">
      <c r="A120" s="6"/>
      <c r="B120" s="6"/>
      <c r="C120" s="6"/>
      <c r="D120" s="6"/>
      <c r="E120" s="6"/>
      <c r="F120" s="6"/>
      <c r="G120" s="123"/>
      <c r="H120" s="5"/>
      <c r="I120" s="5"/>
      <c r="J120" s="5"/>
      <c r="K120" s="5"/>
      <c r="L120" s="5"/>
      <c r="M120" s="5"/>
      <c r="N120" s="5"/>
      <c r="O120" s="5"/>
      <c r="P120" s="5"/>
      <c r="Q120" s="5"/>
    </row>
    <row r="121" spans="1:17" x14ac:dyDescent="0.2">
      <c r="A121" s="6"/>
      <c r="B121" s="6"/>
      <c r="C121" s="6"/>
      <c r="D121" s="6"/>
      <c r="E121" s="6"/>
      <c r="F121" s="6"/>
      <c r="G121" s="123"/>
      <c r="H121" s="5"/>
      <c r="I121" s="5"/>
      <c r="J121" s="5"/>
      <c r="K121" s="5"/>
      <c r="L121" s="5"/>
      <c r="M121" s="5"/>
      <c r="N121" s="5"/>
      <c r="O121" s="5"/>
      <c r="P121" s="5"/>
      <c r="Q121" s="5"/>
    </row>
    <row r="122" spans="1:17" x14ac:dyDescent="0.2">
      <c r="A122" s="6"/>
      <c r="B122" s="6"/>
      <c r="C122" s="6"/>
      <c r="D122" s="6"/>
      <c r="E122" s="6"/>
      <c r="F122" s="6"/>
      <c r="G122" s="123"/>
      <c r="H122" s="5"/>
      <c r="I122" s="5"/>
      <c r="J122" s="5"/>
      <c r="K122" s="5"/>
      <c r="L122" s="5"/>
      <c r="M122" s="5"/>
      <c r="N122" s="5"/>
      <c r="O122" s="5"/>
      <c r="P122" s="5"/>
      <c r="Q122" s="5"/>
    </row>
    <row r="123" spans="1:17" x14ac:dyDescent="0.2">
      <c r="A123" s="6"/>
      <c r="B123" s="6"/>
      <c r="C123" s="6"/>
      <c r="D123" s="6"/>
      <c r="E123" s="6"/>
      <c r="F123" s="6"/>
      <c r="G123" s="123"/>
      <c r="H123" s="5"/>
      <c r="I123" s="5"/>
      <c r="J123" s="5"/>
      <c r="K123" s="5"/>
      <c r="L123" s="5"/>
      <c r="M123" s="5"/>
      <c r="N123" s="5"/>
      <c r="O123" s="5"/>
      <c r="P123" s="5"/>
      <c r="Q123" s="5"/>
    </row>
    <row r="124" spans="1:17" x14ac:dyDescent="0.2">
      <c r="A124" s="6"/>
      <c r="B124" s="6"/>
      <c r="C124" s="6"/>
      <c r="D124" s="6"/>
      <c r="E124" s="6"/>
      <c r="F124" s="6"/>
      <c r="G124" s="123"/>
      <c r="H124" s="5"/>
      <c r="I124" s="5"/>
      <c r="J124" s="5"/>
      <c r="K124" s="5"/>
      <c r="L124" s="5"/>
      <c r="M124" s="5"/>
      <c r="N124" s="5"/>
      <c r="O124" s="5"/>
      <c r="P124" s="5"/>
      <c r="Q124" s="5"/>
    </row>
    <row r="125" spans="1:17" x14ac:dyDescent="0.2">
      <c r="A125" s="6"/>
      <c r="B125" s="6"/>
      <c r="C125" s="6"/>
      <c r="D125" s="6"/>
      <c r="E125" s="6"/>
      <c r="F125" s="6"/>
      <c r="G125" s="123"/>
      <c r="H125" s="5"/>
      <c r="I125" s="5"/>
      <c r="J125" s="5"/>
      <c r="K125" s="5"/>
      <c r="L125" s="5"/>
      <c r="M125" s="5"/>
      <c r="N125" s="5"/>
      <c r="O125" s="5"/>
      <c r="P125" s="5"/>
      <c r="Q125" s="5"/>
    </row>
    <row r="126" spans="1:17" x14ac:dyDescent="0.2">
      <c r="A126" s="6"/>
      <c r="B126" s="6"/>
      <c r="C126" s="6"/>
      <c r="D126" s="6"/>
      <c r="E126" s="6"/>
      <c r="F126" s="6"/>
      <c r="G126" s="123"/>
      <c r="H126" s="5"/>
      <c r="I126" s="5"/>
      <c r="J126" s="5"/>
      <c r="K126" s="5"/>
      <c r="L126" s="5"/>
      <c r="M126" s="5"/>
      <c r="N126" s="5"/>
      <c r="O126" s="5"/>
      <c r="P126" s="5"/>
      <c r="Q126" s="5"/>
    </row>
    <row r="127" spans="1:17" x14ac:dyDescent="0.2">
      <c r="A127" s="6"/>
      <c r="B127" s="6"/>
      <c r="C127" s="6"/>
      <c r="D127" s="6"/>
      <c r="E127" s="6"/>
      <c r="F127" s="6"/>
      <c r="G127" s="123"/>
      <c r="H127" s="5"/>
      <c r="I127" s="5"/>
      <c r="J127" s="5"/>
      <c r="K127" s="5"/>
      <c r="L127" s="5"/>
      <c r="M127" s="5"/>
      <c r="N127" s="5"/>
      <c r="O127" s="5"/>
      <c r="P127" s="5"/>
      <c r="Q127" s="5"/>
    </row>
    <row r="128" spans="1:17" x14ac:dyDescent="0.2">
      <c r="A128" s="6"/>
      <c r="B128" s="6"/>
      <c r="C128" s="6"/>
      <c r="D128" s="6"/>
      <c r="E128" s="6"/>
      <c r="F128" s="6"/>
      <c r="G128" s="123"/>
      <c r="H128" s="5"/>
      <c r="I128" s="5"/>
      <c r="J128" s="5"/>
      <c r="K128" s="5"/>
      <c r="L128" s="5"/>
      <c r="M128" s="5"/>
      <c r="N128" s="5"/>
      <c r="O128" s="5"/>
      <c r="P128" s="5"/>
      <c r="Q128" s="5"/>
    </row>
    <row r="129" spans="1:17" x14ac:dyDescent="0.2">
      <c r="A129" s="6"/>
      <c r="B129" s="6"/>
      <c r="C129" s="6"/>
      <c r="D129" s="6"/>
      <c r="E129" s="6"/>
      <c r="F129" s="6"/>
      <c r="G129" s="123"/>
      <c r="H129" s="5"/>
      <c r="I129" s="5"/>
      <c r="J129" s="5"/>
      <c r="K129" s="5"/>
      <c r="L129" s="5"/>
      <c r="M129" s="5"/>
      <c r="N129" s="5"/>
      <c r="O129" s="5"/>
      <c r="P129" s="5"/>
      <c r="Q129" s="5"/>
    </row>
    <row r="130" spans="1:17" x14ac:dyDescent="0.2">
      <c r="A130" s="6"/>
      <c r="B130" s="6"/>
      <c r="C130" s="6"/>
      <c r="D130" s="6"/>
      <c r="E130" s="6"/>
      <c r="F130" s="6"/>
      <c r="G130" s="123"/>
      <c r="H130" s="5"/>
      <c r="I130" s="5"/>
      <c r="J130" s="5"/>
      <c r="K130" s="5"/>
      <c r="L130" s="5"/>
      <c r="M130" s="5"/>
      <c r="N130" s="5"/>
      <c r="O130" s="5"/>
      <c r="P130" s="5"/>
      <c r="Q130" s="5"/>
    </row>
    <row r="131" spans="1:17" x14ac:dyDescent="0.2">
      <c r="A131" s="6"/>
      <c r="B131" s="6"/>
      <c r="C131" s="6"/>
      <c r="D131" s="6"/>
      <c r="E131" s="6"/>
      <c r="F131" s="6"/>
      <c r="G131" s="123"/>
      <c r="H131" s="5"/>
      <c r="I131" s="5"/>
      <c r="J131" s="5"/>
      <c r="K131" s="5"/>
      <c r="L131" s="5"/>
      <c r="M131" s="5"/>
      <c r="N131" s="5"/>
      <c r="O131" s="5"/>
      <c r="P131" s="5"/>
      <c r="Q131" s="5"/>
    </row>
    <row r="132" spans="1:17" x14ac:dyDescent="0.2">
      <c r="A132" s="6"/>
      <c r="B132" s="6"/>
      <c r="C132" s="6"/>
      <c r="D132" s="6"/>
      <c r="E132" s="6"/>
      <c r="F132" s="6"/>
      <c r="G132" s="123"/>
      <c r="H132" s="5"/>
      <c r="I132" s="5"/>
      <c r="J132" s="5"/>
      <c r="K132" s="5"/>
      <c r="L132" s="5"/>
      <c r="M132" s="5"/>
      <c r="N132" s="5"/>
      <c r="O132" s="5"/>
      <c r="P132" s="5"/>
      <c r="Q132" s="5"/>
    </row>
    <row r="133" spans="1:17" x14ac:dyDescent="0.2">
      <c r="A133" s="6"/>
      <c r="B133" s="6"/>
      <c r="C133" s="6"/>
      <c r="D133" s="6"/>
      <c r="E133" s="6"/>
      <c r="F133" s="6"/>
      <c r="G133" s="123"/>
      <c r="H133" s="5"/>
      <c r="I133" s="5"/>
      <c r="J133" s="5"/>
      <c r="K133" s="5"/>
      <c r="L133" s="5"/>
      <c r="M133" s="5"/>
      <c r="N133" s="5"/>
      <c r="O133" s="5"/>
      <c r="P133" s="5"/>
      <c r="Q133" s="5"/>
    </row>
    <row r="134" spans="1:17" x14ac:dyDescent="0.2">
      <c r="A134" s="6"/>
      <c r="B134" s="6"/>
      <c r="C134" s="6"/>
      <c r="D134" s="6"/>
      <c r="E134" s="6"/>
      <c r="F134" s="6"/>
      <c r="G134" s="123"/>
      <c r="H134" s="5"/>
      <c r="I134" s="5"/>
      <c r="J134" s="5"/>
      <c r="K134" s="5"/>
      <c r="L134" s="5"/>
      <c r="M134" s="5"/>
      <c r="N134" s="5"/>
      <c r="O134" s="5"/>
      <c r="P134" s="5"/>
      <c r="Q134" s="5"/>
    </row>
    <row r="135" spans="1:17" x14ac:dyDescent="0.2">
      <c r="A135" s="6"/>
      <c r="B135" s="6"/>
      <c r="C135" s="6"/>
      <c r="D135" s="6"/>
      <c r="E135" s="6"/>
      <c r="F135" s="6"/>
      <c r="G135" s="123"/>
      <c r="H135" s="5"/>
      <c r="I135" s="5"/>
      <c r="J135" s="5"/>
      <c r="K135" s="5"/>
      <c r="L135" s="5"/>
      <c r="M135" s="5"/>
      <c r="N135" s="5"/>
      <c r="O135" s="5"/>
      <c r="P135" s="5"/>
      <c r="Q135" s="5"/>
    </row>
    <row r="136" spans="1:17" x14ac:dyDescent="0.2">
      <c r="A136" s="6"/>
      <c r="B136" s="6"/>
      <c r="C136" s="6"/>
      <c r="D136" s="6"/>
      <c r="E136" s="6"/>
      <c r="F136" s="6"/>
      <c r="G136" s="123"/>
      <c r="H136" s="5"/>
      <c r="I136" s="5"/>
      <c r="J136" s="5"/>
      <c r="K136" s="5"/>
      <c r="L136" s="5"/>
      <c r="M136" s="5"/>
      <c r="N136" s="5"/>
      <c r="O136" s="5"/>
      <c r="P136" s="5"/>
      <c r="Q136" s="5"/>
    </row>
    <row r="137" spans="1:17" x14ac:dyDescent="0.2">
      <c r="A137" s="6"/>
      <c r="B137" s="6"/>
      <c r="C137" s="6"/>
      <c r="D137" s="6"/>
      <c r="E137" s="6"/>
      <c r="F137" s="6"/>
      <c r="G137" s="123"/>
      <c r="H137" s="5"/>
      <c r="I137" s="5"/>
      <c r="J137" s="5"/>
      <c r="K137" s="5"/>
      <c r="L137" s="5"/>
      <c r="M137" s="5"/>
      <c r="N137" s="5"/>
      <c r="O137" s="5"/>
      <c r="P137" s="5"/>
      <c r="Q137" s="5"/>
    </row>
    <row r="138" spans="1:17" x14ac:dyDescent="0.2">
      <c r="A138" s="6"/>
      <c r="B138" s="6"/>
      <c r="C138" s="6"/>
      <c r="D138" s="6"/>
      <c r="E138" s="6"/>
      <c r="F138" s="6"/>
      <c r="G138" s="123"/>
      <c r="H138" s="5"/>
      <c r="I138" s="5"/>
      <c r="J138" s="5"/>
      <c r="K138" s="5"/>
      <c r="L138" s="5"/>
      <c r="M138" s="5"/>
      <c r="N138" s="5"/>
      <c r="O138" s="5"/>
      <c r="P138" s="5"/>
      <c r="Q138" s="5"/>
    </row>
    <row r="139" spans="1:17" x14ac:dyDescent="0.2">
      <c r="A139" s="6"/>
      <c r="B139" s="6"/>
      <c r="C139" s="6"/>
      <c r="D139" s="6"/>
      <c r="E139" s="6"/>
      <c r="F139" s="6"/>
      <c r="G139" s="123"/>
      <c r="H139" s="5"/>
      <c r="I139" s="5"/>
      <c r="J139" s="5"/>
      <c r="K139" s="5"/>
      <c r="L139" s="5"/>
      <c r="M139" s="5"/>
      <c r="N139" s="5"/>
      <c r="O139" s="5"/>
      <c r="P139" s="5"/>
      <c r="Q139" s="5"/>
    </row>
    <row r="140" spans="1:17" x14ac:dyDescent="0.2">
      <c r="A140" s="6"/>
      <c r="B140" s="6"/>
      <c r="C140" s="6"/>
      <c r="D140" s="6"/>
      <c r="E140" s="6"/>
      <c r="F140" s="6"/>
      <c r="G140" s="123"/>
      <c r="H140" s="5"/>
      <c r="I140" s="5"/>
      <c r="J140" s="5"/>
      <c r="K140" s="5"/>
      <c r="L140" s="5"/>
      <c r="M140" s="5"/>
      <c r="N140" s="5"/>
      <c r="O140" s="5"/>
      <c r="P140" s="5"/>
      <c r="Q140" s="5"/>
    </row>
    <row r="141" spans="1:17" x14ac:dyDescent="0.2">
      <c r="A141" s="6"/>
      <c r="B141" s="6"/>
      <c r="C141" s="6"/>
      <c r="D141" s="6"/>
      <c r="E141" s="6"/>
      <c r="F141" s="6"/>
      <c r="G141" s="123"/>
      <c r="H141" s="5"/>
      <c r="I141" s="5"/>
      <c r="J141" s="5"/>
      <c r="K141" s="5"/>
      <c r="L141" s="5"/>
      <c r="M141" s="5"/>
      <c r="N141" s="5"/>
      <c r="O141" s="5"/>
      <c r="P141" s="5"/>
      <c r="Q141" s="5"/>
    </row>
    <row r="142" spans="1:17" x14ac:dyDescent="0.2">
      <c r="A142" s="6"/>
      <c r="B142" s="6"/>
      <c r="C142" s="6"/>
      <c r="D142" s="6"/>
      <c r="E142" s="6"/>
      <c r="F142" s="6"/>
      <c r="G142" s="123"/>
      <c r="H142" s="5"/>
      <c r="I142" s="5"/>
      <c r="J142" s="5"/>
      <c r="K142" s="5"/>
      <c r="L142" s="5"/>
      <c r="M142" s="5"/>
      <c r="N142" s="5"/>
      <c r="O142" s="5"/>
      <c r="P142" s="5"/>
      <c r="Q142" s="5"/>
    </row>
    <row r="143" spans="1:17" x14ac:dyDescent="0.2">
      <c r="A143" s="6"/>
      <c r="B143" s="6"/>
      <c r="C143" s="6"/>
      <c r="D143" s="6"/>
      <c r="E143" s="6"/>
      <c r="F143" s="6"/>
      <c r="G143" s="123"/>
      <c r="H143" s="5"/>
      <c r="I143" s="5"/>
      <c r="J143" s="5"/>
      <c r="K143" s="5"/>
      <c r="L143" s="5"/>
      <c r="M143" s="5"/>
      <c r="N143" s="5"/>
      <c r="O143" s="5"/>
      <c r="P143" s="5"/>
      <c r="Q143" s="5"/>
    </row>
    <row r="144" spans="1:17" x14ac:dyDescent="0.2">
      <c r="A144" s="6"/>
      <c r="B144" s="6"/>
      <c r="C144" s="6"/>
      <c r="D144" s="6"/>
      <c r="E144" s="6"/>
      <c r="F144" s="6"/>
      <c r="G144" s="123"/>
      <c r="H144" s="5"/>
      <c r="I144" s="5"/>
      <c r="J144" s="5"/>
      <c r="K144" s="5"/>
      <c r="L144" s="5"/>
      <c r="M144" s="5"/>
      <c r="N144" s="5"/>
      <c r="O144" s="5"/>
      <c r="P144" s="5"/>
      <c r="Q144" s="5"/>
    </row>
    <row r="145" spans="1:17" x14ac:dyDescent="0.2">
      <c r="A145" s="6"/>
      <c r="B145" s="6"/>
      <c r="C145" s="6"/>
      <c r="D145" s="6"/>
      <c r="E145" s="6"/>
      <c r="F145" s="6"/>
      <c r="G145" s="123"/>
      <c r="H145" s="5"/>
      <c r="I145" s="5"/>
      <c r="J145" s="5"/>
      <c r="K145" s="5"/>
      <c r="L145" s="5"/>
      <c r="M145" s="5"/>
      <c r="N145" s="5"/>
      <c r="O145" s="5"/>
      <c r="P145" s="5"/>
      <c r="Q145" s="5"/>
    </row>
    <row r="146" spans="1:17" x14ac:dyDescent="0.2">
      <c r="A146" s="6"/>
      <c r="B146" s="6"/>
      <c r="C146" s="6"/>
      <c r="D146" s="6"/>
      <c r="E146" s="6"/>
      <c r="F146" s="6"/>
      <c r="G146" s="123"/>
      <c r="H146" s="5"/>
      <c r="I146" s="5"/>
      <c r="J146" s="5"/>
      <c r="K146" s="5"/>
      <c r="L146" s="5"/>
      <c r="M146" s="5"/>
      <c r="N146" s="5"/>
      <c r="O146" s="5"/>
      <c r="P146" s="5"/>
      <c r="Q146" s="5"/>
    </row>
    <row r="147" spans="1:17" x14ac:dyDescent="0.2">
      <c r="A147" s="6"/>
      <c r="B147" s="6"/>
      <c r="C147" s="6"/>
      <c r="D147" s="6"/>
      <c r="E147" s="6"/>
      <c r="F147" s="6"/>
      <c r="G147" s="123"/>
      <c r="H147" s="5"/>
      <c r="I147" s="5"/>
      <c r="J147" s="5"/>
      <c r="K147" s="5"/>
      <c r="L147" s="5"/>
      <c r="M147" s="5"/>
      <c r="N147" s="5"/>
      <c r="O147" s="5"/>
      <c r="P147" s="5"/>
      <c r="Q147" s="5"/>
    </row>
    <row r="148" spans="1:17" x14ac:dyDescent="0.2">
      <c r="A148" s="6"/>
      <c r="B148" s="6"/>
      <c r="C148" s="6"/>
      <c r="D148" s="6"/>
      <c r="E148" s="6"/>
      <c r="F148" s="6"/>
      <c r="G148" s="123"/>
      <c r="H148" s="5"/>
      <c r="I148" s="5"/>
      <c r="J148" s="5"/>
      <c r="K148" s="5"/>
      <c r="L148" s="5"/>
      <c r="M148" s="5"/>
      <c r="N148" s="5"/>
      <c r="O148" s="5"/>
      <c r="P148" s="5"/>
      <c r="Q148" s="5"/>
    </row>
    <row r="149" spans="1:17" x14ac:dyDescent="0.2">
      <c r="A149" s="6"/>
      <c r="B149" s="6"/>
      <c r="C149" s="6"/>
      <c r="D149" s="6"/>
      <c r="E149" s="6"/>
      <c r="F149" s="6"/>
      <c r="G149" s="123"/>
      <c r="H149" s="5"/>
      <c r="I149" s="5"/>
      <c r="J149" s="5"/>
      <c r="K149" s="5"/>
      <c r="L149" s="5"/>
      <c r="M149" s="5"/>
      <c r="N149" s="5"/>
      <c r="O149" s="5"/>
      <c r="P149" s="5"/>
      <c r="Q149" s="5"/>
    </row>
    <row r="150" spans="1:17" x14ac:dyDescent="0.2">
      <c r="A150" s="6"/>
      <c r="B150" s="6"/>
      <c r="C150" s="6"/>
      <c r="D150" s="6"/>
      <c r="E150" s="6"/>
      <c r="F150" s="6"/>
      <c r="G150" s="123"/>
      <c r="H150" s="5"/>
      <c r="I150" s="5"/>
      <c r="J150" s="5"/>
      <c r="K150" s="5"/>
      <c r="L150" s="5"/>
      <c r="M150" s="5"/>
      <c r="N150" s="5"/>
      <c r="O150" s="5"/>
      <c r="P150" s="5"/>
      <c r="Q150" s="5"/>
    </row>
    <row r="151" spans="1:17" x14ac:dyDescent="0.2">
      <c r="A151" s="6"/>
      <c r="B151" s="6"/>
      <c r="C151" s="6"/>
      <c r="D151" s="6"/>
      <c r="E151" s="6"/>
      <c r="F151" s="6"/>
      <c r="G151" s="123"/>
      <c r="H151" s="5"/>
      <c r="I151" s="5"/>
      <c r="J151" s="5"/>
      <c r="K151" s="5"/>
      <c r="L151" s="5"/>
      <c r="M151" s="5"/>
      <c r="N151" s="5"/>
      <c r="O151" s="5"/>
      <c r="P151" s="5"/>
      <c r="Q151" s="5"/>
    </row>
    <row r="152" spans="1:17" x14ac:dyDescent="0.2">
      <c r="A152" s="6"/>
      <c r="B152" s="6"/>
      <c r="C152" s="6"/>
      <c r="D152" s="6"/>
      <c r="E152" s="6"/>
      <c r="F152" s="6"/>
      <c r="G152" s="123"/>
      <c r="H152" s="5"/>
      <c r="I152" s="5"/>
      <c r="J152" s="5"/>
      <c r="K152" s="5"/>
      <c r="L152" s="5"/>
      <c r="M152" s="5"/>
      <c r="N152" s="5"/>
      <c r="O152" s="5"/>
      <c r="P152" s="5"/>
      <c r="Q152" s="5"/>
    </row>
    <row r="153" spans="1:17" x14ac:dyDescent="0.2">
      <c r="A153" s="6"/>
      <c r="B153" s="6"/>
      <c r="C153" s="6"/>
      <c r="D153" s="6"/>
      <c r="E153" s="6"/>
      <c r="F153" s="6"/>
      <c r="G153" s="123"/>
      <c r="H153" s="5"/>
      <c r="I153" s="5"/>
      <c r="J153" s="5"/>
      <c r="K153" s="5"/>
      <c r="L153" s="5"/>
      <c r="M153" s="5"/>
      <c r="N153" s="5"/>
      <c r="O153" s="5"/>
      <c r="P153" s="5"/>
      <c r="Q153" s="5"/>
    </row>
    <row r="154" spans="1:17" x14ac:dyDescent="0.2">
      <c r="A154" s="6"/>
      <c r="B154" s="6"/>
      <c r="C154" s="6"/>
      <c r="D154" s="6"/>
      <c r="E154" s="6"/>
      <c r="F154" s="6"/>
      <c r="G154" s="123"/>
      <c r="H154" s="5"/>
      <c r="I154" s="5"/>
      <c r="J154" s="5"/>
      <c r="K154" s="5"/>
      <c r="L154" s="5"/>
      <c r="M154" s="5"/>
      <c r="N154" s="5"/>
      <c r="O154" s="5"/>
      <c r="P154" s="5"/>
      <c r="Q154" s="5"/>
    </row>
    <row r="155" spans="1:17" x14ac:dyDescent="0.2">
      <c r="A155" s="6"/>
      <c r="B155" s="6"/>
      <c r="C155" s="6"/>
      <c r="D155" s="6"/>
      <c r="E155" s="6"/>
      <c r="F155" s="6"/>
      <c r="G155" s="123"/>
      <c r="H155" s="5"/>
      <c r="I155" s="5"/>
      <c r="J155" s="5"/>
      <c r="K155" s="5"/>
      <c r="L155" s="5"/>
      <c r="M155" s="5"/>
      <c r="N155" s="5"/>
      <c r="O155" s="5"/>
      <c r="P155" s="5"/>
      <c r="Q155" s="5"/>
    </row>
    <row r="156" spans="1:17" x14ac:dyDescent="0.2">
      <c r="A156" s="6"/>
      <c r="B156" s="6"/>
      <c r="C156" s="6"/>
      <c r="D156" s="6"/>
      <c r="E156" s="6"/>
      <c r="F156" s="6"/>
      <c r="G156" s="123"/>
      <c r="H156" s="5"/>
      <c r="I156" s="5"/>
      <c r="J156" s="5"/>
      <c r="K156" s="5"/>
      <c r="L156" s="5"/>
      <c r="M156" s="5"/>
      <c r="N156" s="5"/>
      <c r="O156" s="5"/>
      <c r="P156" s="5"/>
      <c r="Q156" s="5"/>
    </row>
    <row r="157" spans="1:17" x14ac:dyDescent="0.2">
      <c r="A157" s="6"/>
      <c r="B157" s="6"/>
      <c r="C157" s="6"/>
      <c r="D157" s="6"/>
      <c r="E157" s="6"/>
      <c r="F157" s="6"/>
      <c r="G157" s="123"/>
      <c r="H157" s="5"/>
      <c r="I157" s="5"/>
      <c r="J157" s="5"/>
      <c r="K157" s="5"/>
      <c r="L157" s="5"/>
      <c r="M157" s="5"/>
      <c r="N157" s="5"/>
      <c r="O157" s="5"/>
      <c r="P157" s="5"/>
      <c r="Q157" s="5"/>
    </row>
    <row r="158" spans="1:17" x14ac:dyDescent="0.2">
      <c r="A158" s="6"/>
      <c r="B158" s="6"/>
      <c r="C158" s="6"/>
      <c r="D158" s="6"/>
      <c r="E158" s="6"/>
      <c r="F158" s="6"/>
      <c r="G158" s="123"/>
      <c r="H158" s="5"/>
      <c r="I158" s="5"/>
      <c r="J158" s="5"/>
      <c r="K158" s="5"/>
      <c r="L158" s="5"/>
      <c r="M158" s="5"/>
      <c r="N158" s="5"/>
      <c r="O158" s="5"/>
      <c r="P158" s="5"/>
      <c r="Q158" s="5"/>
    </row>
    <row r="159" spans="1:17" x14ac:dyDescent="0.2">
      <c r="A159" s="6"/>
      <c r="B159" s="6"/>
      <c r="C159" s="6"/>
      <c r="D159" s="6"/>
      <c r="E159" s="6"/>
      <c r="F159" s="6"/>
      <c r="G159" s="123"/>
      <c r="H159" s="5"/>
      <c r="I159" s="5"/>
      <c r="J159" s="5"/>
      <c r="K159" s="5"/>
      <c r="L159" s="5"/>
      <c r="M159" s="5"/>
      <c r="N159" s="5"/>
      <c r="O159" s="5"/>
      <c r="P159" s="5"/>
      <c r="Q159" s="5"/>
    </row>
    <row r="160" spans="1:17" x14ac:dyDescent="0.2">
      <c r="A160" s="6"/>
      <c r="B160" s="6"/>
      <c r="C160" s="6"/>
      <c r="D160" s="6"/>
      <c r="E160" s="6"/>
      <c r="F160" s="6"/>
      <c r="G160" s="123"/>
      <c r="H160" s="5"/>
      <c r="I160" s="5"/>
      <c r="J160" s="5"/>
      <c r="K160" s="5"/>
      <c r="L160" s="5"/>
      <c r="M160" s="5"/>
      <c r="N160" s="5"/>
      <c r="O160" s="5"/>
      <c r="P160" s="5"/>
      <c r="Q160" s="5"/>
    </row>
    <row r="161" spans="1:17" x14ac:dyDescent="0.2">
      <c r="A161" s="6"/>
      <c r="B161" s="6"/>
      <c r="C161" s="6"/>
      <c r="D161" s="6"/>
      <c r="E161" s="6"/>
      <c r="F161" s="6"/>
      <c r="G161" s="123"/>
      <c r="H161" s="5"/>
      <c r="I161" s="5"/>
      <c r="J161" s="5"/>
      <c r="K161" s="5"/>
      <c r="L161" s="5"/>
      <c r="M161" s="5"/>
      <c r="N161" s="5"/>
      <c r="O161" s="5"/>
      <c r="P161" s="5"/>
      <c r="Q161" s="5"/>
    </row>
    <row r="162" spans="1:17" x14ac:dyDescent="0.2">
      <c r="A162" s="6"/>
      <c r="B162" s="6"/>
      <c r="C162" s="6"/>
      <c r="D162" s="6"/>
      <c r="E162" s="6"/>
      <c r="F162" s="6"/>
      <c r="G162" s="123"/>
      <c r="H162" s="5"/>
      <c r="I162" s="5"/>
      <c r="J162" s="5"/>
      <c r="K162" s="5"/>
      <c r="L162" s="5"/>
      <c r="M162" s="5"/>
      <c r="N162" s="5"/>
      <c r="O162" s="5"/>
      <c r="P162" s="5"/>
      <c r="Q162" s="5"/>
    </row>
    <row r="163" spans="1:17" x14ac:dyDescent="0.2">
      <c r="A163" s="6"/>
      <c r="B163" s="6"/>
      <c r="C163" s="6"/>
      <c r="D163" s="6"/>
      <c r="E163" s="6"/>
      <c r="F163" s="6"/>
      <c r="G163" s="123"/>
      <c r="H163" s="5"/>
      <c r="I163" s="5"/>
      <c r="J163" s="5"/>
      <c r="K163" s="5"/>
      <c r="L163" s="5"/>
      <c r="M163" s="5"/>
      <c r="N163" s="5"/>
      <c r="O163" s="5"/>
      <c r="P163" s="5"/>
      <c r="Q163" s="5"/>
    </row>
    <row r="164" spans="1:17" x14ac:dyDescent="0.2">
      <c r="A164" s="6"/>
      <c r="B164" s="6"/>
      <c r="C164" s="6"/>
      <c r="D164" s="6"/>
      <c r="E164" s="6"/>
      <c r="F164" s="6"/>
      <c r="G164" s="123"/>
      <c r="H164" s="5"/>
      <c r="I164" s="5"/>
      <c r="J164" s="5"/>
      <c r="K164" s="5"/>
      <c r="L164" s="5"/>
      <c r="M164" s="5"/>
      <c r="N164" s="5"/>
      <c r="O164" s="5"/>
      <c r="P164" s="5"/>
      <c r="Q164" s="5"/>
    </row>
    <row r="165" spans="1:17" x14ac:dyDescent="0.2">
      <c r="A165" s="6"/>
      <c r="B165" s="6"/>
      <c r="C165" s="6"/>
      <c r="D165" s="6"/>
      <c r="E165" s="6"/>
      <c r="F165" s="6"/>
      <c r="G165" s="123"/>
      <c r="H165" s="5"/>
      <c r="I165" s="5"/>
      <c r="J165" s="5"/>
      <c r="K165" s="5"/>
      <c r="L165" s="5"/>
      <c r="M165" s="5"/>
      <c r="N165" s="5"/>
      <c r="O165" s="5"/>
      <c r="P165" s="5"/>
      <c r="Q165" s="5"/>
    </row>
    <row r="166" spans="1:17" x14ac:dyDescent="0.2">
      <c r="A166" s="6"/>
      <c r="B166" s="6"/>
      <c r="C166" s="6"/>
      <c r="D166" s="6"/>
      <c r="E166" s="6"/>
      <c r="F166" s="6"/>
      <c r="G166" s="123"/>
      <c r="H166" s="5"/>
      <c r="I166" s="5"/>
      <c r="J166" s="5"/>
      <c r="K166" s="5"/>
      <c r="L166" s="5"/>
      <c r="M166" s="5"/>
      <c r="N166" s="5"/>
      <c r="O166" s="5"/>
      <c r="P166" s="5"/>
      <c r="Q166" s="5"/>
    </row>
    <row r="167" spans="1:17" x14ac:dyDescent="0.2">
      <c r="A167" s="6"/>
      <c r="B167" s="6"/>
      <c r="C167" s="6"/>
      <c r="D167" s="6"/>
      <c r="E167" s="6"/>
      <c r="F167" s="6"/>
      <c r="G167" s="123"/>
      <c r="H167" s="5"/>
      <c r="I167" s="5"/>
      <c r="J167" s="5"/>
      <c r="K167" s="5"/>
      <c r="L167" s="5"/>
      <c r="M167" s="5"/>
      <c r="N167" s="5"/>
      <c r="O167" s="5"/>
      <c r="P167" s="5"/>
      <c r="Q167" s="5"/>
    </row>
    <row r="168" spans="1:17" x14ac:dyDescent="0.2">
      <c r="A168" s="6"/>
      <c r="B168" s="6"/>
      <c r="C168" s="6"/>
      <c r="D168" s="6"/>
      <c r="E168" s="6"/>
      <c r="F168" s="6"/>
      <c r="G168" s="123"/>
      <c r="H168" s="5"/>
      <c r="I168" s="5"/>
      <c r="J168" s="5"/>
      <c r="K168" s="5"/>
      <c r="L168" s="5"/>
      <c r="M168" s="5"/>
      <c r="N168" s="5"/>
      <c r="O168" s="5"/>
      <c r="P168" s="5"/>
      <c r="Q168" s="5"/>
    </row>
    <row r="169" spans="1:17" x14ac:dyDescent="0.2">
      <c r="A169" s="6"/>
      <c r="B169" s="6"/>
      <c r="C169" s="6"/>
      <c r="D169" s="6"/>
      <c r="E169" s="6"/>
      <c r="F169" s="6"/>
      <c r="G169" s="123"/>
      <c r="H169" s="5"/>
      <c r="I169" s="5"/>
      <c r="J169" s="5"/>
      <c r="K169" s="5"/>
      <c r="L169" s="5"/>
      <c r="M169" s="5"/>
      <c r="N169" s="5"/>
      <c r="O169" s="5"/>
      <c r="P169" s="5"/>
      <c r="Q169" s="5"/>
    </row>
    <row r="170" spans="1:17" x14ac:dyDescent="0.2">
      <c r="A170" s="6"/>
      <c r="B170" s="6"/>
      <c r="C170" s="6"/>
      <c r="D170" s="6"/>
      <c r="E170" s="6"/>
      <c r="F170" s="6"/>
      <c r="G170" s="123"/>
      <c r="H170" s="5"/>
      <c r="I170" s="5"/>
      <c r="J170" s="5"/>
      <c r="K170" s="5"/>
      <c r="L170" s="5"/>
      <c r="M170" s="5"/>
      <c r="N170" s="5"/>
      <c r="O170" s="5"/>
      <c r="P170" s="5"/>
      <c r="Q170" s="5"/>
    </row>
    <row r="171" spans="1:17" x14ac:dyDescent="0.2">
      <c r="A171" s="6"/>
      <c r="B171" s="6"/>
      <c r="C171" s="6"/>
      <c r="D171" s="6"/>
      <c r="E171" s="6"/>
      <c r="F171" s="6"/>
      <c r="G171" s="123"/>
      <c r="H171" s="5"/>
      <c r="I171" s="5"/>
      <c r="J171" s="5"/>
      <c r="K171" s="5"/>
      <c r="L171" s="5"/>
      <c r="M171" s="5"/>
      <c r="N171" s="5"/>
      <c r="O171" s="5"/>
      <c r="P171" s="5"/>
      <c r="Q171" s="5"/>
    </row>
    <row r="172" spans="1:17" x14ac:dyDescent="0.2">
      <c r="A172" s="6"/>
      <c r="B172" s="6"/>
      <c r="C172" s="6"/>
      <c r="D172" s="6"/>
      <c r="E172" s="6"/>
      <c r="F172" s="6"/>
      <c r="G172" s="123"/>
      <c r="H172" s="5"/>
      <c r="I172" s="5"/>
      <c r="J172" s="5"/>
      <c r="K172" s="5"/>
      <c r="L172" s="5"/>
      <c r="M172" s="5"/>
      <c r="N172" s="5"/>
      <c r="O172" s="5"/>
      <c r="P172" s="5"/>
      <c r="Q172" s="5"/>
    </row>
    <row r="173" spans="1:17" x14ac:dyDescent="0.2">
      <c r="A173" s="6"/>
      <c r="B173" s="6"/>
      <c r="C173" s="6"/>
      <c r="D173" s="6"/>
      <c r="E173" s="6"/>
      <c r="F173" s="6"/>
      <c r="G173" s="123"/>
      <c r="H173" s="5"/>
      <c r="I173" s="5"/>
      <c r="J173" s="5"/>
      <c r="K173" s="5"/>
      <c r="L173" s="5"/>
      <c r="M173" s="5"/>
      <c r="N173" s="5"/>
      <c r="O173" s="5"/>
      <c r="P173" s="5"/>
      <c r="Q173" s="5"/>
    </row>
    <row r="174" spans="1:17" x14ac:dyDescent="0.2">
      <c r="A174" s="6"/>
      <c r="B174" s="6"/>
      <c r="C174" s="6"/>
      <c r="D174" s="6"/>
      <c r="E174" s="6"/>
      <c r="F174" s="6"/>
      <c r="G174" s="123"/>
      <c r="H174" s="5"/>
      <c r="I174" s="5"/>
      <c r="J174" s="5"/>
      <c r="K174" s="5"/>
      <c r="L174" s="5"/>
      <c r="M174" s="5"/>
      <c r="N174" s="5"/>
      <c r="O174" s="5"/>
      <c r="P174" s="5"/>
      <c r="Q174" s="5"/>
    </row>
    <row r="175" spans="1:17" x14ac:dyDescent="0.2">
      <c r="A175" s="6"/>
      <c r="B175" s="6"/>
      <c r="C175" s="6"/>
      <c r="D175" s="6"/>
      <c r="E175" s="6"/>
      <c r="F175" s="6"/>
      <c r="G175" s="123"/>
      <c r="H175" s="5"/>
      <c r="I175" s="5"/>
      <c r="J175" s="5"/>
      <c r="K175" s="5"/>
      <c r="L175" s="5"/>
      <c r="M175" s="5"/>
      <c r="N175" s="5"/>
      <c r="O175" s="5"/>
      <c r="P175" s="5"/>
      <c r="Q175" s="5"/>
    </row>
    <row r="176" spans="1:17" x14ac:dyDescent="0.2">
      <c r="A176" s="6"/>
      <c r="B176" s="6"/>
      <c r="C176" s="6"/>
      <c r="D176" s="6"/>
      <c r="E176" s="6"/>
      <c r="F176" s="6"/>
      <c r="G176" s="123"/>
      <c r="H176" s="5"/>
      <c r="I176" s="5"/>
      <c r="J176" s="5"/>
      <c r="K176" s="5"/>
      <c r="L176" s="5"/>
      <c r="M176" s="5"/>
      <c r="N176" s="5"/>
      <c r="O176" s="5"/>
      <c r="P176" s="5"/>
      <c r="Q176" s="5"/>
    </row>
    <row r="177" spans="1:17" x14ac:dyDescent="0.2">
      <c r="A177" s="6"/>
      <c r="B177" s="6"/>
      <c r="C177" s="6"/>
      <c r="D177" s="6"/>
      <c r="E177" s="6"/>
      <c r="F177" s="6"/>
      <c r="G177" s="123"/>
      <c r="H177" s="5"/>
      <c r="I177" s="5"/>
      <c r="J177" s="5"/>
      <c r="K177" s="5"/>
      <c r="L177" s="5"/>
      <c r="M177" s="5"/>
      <c r="N177" s="5"/>
      <c r="O177" s="5"/>
      <c r="P177" s="5"/>
      <c r="Q177" s="5"/>
    </row>
    <row r="178" spans="1:17" x14ac:dyDescent="0.2">
      <c r="A178" s="6"/>
      <c r="B178" s="6"/>
      <c r="C178" s="6"/>
      <c r="D178" s="6"/>
      <c r="E178" s="6"/>
      <c r="F178" s="6"/>
      <c r="G178" s="123"/>
      <c r="H178" s="5"/>
      <c r="I178" s="5"/>
      <c r="J178" s="5"/>
      <c r="K178" s="5"/>
      <c r="L178" s="5"/>
      <c r="M178" s="5"/>
      <c r="N178" s="5"/>
      <c r="O178" s="5"/>
      <c r="P178" s="5"/>
      <c r="Q178" s="5"/>
    </row>
    <row r="179" spans="1:17" x14ac:dyDescent="0.2">
      <c r="A179" s="6"/>
      <c r="B179" s="6"/>
      <c r="C179" s="6"/>
      <c r="D179" s="6"/>
      <c r="E179" s="6"/>
      <c r="F179" s="6"/>
      <c r="G179" s="123"/>
      <c r="H179" s="5"/>
      <c r="I179" s="5"/>
      <c r="J179" s="5"/>
      <c r="K179" s="5"/>
      <c r="L179" s="5"/>
      <c r="M179" s="5"/>
      <c r="N179" s="5"/>
      <c r="O179" s="5"/>
      <c r="P179" s="5"/>
      <c r="Q179" s="5"/>
    </row>
    <row r="180" spans="1:17" x14ac:dyDescent="0.2">
      <c r="A180" s="6"/>
      <c r="B180" s="6"/>
      <c r="C180" s="6"/>
      <c r="D180" s="6"/>
      <c r="E180" s="6"/>
      <c r="F180" s="6"/>
      <c r="G180" s="123"/>
      <c r="H180" s="5"/>
      <c r="I180" s="5"/>
      <c r="J180" s="5"/>
      <c r="K180" s="5"/>
      <c r="L180" s="5"/>
      <c r="M180" s="5"/>
      <c r="N180" s="5"/>
      <c r="O180" s="5"/>
      <c r="P180" s="5"/>
      <c r="Q180" s="5"/>
    </row>
    <row r="181" spans="1:17" x14ac:dyDescent="0.2">
      <c r="A181" s="6"/>
      <c r="B181" s="6"/>
      <c r="C181" s="6"/>
      <c r="D181" s="6"/>
      <c r="E181" s="6"/>
      <c r="F181" s="6"/>
      <c r="G181" s="123"/>
      <c r="H181" s="5"/>
      <c r="I181" s="5"/>
      <c r="J181" s="5"/>
      <c r="K181" s="5"/>
      <c r="L181" s="5"/>
      <c r="M181" s="5"/>
      <c r="N181" s="5"/>
      <c r="O181" s="5"/>
      <c r="P181" s="5"/>
      <c r="Q181" s="5"/>
    </row>
    <row r="182" spans="1:17" x14ac:dyDescent="0.2">
      <c r="A182" s="6"/>
      <c r="B182" s="6"/>
      <c r="C182" s="6"/>
      <c r="D182" s="6"/>
      <c r="E182" s="6"/>
      <c r="F182" s="6"/>
      <c r="G182" s="123"/>
      <c r="H182" s="5"/>
      <c r="I182" s="5"/>
      <c r="J182" s="5"/>
      <c r="K182" s="5"/>
      <c r="L182" s="5"/>
      <c r="M182" s="5"/>
      <c r="N182" s="5"/>
      <c r="O182" s="5"/>
      <c r="P182" s="5"/>
      <c r="Q182" s="5"/>
    </row>
    <row r="183" spans="1:17" x14ac:dyDescent="0.2">
      <c r="A183" s="6"/>
      <c r="B183" s="6"/>
      <c r="C183" s="6"/>
      <c r="D183" s="6"/>
      <c r="E183" s="6"/>
      <c r="F183" s="6"/>
      <c r="G183" s="123"/>
      <c r="H183" s="5"/>
      <c r="I183" s="5"/>
      <c r="J183" s="5"/>
      <c r="K183" s="5"/>
      <c r="L183" s="5"/>
      <c r="M183" s="5"/>
      <c r="N183" s="5"/>
      <c r="O183" s="5"/>
      <c r="P183" s="5"/>
      <c r="Q183" s="5"/>
    </row>
    <row r="184" spans="1:17" x14ac:dyDescent="0.2">
      <c r="A184" s="6"/>
      <c r="B184" s="6"/>
      <c r="C184" s="6"/>
      <c r="D184" s="6"/>
      <c r="E184" s="6"/>
      <c r="F184" s="6"/>
      <c r="G184" s="123"/>
      <c r="H184" s="5"/>
      <c r="I184" s="5"/>
      <c r="J184" s="5"/>
      <c r="K184" s="5"/>
      <c r="L184" s="5"/>
      <c r="M184" s="5"/>
      <c r="N184" s="5"/>
      <c r="O184" s="5"/>
      <c r="P184" s="5"/>
      <c r="Q184" s="5"/>
    </row>
    <row r="185" spans="1:17" x14ac:dyDescent="0.2">
      <c r="A185" s="6"/>
      <c r="B185" s="6"/>
      <c r="C185" s="6"/>
      <c r="D185" s="6"/>
      <c r="E185" s="6"/>
      <c r="F185" s="6"/>
      <c r="G185" s="123"/>
      <c r="H185" s="5"/>
      <c r="I185" s="5"/>
      <c r="J185" s="5"/>
      <c r="K185" s="5"/>
      <c r="L185" s="5"/>
      <c r="M185" s="5"/>
      <c r="N185" s="5"/>
      <c r="O185" s="5"/>
      <c r="P185" s="5"/>
      <c r="Q185" s="5"/>
    </row>
    <row r="186" spans="1:17" x14ac:dyDescent="0.2">
      <c r="A186" s="6"/>
      <c r="B186" s="6"/>
      <c r="C186" s="6"/>
      <c r="D186" s="6"/>
      <c r="E186" s="6"/>
      <c r="F186" s="6"/>
      <c r="G186" s="123"/>
      <c r="H186" s="5"/>
      <c r="I186" s="5"/>
      <c r="J186" s="5"/>
      <c r="K186" s="5"/>
      <c r="L186" s="5"/>
      <c r="M186" s="5"/>
      <c r="N186" s="5"/>
      <c r="O186" s="5"/>
      <c r="P186" s="5"/>
      <c r="Q186" s="5"/>
    </row>
    <row r="187" spans="1:17" x14ac:dyDescent="0.2">
      <c r="A187" s="6"/>
      <c r="B187" s="6"/>
      <c r="C187" s="6"/>
      <c r="D187" s="6"/>
      <c r="E187" s="6"/>
      <c r="F187" s="6"/>
      <c r="G187" s="123"/>
      <c r="H187" s="5"/>
      <c r="I187" s="5"/>
      <c r="J187" s="5"/>
      <c r="K187" s="5"/>
      <c r="L187" s="5"/>
      <c r="M187" s="5"/>
      <c r="N187" s="5"/>
      <c r="O187" s="5"/>
      <c r="P187" s="5"/>
      <c r="Q187" s="5"/>
    </row>
    <row r="188" spans="1:17" x14ac:dyDescent="0.2">
      <c r="A188" s="6"/>
      <c r="B188" s="6"/>
      <c r="C188" s="6"/>
      <c r="D188" s="6"/>
      <c r="E188" s="6"/>
      <c r="F188" s="6"/>
      <c r="G188" s="123"/>
      <c r="H188" s="5"/>
      <c r="I188" s="5"/>
      <c r="J188" s="5"/>
      <c r="K188" s="5"/>
      <c r="L188" s="5"/>
      <c r="M188" s="5"/>
      <c r="N188" s="5"/>
      <c r="O188" s="5"/>
      <c r="P188" s="5"/>
      <c r="Q188" s="5"/>
    </row>
    <row r="189" spans="1:17" x14ac:dyDescent="0.2">
      <c r="A189" s="6"/>
      <c r="B189" s="6"/>
      <c r="C189" s="6"/>
      <c r="D189" s="6"/>
      <c r="E189" s="6"/>
      <c r="F189" s="6"/>
      <c r="G189" s="123"/>
      <c r="H189" s="5"/>
      <c r="I189" s="5"/>
      <c r="J189" s="5"/>
      <c r="K189" s="5"/>
      <c r="L189" s="5"/>
      <c r="M189" s="5"/>
      <c r="N189" s="5"/>
      <c r="O189" s="5"/>
      <c r="P189" s="5"/>
      <c r="Q189" s="5"/>
    </row>
    <row r="190" spans="1:17" x14ac:dyDescent="0.2">
      <c r="A190" s="6"/>
      <c r="B190" s="6"/>
      <c r="C190" s="6"/>
      <c r="D190" s="6"/>
      <c r="E190" s="6"/>
      <c r="F190" s="6"/>
      <c r="G190" s="123"/>
      <c r="H190" s="5"/>
      <c r="I190" s="5"/>
      <c r="J190" s="5"/>
      <c r="K190" s="5"/>
      <c r="L190" s="5"/>
      <c r="M190" s="5"/>
      <c r="N190" s="5"/>
      <c r="O190" s="5"/>
      <c r="P190" s="5"/>
      <c r="Q190" s="5"/>
    </row>
    <row r="191" spans="1:17" x14ac:dyDescent="0.2">
      <c r="A191" s="6"/>
      <c r="B191" s="6"/>
      <c r="C191" s="6"/>
      <c r="D191" s="6"/>
      <c r="E191" s="6"/>
      <c r="F191" s="6"/>
      <c r="G191" s="123"/>
      <c r="H191" s="5"/>
      <c r="I191" s="5"/>
      <c r="J191" s="5"/>
      <c r="K191" s="5"/>
      <c r="L191" s="5"/>
      <c r="M191" s="5"/>
      <c r="N191" s="5"/>
      <c r="O191" s="5"/>
      <c r="P191" s="5"/>
      <c r="Q191" s="5"/>
    </row>
    <row r="192" spans="1:17" x14ac:dyDescent="0.2">
      <c r="A192" s="6"/>
      <c r="B192" s="6"/>
      <c r="C192" s="6"/>
      <c r="D192" s="6"/>
      <c r="E192" s="6"/>
      <c r="F192" s="6"/>
      <c r="G192" s="123"/>
      <c r="H192" s="5"/>
      <c r="I192" s="5"/>
      <c r="J192" s="5"/>
      <c r="K192" s="5"/>
      <c r="L192" s="5"/>
      <c r="M192" s="5"/>
      <c r="N192" s="5"/>
      <c r="O192" s="5"/>
      <c r="P192" s="5"/>
      <c r="Q192" s="5"/>
    </row>
    <row r="193" spans="1:17" x14ac:dyDescent="0.2">
      <c r="A193" s="6"/>
      <c r="B193" s="6"/>
      <c r="C193" s="6"/>
      <c r="D193" s="6"/>
      <c r="E193" s="6"/>
      <c r="F193" s="6"/>
      <c r="G193" s="123"/>
      <c r="H193" s="5"/>
      <c r="I193" s="5"/>
      <c r="J193" s="5"/>
      <c r="K193" s="5"/>
      <c r="L193" s="5"/>
      <c r="M193" s="5"/>
      <c r="N193" s="5"/>
      <c r="O193" s="5"/>
      <c r="P193" s="5"/>
      <c r="Q193" s="5"/>
    </row>
    <row r="194" spans="1:17" x14ac:dyDescent="0.2">
      <c r="A194" s="6"/>
      <c r="B194" s="6"/>
      <c r="C194" s="6"/>
      <c r="D194" s="6"/>
      <c r="E194" s="6"/>
      <c r="F194" s="6"/>
      <c r="G194" s="123"/>
      <c r="H194" s="5"/>
      <c r="I194" s="5"/>
      <c r="J194" s="5"/>
      <c r="K194" s="5"/>
      <c r="L194" s="5"/>
      <c r="M194" s="5"/>
      <c r="N194" s="5"/>
      <c r="O194" s="5"/>
      <c r="P194" s="5"/>
      <c r="Q194" s="5"/>
    </row>
    <row r="195" spans="1:17" x14ac:dyDescent="0.2">
      <c r="A195" s="6"/>
      <c r="B195" s="6"/>
      <c r="C195" s="6"/>
      <c r="D195" s="6"/>
      <c r="E195" s="6"/>
      <c r="F195" s="6"/>
      <c r="G195" s="123"/>
      <c r="H195" s="5"/>
      <c r="I195" s="5"/>
      <c r="J195" s="5"/>
      <c r="K195" s="5"/>
      <c r="L195" s="5"/>
      <c r="M195" s="5"/>
      <c r="N195" s="5"/>
      <c r="O195" s="5"/>
      <c r="P195" s="5"/>
      <c r="Q195" s="5"/>
    </row>
    <row r="196" spans="1:17" x14ac:dyDescent="0.2">
      <c r="A196" s="6"/>
      <c r="B196" s="6"/>
      <c r="C196" s="6"/>
      <c r="D196" s="6"/>
      <c r="E196" s="6"/>
      <c r="F196" s="6"/>
      <c r="G196" s="123"/>
      <c r="H196" s="5"/>
      <c r="I196" s="5"/>
      <c r="J196" s="5"/>
      <c r="K196" s="5"/>
      <c r="L196" s="5"/>
      <c r="M196" s="5"/>
      <c r="N196" s="5"/>
      <c r="O196" s="5"/>
      <c r="P196" s="5"/>
      <c r="Q196" s="5"/>
    </row>
    <row r="197" spans="1:17" x14ac:dyDescent="0.2">
      <c r="A197" s="6"/>
      <c r="B197" s="6"/>
      <c r="C197" s="6"/>
      <c r="D197" s="6"/>
      <c r="E197" s="6"/>
      <c r="F197" s="6"/>
      <c r="G197" s="123"/>
      <c r="H197" s="5"/>
      <c r="I197" s="5"/>
      <c r="J197" s="5"/>
      <c r="K197" s="5"/>
      <c r="L197" s="5"/>
      <c r="M197" s="5"/>
      <c r="N197" s="5"/>
      <c r="O197" s="5"/>
      <c r="P197" s="5"/>
      <c r="Q197" s="5"/>
    </row>
    <row r="198" spans="1:17" x14ac:dyDescent="0.2">
      <c r="A198" s="6"/>
      <c r="B198" s="6"/>
      <c r="C198" s="6"/>
      <c r="D198" s="6"/>
      <c r="E198" s="6"/>
      <c r="F198" s="6"/>
      <c r="G198" s="123"/>
      <c r="H198" s="5"/>
      <c r="I198" s="5"/>
      <c r="J198" s="5"/>
      <c r="K198" s="5"/>
      <c r="L198" s="5"/>
      <c r="M198" s="5"/>
      <c r="N198" s="5"/>
      <c r="O198" s="5"/>
      <c r="P198" s="5"/>
      <c r="Q198" s="5"/>
    </row>
    <row r="199" spans="1:17" x14ac:dyDescent="0.2">
      <c r="A199" s="6"/>
      <c r="B199" s="6"/>
      <c r="C199" s="6"/>
      <c r="D199" s="6"/>
      <c r="E199" s="6"/>
      <c r="F199" s="6"/>
      <c r="G199" s="123"/>
      <c r="H199" s="5"/>
      <c r="I199" s="5"/>
      <c r="J199" s="5"/>
      <c r="K199" s="5"/>
      <c r="L199" s="5"/>
      <c r="M199" s="5"/>
      <c r="N199" s="5"/>
      <c r="O199" s="5"/>
      <c r="P199" s="5"/>
      <c r="Q199" s="5"/>
    </row>
    <row r="200" spans="1:17" x14ac:dyDescent="0.2">
      <c r="A200" s="6"/>
      <c r="B200" s="6"/>
      <c r="C200" s="6"/>
      <c r="D200" s="6"/>
      <c r="E200" s="6"/>
      <c r="F200" s="6"/>
      <c r="G200" s="123"/>
      <c r="H200" s="5"/>
      <c r="I200" s="5"/>
      <c r="J200" s="5"/>
      <c r="K200" s="5"/>
      <c r="L200" s="5"/>
      <c r="M200" s="5"/>
      <c r="N200" s="5"/>
      <c r="O200" s="5"/>
      <c r="P200" s="5"/>
      <c r="Q200" s="5"/>
    </row>
    <row r="201" spans="1:17" x14ac:dyDescent="0.2">
      <c r="A201" s="6"/>
      <c r="B201" s="6"/>
      <c r="C201" s="6"/>
      <c r="D201" s="6"/>
      <c r="E201" s="6"/>
      <c r="F201" s="6"/>
      <c r="G201" s="123"/>
      <c r="H201" s="5"/>
      <c r="I201" s="5"/>
      <c r="J201" s="5"/>
      <c r="K201" s="5"/>
      <c r="L201" s="5"/>
      <c r="M201" s="5"/>
      <c r="N201" s="5"/>
      <c r="O201" s="5"/>
      <c r="P201" s="5"/>
      <c r="Q201" s="5"/>
    </row>
    <row r="202" spans="1:17" x14ac:dyDescent="0.2">
      <c r="A202" s="6"/>
      <c r="B202" s="6"/>
      <c r="C202" s="6"/>
      <c r="D202" s="6"/>
      <c r="E202" s="6"/>
      <c r="F202" s="6"/>
      <c r="G202" s="123"/>
      <c r="H202" s="5"/>
      <c r="I202" s="5"/>
      <c r="J202" s="5"/>
      <c r="K202" s="5"/>
      <c r="L202" s="5"/>
      <c r="M202" s="5"/>
      <c r="N202" s="5"/>
      <c r="O202" s="5"/>
      <c r="P202" s="5"/>
      <c r="Q202" s="5"/>
    </row>
    <row r="203" spans="1:17" x14ac:dyDescent="0.2">
      <c r="A203" s="6"/>
      <c r="B203" s="6"/>
      <c r="C203" s="6"/>
      <c r="D203" s="6"/>
      <c r="E203" s="6"/>
      <c r="F203" s="6"/>
      <c r="G203" s="123"/>
      <c r="H203" s="5"/>
      <c r="I203" s="5"/>
      <c r="J203" s="5"/>
      <c r="K203" s="5"/>
      <c r="L203" s="5"/>
      <c r="M203" s="5"/>
      <c r="N203" s="5"/>
      <c r="O203" s="5"/>
      <c r="P203" s="5"/>
      <c r="Q203" s="5"/>
    </row>
    <row r="204" spans="1:17" x14ac:dyDescent="0.2">
      <c r="A204" s="6"/>
      <c r="B204" s="6"/>
      <c r="C204" s="6"/>
      <c r="D204" s="6"/>
      <c r="E204" s="6"/>
      <c r="F204" s="6"/>
      <c r="G204" s="123"/>
      <c r="H204" s="5"/>
      <c r="I204" s="5"/>
      <c r="J204" s="5"/>
      <c r="K204" s="5"/>
      <c r="L204" s="5"/>
      <c r="M204" s="5"/>
      <c r="N204" s="5"/>
      <c r="O204" s="5"/>
      <c r="P204" s="5"/>
      <c r="Q204" s="5"/>
    </row>
    <row r="205" spans="1:17" x14ac:dyDescent="0.2">
      <c r="A205" s="6"/>
      <c r="B205" s="6"/>
      <c r="C205" s="6"/>
      <c r="D205" s="6"/>
      <c r="E205" s="6"/>
      <c r="F205" s="6"/>
      <c r="G205" s="123"/>
      <c r="H205" s="5"/>
      <c r="I205" s="5"/>
      <c r="J205" s="5"/>
      <c r="K205" s="5"/>
      <c r="L205" s="5"/>
      <c r="M205" s="5"/>
      <c r="N205" s="5"/>
      <c r="O205" s="5"/>
      <c r="P205" s="5"/>
      <c r="Q205" s="5"/>
    </row>
    <row r="206" spans="1:17" x14ac:dyDescent="0.2">
      <c r="A206" s="6"/>
      <c r="B206" s="6"/>
      <c r="C206" s="6"/>
      <c r="D206" s="6"/>
      <c r="E206" s="6"/>
      <c r="F206" s="6"/>
      <c r="G206" s="123"/>
      <c r="H206" s="5"/>
      <c r="I206" s="5"/>
      <c r="J206" s="5"/>
      <c r="K206" s="5"/>
      <c r="L206" s="5"/>
      <c r="M206" s="5"/>
      <c r="N206" s="5"/>
      <c r="O206" s="5"/>
      <c r="P206" s="5"/>
      <c r="Q206" s="5"/>
    </row>
    <row r="207" spans="1:17" x14ac:dyDescent="0.2">
      <c r="A207" s="6"/>
      <c r="B207" s="6"/>
      <c r="C207" s="6"/>
      <c r="D207" s="6"/>
      <c r="E207" s="6"/>
      <c r="F207" s="6"/>
      <c r="G207" s="123"/>
      <c r="H207" s="5"/>
      <c r="I207" s="5"/>
      <c r="J207" s="5"/>
      <c r="K207" s="5"/>
      <c r="L207" s="5"/>
      <c r="M207" s="5"/>
      <c r="N207" s="5"/>
      <c r="O207" s="5"/>
      <c r="P207" s="5"/>
      <c r="Q207" s="5"/>
    </row>
    <row r="208" spans="1:17" x14ac:dyDescent="0.2">
      <c r="A208" s="6"/>
      <c r="B208" s="6"/>
      <c r="C208" s="6"/>
      <c r="D208" s="6"/>
      <c r="E208" s="6"/>
      <c r="F208" s="6"/>
      <c r="G208" s="123"/>
      <c r="H208" s="5"/>
      <c r="I208" s="5"/>
      <c r="J208" s="5"/>
      <c r="K208" s="5"/>
      <c r="L208" s="5"/>
      <c r="M208" s="5"/>
      <c r="N208" s="5"/>
      <c r="O208" s="5"/>
      <c r="P208" s="5"/>
      <c r="Q208" s="5"/>
    </row>
    <row r="209" spans="1:17" x14ac:dyDescent="0.2">
      <c r="A209" s="6"/>
      <c r="B209" s="6"/>
      <c r="C209" s="6"/>
      <c r="D209" s="6"/>
      <c r="E209" s="6"/>
      <c r="F209" s="6"/>
      <c r="G209" s="123"/>
      <c r="H209" s="5"/>
      <c r="I209" s="5"/>
      <c r="J209" s="5"/>
      <c r="K209" s="5"/>
      <c r="L209" s="5"/>
      <c r="M209" s="5"/>
      <c r="N209" s="5"/>
      <c r="O209" s="5"/>
      <c r="P209" s="5"/>
      <c r="Q209" s="5"/>
    </row>
  </sheetData>
  <mergeCells count="11">
    <mergeCell ref="A1:E1"/>
    <mergeCell ref="A2:E2"/>
    <mergeCell ref="A4:G4"/>
    <mergeCell ref="A5:C5"/>
    <mergeCell ref="D5:E5"/>
    <mergeCell ref="A7:Q7"/>
    <mergeCell ref="J2:O2"/>
    <mergeCell ref="S7:U7"/>
    <mergeCell ref="A8:G8"/>
    <mergeCell ref="H8:Q8"/>
    <mergeCell ref="S8:U8"/>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Sheet6.reqExecutions">
                <anchor moveWithCells="1">
                  <from>
                    <xdr:col>0</xdr:col>
                    <xdr:colOff>200025</xdr:colOff>
                    <xdr:row>1</xdr:row>
                    <xdr:rowOff>66675</xdr:rowOff>
                  </from>
                  <to>
                    <xdr:col>2</xdr:col>
                    <xdr:colOff>561975</xdr:colOff>
                    <xdr:row>1</xdr:row>
                    <xdr:rowOff>276225</xdr:rowOff>
                  </to>
                </anchor>
              </controlPr>
            </control>
          </mc:Choice>
        </mc:AlternateContent>
        <mc:AlternateContent xmlns:mc="http://schemas.openxmlformats.org/markup-compatibility/2006">
          <mc:Choice Requires="x14">
            <control shapeId="10242" r:id="rId5" name="Button 2">
              <controlPr defaultSize="0" print="0" autoFill="0" autoPict="0" macro="[0]!Sheet6.onShowError">
                <anchor moveWithCells="1">
                  <from>
                    <xdr:col>3</xdr:col>
                    <xdr:colOff>180975</xdr:colOff>
                    <xdr:row>1</xdr:row>
                    <xdr:rowOff>95250</xdr:rowOff>
                  </from>
                  <to>
                    <xdr:col>4</xdr:col>
                    <xdr:colOff>371475</xdr:colOff>
                    <xdr:row>1</xdr:row>
                    <xdr:rowOff>323850</xdr:rowOff>
                  </to>
                </anchor>
              </controlPr>
            </control>
          </mc:Choice>
        </mc:AlternateContent>
        <mc:AlternateContent xmlns:mc="http://schemas.openxmlformats.org/markup-compatibility/2006">
          <mc:Choice Requires="x14">
            <control shapeId="10243" r:id="rId6" name="Button 3">
              <controlPr defaultSize="0" print="0" autoFill="0" autoPict="0" macro="[0]!Sheet6.reqExecutions">
                <anchor moveWithCells="1">
                  <from>
                    <xdr:col>0</xdr:col>
                    <xdr:colOff>200025</xdr:colOff>
                    <xdr:row>1</xdr:row>
                    <xdr:rowOff>66675</xdr:rowOff>
                  </from>
                  <to>
                    <xdr:col>2</xdr:col>
                    <xdr:colOff>561975</xdr:colOff>
                    <xdr:row>1</xdr:row>
                    <xdr:rowOff>276225</xdr:rowOff>
                  </to>
                </anchor>
              </controlPr>
            </control>
          </mc:Choice>
        </mc:AlternateContent>
        <mc:AlternateContent xmlns:mc="http://schemas.openxmlformats.org/markup-compatibility/2006">
          <mc:Choice Requires="x14">
            <control shapeId="10244" r:id="rId7" name="Button 4">
              <controlPr defaultSize="0" print="0" autoFill="0" autoPict="0" macro="[0]!Sheet6.onShowError">
                <anchor moveWithCells="1">
                  <from>
                    <xdr:col>3</xdr:col>
                    <xdr:colOff>180975</xdr:colOff>
                    <xdr:row>1</xdr:row>
                    <xdr:rowOff>95250</xdr:rowOff>
                  </from>
                  <to>
                    <xdr:col>4</xdr:col>
                    <xdr:colOff>371475</xdr:colOff>
                    <xdr:row>1</xdr:row>
                    <xdr:rowOff>323850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234"/>
  <sheetViews>
    <sheetView zoomScale="80" workbookViewId="0">
      <pane ySplit="5" topLeftCell="A6" activePane="bottomLeft" state="frozen"/>
      <selection activeCell="Q35" sqref="Q35"/>
      <selection pane="bottomLeft" activeCell="Q35" sqref="Q35"/>
    </sheetView>
  </sheetViews>
  <sheetFormatPr defaultRowHeight="12.75" x14ac:dyDescent="0.2"/>
  <cols>
    <col min="2" max="2" width="12.85546875" customWidth="1"/>
    <col min="3" max="3" width="16.140625" customWidth="1"/>
    <col min="6" max="6" width="11" customWidth="1"/>
    <col min="7" max="7" width="14" customWidth="1"/>
    <col min="8" max="8" width="12.28515625" customWidth="1"/>
    <col min="9" max="9" width="14.140625" customWidth="1"/>
    <col min="10" max="10" width="15.5703125" customWidth="1"/>
    <col min="11" max="11" width="14.28515625" customWidth="1"/>
    <col min="12" max="12" width="17" customWidth="1"/>
    <col min="13" max="13" width="16.85546875" customWidth="1"/>
    <col min="14" max="14" width="7" customWidth="1"/>
    <col min="18" max="18" width="10.7109375" customWidth="1"/>
  </cols>
  <sheetData>
    <row r="1" spans="1:18" x14ac:dyDescent="0.2">
      <c r="A1" s="435" t="s">
        <v>48</v>
      </c>
      <c r="B1" s="436"/>
      <c r="C1" s="436"/>
      <c r="D1" s="436"/>
      <c r="E1" s="436"/>
      <c r="F1" s="436"/>
      <c r="G1" s="436"/>
      <c r="H1" s="437"/>
      <c r="I1" s="437"/>
      <c r="J1" s="438"/>
      <c r="K1" s="7"/>
      <c r="L1" s="316" t="s">
        <v>123</v>
      </c>
      <c r="M1" s="316"/>
      <c r="N1" s="266"/>
      <c r="O1" s="7"/>
      <c r="P1" s="7"/>
      <c r="Q1" s="7"/>
      <c r="R1" s="7"/>
    </row>
    <row r="2" spans="1:18" x14ac:dyDescent="0.2">
      <c r="A2" s="439"/>
      <c r="B2" s="440"/>
      <c r="C2" s="440"/>
      <c r="D2" s="440"/>
      <c r="E2" s="440"/>
      <c r="F2" s="440"/>
      <c r="G2" s="440"/>
      <c r="H2" s="441"/>
      <c r="I2" s="441"/>
      <c r="J2" s="442"/>
      <c r="K2" s="7"/>
      <c r="L2" s="234" t="s">
        <v>23</v>
      </c>
      <c r="M2" s="485" t="s">
        <v>124</v>
      </c>
      <c r="N2" s="266"/>
    </row>
    <row r="3" spans="1:18" x14ac:dyDescent="0.2">
      <c r="A3" s="443"/>
      <c r="B3" s="444"/>
      <c r="C3" s="444"/>
      <c r="D3" s="444"/>
      <c r="E3" s="444"/>
      <c r="F3" s="444"/>
      <c r="G3" s="444"/>
      <c r="H3" s="444"/>
      <c r="I3" s="444"/>
      <c r="J3" s="445"/>
      <c r="K3" s="7"/>
      <c r="L3" s="40"/>
      <c r="M3" s="486"/>
      <c r="N3" s="351"/>
    </row>
    <row r="4" spans="1:18" x14ac:dyDescent="0.2">
      <c r="A4" s="446" t="s">
        <v>52</v>
      </c>
      <c r="B4" s="447"/>
      <c r="C4" s="447"/>
      <c r="D4" s="447"/>
      <c r="E4" s="447"/>
      <c r="F4" s="447"/>
      <c r="G4" s="447"/>
      <c r="H4" s="437"/>
      <c r="I4" s="437"/>
      <c r="J4" s="438"/>
      <c r="K4" s="7"/>
      <c r="L4" s="7"/>
      <c r="M4" s="7"/>
      <c r="N4" s="7"/>
    </row>
    <row r="5" spans="1:18" x14ac:dyDescent="0.2">
      <c r="A5" s="466" t="s">
        <v>59</v>
      </c>
      <c r="B5" s="444"/>
      <c r="C5" s="277"/>
      <c r="D5" s="467"/>
      <c r="E5" s="467"/>
      <c r="F5" s="35"/>
      <c r="G5" s="35"/>
      <c r="H5" s="76" t="s">
        <v>122</v>
      </c>
      <c r="I5" s="39"/>
      <c r="J5" s="95"/>
      <c r="K5" s="7"/>
      <c r="L5" s="7"/>
      <c r="M5" s="7"/>
      <c r="N5" s="7"/>
    </row>
    <row r="6" spans="1:18" x14ac:dyDescent="0.2">
      <c r="A6" s="21" t="s">
        <v>61</v>
      </c>
      <c r="B6" s="114"/>
      <c r="C6" s="500" t="s">
        <v>60</v>
      </c>
      <c r="D6" s="350"/>
      <c r="E6" s="350"/>
      <c r="F6" s="350"/>
      <c r="G6" s="350"/>
      <c r="H6" s="350"/>
      <c r="I6" s="350"/>
      <c r="J6" s="351"/>
    </row>
    <row r="7" spans="1:18" x14ac:dyDescent="0.2">
      <c r="A7" s="497" t="s">
        <v>63</v>
      </c>
      <c r="B7" s="498"/>
      <c r="C7" s="499"/>
      <c r="D7" s="501" t="s">
        <v>64</v>
      </c>
      <c r="E7" s="502"/>
      <c r="F7" s="499"/>
      <c r="G7" s="497" t="s">
        <v>41</v>
      </c>
      <c r="H7" s="475"/>
      <c r="I7" s="475"/>
      <c r="J7" s="173" t="s">
        <v>23</v>
      </c>
    </row>
    <row r="8" spans="1:18" x14ac:dyDescent="0.2">
      <c r="A8" s="5"/>
      <c r="B8" s="5"/>
      <c r="C8" s="5"/>
      <c r="D8" s="5"/>
      <c r="E8" s="5"/>
      <c r="F8" s="5"/>
      <c r="G8" s="5"/>
      <c r="H8" s="5"/>
      <c r="I8" s="5"/>
      <c r="J8" s="5"/>
    </row>
    <row r="9" spans="1:18" ht="12.75" customHeight="1" x14ac:dyDescent="0.2">
      <c r="A9" s="5"/>
      <c r="B9" s="5"/>
      <c r="C9" s="5"/>
      <c r="D9" s="5"/>
      <c r="E9" s="5"/>
      <c r="F9" s="5"/>
      <c r="G9" s="5"/>
      <c r="H9" s="5"/>
      <c r="I9" s="5"/>
      <c r="J9" s="5"/>
      <c r="O9" s="134"/>
      <c r="P9" s="134"/>
      <c r="Q9" s="134"/>
    </row>
    <row r="10" spans="1:18" x14ac:dyDescent="0.2">
      <c r="A10" s="5"/>
      <c r="B10" s="5"/>
      <c r="C10" s="5"/>
      <c r="D10" s="5"/>
      <c r="E10" s="5"/>
      <c r="F10" s="5"/>
      <c r="G10" s="5"/>
      <c r="H10" s="5"/>
      <c r="I10" s="5"/>
      <c r="J10" s="5"/>
      <c r="L10" s="488" t="s">
        <v>391</v>
      </c>
      <c r="M10" s="489"/>
      <c r="N10" s="490"/>
    </row>
    <row r="11" spans="1:18" x14ac:dyDescent="0.2">
      <c r="A11" s="5"/>
      <c r="B11" s="5"/>
      <c r="C11" s="5"/>
      <c r="D11" s="5"/>
      <c r="E11" s="5"/>
      <c r="F11" s="5"/>
      <c r="G11" s="5"/>
      <c r="H11" s="5"/>
      <c r="I11" s="5"/>
      <c r="J11" s="5"/>
      <c r="L11" s="491"/>
      <c r="M11" s="492"/>
      <c r="N11" s="493"/>
    </row>
    <row r="12" spans="1:18" x14ac:dyDescent="0.2">
      <c r="A12" s="5"/>
      <c r="B12" s="5"/>
      <c r="C12" s="5"/>
      <c r="D12" s="5"/>
      <c r="E12" s="5"/>
      <c r="F12" s="5"/>
      <c r="G12" s="5"/>
      <c r="H12" s="5"/>
      <c r="I12" s="5"/>
      <c r="J12" s="5"/>
      <c r="L12" s="494"/>
      <c r="M12" s="495"/>
      <c r="N12" s="496"/>
    </row>
    <row r="13" spans="1:18" x14ac:dyDescent="0.2">
      <c r="A13" s="5"/>
      <c r="B13" s="5"/>
      <c r="C13" s="5"/>
      <c r="D13" s="5"/>
      <c r="E13" s="5"/>
      <c r="F13" s="5"/>
      <c r="G13" s="5"/>
      <c r="H13" s="5"/>
      <c r="I13" s="5"/>
      <c r="J13" s="5"/>
    </row>
    <row r="14" spans="1:18" x14ac:dyDescent="0.2">
      <c r="A14" s="5"/>
      <c r="B14" s="5"/>
      <c r="C14" s="5"/>
      <c r="D14" s="5"/>
      <c r="E14" s="5"/>
      <c r="F14" s="5"/>
      <c r="G14" s="5"/>
      <c r="H14" s="5"/>
      <c r="I14" s="5"/>
      <c r="J14" s="5"/>
    </row>
    <row r="15" spans="1:18" x14ac:dyDescent="0.2">
      <c r="A15" s="5"/>
      <c r="B15" s="5"/>
      <c r="C15" s="5"/>
      <c r="D15" s="5"/>
      <c r="E15" s="5"/>
      <c r="F15" s="5"/>
      <c r="G15" s="5"/>
      <c r="H15" s="5"/>
      <c r="I15" s="5"/>
      <c r="J15" s="5"/>
    </row>
    <row r="16" spans="1:18" x14ac:dyDescent="0.2">
      <c r="A16" s="5"/>
      <c r="B16" s="5"/>
      <c r="C16" s="5"/>
      <c r="D16" s="5"/>
      <c r="E16" s="5"/>
      <c r="F16" s="5"/>
      <c r="G16" s="5"/>
      <c r="H16" s="5"/>
      <c r="I16" s="5"/>
      <c r="J16" s="5"/>
    </row>
    <row r="17" spans="1:10" x14ac:dyDescent="0.2">
      <c r="A17" s="5"/>
      <c r="B17" s="5"/>
      <c r="C17" s="5"/>
      <c r="D17" s="5"/>
      <c r="E17" s="5"/>
      <c r="F17" s="5"/>
      <c r="G17" s="5"/>
      <c r="H17" s="5"/>
      <c r="I17" s="5"/>
      <c r="J17" s="5"/>
    </row>
    <row r="18" spans="1:10" x14ac:dyDescent="0.2">
      <c r="A18" s="5"/>
      <c r="B18" s="5"/>
      <c r="C18" s="5"/>
      <c r="D18" s="5"/>
      <c r="E18" s="5"/>
      <c r="F18" s="5"/>
      <c r="G18" s="5"/>
      <c r="H18" s="5"/>
      <c r="I18" s="5"/>
      <c r="J18" s="5"/>
    </row>
    <row r="19" spans="1:10" x14ac:dyDescent="0.2">
      <c r="A19" s="5"/>
      <c r="B19" s="5"/>
      <c r="C19" s="5"/>
      <c r="D19" s="5"/>
      <c r="E19" s="5"/>
      <c r="F19" s="5"/>
      <c r="G19" s="5"/>
      <c r="H19" s="5"/>
      <c r="I19" s="5"/>
      <c r="J19" s="5"/>
    </row>
    <row r="20" spans="1:10" x14ac:dyDescent="0.2">
      <c r="A20" s="5"/>
      <c r="B20" s="5"/>
      <c r="C20" s="5"/>
      <c r="D20" s="5"/>
      <c r="E20" s="5"/>
      <c r="F20" s="5"/>
      <c r="G20" s="5"/>
      <c r="H20" s="5"/>
      <c r="I20" s="5"/>
      <c r="J20" s="5"/>
    </row>
    <row r="21" spans="1:10" x14ac:dyDescent="0.2">
      <c r="A21" s="5"/>
      <c r="B21" s="5"/>
      <c r="C21" s="5"/>
      <c r="D21" s="5"/>
      <c r="E21" s="5"/>
      <c r="F21" s="5"/>
      <c r="G21" s="5"/>
      <c r="H21" s="5"/>
      <c r="I21" s="5"/>
      <c r="J21" s="5"/>
    </row>
    <row r="22" spans="1:10" x14ac:dyDescent="0.2">
      <c r="A22" s="5"/>
      <c r="B22" s="5"/>
      <c r="C22" s="5"/>
      <c r="D22" s="5"/>
      <c r="E22" s="5"/>
      <c r="F22" s="5"/>
      <c r="G22" s="5"/>
      <c r="H22" s="5"/>
      <c r="I22" s="5"/>
      <c r="J22" s="5"/>
    </row>
    <row r="23" spans="1:10" x14ac:dyDescent="0.2">
      <c r="A23" s="5"/>
      <c r="B23" s="5"/>
      <c r="C23" s="5"/>
      <c r="D23" s="5"/>
      <c r="E23" s="5"/>
      <c r="F23" s="5"/>
      <c r="G23" s="5"/>
      <c r="H23" s="5"/>
      <c r="I23" s="5"/>
      <c r="J23" s="5"/>
    </row>
    <row r="24" spans="1:10" x14ac:dyDescent="0.2">
      <c r="A24" s="5"/>
      <c r="B24" s="5"/>
      <c r="C24" s="5"/>
      <c r="D24" s="5"/>
      <c r="E24" s="5"/>
      <c r="F24" s="5"/>
      <c r="G24" s="5"/>
      <c r="H24" s="5"/>
      <c r="I24" s="5"/>
      <c r="J24" s="5"/>
    </row>
    <row r="25" spans="1:10" x14ac:dyDescent="0.2">
      <c r="A25" s="5"/>
      <c r="B25" s="5"/>
      <c r="C25" s="5"/>
      <c r="D25" s="5"/>
      <c r="E25" s="5"/>
      <c r="F25" s="5"/>
      <c r="G25" s="5"/>
      <c r="H25" s="5"/>
      <c r="I25" s="5"/>
      <c r="J25" s="5"/>
    </row>
    <row r="26" spans="1:10" x14ac:dyDescent="0.2">
      <c r="A26" s="5"/>
      <c r="B26" s="5"/>
      <c r="C26" s="5"/>
      <c r="D26" s="5"/>
      <c r="E26" s="5"/>
      <c r="F26" s="5"/>
      <c r="G26" s="5"/>
      <c r="H26" s="5"/>
      <c r="I26" s="5"/>
      <c r="J26" s="5"/>
    </row>
    <row r="27" spans="1:10" x14ac:dyDescent="0.2">
      <c r="A27" s="5"/>
      <c r="B27" s="5"/>
      <c r="C27" s="5"/>
      <c r="D27" s="5"/>
      <c r="E27" s="5"/>
      <c r="F27" s="5"/>
      <c r="G27" s="5"/>
      <c r="H27" s="5"/>
      <c r="I27" s="5"/>
      <c r="J27" s="5"/>
    </row>
    <row r="28" spans="1:10" x14ac:dyDescent="0.2">
      <c r="A28" s="5"/>
      <c r="B28" s="5"/>
      <c r="C28" s="5"/>
      <c r="D28" s="5"/>
      <c r="E28" s="5"/>
      <c r="F28" s="5"/>
      <c r="G28" s="5"/>
      <c r="H28" s="5"/>
      <c r="I28" s="5"/>
      <c r="J28" s="5"/>
    </row>
    <row r="29" spans="1:10" x14ac:dyDescent="0.2">
      <c r="A29" s="5"/>
      <c r="B29" s="5"/>
      <c r="C29" s="5"/>
      <c r="D29" s="5"/>
      <c r="E29" s="5"/>
      <c r="F29" s="5"/>
      <c r="G29" s="5"/>
      <c r="H29" s="5"/>
      <c r="I29" s="5"/>
      <c r="J29" s="5"/>
    </row>
    <row r="30" spans="1:10" x14ac:dyDescent="0.2">
      <c r="A30" s="5"/>
      <c r="B30" s="5"/>
      <c r="C30" s="5"/>
      <c r="D30" s="5"/>
      <c r="E30" s="5"/>
      <c r="F30" s="5"/>
      <c r="G30" s="5"/>
      <c r="H30" s="5"/>
      <c r="I30" s="5"/>
      <c r="J30" s="5"/>
    </row>
    <row r="31" spans="1:10" x14ac:dyDescent="0.2">
      <c r="A31" s="5"/>
      <c r="B31" s="5"/>
      <c r="C31" s="5"/>
      <c r="D31" s="5"/>
      <c r="E31" s="5"/>
      <c r="F31" s="5"/>
      <c r="G31" s="5"/>
      <c r="H31" s="5"/>
      <c r="I31" s="5"/>
      <c r="J31" s="5"/>
    </row>
    <row r="32" spans="1:10" x14ac:dyDescent="0.2">
      <c r="A32" s="5"/>
      <c r="B32" s="5"/>
      <c r="C32" s="5"/>
      <c r="D32" s="5"/>
      <c r="E32" s="5"/>
      <c r="F32" s="5"/>
      <c r="G32" s="5"/>
      <c r="H32" s="5"/>
      <c r="I32" s="5"/>
      <c r="J32" s="5"/>
    </row>
    <row r="33" spans="1:14" x14ac:dyDescent="0.2">
      <c r="A33" s="487" t="s">
        <v>62</v>
      </c>
      <c r="B33" s="266"/>
      <c r="C33" s="266"/>
      <c r="D33" s="266"/>
      <c r="E33" s="266"/>
      <c r="F33" s="266"/>
      <c r="G33" s="266"/>
      <c r="H33" s="266"/>
      <c r="I33" s="266"/>
      <c r="J33" s="266"/>
      <c r="K33" s="266"/>
      <c r="L33" s="266"/>
      <c r="M33" s="266"/>
      <c r="N33" s="266"/>
    </row>
    <row r="34" spans="1:14" x14ac:dyDescent="0.2">
      <c r="A34" s="102" t="s">
        <v>10</v>
      </c>
      <c r="B34" s="102" t="s">
        <v>65</v>
      </c>
      <c r="C34" s="22" t="s">
        <v>565</v>
      </c>
      <c r="D34" s="22" t="s">
        <v>11</v>
      </c>
      <c r="E34" s="22" t="s">
        <v>66</v>
      </c>
      <c r="F34" s="22" t="s">
        <v>41</v>
      </c>
      <c r="G34" s="22" t="s">
        <v>128</v>
      </c>
      <c r="H34" s="22" t="s">
        <v>67</v>
      </c>
      <c r="I34" s="22" t="s">
        <v>79</v>
      </c>
      <c r="J34" s="22" t="s">
        <v>129</v>
      </c>
      <c r="K34" s="22" t="s">
        <v>121</v>
      </c>
      <c r="L34" s="22" t="s">
        <v>120</v>
      </c>
      <c r="M34" s="22" t="s">
        <v>119</v>
      </c>
      <c r="N34" s="22" t="s">
        <v>23</v>
      </c>
    </row>
    <row r="35" spans="1:14" x14ac:dyDescent="0.2">
      <c r="A35" s="118"/>
      <c r="B35" s="118"/>
      <c r="C35" s="118"/>
      <c r="D35" s="118"/>
      <c r="E35" s="118"/>
      <c r="F35" s="118"/>
      <c r="G35" s="118"/>
      <c r="H35" s="118"/>
      <c r="I35" s="118"/>
      <c r="J35" s="118"/>
      <c r="K35" s="118"/>
      <c r="L35" s="118"/>
      <c r="M35" s="118"/>
      <c r="N35" s="118"/>
    </row>
    <row r="36" spans="1:14" x14ac:dyDescent="0.2">
      <c r="A36" s="118"/>
      <c r="B36" s="118"/>
      <c r="C36" s="118"/>
      <c r="D36" s="118"/>
      <c r="E36" s="118"/>
      <c r="F36" s="118"/>
      <c r="G36" s="118"/>
      <c r="H36" s="118"/>
      <c r="I36" s="118"/>
      <c r="J36" s="118"/>
      <c r="K36" s="118"/>
      <c r="L36" s="118"/>
      <c r="M36" s="118"/>
      <c r="N36" s="118"/>
    </row>
    <row r="37" spans="1:14" x14ac:dyDescent="0.2">
      <c r="A37" s="118"/>
      <c r="B37" s="118"/>
      <c r="C37" s="118"/>
      <c r="D37" s="118"/>
      <c r="E37" s="118"/>
      <c r="F37" s="118"/>
      <c r="G37" s="118"/>
      <c r="H37" s="118"/>
      <c r="I37" s="118"/>
      <c r="J37" s="118"/>
      <c r="K37" s="118"/>
      <c r="L37" s="118"/>
      <c r="M37" s="118"/>
      <c r="N37" s="118"/>
    </row>
    <row r="38" spans="1:14" x14ac:dyDescent="0.2">
      <c r="A38" s="118"/>
      <c r="B38" s="118"/>
      <c r="C38" s="118"/>
      <c r="D38" s="118"/>
      <c r="E38" s="118"/>
      <c r="F38" s="118"/>
      <c r="G38" s="118"/>
      <c r="H38" s="118"/>
      <c r="I38" s="118"/>
      <c r="J38" s="118"/>
      <c r="K38" s="118"/>
      <c r="L38" s="118"/>
      <c r="M38" s="118"/>
      <c r="N38" s="118"/>
    </row>
    <row r="39" spans="1:14" x14ac:dyDescent="0.2">
      <c r="A39" s="118"/>
      <c r="B39" s="118"/>
      <c r="C39" s="118"/>
      <c r="D39" s="118"/>
      <c r="E39" s="118"/>
      <c r="F39" s="118"/>
      <c r="G39" s="118"/>
      <c r="H39" s="118"/>
      <c r="I39" s="118"/>
      <c r="J39" s="118"/>
      <c r="K39" s="118"/>
      <c r="L39" s="118"/>
      <c r="M39" s="118"/>
      <c r="N39" s="118"/>
    </row>
    <row r="40" spans="1:14" x14ac:dyDescent="0.2">
      <c r="A40" s="118"/>
      <c r="B40" s="118"/>
      <c r="C40" s="118"/>
      <c r="D40" s="118"/>
      <c r="E40" s="118"/>
      <c r="F40" s="118"/>
      <c r="G40" s="118"/>
      <c r="H40" s="118"/>
      <c r="I40" s="118"/>
      <c r="J40" s="118"/>
      <c r="K40" s="118"/>
      <c r="L40" s="118"/>
      <c r="M40" s="118"/>
      <c r="N40" s="118"/>
    </row>
    <row r="41" spans="1:14" x14ac:dyDescent="0.2">
      <c r="A41" s="118"/>
      <c r="B41" s="118"/>
      <c r="C41" s="118"/>
      <c r="D41" s="118"/>
      <c r="E41" s="118"/>
      <c r="F41" s="118"/>
      <c r="G41" s="118"/>
      <c r="H41" s="118"/>
      <c r="I41" s="118"/>
      <c r="J41" s="118"/>
      <c r="K41" s="118"/>
      <c r="L41" s="118"/>
      <c r="M41" s="118"/>
      <c r="N41" s="118"/>
    </row>
    <row r="42" spans="1:14" x14ac:dyDescent="0.2">
      <c r="A42" s="118"/>
      <c r="B42" s="118"/>
      <c r="C42" s="118"/>
      <c r="D42" s="118"/>
      <c r="E42" s="118"/>
      <c r="F42" s="118"/>
      <c r="G42" s="118"/>
      <c r="H42" s="118"/>
      <c r="I42" s="118"/>
      <c r="J42" s="118"/>
      <c r="K42" s="118"/>
      <c r="L42" s="118"/>
      <c r="M42" s="118"/>
      <c r="N42" s="118"/>
    </row>
    <row r="43" spans="1:14" x14ac:dyDescent="0.2">
      <c r="A43" s="118"/>
      <c r="B43" s="118"/>
      <c r="C43" s="118"/>
      <c r="D43" s="118"/>
      <c r="E43" s="118"/>
      <c r="F43" s="118"/>
      <c r="G43" s="118"/>
      <c r="H43" s="118"/>
      <c r="I43" s="118"/>
      <c r="J43" s="118"/>
      <c r="K43" s="118"/>
      <c r="L43" s="118"/>
      <c r="M43" s="118"/>
      <c r="N43" s="118"/>
    </row>
    <row r="44" spans="1:14" x14ac:dyDescent="0.2">
      <c r="A44" s="118"/>
      <c r="B44" s="118"/>
      <c r="C44" s="118"/>
      <c r="D44" s="118"/>
      <c r="E44" s="118"/>
      <c r="F44" s="118"/>
      <c r="G44" s="118"/>
      <c r="H44" s="118"/>
      <c r="I44" s="118"/>
      <c r="J44" s="118"/>
      <c r="K44" s="118"/>
      <c r="L44" s="118"/>
      <c r="M44" s="118"/>
      <c r="N44" s="118"/>
    </row>
    <row r="45" spans="1:14" x14ac:dyDescent="0.2">
      <c r="A45" s="118"/>
      <c r="B45" s="118"/>
      <c r="C45" s="118"/>
      <c r="D45" s="118"/>
      <c r="E45" s="118"/>
      <c r="F45" s="118"/>
      <c r="G45" s="118"/>
      <c r="H45" s="118"/>
      <c r="I45" s="118"/>
      <c r="J45" s="118"/>
      <c r="K45" s="118"/>
      <c r="L45" s="118"/>
      <c r="M45" s="118"/>
      <c r="N45" s="118"/>
    </row>
    <row r="46" spans="1:14" x14ac:dyDescent="0.2">
      <c r="A46" s="118"/>
      <c r="B46" s="118"/>
      <c r="C46" s="118"/>
      <c r="D46" s="118"/>
      <c r="E46" s="118"/>
      <c r="F46" s="118"/>
      <c r="G46" s="118"/>
      <c r="H46" s="118"/>
      <c r="I46" s="118"/>
      <c r="J46" s="118"/>
      <c r="K46" s="118"/>
      <c r="L46" s="118"/>
      <c r="M46" s="118"/>
      <c r="N46" s="118"/>
    </row>
    <row r="47" spans="1:14" x14ac:dyDescent="0.2">
      <c r="A47" s="118"/>
      <c r="B47" s="118"/>
      <c r="C47" s="118"/>
      <c r="D47" s="118"/>
      <c r="E47" s="118"/>
      <c r="F47" s="118"/>
      <c r="G47" s="118"/>
      <c r="H47" s="118"/>
      <c r="I47" s="118"/>
      <c r="J47" s="118"/>
      <c r="K47" s="118"/>
      <c r="L47" s="118"/>
      <c r="M47" s="118"/>
      <c r="N47" s="118"/>
    </row>
    <row r="48" spans="1:14" x14ac:dyDescent="0.2">
      <c r="A48" s="118"/>
      <c r="B48" s="118"/>
      <c r="C48" s="118"/>
      <c r="D48" s="118"/>
      <c r="E48" s="118"/>
      <c r="F48" s="118"/>
      <c r="G48" s="118"/>
      <c r="H48" s="118"/>
      <c r="I48" s="118"/>
      <c r="J48" s="118"/>
      <c r="K48" s="118"/>
      <c r="L48" s="118"/>
      <c r="M48" s="118"/>
      <c r="N48" s="118"/>
    </row>
    <row r="49" spans="1:14" x14ac:dyDescent="0.2">
      <c r="A49" s="118"/>
      <c r="B49" s="118"/>
      <c r="C49" s="118"/>
      <c r="D49" s="118"/>
      <c r="E49" s="118"/>
      <c r="F49" s="118"/>
      <c r="G49" s="118"/>
      <c r="H49" s="118"/>
      <c r="I49" s="118"/>
      <c r="J49" s="118"/>
      <c r="K49" s="118"/>
      <c r="L49" s="118"/>
      <c r="M49" s="118"/>
      <c r="N49" s="118"/>
    </row>
    <row r="50" spans="1:14" x14ac:dyDescent="0.2">
      <c r="A50" s="118"/>
      <c r="B50" s="118"/>
      <c r="C50" s="118"/>
      <c r="D50" s="118"/>
      <c r="E50" s="118"/>
      <c r="F50" s="118"/>
      <c r="G50" s="118"/>
      <c r="H50" s="118"/>
      <c r="I50" s="118"/>
      <c r="J50" s="118"/>
      <c r="K50" s="118"/>
      <c r="L50" s="118"/>
      <c r="M50" s="118"/>
      <c r="N50" s="118"/>
    </row>
    <row r="51" spans="1:14" x14ac:dyDescent="0.2">
      <c r="A51" s="118"/>
      <c r="B51" s="118"/>
      <c r="C51" s="118"/>
      <c r="D51" s="118"/>
      <c r="E51" s="118"/>
      <c r="F51" s="118"/>
      <c r="G51" s="118"/>
      <c r="H51" s="118"/>
      <c r="I51" s="118"/>
      <c r="J51" s="118"/>
      <c r="K51" s="118"/>
      <c r="L51" s="118"/>
      <c r="M51" s="118"/>
      <c r="N51" s="118"/>
    </row>
    <row r="52" spans="1:14" x14ac:dyDescent="0.2">
      <c r="A52" s="118"/>
      <c r="B52" s="118"/>
      <c r="C52" s="118"/>
      <c r="D52" s="118"/>
      <c r="E52" s="118"/>
      <c r="F52" s="118"/>
      <c r="G52" s="118"/>
      <c r="H52" s="118"/>
      <c r="I52" s="118"/>
      <c r="J52" s="118"/>
      <c r="K52" s="118"/>
      <c r="L52" s="118"/>
      <c r="M52" s="118"/>
      <c r="N52" s="118"/>
    </row>
    <row r="53" spans="1:14" x14ac:dyDescent="0.2">
      <c r="A53" s="118"/>
      <c r="B53" s="118"/>
      <c r="C53" s="118"/>
      <c r="D53" s="118"/>
      <c r="E53" s="118"/>
      <c r="F53" s="118"/>
      <c r="G53" s="118"/>
      <c r="H53" s="118"/>
      <c r="I53" s="118"/>
      <c r="J53" s="118"/>
      <c r="K53" s="118"/>
      <c r="L53" s="118"/>
      <c r="M53" s="118"/>
      <c r="N53" s="118"/>
    </row>
    <row r="54" spans="1:14" x14ac:dyDescent="0.2">
      <c r="A54" s="118"/>
      <c r="B54" s="118"/>
      <c r="C54" s="118"/>
      <c r="D54" s="118"/>
      <c r="E54" s="118"/>
      <c r="F54" s="118"/>
      <c r="G54" s="118"/>
      <c r="H54" s="118"/>
      <c r="I54" s="118"/>
      <c r="J54" s="118"/>
      <c r="K54" s="118"/>
      <c r="L54" s="118"/>
      <c r="M54" s="118"/>
      <c r="N54" s="118"/>
    </row>
    <row r="55" spans="1:14" x14ac:dyDescent="0.2">
      <c r="A55" s="118"/>
      <c r="B55" s="118"/>
      <c r="C55" s="118"/>
      <c r="D55" s="118"/>
      <c r="E55" s="118"/>
      <c r="F55" s="118"/>
      <c r="G55" s="118"/>
      <c r="H55" s="118"/>
      <c r="I55" s="118"/>
      <c r="J55" s="118"/>
      <c r="K55" s="118"/>
      <c r="L55" s="118"/>
      <c r="M55" s="118"/>
      <c r="N55" s="118"/>
    </row>
    <row r="56" spans="1:14" x14ac:dyDescent="0.2">
      <c r="A56" s="118"/>
      <c r="B56" s="118"/>
      <c r="C56" s="118"/>
      <c r="D56" s="118"/>
      <c r="E56" s="118"/>
      <c r="F56" s="118"/>
      <c r="G56" s="118"/>
      <c r="H56" s="118"/>
      <c r="I56" s="118"/>
      <c r="J56" s="118"/>
      <c r="K56" s="118"/>
      <c r="L56" s="118"/>
      <c r="M56" s="118"/>
      <c r="N56" s="118"/>
    </row>
    <row r="57" spans="1:14" x14ac:dyDescent="0.2">
      <c r="A57" s="118"/>
      <c r="B57" s="118"/>
      <c r="C57" s="118"/>
      <c r="D57" s="118"/>
      <c r="E57" s="118"/>
      <c r="F57" s="118"/>
      <c r="G57" s="118"/>
      <c r="H57" s="118"/>
      <c r="I57" s="118"/>
      <c r="J57" s="118"/>
      <c r="K57" s="118"/>
      <c r="L57" s="118"/>
      <c r="M57" s="118"/>
      <c r="N57" s="118"/>
    </row>
    <row r="58" spans="1:14" x14ac:dyDescent="0.2">
      <c r="A58" s="118"/>
      <c r="B58" s="118"/>
      <c r="C58" s="118"/>
      <c r="D58" s="118"/>
      <c r="E58" s="118"/>
      <c r="F58" s="118"/>
      <c r="G58" s="118"/>
      <c r="H58" s="118"/>
      <c r="I58" s="118"/>
      <c r="J58" s="118"/>
      <c r="K58" s="118"/>
      <c r="L58" s="118"/>
      <c r="M58" s="118"/>
      <c r="N58" s="118"/>
    </row>
    <row r="59" spans="1:14" x14ac:dyDescent="0.2">
      <c r="A59" s="118"/>
      <c r="B59" s="118"/>
      <c r="C59" s="118"/>
      <c r="D59" s="118"/>
      <c r="E59" s="118"/>
      <c r="F59" s="118"/>
      <c r="G59" s="118"/>
      <c r="H59" s="118"/>
      <c r="I59" s="118"/>
      <c r="J59" s="118"/>
      <c r="K59" s="118"/>
      <c r="L59" s="118"/>
      <c r="M59" s="118"/>
      <c r="N59" s="118"/>
    </row>
    <row r="60" spans="1:14" x14ac:dyDescent="0.2">
      <c r="A60" s="118"/>
      <c r="B60" s="118"/>
      <c r="C60" s="118"/>
      <c r="D60" s="118"/>
      <c r="E60" s="118"/>
      <c r="F60" s="118"/>
      <c r="G60" s="118"/>
      <c r="H60" s="118"/>
      <c r="I60" s="118"/>
      <c r="J60" s="118"/>
      <c r="K60" s="118"/>
      <c r="L60" s="118"/>
      <c r="M60" s="118"/>
      <c r="N60" s="118"/>
    </row>
    <row r="61" spans="1:14" x14ac:dyDescent="0.2">
      <c r="A61" s="118"/>
      <c r="B61" s="118"/>
      <c r="C61" s="118"/>
      <c r="D61" s="118"/>
      <c r="E61" s="118"/>
      <c r="F61" s="118"/>
      <c r="G61" s="118"/>
      <c r="H61" s="118"/>
      <c r="I61" s="118"/>
      <c r="J61" s="118"/>
      <c r="K61" s="118"/>
      <c r="L61" s="118"/>
      <c r="M61" s="118"/>
      <c r="N61" s="118"/>
    </row>
    <row r="62" spans="1:14" x14ac:dyDescent="0.2">
      <c r="A62" s="118"/>
      <c r="B62" s="118"/>
      <c r="C62" s="118"/>
      <c r="D62" s="118"/>
      <c r="E62" s="118"/>
      <c r="F62" s="118"/>
      <c r="G62" s="118"/>
      <c r="H62" s="118"/>
      <c r="I62" s="118"/>
      <c r="J62" s="118"/>
      <c r="K62" s="118"/>
      <c r="L62" s="118"/>
      <c r="M62" s="118"/>
      <c r="N62" s="118"/>
    </row>
    <row r="63" spans="1:14" x14ac:dyDescent="0.2">
      <c r="A63" s="118"/>
      <c r="B63" s="118"/>
      <c r="C63" s="118"/>
      <c r="D63" s="118"/>
      <c r="E63" s="118"/>
      <c r="F63" s="118"/>
      <c r="G63" s="118"/>
      <c r="H63" s="118"/>
      <c r="I63" s="118"/>
      <c r="J63" s="118"/>
      <c r="K63" s="118"/>
      <c r="L63" s="118"/>
      <c r="M63" s="118"/>
      <c r="N63" s="118"/>
    </row>
    <row r="64" spans="1:14" x14ac:dyDescent="0.2">
      <c r="A64" s="118"/>
      <c r="B64" s="118"/>
      <c r="C64" s="118"/>
      <c r="D64" s="118"/>
      <c r="E64" s="118"/>
      <c r="F64" s="118"/>
      <c r="G64" s="118"/>
      <c r="H64" s="118"/>
      <c r="I64" s="118"/>
      <c r="J64" s="118"/>
      <c r="K64" s="118"/>
      <c r="L64" s="118"/>
      <c r="M64" s="118"/>
      <c r="N64" s="118"/>
    </row>
    <row r="65" spans="1:14" x14ac:dyDescent="0.2">
      <c r="A65" s="118"/>
      <c r="B65" s="118"/>
      <c r="C65" s="118"/>
      <c r="D65" s="118"/>
      <c r="E65" s="118"/>
      <c r="F65" s="118"/>
      <c r="G65" s="118"/>
      <c r="H65" s="118"/>
      <c r="I65" s="118"/>
      <c r="J65" s="118"/>
      <c r="K65" s="118"/>
      <c r="L65" s="118"/>
      <c r="M65" s="118"/>
      <c r="N65" s="118"/>
    </row>
    <row r="66" spans="1:14" x14ac:dyDescent="0.2">
      <c r="A66" s="118"/>
      <c r="B66" s="118"/>
      <c r="C66" s="118"/>
      <c r="D66" s="118"/>
      <c r="E66" s="118"/>
      <c r="F66" s="118"/>
      <c r="G66" s="118"/>
      <c r="H66" s="118"/>
      <c r="I66" s="118"/>
      <c r="J66" s="118"/>
      <c r="K66" s="118"/>
      <c r="L66" s="118"/>
      <c r="M66" s="118"/>
      <c r="N66" s="118"/>
    </row>
    <row r="67" spans="1:14" x14ac:dyDescent="0.2">
      <c r="A67" s="118"/>
      <c r="B67" s="118"/>
      <c r="C67" s="118"/>
      <c r="D67" s="118"/>
      <c r="E67" s="118"/>
      <c r="F67" s="118"/>
      <c r="G67" s="118"/>
      <c r="H67" s="118"/>
      <c r="I67" s="118"/>
      <c r="J67" s="118"/>
      <c r="K67" s="118"/>
      <c r="L67" s="118"/>
      <c r="M67" s="118"/>
      <c r="N67" s="118"/>
    </row>
    <row r="68" spans="1:14" x14ac:dyDescent="0.2">
      <c r="A68" s="118"/>
      <c r="B68" s="118"/>
      <c r="C68" s="118"/>
      <c r="D68" s="118"/>
      <c r="E68" s="118"/>
      <c r="F68" s="118"/>
      <c r="G68" s="118"/>
      <c r="H68" s="118"/>
      <c r="I68" s="118"/>
      <c r="J68" s="118"/>
      <c r="K68" s="118"/>
      <c r="L68" s="118"/>
      <c r="M68" s="118"/>
      <c r="N68" s="118"/>
    </row>
    <row r="69" spans="1:14" x14ac:dyDescent="0.2">
      <c r="A69" s="118"/>
      <c r="B69" s="118"/>
      <c r="C69" s="118"/>
      <c r="D69" s="118"/>
      <c r="E69" s="118"/>
      <c r="F69" s="118"/>
      <c r="G69" s="118"/>
      <c r="H69" s="118"/>
      <c r="I69" s="118"/>
      <c r="J69" s="118"/>
      <c r="K69" s="118"/>
      <c r="L69" s="118"/>
      <c r="M69" s="118"/>
      <c r="N69" s="118"/>
    </row>
    <row r="70" spans="1:14" x14ac:dyDescent="0.2">
      <c r="A70" s="118"/>
      <c r="B70" s="118"/>
      <c r="C70" s="118"/>
      <c r="D70" s="118"/>
      <c r="E70" s="118"/>
      <c r="F70" s="118"/>
      <c r="G70" s="118"/>
      <c r="H70" s="118"/>
      <c r="I70" s="118"/>
      <c r="J70" s="118"/>
      <c r="K70" s="118"/>
      <c r="L70" s="118"/>
      <c r="M70" s="118"/>
      <c r="N70" s="118"/>
    </row>
    <row r="71" spans="1:14" x14ac:dyDescent="0.2">
      <c r="A71" s="118"/>
      <c r="B71" s="118"/>
      <c r="C71" s="118"/>
      <c r="D71" s="118"/>
      <c r="E71" s="118"/>
      <c r="F71" s="118"/>
      <c r="G71" s="118"/>
      <c r="H71" s="118"/>
      <c r="I71" s="118"/>
      <c r="J71" s="118"/>
      <c r="K71" s="118"/>
      <c r="L71" s="118"/>
      <c r="M71" s="118"/>
      <c r="N71" s="118"/>
    </row>
    <row r="72" spans="1:14" x14ac:dyDescent="0.2">
      <c r="A72" s="118"/>
      <c r="B72" s="118"/>
      <c r="C72" s="118"/>
      <c r="D72" s="118"/>
      <c r="E72" s="118"/>
      <c r="F72" s="118"/>
      <c r="G72" s="118"/>
      <c r="H72" s="118"/>
      <c r="I72" s="118"/>
      <c r="J72" s="118"/>
      <c r="K72" s="118"/>
      <c r="L72" s="118"/>
      <c r="M72" s="118"/>
      <c r="N72" s="118"/>
    </row>
    <row r="73" spans="1:14" x14ac:dyDescent="0.2">
      <c r="A73" s="118"/>
      <c r="B73" s="118"/>
      <c r="C73" s="118"/>
      <c r="D73" s="118"/>
      <c r="E73" s="118"/>
      <c r="F73" s="118"/>
      <c r="G73" s="118"/>
      <c r="H73" s="118"/>
      <c r="I73" s="118"/>
      <c r="J73" s="118"/>
      <c r="K73" s="118"/>
      <c r="L73" s="118"/>
      <c r="M73" s="118"/>
      <c r="N73" s="118"/>
    </row>
    <row r="74" spans="1:14" x14ac:dyDescent="0.2">
      <c r="A74" s="118"/>
      <c r="B74" s="118"/>
      <c r="C74" s="118"/>
      <c r="D74" s="118"/>
      <c r="E74" s="118"/>
      <c r="F74" s="118"/>
      <c r="G74" s="118"/>
      <c r="H74" s="118"/>
      <c r="I74" s="118"/>
      <c r="J74" s="118"/>
      <c r="K74" s="118"/>
      <c r="L74" s="118"/>
      <c r="M74" s="118"/>
      <c r="N74" s="118"/>
    </row>
    <row r="75" spans="1:14" x14ac:dyDescent="0.2">
      <c r="A75" s="118"/>
      <c r="B75" s="118"/>
      <c r="C75" s="118"/>
      <c r="D75" s="118"/>
      <c r="E75" s="118"/>
      <c r="F75" s="118"/>
      <c r="G75" s="118"/>
      <c r="H75" s="118"/>
      <c r="I75" s="118"/>
      <c r="J75" s="118"/>
      <c r="K75" s="118"/>
      <c r="L75" s="118"/>
      <c r="M75" s="118"/>
      <c r="N75" s="118"/>
    </row>
    <row r="76" spans="1:14" x14ac:dyDescent="0.2">
      <c r="A76" s="118"/>
      <c r="B76" s="118"/>
      <c r="C76" s="118"/>
      <c r="D76" s="118"/>
      <c r="E76" s="118"/>
      <c r="F76" s="118"/>
      <c r="G76" s="118"/>
      <c r="H76" s="118"/>
      <c r="I76" s="118"/>
      <c r="J76" s="118"/>
      <c r="K76" s="118"/>
      <c r="L76" s="118"/>
      <c r="M76" s="118"/>
      <c r="N76" s="118"/>
    </row>
    <row r="77" spans="1:14" x14ac:dyDescent="0.2">
      <c r="A77" s="118"/>
      <c r="B77" s="118"/>
      <c r="C77" s="118"/>
      <c r="D77" s="118"/>
      <c r="E77" s="118"/>
      <c r="F77" s="118"/>
      <c r="G77" s="118"/>
      <c r="H77" s="118"/>
      <c r="I77" s="118"/>
      <c r="J77" s="118"/>
      <c r="K77" s="118"/>
      <c r="L77" s="118"/>
      <c r="M77" s="118"/>
      <c r="N77" s="118"/>
    </row>
    <row r="78" spans="1:14" x14ac:dyDescent="0.2">
      <c r="A78" s="118"/>
      <c r="B78" s="118"/>
      <c r="C78" s="118"/>
      <c r="D78" s="118"/>
      <c r="E78" s="118"/>
      <c r="F78" s="118"/>
      <c r="G78" s="118"/>
      <c r="H78" s="118"/>
      <c r="I78" s="118"/>
      <c r="J78" s="118"/>
      <c r="K78" s="118"/>
      <c r="L78" s="118"/>
      <c r="M78" s="118"/>
      <c r="N78" s="118"/>
    </row>
    <row r="79" spans="1:14" x14ac:dyDescent="0.2">
      <c r="A79" s="118"/>
      <c r="B79" s="118"/>
      <c r="C79" s="118"/>
      <c r="D79" s="118"/>
      <c r="E79" s="118"/>
      <c r="F79" s="118"/>
      <c r="G79" s="118"/>
      <c r="H79" s="118"/>
      <c r="I79" s="118"/>
      <c r="J79" s="118"/>
      <c r="K79" s="118"/>
      <c r="L79" s="118"/>
      <c r="M79" s="118"/>
      <c r="N79" s="118"/>
    </row>
    <row r="80" spans="1:14" x14ac:dyDescent="0.2">
      <c r="A80" s="118"/>
      <c r="B80" s="118"/>
      <c r="C80" s="118"/>
      <c r="D80" s="118"/>
      <c r="E80" s="118"/>
      <c r="F80" s="118"/>
      <c r="G80" s="118"/>
      <c r="H80" s="118"/>
      <c r="I80" s="118"/>
      <c r="J80" s="118"/>
      <c r="K80" s="118"/>
      <c r="L80" s="118"/>
      <c r="M80" s="118"/>
      <c r="N80" s="118"/>
    </row>
    <row r="81" spans="1:14" x14ac:dyDescent="0.2">
      <c r="A81" s="118"/>
      <c r="B81" s="118"/>
      <c r="C81" s="118"/>
      <c r="D81" s="118"/>
      <c r="E81" s="118"/>
      <c r="F81" s="118"/>
      <c r="G81" s="118"/>
      <c r="H81" s="118"/>
      <c r="I81" s="118"/>
      <c r="J81" s="118"/>
      <c r="K81" s="118"/>
      <c r="L81" s="118"/>
      <c r="M81" s="118"/>
      <c r="N81" s="118"/>
    </row>
    <row r="82" spans="1:14" x14ac:dyDescent="0.2">
      <c r="A82" s="118"/>
      <c r="B82" s="118"/>
      <c r="C82" s="118"/>
      <c r="D82" s="118"/>
      <c r="E82" s="118"/>
      <c r="F82" s="118"/>
      <c r="G82" s="118"/>
      <c r="H82" s="118"/>
      <c r="I82" s="118"/>
      <c r="J82" s="118"/>
      <c r="K82" s="118"/>
      <c r="L82" s="118"/>
      <c r="M82" s="118"/>
      <c r="N82" s="118"/>
    </row>
    <row r="83" spans="1:14" x14ac:dyDescent="0.2">
      <c r="A83" s="118"/>
      <c r="B83" s="118"/>
      <c r="C83" s="118"/>
      <c r="D83" s="118"/>
      <c r="E83" s="118"/>
      <c r="F83" s="118"/>
      <c r="G83" s="118"/>
      <c r="H83" s="118"/>
      <c r="I83" s="118"/>
      <c r="J83" s="118"/>
      <c r="K83" s="118"/>
      <c r="L83" s="118"/>
      <c r="M83" s="118"/>
      <c r="N83" s="118"/>
    </row>
    <row r="84" spans="1:14" x14ac:dyDescent="0.2">
      <c r="A84" s="118"/>
      <c r="B84" s="118"/>
      <c r="C84" s="118"/>
      <c r="D84" s="118"/>
      <c r="E84" s="118"/>
      <c r="F84" s="118"/>
      <c r="G84" s="118"/>
      <c r="H84" s="118"/>
      <c r="I84" s="118"/>
      <c r="J84" s="118"/>
      <c r="K84" s="118"/>
      <c r="L84" s="118"/>
      <c r="M84" s="118"/>
      <c r="N84" s="118"/>
    </row>
    <row r="85" spans="1:14" x14ac:dyDescent="0.2">
      <c r="A85" s="118"/>
      <c r="B85" s="118"/>
      <c r="C85" s="118"/>
      <c r="D85" s="118"/>
      <c r="E85" s="118"/>
      <c r="F85" s="118"/>
      <c r="G85" s="118"/>
      <c r="H85" s="118"/>
      <c r="I85" s="118"/>
      <c r="J85" s="118"/>
      <c r="K85" s="118"/>
      <c r="L85" s="118"/>
      <c r="M85" s="118"/>
      <c r="N85" s="118"/>
    </row>
    <row r="86" spans="1:14" x14ac:dyDescent="0.2">
      <c r="A86" s="118"/>
      <c r="B86" s="118"/>
      <c r="C86" s="118"/>
      <c r="D86" s="118"/>
      <c r="E86" s="118"/>
      <c r="F86" s="118"/>
      <c r="G86" s="118"/>
      <c r="H86" s="118"/>
      <c r="I86" s="118"/>
      <c r="J86" s="118"/>
      <c r="K86" s="118"/>
      <c r="L86" s="118"/>
      <c r="M86" s="118"/>
      <c r="N86" s="118"/>
    </row>
    <row r="87" spans="1:14" x14ac:dyDescent="0.2">
      <c r="A87" s="118"/>
      <c r="B87" s="118"/>
      <c r="C87" s="118"/>
      <c r="D87" s="118"/>
      <c r="E87" s="118"/>
      <c r="F87" s="118"/>
      <c r="G87" s="118"/>
      <c r="H87" s="118"/>
      <c r="I87" s="118"/>
      <c r="J87" s="118"/>
      <c r="K87" s="118"/>
      <c r="L87" s="118"/>
      <c r="M87" s="118"/>
      <c r="N87" s="118"/>
    </row>
    <row r="88" spans="1:14" x14ac:dyDescent="0.2">
      <c r="A88" s="118"/>
      <c r="B88" s="118"/>
      <c r="C88" s="118"/>
      <c r="D88" s="118"/>
      <c r="E88" s="118"/>
      <c r="F88" s="118"/>
      <c r="G88" s="118"/>
      <c r="H88" s="118"/>
      <c r="I88" s="118"/>
      <c r="J88" s="118"/>
      <c r="K88" s="118"/>
      <c r="L88" s="118"/>
      <c r="M88" s="118"/>
      <c r="N88" s="118"/>
    </row>
    <row r="89" spans="1:14" x14ac:dyDescent="0.2">
      <c r="A89" s="118"/>
      <c r="B89" s="118"/>
      <c r="C89" s="118"/>
      <c r="D89" s="118"/>
      <c r="E89" s="118"/>
      <c r="F89" s="118"/>
      <c r="G89" s="118"/>
      <c r="H89" s="118"/>
      <c r="I89" s="118"/>
      <c r="J89" s="118"/>
      <c r="K89" s="118"/>
      <c r="L89" s="118"/>
      <c r="M89" s="118"/>
      <c r="N89" s="118"/>
    </row>
    <row r="90" spans="1:14" x14ac:dyDescent="0.2">
      <c r="A90" s="118"/>
      <c r="B90" s="118"/>
      <c r="C90" s="118"/>
      <c r="D90" s="118"/>
      <c r="E90" s="118"/>
      <c r="F90" s="118"/>
      <c r="G90" s="118"/>
      <c r="H90" s="118"/>
      <c r="I90" s="118"/>
      <c r="J90" s="118"/>
      <c r="K90" s="118"/>
      <c r="L90" s="118"/>
      <c r="M90" s="118"/>
      <c r="N90" s="118"/>
    </row>
    <row r="91" spans="1:14" x14ac:dyDescent="0.2">
      <c r="A91" s="118"/>
      <c r="B91" s="118"/>
      <c r="C91" s="118"/>
      <c r="D91" s="118"/>
      <c r="E91" s="118"/>
      <c r="F91" s="118"/>
      <c r="G91" s="118"/>
      <c r="H91" s="118"/>
      <c r="I91" s="118"/>
      <c r="J91" s="118"/>
      <c r="K91" s="118"/>
      <c r="L91" s="118"/>
      <c r="M91" s="118"/>
      <c r="N91" s="118"/>
    </row>
    <row r="92" spans="1:14" x14ac:dyDescent="0.2">
      <c r="A92" s="118"/>
      <c r="B92" s="118"/>
      <c r="C92" s="118"/>
      <c r="D92" s="118"/>
      <c r="E92" s="118"/>
      <c r="F92" s="118"/>
      <c r="G92" s="118"/>
      <c r="H92" s="118"/>
      <c r="I92" s="118"/>
      <c r="J92" s="118"/>
      <c r="K92" s="118"/>
      <c r="L92" s="118"/>
      <c r="M92" s="118"/>
      <c r="N92" s="118"/>
    </row>
    <row r="93" spans="1:14" x14ac:dyDescent="0.2">
      <c r="A93" s="118"/>
      <c r="B93" s="118"/>
      <c r="C93" s="118"/>
      <c r="D93" s="118"/>
      <c r="E93" s="118"/>
      <c r="F93" s="118"/>
      <c r="G93" s="118"/>
      <c r="H93" s="118"/>
      <c r="I93" s="118"/>
      <c r="J93" s="118"/>
      <c r="K93" s="118"/>
      <c r="L93" s="118"/>
      <c r="M93" s="118"/>
      <c r="N93" s="118"/>
    </row>
    <row r="94" spans="1:14" x14ac:dyDescent="0.2">
      <c r="A94" s="118"/>
      <c r="B94" s="118"/>
      <c r="C94" s="118"/>
      <c r="D94" s="118"/>
      <c r="E94" s="118"/>
      <c r="F94" s="118"/>
      <c r="G94" s="118"/>
      <c r="H94" s="118"/>
      <c r="I94" s="118"/>
      <c r="J94" s="118"/>
      <c r="K94" s="118"/>
      <c r="L94" s="118"/>
      <c r="M94" s="118"/>
      <c r="N94" s="118"/>
    </row>
    <row r="95" spans="1:14" x14ac:dyDescent="0.2">
      <c r="A95" s="118"/>
      <c r="B95" s="118"/>
      <c r="C95" s="118"/>
      <c r="D95" s="118"/>
      <c r="E95" s="118"/>
      <c r="F95" s="118"/>
      <c r="G95" s="118"/>
      <c r="H95" s="118"/>
      <c r="I95" s="118"/>
      <c r="J95" s="118"/>
      <c r="K95" s="118"/>
      <c r="L95" s="118"/>
      <c r="M95" s="118"/>
      <c r="N95" s="118"/>
    </row>
    <row r="96" spans="1:14" x14ac:dyDescent="0.2">
      <c r="A96" s="118"/>
      <c r="B96" s="118"/>
      <c r="C96" s="118"/>
      <c r="D96" s="118"/>
      <c r="E96" s="118"/>
      <c r="F96" s="118"/>
      <c r="G96" s="118"/>
      <c r="H96" s="118"/>
      <c r="I96" s="118"/>
      <c r="J96" s="118"/>
      <c r="K96" s="118"/>
      <c r="L96" s="118"/>
      <c r="M96" s="118"/>
      <c r="N96" s="118"/>
    </row>
    <row r="97" spans="1:14" x14ac:dyDescent="0.2">
      <c r="A97" s="118"/>
      <c r="B97" s="118"/>
      <c r="C97" s="118"/>
      <c r="D97" s="118"/>
      <c r="E97" s="118"/>
      <c r="F97" s="118"/>
      <c r="G97" s="118"/>
      <c r="H97" s="118"/>
      <c r="I97" s="118"/>
      <c r="J97" s="118"/>
      <c r="K97" s="118"/>
      <c r="L97" s="118"/>
      <c r="M97" s="118"/>
      <c r="N97" s="118"/>
    </row>
    <row r="98" spans="1:14" x14ac:dyDescent="0.2">
      <c r="A98" s="118"/>
      <c r="B98" s="118"/>
      <c r="C98" s="118"/>
      <c r="D98" s="118"/>
      <c r="E98" s="118"/>
      <c r="F98" s="118"/>
      <c r="G98" s="118"/>
      <c r="H98" s="118"/>
      <c r="I98" s="118"/>
      <c r="J98" s="118"/>
      <c r="K98" s="118"/>
      <c r="L98" s="118"/>
      <c r="M98" s="118"/>
      <c r="N98" s="118"/>
    </row>
    <row r="99" spans="1:14" x14ac:dyDescent="0.2">
      <c r="A99" s="118"/>
      <c r="B99" s="118"/>
      <c r="C99" s="118"/>
      <c r="D99" s="118"/>
      <c r="E99" s="118"/>
      <c r="F99" s="118"/>
      <c r="G99" s="118"/>
      <c r="H99" s="118"/>
      <c r="I99" s="118"/>
      <c r="J99" s="118"/>
      <c r="K99" s="118"/>
      <c r="L99" s="118"/>
      <c r="M99" s="118"/>
      <c r="N99" s="118"/>
    </row>
    <row r="100" spans="1:14" x14ac:dyDescent="0.2">
      <c r="A100" s="118"/>
      <c r="B100" s="118"/>
      <c r="C100" s="118"/>
      <c r="D100" s="118"/>
      <c r="E100" s="118"/>
      <c r="F100" s="118"/>
      <c r="G100" s="118"/>
      <c r="H100" s="118"/>
      <c r="I100" s="118"/>
      <c r="J100" s="118"/>
      <c r="K100" s="118"/>
      <c r="L100" s="118"/>
      <c r="M100" s="118"/>
      <c r="N100" s="118"/>
    </row>
    <row r="101" spans="1:14" x14ac:dyDescent="0.2">
      <c r="A101" s="118"/>
      <c r="B101" s="118"/>
      <c r="C101" s="118"/>
      <c r="D101" s="118"/>
      <c r="E101" s="118"/>
      <c r="F101" s="118"/>
      <c r="G101" s="118"/>
      <c r="H101" s="118"/>
      <c r="I101" s="118"/>
      <c r="J101" s="118"/>
      <c r="K101" s="118"/>
      <c r="L101" s="118"/>
      <c r="M101" s="118"/>
      <c r="N101" s="118"/>
    </row>
    <row r="102" spans="1:14" x14ac:dyDescent="0.2">
      <c r="A102" s="118"/>
      <c r="B102" s="118"/>
      <c r="C102" s="118"/>
      <c r="D102" s="118"/>
      <c r="E102" s="118"/>
      <c r="F102" s="118"/>
      <c r="G102" s="118"/>
      <c r="H102" s="118"/>
      <c r="I102" s="118"/>
      <c r="J102" s="118"/>
      <c r="K102" s="118"/>
      <c r="L102" s="118"/>
      <c r="M102" s="118"/>
      <c r="N102" s="118"/>
    </row>
    <row r="103" spans="1:14" x14ac:dyDescent="0.2">
      <c r="A103" s="118"/>
      <c r="B103" s="118"/>
      <c r="C103" s="118"/>
      <c r="D103" s="118"/>
      <c r="E103" s="118"/>
      <c r="F103" s="118"/>
      <c r="G103" s="118"/>
      <c r="H103" s="118"/>
      <c r="I103" s="118"/>
      <c r="J103" s="118"/>
      <c r="K103" s="118"/>
      <c r="L103" s="118"/>
      <c r="M103" s="118"/>
      <c r="N103" s="118"/>
    </row>
    <row r="104" spans="1:14" x14ac:dyDescent="0.2">
      <c r="A104" s="118"/>
      <c r="B104" s="118"/>
      <c r="C104" s="118"/>
      <c r="D104" s="118"/>
      <c r="E104" s="118"/>
      <c r="F104" s="118"/>
      <c r="G104" s="118"/>
      <c r="H104" s="118"/>
      <c r="I104" s="118"/>
      <c r="J104" s="118"/>
      <c r="K104" s="118"/>
      <c r="L104" s="118"/>
      <c r="M104" s="118"/>
      <c r="N104" s="118"/>
    </row>
    <row r="105" spans="1:14" x14ac:dyDescent="0.2">
      <c r="A105" s="118"/>
      <c r="B105" s="118"/>
      <c r="C105" s="118"/>
      <c r="D105" s="118"/>
      <c r="E105" s="118"/>
      <c r="F105" s="118"/>
      <c r="G105" s="118"/>
      <c r="H105" s="118"/>
      <c r="I105" s="118"/>
      <c r="J105" s="118"/>
      <c r="K105" s="118"/>
      <c r="L105" s="118"/>
      <c r="M105" s="118"/>
      <c r="N105" s="118"/>
    </row>
    <row r="106" spans="1:14" x14ac:dyDescent="0.2">
      <c r="A106" s="118"/>
      <c r="B106" s="118"/>
      <c r="C106" s="118"/>
      <c r="D106" s="118"/>
      <c r="E106" s="118"/>
      <c r="F106" s="118"/>
      <c r="G106" s="118"/>
      <c r="H106" s="118"/>
      <c r="I106" s="118"/>
      <c r="J106" s="118"/>
      <c r="K106" s="118"/>
      <c r="L106" s="118"/>
      <c r="M106" s="118"/>
      <c r="N106" s="118"/>
    </row>
    <row r="107" spans="1:14" x14ac:dyDescent="0.2">
      <c r="A107" s="118"/>
      <c r="B107" s="118"/>
      <c r="C107" s="118"/>
      <c r="D107" s="118"/>
      <c r="E107" s="118"/>
      <c r="F107" s="118"/>
      <c r="G107" s="118"/>
      <c r="H107" s="118"/>
      <c r="I107" s="118"/>
      <c r="J107" s="118"/>
      <c r="K107" s="118"/>
      <c r="L107" s="118"/>
      <c r="M107" s="118"/>
      <c r="N107" s="118"/>
    </row>
    <row r="108" spans="1:14" x14ac:dyDescent="0.2">
      <c r="A108" s="118"/>
      <c r="B108" s="118"/>
      <c r="C108" s="118"/>
      <c r="D108" s="118"/>
      <c r="E108" s="118"/>
      <c r="F108" s="118"/>
      <c r="G108" s="118"/>
      <c r="H108" s="118"/>
      <c r="I108" s="118"/>
      <c r="J108" s="118"/>
      <c r="K108" s="118"/>
      <c r="L108" s="118"/>
      <c r="M108" s="118"/>
      <c r="N108" s="118"/>
    </row>
    <row r="109" spans="1:14" x14ac:dyDescent="0.2">
      <c r="A109" s="118"/>
      <c r="B109" s="118"/>
      <c r="C109" s="118"/>
      <c r="D109" s="118"/>
      <c r="E109" s="118"/>
      <c r="F109" s="118"/>
      <c r="G109" s="118"/>
      <c r="H109" s="118"/>
      <c r="I109" s="118"/>
      <c r="J109" s="118"/>
      <c r="K109" s="118"/>
      <c r="L109" s="118"/>
      <c r="M109" s="118"/>
      <c r="N109" s="118"/>
    </row>
    <row r="110" spans="1:14" x14ac:dyDescent="0.2">
      <c r="A110" s="118"/>
      <c r="B110" s="118"/>
      <c r="C110" s="118"/>
      <c r="D110" s="118"/>
      <c r="E110" s="118"/>
      <c r="F110" s="118"/>
      <c r="G110" s="118"/>
      <c r="H110" s="118"/>
      <c r="I110" s="118"/>
      <c r="J110" s="118"/>
      <c r="K110" s="118"/>
      <c r="L110" s="118"/>
      <c r="M110" s="118"/>
      <c r="N110" s="118"/>
    </row>
    <row r="111" spans="1:14" x14ac:dyDescent="0.2">
      <c r="A111" s="118"/>
      <c r="B111" s="118"/>
      <c r="C111" s="118"/>
      <c r="D111" s="118"/>
      <c r="E111" s="118"/>
      <c r="F111" s="118"/>
      <c r="G111" s="118"/>
      <c r="H111" s="118"/>
      <c r="I111" s="118"/>
      <c r="J111" s="118"/>
      <c r="K111" s="118"/>
      <c r="L111" s="118"/>
      <c r="M111" s="118"/>
      <c r="N111" s="118"/>
    </row>
    <row r="112" spans="1:14" x14ac:dyDescent="0.2">
      <c r="A112" s="118"/>
      <c r="B112" s="118"/>
      <c r="C112" s="118"/>
      <c r="D112" s="118"/>
      <c r="E112" s="118"/>
      <c r="F112" s="118"/>
      <c r="G112" s="118"/>
      <c r="H112" s="118"/>
      <c r="I112" s="118"/>
      <c r="J112" s="118"/>
      <c r="K112" s="118"/>
      <c r="L112" s="118"/>
      <c r="M112" s="118"/>
      <c r="N112" s="118"/>
    </row>
    <row r="113" spans="1:14" x14ac:dyDescent="0.2">
      <c r="A113" s="118"/>
      <c r="B113" s="118"/>
      <c r="C113" s="118"/>
      <c r="D113" s="118"/>
      <c r="E113" s="118"/>
      <c r="F113" s="118"/>
      <c r="G113" s="118"/>
      <c r="H113" s="118"/>
      <c r="I113" s="118"/>
      <c r="J113" s="118"/>
      <c r="K113" s="118"/>
      <c r="L113" s="118"/>
      <c r="M113" s="118"/>
      <c r="N113" s="118"/>
    </row>
    <row r="114" spans="1:14" x14ac:dyDescent="0.2">
      <c r="A114" s="118"/>
      <c r="B114" s="118"/>
      <c r="C114" s="118"/>
      <c r="D114" s="118"/>
      <c r="E114" s="118"/>
      <c r="F114" s="118"/>
      <c r="G114" s="118"/>
      <c r="H114" s="118"/>
      <c r="I114" s="118"/>
      <c r="J114" s="118"/>
      <c r="K114" s="118"/>
      <c r="L114" s="118"/>
      <c r="M114" s="118"/>
      <c r="N114" s="118"/>
    </row>
    <row r="115" spans="1:14" x14ac:dyDescent="0.2">
      <c r="A115" s="118"/>
      <c r="B115" s="118"/>
      <c r="C115" s="118"/>
      <c r="D115" s="118"/>
      <c r="E115" s="118"/>
      <c r="F115" s="118"/>
      <c r="G115" s="118"/>
      <c r="H115" s="118"/>
      <c r="I115" s="118"/>
      <c r="J115" s="118"/>
      <c r="K115" s="118"/>
      <c r="L115" s="118"/>
      <c r="M115" s="118"/>
      <c r="N115" s="118"/>
    </row>
    <row r="116" spans="1:14" x14ac:dyDescent="0.2">
      <c r="A116" s="118"/>
      <c r="B116" s="118"/>
      <c r="C116" s="118"/>
      <c r="D116" s="118"/>
      <c r="E116" s="118"/>
      <c r="F116" s="118"/>
      <c r="G116" s="118"/>
      <c r="H116" s="118"/>
      <c r="I116" s="118"/>
      <c r="J116" s="118"/>
      <c r="K116" s="118"/>
      <c r="L116" s="118"/>
      <c r="M116" s="118"/>
      <c r="N116" s="118"/>
    </row>
    <row r="117" spans="1:14" x14ac:dyDescent="0.2">
      <c r="A117" s="118"/>
      <c r="B117" s="118"/>
      <c r="C117" s="118"/>
      <c r="D117" s="118"/>
      <c r="E117" s="118"/>
      <c r="F117" s="118"/>
      <c r="G117" s="118"/>
      <c r="H117" s="118"/>
      <c r="I117" s="118"/>
      <c r="J117" s="118"/>
      <c r="K117" s="118"/>
      <c r="L117" s="118"/>
      <c r="M117" s="118"/>
      <c r="N117" s="118"/>
    </row>
    <row r="118" spans="1:14" x14ac:dyDescent="0.2">
      <c r="A118" s="118"/>
      <c r="B118" s="118"/>
      <c r="C118" s="118"/>
      <c r="D118" s="118"/>
      <c r="E118" s="118"/>
      <c r="F118" s="118"/>
      <c r="G118" s="118"/>
      <c r="H118" s="118"/>
      <c r="I118" s="118"/>
      <c r="J118" s="118"/>
      <c r="K118" s="118"/>
      <c r="L118" s="118"/>
      <c r="M118" s="118"/>
      <c r="N118" s="118"/>
    </row>
    <row r="119" spans="1:14" x14ac:dyDescent="0.2">
      <c r="A119" s="118"/>
      <c r="B119" s="118"/>
      <c r="C119" s="118"/>
      <c r="D119" s="118"/>
      <c r="E119" s="118"/>
      <c r="F119" s="118"/>
      <c r="G119" s="118"/>
      <c r="H119" s="118"/>
      <c r="I119" s="118"/>
      <c r="J119" s="118"/>
      <c r="K119" s="118"/>
      <c r="L119" s="118"/>
      <c r="M119" s="118"/>
      <c r="N119" s="118"/>
    </row>
    <row r="120" spans="1:14" x14ac:dyDescent="0.2">
      <c r="A120" s="118"/>
      <c r="B120" s="118"/>
      <c r="C120" s="118"/>
      <c r="D120" s="118"/>
      <c r="E120" s="118"/>
      <c r="F120" s="118"/>
      <c r="G120" s="118"/>
      <c r="H120" s="118"/>
      <c r="I120" s="118"/>
      <c r="J120" s="118"/>
      <c r="K120" s="118"/>
      <c r="L120" s="118"/>
      <c r="M120" s="118"/>
      <c r="N120" s="118"/>
    </row>
    <row r="121" spans="1:14" x14ac:dyDescent="0.2">
      <c r="A121" s="118"/>
      <c r="B121" s="118"/>
      <c r="C121" s="118"/>
      <c r="D121" s="118"/>
      <c r="E121" s="118"/>
      <c r="F121" s="118"/>
      <c r="G121" s="118"/>
      <c r="H121" s="118"/>
      <c r="I121" s="118"/>
      <c r="J121" s="118"/>
      <c r="K121" s="118"/>
      <c r="L121" s="118"/>
      <c r="M121" s="118"/>
      <c r="N121" s="118"/>
    </row>
    <row r="122" spans="1:14" x14ac:dyDescent="0.2">
      <c r="A122" s="118"/>
      <c r="B122" s="118"/>
      <c r="C122" s="118"/>
      <c r="D122" s="118"/>
      <c r="E122" s="118"/>
      <c r="F122" s="118"/>
      <c r="G122" s="118"/>
      <c r="H122" s="118"/>
      <c r="I122" s="118"/>
      <c r="J122" s="118"/>
      <c r="K122" s="118"/>
      <c r="L122" s="118"/>
      <c r="M122" s="118"/>
      <c r="N122" s="118"/>
    </row>
    <row r="123" spans="1:14" x14ac:dyDescent="0.2">
      <c r="A123" s="118"/>
      <c r="B123" s="118"/>
      <c r="C123" s="118"/>
      <c r="D123" s="118"/>
      <c r="E123" s="118"/>
      <c r="F123" s="118"/>
      <c r="G123" s="118"/>
      <c r="H123" s="118"/>
      <c r="I123" s="118"/>
      <c r="J123" s="118"/>
      <c r="K123" s="118"/>
      <c r="L123" s="118"/>
      <c r="M123" s="118"/>
      <c r="N123" s="118"/>
    </row>
    <row r="124" spans="1:14" x14ac:dyDescent="0.2">
      <c r="A124" s="118"/>
      <c r="B124" s="118"/>
      <c r="C124" s="118"/>
      <c r="D124" s="118"/>
      <c r="E124" s="118"/>
      <c r="F124" s="118"/>
      <c r="G124" s="118"/>
      <c r="H124" s="118"/>
      <c r="I124" s="118"/>
      <c r="J124" s="118"/>
      <c r="K124" s="118"/>
      <c r="L124" s="118"/>
      <c r="M124" s="118"/>
      <c r="N124" s="118"/>
    </row>
    <row r="125" spans="1:14" x14ac:dyDescent="0.2">
      <c r="A125" s="118"/>
      <c r="B125" s="118"/>
      <c r="C125" s="118"/>
      <c r="D125" s="118"/>
      <c r="E125" s="118"/>
      <c r="F125" s="118"/>
      <c r="G125" s="118"/>
      <c r="H125" s="118"/>
      <c r="I125" s="118"/>
      <c r="J125" s="118"/>
      <c r="K125" s="118"/>
      <c r="L125" s="118"/>
      <c r="M125" s="118"/>
      <c r="N125" s="118"/>
    </row>
    <row r="126" spans="1:14" x14ac:dyDescent="0.2">
      <c r="A126" s="118"/>
      <c r="B126" s="118"/>
      <c r="C126" s="118"/>
      <c r="D126" s="118"/>
      <c r="E126" s="118"/>
      <c r="F126" s="118"/>
      <c r="G126" s="118"/>
      <c r="H126" s="118"/>
      <c r="I126" s="118"/>
      <c r="J126" s="118"/>
      <c r="K126" s="118"/>
      <c r="L126" s="118"/>
      <c r="M126" s="118"/>
      <c r="N126" s="118"/>
    </row>
    <row r="127" spans="1:14" x14ac:dyDescent="0.2">
      <c r="A127" s="118"/>
      <c r="B127" s="118"/>
      <c r="C127" s="118"/>
      <c r="D127" s="118"/>
      <c r="E127" s="118"/>
      <c r="F127" s="118"/>
      <c r="G127" s="118"/>
      <c r="H127" s="118"/>
      <c r="I127" s="118"/>
      <c r="J127" s="118"/>
      <c r="K127" s="118"/>
      <c r="L127" s="118"/>
      <c r="M127" s="118"/>
      <c r="N127" s="118"/>
    </row>
    <row r="128" spans="1:14" x14ac:dyDescent="0.2">
      <c r="A128" s="118"/>
      <c r="B128" s="118"/>
      <c r="C128" s="118"/>
      <c r="D128" s="118"/>
      <c r="E128" s="118"/>
      <c r="F128" s="118"/>
      <c r="G128" s="118"/>
      <c r="H128" s="118"/>
      <c r="I128" s="118"/>
      <c r="J128" s="118"/>
      <c r="K128" s="118"/>
      <c r="L128" s="118"/>
      <c r="M128" s="118"/>
      <c r="N128" s="118"/>
    </row>
    <row r="129" spans="1:14" x14ac:dyDescent="0.2">
      <c r="A129" s="118"/>
      <c r="B129" s="118"/>
      <c r="C129" s="118"/>
      <c r="D129" s="118"/>
      <c r="E129" s="118"/>
      <c r="F129" s="118"/>
      <c r="G129" s="118"/>
      <c r="H129" s="118"/>
      <c r="I129" s="118"/>
      <c r="J129" s="118"/>
      <c r="K129" s="118"/>
      <c r="L129" s="118"/>
      <c r="M129" s="118"/>
      <c r="N129" s="118"/>
    </row>
    <row r="130" spans="1:14" x14ac:dyDescent="0.2">
      <c r="A130" s="118"/>
      <c r="B130" s="118"/>
      <c r="C130" s="118"/>
      <c r="D130" s="118"/>
      <c r="E130" s="118"/>
      <c r="F130" s="118"/>
      <c r="G130" s="118"/>
      <c r="H130" s="118"/>
      <c r="I130" s="118"/>
      <c r="J130" s="118"/>
      <c r="K130" s="118"/>
      <c r="L130" s="118"/>
      <c r="M130" s="118"/>
      <c r="N130" s="118"/>
    </row>
    <row r="131" spans="1:14" x14ac:dyDescent="0.2">
      <c r="A131" s="118"/>
      <c r="B131" s="118"/>
      <c r="C131" s="118"/>
      <c r="D131" s="118"/>
      <c r="E131" s="118"/>
      <c r="F131" s="118"/>
      <c r="G131" s="118"/>
      <c r="H131" s="118"/>
      <c r="I131" s="118"/>
      <c r="J131" s="118"/>
      <c r="K131" s="118"/>
      <c r="L131" s="118"/>
      <c r="M131" s="118"/>
      <c r="N131" s="118"/>
    </row>
    <row r="132" spans="1:14" x14ac:dyDescent="0.2">
      <c r="A132" s="118"/>
      <c r="B132" s="118"/>
      <c r="C132" s="118"/>
      <c r="D132" s="118"/>
      <c r="E132" s="118"/>
      <c r="F132" s="118"/>
      <c r="G132" s="118"/>
      <c r="H132" s="118"/>
      <c r="I132" s="118"/>
      <c r="J132" s="118"/>
      <c r="K132" s="118"/>
      <c r="L132" s="118"/>
      <c r="M132" s="118"/>
      <c r="N132" s="118"/>
    </row>
    <row r="133" spans="1:14" x14ac:dyDescent="0.2">
      <c r="A133" s="118"/>
      <c r="B133" s="118"/>
      <c r="C133" s="118"/>
      <c r="D133" s="118"/>
      <c r="E133" s="118"/>
      <c r="F133" s="118"/>
      <c r="G133" s="118"/>
      <c r="H133" s="118"/>
      <c r="I133" s="118"/>
      <c r="J133" s="118"/>
      <c r="K133" s="118"/>
      <c r="L133" s="118"/>
      <c r="M133" s="118"/>
      <c r="N133" s="118"/>
    </row>
    <row r="134" spans="1:14" x14ac:dyDescent="0.2">
      <c r="A134" s="118"/>
      <c r="B134" s="118"/>
      <c r="C134" s="118"/>
      <c r="D134" s="118"/>
      <c r="E134" s="118"/>
      <c r="F134" s="118"/>
      <c r="G134" s="118"/>
      <c r="H134" s="118"/>
      <c r="I134" s="118"/>
      <c r="J134" s="118"/>
      <c r="K134" s="118"/>
      <c r="L134" s="118"/>
      <c r="M134" s="118"/>
      <c r="N134" s="118"/>
    </row>
    <row r="135" spans="1:14" x14ac:dyDescent="0.2">
      <c r="A135" s="118"/>
      <c r="B135" s="118"/>
      <c r="C135" s="118"/>
      <c r="D135" s="118"/>
      <c r="E135" s="118"/>
      <c r="F135" s="118"/>
      <c r="G135" s="118"/>
      <c r="H135" s="118"/>
      <c r="I135" s="118"/>
      <c r="J135" s="118"/>
      <c r="K135" s="118"/>
      <c r="L135" s="118"/>
      <c r="M135" s="118"/>
      <c r="N135" s="118"/>
    </row>
    <row r="136" spans="1:14" x14ac:dyDescent="0.2">
      <c r="A136" s="118"/>
      <c r="B136" s="118"/>
      <c r="C136" s="118"/>
      <c r="D136" s="118"/>
      <c r="E136" s="118"/>
      <c r="F136" s="118"/>
      <c r="G136" s="118"/>
      <c r="H136" s="118"/>
      <c r="I136" s="118"/>
      <c r="J136" s="118"/>
      <c r="K136" s="118"/>
      <c r="L136" s="118"/>
      <c r="M136" s="118"/>
      <c r="N136" s="118"/>
    </row>
    <row r="137" spans="1:14" x14ac:dyDescent="0.2">
      <c r="A137" s="118"/>
      <c r="B137" s="118"/>
      <c r="C137" s="118"/>
      <c r="D137" s="118"/>
      <c r="E137" s="118"/>
      <c r="F137" s="118"/>
      <c r="G137" s="118"/>
      <c r="H137" s="118"/>
      <c r="I137" s="118"/>
      <c r="J137" s="118"/>
      <c r="K137" s="118"/>
      <c r="L137" s="118"/>
      <c r="M137" s="118"/>
      <c r="N137" s="118"/>
    </row>
    <row r="138" spans="1:14" x14ac:dyDescent="0.2">
      <c r="A138" s="118"/>
      <c r="B138" s="118"/>
      <c r="C138" s="118"/>
      <c r="D138" s="118"/>
      <c r="E138" s="118"/>
      <c r="F138" s="118"/>
      <c r="G138" s="118"/>
      <c r="H138" s="118"/>
      <c r="I138" s="118"/>
      <c r="J138" s="118"/>
      <c r="K138" s="118"/>
      <c r="L138" s="118"/>
      <c r="M138" s="118"/>
      <c r="N138" s="118"/>
    </row>
    <row r="139" spans="1:14" x14ac:dyDescent="0.2">
      <c r="A139" s="118"/>
      <c r="B139" s="118"/>
      <c r="C139" s="118"/>
      <c r="D139" s="118"/>
      <c r="E139" s="118"/>
      <c r="F139" s="118"/>
      <c r="G139" s="118"/>
      <c r="H139" s="118"/>
      <c r="I139" s="118"/>
      <c r="J139" s="118"/>
      <c r="K139" s="118"/>
      <c r="L139" s="118"/>
      <c r="M139" s="118"/>
      <c r="N139" s="118"/>
    </row>
    <row r="140" spans="1:14" x14ac:dyDescent="0.2">
      <c r="A140" s="118"/>
      <c r="B140" s="118"/>
      <c r="C140" s="118"/>
      <c r="D140" s="118"/>
      <c r="E140" s="118"/>
      <c r="F140" s="118"/>
      <c r="G140" s="118"/>
      <c r="H140" s="118"/>
      <c r="I140" s="118"/>
      <c r="J140" s="118"/>
      <c r="K140" s="118"/>
      <c r="L140" s="118"/>
      <c r="M140" s="118"/>
      <c r="N140" s="118"/>
    </row>
    <row r="141" spans="1:14" x14ac:dyDescent="0.2">
      <c r="A141" s="118"/>
      <c r="B141" s="118"/>
      <c r="C141" s="118"/>
      <c r="D141" s="118"/>
      <c r="E141" s="118"/>
      <c r="F141" s="118"/>
      <c r="G141" s="118"/>
      <c r="H141" s="118"/>
      <c r="I141" s="118"/>
      <c r="J141" s="118"/>
      <c r="K141" s="118"/>
      <c r="L141" s="118"/>
      <c r="M141" s="118"/>
      <c r="N141" s="118"/>
    </row>
    <row r="142" spans="1:14" x14ac:dyDescent="0.2">
      <c r="A142" s="118"/>
      <c r="B142" s="118"/>
      <c r="C142" s="118"/>
      <c r="D142" s="118"/>
      <c r="E142" s="118"/>
      <c r="F142" s="118"/>
      <c r="G142" s="118"/>
      <c r="H142" s="118"/>
      <c r="I142" s="118"/>
      <c r="J142" s="118"/>
      <c r="K142" s="118"/>
      <c r="L142" s="118"/>
      <c r="M142" s="118"/>
      <c r="N142" s="118"/>
    </row>
    <row r="143" spans="1:14" x14ac:dyDescent="0.2">
      <c r="A143" s="118"/>
      <c r="B143" s="118"/>
      <c r="C143" s="118"/>
      <c r="D143" s="118"/>
      <c r="E143" s="118"/>
      <c r="F143" s="118"/>
      <c r="G143" s="118"/>
      <c r="H143" s="118"/>
      <c r="I143" s="118"/>
      <c r="J143" s="118"/>
      <c r="K143" s="118"/>
      <c r="L143" s="118"/>
      <c r="M143" s="118"/>
      <c r="N143" s="118"/>
    </row>
    <row r="144" spans="1:14" x14ac:dyDescent="0.2">
      <c r="A144" s="118"/>
      <c r="B144" s="118"/>
      <c r="C144" s="118"/>
      <c r="D144" s="118"/>
      <c r="E144" s="118"/>
      <c r="F144" s="118"/>
      <c r="G144" s="118"/>
      <c r="H144" s="118"/>
      <c r="I144" s="118"/>
      <c r="J144" s="118"/>
      <c r="K144" s="118"/>
      <c r="L144" s="118"/>
      <c r="M144" s="118"/>
      <c r="N144" s="118"/>
    </row>
    <row r="145" spans="1:14" x14ac:dyDescent="0.2">
      <c r="A145" s="118"/>
      <c r="B145" s="118"/>
      <c r="C145" s="118"/>
      <c r="D145" s="118"/>
      <c r="E145" s="118"/>
      <c r="F145" s="118"/>
      <c r="G145" s="118"/>
      <c r="H145" s="118"/>
      <c r="I145" s="118"/>
      <c r="J145" s="118"/>
      <c r="K145" s="118"/>
      <c r="L145" s="118"/>
      <c r="M145" s="118"/>
      <c r="N145" s="118"/>
    </row>
    <row r="146" spans="1:14" x14ac:dyDescent="0.2">
      <c r="A146" s="118"/>
      <c r="B146" s="118"/>
      <c r="C146" s="118"/>
      <c r="D146" s="118"/>
      <c r="E146" s="118"/>
      <c r="F146" s="118"/>
      <c r="G146" s="118"/>
      <c r="H146" s="118"/>
      <c r="I146" s="118"/>
      <c r="J146" s="118"/>
      <c r="K146" s="118"/>
      <c r="L146" s="118"/>
      <c r="M146" s="118"/>
      <c r="N146" s="118"/>
    </row>
    <row r="147" spans="1:14" x14ac:dyDescent="0.2">
      <c r="A147" s="118"/>
      <c r="B147" s="118"/>
      <c r="C147" s="118"/>
      <c r="D147" s="118"/>
      <c r="E147" s="118"/>
      <c r="F147" s="118"/>
      <c r="G147" s="118"/>
      <c r="H147" s="118"/>
      <c r="I147" s="118"/>
      <c r="J147" s="118"/>
      <c r="K147" s="118"/>
      <c r="L147" s="118"/>
      <c r="M147" s="118"/>
      <c r="N147" s="118"/>
    </row>
    <row r="148" spans="1:14" x14ac:dyDescent="0.2">
      <c r="A148" s="118"/>
      <c r="B148" s="118"/>
      <c r="C148" s="118"/>
      <c r="D148" s="118"/>
      <c r="E148" s="118"/>
      <c r="F148" s="118"/>
      <c r="G148" s="118"/>
      <c r="H148" s="118"/>
      <c r="I148" s="118"/>
      <c r="J148" s="118"/>
      <c r="K148" s="118"/>
      <c r="L148" s="118"/>
      <c r="M148" s="118"/>
      <c r="N148" s="118"/>
    </row>
    <row r="149" spans="1:14" x14ac:dyDescent="0.2">
      <c r="A149" s="118"/>
      <c r="B149" s="118"/>
      <c r="C149" s="118"/>
      <c r="D149" s="118"/>
      <c r="E149" s="118"/>
      <c r="F149" s="118"/>
      <c r="G149" s="118"/>
      <c r="H149" s="118"/>
      <c r="I149" s="118"/>
      <c r="J149" s="118"/>
      <c r="K149" s="118"/>
      <c r="L149" s="118"/>
      <c r="M149" s="118"/>
      <c r="N149" s="118"/>
    </row>
    <row r="150" spans="1:14" x14ac:dyDescent="0.2">
      <c r="A150" s="118"/>
      <c r="B150" s="118"/>
      <c r="C150" s="118"/>
      <c r="D150" s="118"/>
      <c r="E150" s="118"/>
      <c r="F150" s="118"/>
      <c r="G150" s="118"/>
      <c r="H150" s="118"/>
      <c r="I150" s="118"/>
      <c r="J150" s="118"/>
      <c r="K150" s="118"/>
      <c r="L150" s="118"/>
      <c r="M150" s="118"/>
      <c r="N150" s="118"/>
    </row>
    <row r="151" spans="1:14" x14ac:dyDescent="0.2">
      <c r="A151" s="118"/>
      <c r="B151" s="118"/>
      <c r="C151" s="118"/>
      <c r="D151" s="118"/>
      <c r="E151" s="118"/>
      <c r="F151" s="118"/>
      <c r="G151" s="118"/>
      <c r="H151" s="118"/>
      <c r="I151" s="118"/>
      <c r="J151" s="118"/>
      <c r="K151" s="118"/>
      <c r="L151" s="118"/>
      <c r="M151" s="118"/>
      <c r="N151" s="118"/>
    </row>
    <row r="152" spans="1:14" x14ac:dyDescent="0.2">
      <c r="A152" s="118"/>
      <c r="B152" s="118"/>
      <c r="C152" s="118"/>
      <c r="D152" s="118"/>
      <c r="E152" s="118"/>
      <c r="F152" s="118"/>
      <c r="G152" s="118"/>
      <c r="H152" s="118"/>
      <c r="I152" s="118"/>
      <c r="J152" s="118"/>
      <c r="K152" s="118"/>
      <c r="L152" s="118"/>
      <c r="M152" s="118"/>
      <c r="N152" s="118"/>
    </row>
    <row r="153" spans="1:14" x14ac:dyDescent="0.2">
      <c r="A153" s="118"/>
      <c r="B153" s="118"/>
      <c r="C153" s="118"/>
      <c r="D153" s="118"/>
      <c r="E153" s="118"/>
      <c r="F153" s="118"/>
      <c r="G153" s="118"/>
      <c r="H153" s="118"/>
      <c r="I153" s="118"/>
      <c r="J153" s="118"/>
      <c r="K153" s="118"/>
      <c r="L153" s="118"/>
      <c r="M153" s="118"/>
      <c r="N153" s="118"/>
    </row>
    <row r="154" spans="1:14" x14ac:dyDescent="0.2">
      <c r="A154" s="118"/>
      <c r="B154" s="118"/>
      <c r="C154" s="118"/>
      <c r="D154" s="118"/>
      <c r="E154" s="118"/>
      <c r="F154" s="118"/>
      <c r="G154" s="118"/>
      <c r="H154" s="118"/>
      <c r="I154" s="118"/>
      <c r="J154" s="118"/>
      <c r="K154" s="118"/>
      <c r="L154" s="118"/>
      <c r="M154" s="118"/>
      <c r="N154" s="118"/>
    </row>
    <row r="155" spans="1:14" x14ac:dyDescent="0.2">
      <c r="A155" s="118"/>
      <c r="B155" s="118"/>
      <c r="C155" s="118"/>
      <c r="D155" s="118"/>
      <c r="E155" s="118"/>
      <c r="F155" s="118"/>
      <c r="G155" s="118"/>
      <c r="H155" s="118"/>
      <c r="I155" s="118"/>
      <c r="J155" s="118"/>
      <c r="K155" s="118"/>
      <c r="L155" s="118"/>
      <c r="M155" s="118"/>
      <c r="N155" s="118"/>
    </row>
    <row r="156" spans="1:14" x14ac:dyDescent="0.2">
      <c r="A156" s="118"/>
      <c r="B156" s="118"/>
      <c r="C156" s="118"/>
      <c r="D156" s="118"/>
      <c r="E156" s="118"/>
      <c r="F156" s="118"/>
      <c r="G156" s="118"/>
      <c r="H156" s="118"/>
      <c r="I156" s="118"/>
      <c r="J156" s="118"/>
      <c r="K156" s="118"/>
      <c r="L156" s="118"/>
      <c r="M156" s="118"/>
      <c r="N156" s="118"/>
    </row>
    <row r="157" spans="1:14" x14ac:dyDescent="0.2">
      <c r="A157" s="118"/>
      <c r="B157" s="118"/>
      <c r="C157" s="118"/>
      <c r="D157" s="118"/>
      <c r="E157" s="118"/>
      <c r="F157" s="118"/>
      <c r="G157" s="118"/>
      <c r="H157" s="118"/>
      <c r="I157" s="118"/>
      <c r="J157" s="118"/>
      <c r="K157" s="118"/>
      <c r="L157" s="118"/>
      <c r="M157" s="118"/>
      <c r="N157" s="118"/>
    </row>
    <row r="158" spans="1:14" x14ac:dyDescent="0.2">
      <c r="A158" s="118"/>
      <c r="B158" s="118"/>
      <c r="C158" s="118"/>
      <c r="D158" s="118"/>
      <c r="E158" s="118"/>
      <c r="F158" s="118"/>
      <c r="G158" s="118"/>
      <c r="H158" s="118"/>
      <c r="I158" s="118"/>
      <c r="J158" s="118"/>
      <c r="K158" s="118"/>
      <c r="L158" s="118"/>
      <c r="M158" s="118"/>
      <c r="N158" s="118"/>
    </row>
    <row r="159" spans="1:14" x14ac:dyDescent="0.2">
      <c r="A159" s="118"/>
      <c r="B159" s="118"/>
      <c r="C159" s="118"/>
      <c r="D159" s="118"/>
      <c r="E159" s="118"/>
      <c r="F159" s="118"/>
      <c r="G159" s="118"/>
      <c r="H159" s="118"/>
      <c r="I159" s="118"/>
      <c r="J159" s="118"/>
      <c r="K159" s="118"/>
      <c r="L159" s="118"/>
      <c r="M159" s="118"/>
      <c r="N159" s="118"/>
    </row>
    <row r="160" spans="1:14" x14ac:dyDescent="0.2">
      <c r="A160" s="118"/>
      <c r="B160" s="118"/>
      <c r="C160" s="118"/>
      <c r="D160" s="118"/>
      <c r="E160" s="118"/>
      <c r="F160" s="118"/>
      <c r="G160" s="118"/>
      <c r="H160" s="118"/>
      <c r="I160" s="118"/>
      <c r="J160" s="118"/>
      <c r="K160" s="118"/>
      <c r="L160" s="118"/>
      <c r="M160" s="118"/>
      <c r="N160" s="118"/>
    </row>
    <row r="161" spans="1:14" x14ac:dyDescent="0.2">
      <c r="A161" s="118"/>
      <c r="B161" s="118"/>
      <c r="C161" s="118"/>
      <c r="D161" s="118"/>
      <c r="E161" s="118"/>
      <c r="F161" s="118"/>
      <c r="G161" s="118"/>
      <c r="H161" s="118"/>
      <c r="I161" s="118"/>
      <c r="J161" s="118"/>
      <c r="K161" s="118"/>
      <c r="L161" s="118"/>
      <c r="M161" s="118"/>
      <c r="N161" s="118"/>
    </row>
    <row r="162" spans="1:14" x14ac:dyDescent="0.2">
      <c r="A162" s="118"/>
      <c r="B162" s="118"/>
      <c r="C162" s="118"/>
      <c r="D162" s="118"/>
      <c r="E162" s="118"/>
      <c r="F162" s="118"/>
      <c r="G162" s="118"/>
      <c r="H162" s="118"/>
      <c r="I162" s="118"/>
      <c r="J162" s="118"/>
      <c r="K162" s="118"/>
      <c r="L162" s="118"/>
      <c r="M162" s="118"/>
      <c r="N162" s="118"/>
    </row>
    <row r="163" spans="1:14" x14ac:dyDescent="0.2">
      <c r="A163" s="118"/>
      <c r="B163" s="118"/>
      <c r="C163" s="118"/>
      <c r="D163" s="118"/>
      <c r="E163" s="118"/>
      <c r="F163" s="118"/>
      <c r="G163" s="118"/>
      <c r="H163" s="118"/>
      <c r="I163" s="118"/>
      <c r="J163" s="118"/>
      <c r="K163" s="118"/>
      <c r="L163" s="118"/>
      <c r="M163" s="118"/>
      <c r="N163" s="118"/>
    </row>
    <row r="164" spans="1:14" x14ac:dyDescent="0.2">
      <c r="A164" s="118"/>
      <c r="B164" s="118"/>
      <c r="C164" s="118"/>
      <c r="D164" s="118"/>
      <c r="E164" s="118"/>
      <c r="F164" s="118"/>
      <c r="G164" s="118"/>
      <c r="H164" s="118"/>
      <c r="I164" s="118"/>
      <c r="J164" s="118"/>
      <c r="K164" s="118"/>
      <c r="L164" s="118"/>
      <c r="M164" s="118"/>
      <c r="N164" s="118"/>
    </row>
    <row r="165" spans="1:14" x14ac:dyDescent="0.2">
      <c r="A165" s="118"/>
      <c r="B165" s="118"/>
      <c r="C165" s="118"/>
      <c r="D165" s="118"/>
      <c r="E165" s="118"/>
      <c r="F165" s="118"/>
      <c r="G165" s="118"/>
      <c r="H165" s="118"/>
      <c r="I165" s="118"/>
      <c r="J165" s="118"/>
      <c r="K165" s="118"/>
      <c r="L165" s="118"/>
      <c r="M165" s="118"/>
      <c r="N165" s="118"/>
    </row>
    <row r="166" spans="1:14" x14ac:dyDescent="0.2">
      <c r="A166" s="118"/>
      <c r="B166" s="118"/>
      <c r="C166" s="118"/>
      <c r="D166" s="118"/>
      <c r="E166" s="118"/>
      <c r="F166" s="118"/>
      <c r="G166" s="118"/>
      <c r="H166" s="118"/>
      <c r="I166" s="118"/>
      <c r="J166" s="118"/>
      <c r="K166" s="118"/>
      <c r="L166" s="118"/>
      <c r="M166" s="118"/>
      <c r="N166" s="118"/>
    </row>
    <row r="167" spans="1:14" x14ac:dyDescent="0.2">
      <c r="A167" s="118"/>
      <c r="B167" s="118"/>
      <c r="C167" s="118"/>
      <c r="D167" s="118"/>
      <c r="E167" s="118"/>
      <c r="F167" s="118"/>
      <c r="G167" s="118"/>
      <c r="H167" s="118"/>
      <c r="I167" s="118"/>
      <c r="J167" s="118"/>
      <c r="K167" s="118"/>
      <c r="L167" s="118"/>
      <c r="M167" s="118"/>
      <c r="N167" s="118"/>
    </row>
    <row r="168" spans="1:14" x14ac:dyDescent="0.2">
      <c r="A168" s="118"/>
      <c r="B168" s="118"/>
      <c r="C168" s="118"/>
      <c r="D168" s="118"/>
      <c r="E168" s="118"/>
      <c r="F168" s="118"/>
      <c r="G168" s="118"/>
      <c r="H168" s="118"/>
      <c r="I168" s="118"/>
      <c r="J168" s="118"/>
      <c r="K168" s="118"/>
      <c r="L168" s="118"/>
      <c r="M168" s="118"/>
      <c r="N168" s="118"/>
    </row>
    <row r="169" spans="1:14" x14ac:dyDescent="0.2">
      <c r="A169" s="118"/>
      <c r="B169" s="118"/>
      <c r="C169" s="118"/>
      <c r="D169" s="118"/>
      <c r="E169" s="118"/>
      <c r="F169" s="118"/>
      <c r="G169" s="118"/>
      <c r="H169" s="118"/>
      <c r="I169" s="118"/>
      <c r="J169" s="118"/>
      <c r="K169" s="118"/>
      <c r="L169" s="118"/>
      <c r="M169" s="118"/>
      <c r="N169" s="118"/>
    </row>
    <row r="170" spans="1:14" x14ac:dyDescent="0.2">
      <c r="A170" s="118"/>
      <c r="B170" s="118"/>
      <c r="C170" s="118"/>
      <c r="D170" s="118"/>
      <c r="E170" s="118"/>
      <c r="F170" s="118"/>
      <c r="G170" s="118"/>
      <c r="H170" s="118"/>
      <c r="I170" s="118"/>
      <c r="J170" s="118"/>
      <c r="K170" s="118"/>
      <c r="L170" s="118"/>
      <c r="M170" s="118"/>
      <c r="N170" s="118"/>
    </row>
    <row r="171" spans="1:14" x14ac:dyDescent="0.2">
      <c r="A171" s="118"/>
      <c r="B171" s="118"/>
      <c r="C171" s="118"/>
      <c r="D171" s="118"/>
      <c r="E171" s="118"/>
      <c r="F171" s="118"/>
      <c r="G171" s="118"/>
      <c r="H171" s="118"/>
      <c r="I171" s="118"/>
      <c r="J171" s="118"/>
      <c r="K171" s="118"/>
      <c r="L171" s="118"/>
      <c r="M171" s="118"/>
      <c r="N171" s="118"/>
    </row>
    <row r="172" spans="1:14" x14ac:dyDescent="0.2">
      <c r="A172" s="118"/>
      <c r="B172" s="118"/>
      <c r="C172" s="118"/>
      <c r="D172" s="118"/>
      <c r="E172" s="118"/>
      <c r="F172" s="118"/>
      <c r="G172" s="118"/>
      <c r="H172" s="118"/>
      <c r="I172" s="118"/>
      <c r="J172" s="118"/>
      <c r="K172" s="118"/>
      <c r="L172" s="118"/>
      <c r="M172" s="118"/>
      <c r="N172" s="118"/>
    </row>
    <row r="173" spans="1:14" x14ac:dyDescent="0.2">
      <c r="A173" s="118"/>
      <c r="B173" s="118"/>
      <c r="C173" s="118"/>
      <c r="D173" s="118"/>
      <c r="E173" s="118"/>
      <c r="F173" s="118"/>
      <c r="G173" s="118"/>
      <c r="H173" s="118"/>
      <c r="I173" s="118"/>
      <c r="J173" s="118"/>
      <c r="K173" s="118"/>
      <c r="L173" s="118"/>
      <c r="M173" s="118"/>
      <c r="N173" s="118"/>
    </row>
    <row r="174" spans="1:14" x14ac:dyDescent="0.2">
      <c r="A174" s="118"/>
      <c r="B174" s="118"/>
      <c r="C174" s="118"/>
      <c r="D174" s="118"/>
      <c r="E174" s="118"/>
      <c r="F174" s="118"/>
      <c r="G174" s="118"/>
      <c r="H174" s="118"/>
      <c r="I174" s="118"/>
      <c r="J174" s="118"/>
      <c r="K174" s="118"/>
      <c r="L174" s="118"/>
      <c r="M174" s="118"/>
      <c r="N174" s="118"/>
    </row>
    <row r="175" spans="1:14" x14ac:dyDescent="0.2">
      <c r="A175" s="118"/>
      <c r="B175" s="118"/>
      <c r="C175" s="118"/>
      <c r="D175" s="118"/>
      <c r="E175" s="118"/>
      <c r="F175" s="118"/>
      <c r="G175" s="118"/>
      <c r="H175" s="118"/>
      <c r="I175" s="118"/>
      <c r="J175" s="118"/>
      <c r="K175" s="118"/>
      <c r="L175" s="118"/>
      <c r="M175" s="118"/>
      <c r="N175" s="118"/>
    </row>
    <row r="176" spans="1:14" x14ac:dyDescent="0.2">
      <c r="A176" s="118"/>
      <c r="B176" s="118"/>
      <c r="C176" s="118"/>
      <c r="D176" s="118"/>
      <c r="E176" s="118"/>
      <c r="F176" s="118"/>
      <c r="G176" s="118"/>
      <c r="H176" s="118"/>
      <c r="I176" s="118"/>
      <c r="J176" s="118"/>
      <c r="K176" s="118"/>
      <c r="L176" s="118"/>
      <c r="M176" s="118"/>
      <c r="N176" s="118"/>
    </row>
    <row r="177" spans="1:14" x14ac:dyDescent="0.2">
      <c r="A177" s="118"/>
      <c r="B177" s="118"/>
      <c r="C177" s="118"/>
      <c r="D177" s="118"/>
      <c r="E177" s="118"/>
      <c r="F177" s="118"/>
      <c r="G177" s="118"/>
      <c r="H177" s="118"/>
      <c r="I177" s="118"/>
      <c r="J177" s="118"/>
      <c r="K177" s="118"/>
      <c r="L177" s="118"/>
      <c r="M177" s="118"/>
      <c r="N177" s="118"/>
    </row>
    <row r="178" spans="1:14" x14ac:dyDescent="0.2">
      <c r="A178" s="118"/>
      <c r="B178" s="118"/>
      <c r="C178" s="118"/>
      <c r="D178" s="118"/>
      <c r="E178" s="118"/>
      <c r="F178" s="118"/>
      <c r="G178" s="118"/>
      <c r="H178" s="118"/>
      <c r="I178" s="118"/>
      <c r="J178" s="118"/>
      <c r="K178" s="118"/>
      <c r="L178" s="118"/>
      <c r="M178" s="118"/>
      <c r="N178" s="118"/>
    </row>
    <row r="179" spans="1:14" x14ac:dyDescent="0.2">
      <c r="A179" s="118"/>
      <c r="B179" s="118"/>
      <c r="C179" s="118"/>
      <c r="D179" s="118"/>
      <c r="E179" s="118"/>
      <c r="F179" s="118"/>
      <c r="G179" s="118"/>
      <c r="H179" s="118"/>
      <c r="I179" s="118"/>
      <c r="J179" s="118"/>
      <c r="K179" s="118"/>
      <c r="L179" s="118"/>
      <c r="M179" s="118"/>
      <c r="N179" s="118"/>
    </row>
    <row r="180" spans="1:14" x14ac:dyDescent="0.2">
      <c r="A180" s="118"/>
      <c r="B180" s="118"/>
      <c r="C180" s="118"/>
      <c r="D180" s="118"/>
      <c r="E180" s="118"/>
      <c r="F180" s="118"/>
      <c r="G180" s="118"/>
      <c r="H180" s="118"/>
      <c r="I180" s="118"/>
      <c r="J180" s="118"/>
      <c r="K180" s="118"/>
      <c r="L180" s="118"/>
      <c r="M180" s="118"/>
      <c r="N180" s="118"/>
    </row>
    <row r="181" spans="1:14" x14ac:dyDescent="0.2">
      <c r="A181" s="118"/>
      <c r="B181" s="118"/>
      <c r="C181" s="118"/>
      <c r="D181" s="118"/>
      <c r="E181" s="118"/>
      <c r="F181" s="118"/>
      <c r="G181" s="118"/>
      <c r="H181" s="118"/>
      <c r="I181" s="118"/>
      <c r="J181" s="118"/>
      <c r="K181" s="118"/>
      <c r="L181" s="118"/>
      <c r="M181" s="118"/>
      <c r="N181" s="118"/>
    </row>
    <row r="182" spans="1:14" x14ac:dyDescent="0.2">
      <c r="A182" s="118"/>
      <c r="B182" s="118"/>
      <c r="C182" s="118"/>
      <c r="D182" s="118"/>
      <c r="E182" s="118"/>
      <c r="F182" s="118"/>
      <c r="G182" s="118"/>
      <c r="H182" s="118"/>
      <c r="I182" s="118"/>
      <c r="J182" s="118"/>
      <c r="K182" s="118"/>
      <c r="L182" s="118"/>
      <c r="M182" s="118"/>
      <c r="N182" s="118"/>
    </row>
    <row r="183" spans="1:14" x14ac:dyDescent="0.2">
      <c r="A183" s="118"/>
      <c r="B183" s="118"/>
      <c r="C183" s="118"/>
      <c r="D183" s="118"/>
      <c r="E183" s="118"/>
      <c r="F183" s="118"/>
      <c r="G183" s="118"/>
      <c r="H183" s="118"/>
      <c r="I183" s="118"/>
      <c r="J183" s="118"/>
      <c r="K183" s="118"/>
      <c r="L183" s="118"/>
      <c r="M183" s="118"/>
      <c r="N183" s="118"/>
    </row>
    <row r="184" spans="1:14" x14ac:dyDescent="0.2">
      <c r="A184" s="118"/>
      <c r="B184" s="118"/>
      <c r="C184" s="118"/>
      <c r="D184" s="118"/>
      <c r="E184" s="118"/>
      <c r="F184" s="118"/>
      <c r="G184" s="118"/>
      <c r="H184" s="118"/>
      <c r="I184" s="118"/>
      <c r="J184" s="118"/>
      <c r="K184" s="118"/>
      <c r="L184" s="118"/>
      <c r="M184" s="118"/>
      <c r="N184" s="118"/>
    </row>
    <row r="185" spans="1:14" x14ac:dyDescent="0.2">
      <c r="A185" s="118"/>
      <c r="B185" s="118"/>
      <c r="C185" s="118"/>
      <c r="D185" s="118"/>
      <c r="E185" s="118"/>
      <c r="F185" s="118"/>
      <c r="G185" s="118"/>
      <c r="H185" s="118"/>
      <c r="I185" s="118"/>
      <c r="J185" s="118"/>
      <c r="K185" s="118"/>
      <c r="L185" s="118"/>
      <c r="M185" s="118"/>
      <c r="N185" s="118"/>
    </row>
    <row r="186" spans="1:14" x14ac:dyDescent="0.2">
      <c r="A186" s="118"/>
      <c r="B186" s="118"/>
      <c r="C186" s="118"/>
      <c r="D186" s="118"/>
      <c r="E186" s="118"/>
      <c r="F186" s="118"/>
      <c r="G186" s="118"/>
      <c r="H186" s="118"/>
      <c r="I186" s="118"/>
      <c r="J186" s="118"/>
      <c r="K186" s="118"/>
      <c r="L186" s="118"/>
      <c r="M186" s="118"/>
      <c r="N186" s="118"/>
    </row>
    <row r="187" spans="1:14" x14ac:dyDescent="0.2">
      <c r="A187" s="118"/>
      <c r="B187" s="118"/>
      <c r="C187" s="118"/>
      <c r="D187" s="118"/>
      <c r="E187" s="118"/>
      <c r="F187" s="118"/>
      <c r="G187" s="118"/>
      <c r="H187" s="118"/>
      <c r="I187" s="118"/>
      <c r="J187" s="118"/>
      <c r="K187" s="118"/>
      <c r="L187" s="118"/>
      <c r="M187" s="118"/>
      <c r="N187" s="118"/>
    </row>
    <row r="188" spans="1:14" x14ac:dyDescent="0.2">
      <c r="A188" s="118"/>
      <c r="B188" s="118"/>
      <c r="C188" s="118"/>
      <c r="D188" s="118"/>
      <c r="E188" s="118"/>
      <c r="F188" s="118"/>
      <c r="G188" s="118"/>
      <c r="H188" s="118"/>
      <c r="I188" s="118"/>
      <c r="J188" s="118"/>
      <c r="K188" s="118"/>
      <c r="L188" s="118"/>
      <c r="M188" s="118"/>
      <c r="N188" s="118"/>
    </row>
    <row r="189" spans="1:14" x14ac:dyDescent="0.2">
      <c r="A189" s="118"/>
      <c r="B189" s="118"/>
      <c r="C189" s="118"/>
      <c r="D189" s="118"/>
      <c r="E189" s="118"/>
      <c r="F189" s="118"/>
      <c r="G189" s="118"/>
      <c r="H189" s="118"/>
      <c r="I189" s="118"/>
      <c r="J189" s="118"/>
      <c r="K189" s="118"/>
      <c r="L189" s="118"/>
      <c r="M189" s="118"/>
      <c r="N189" s="118"/>
    </row>
    <row r="190" spans="1:14" x14ac:dyDescent="0.2">
      <c r="A190" s="118"/>
      <c r="B190" s="118"/>
      <c r="C190" s="118"/>
      <c r="D190" s="118"/>
      <c r="E190" s="118"/>
      <c r="F190" s="118"/>
      <c r="G190" s="118"/>
      <c r="H190" s="118"/>
      <c r="I190" s="118"/>
      <c r="J190" s="118"/>
      <c r="K190" s="118"/>
      <c r="L190" s="118"/>
      <c r="M190" s="118"/>
      <c r="N190" s="118"/>
    </row>
    <row r="191" spans="1:14" x14ac:dyDescent="0.2">
      <c r="A191" s="118"/>
      <c r="B191" s="118"/>
      <c r="C191" s="118"/>
      <c r="D191" s="118"/>
      <c r="E191" s="118"/>
      <c r="F191" s="118"/>
      <c r="G191" s="118"/>
      <c r="H191" s="118"/>
      <c r="I191" s="118"/>
      <c r="J191" s="118"/>
      <c r="K191" s="118"/>
      <c r="L191" s="118"/>
      <c r="M191" s="118"/>
      <c r="N191" s="118"/>
    </row>
    <row r="192" spans="1:14" x14ac:dyDescent="0.2">
      <c r="A192" s="118"/>
      <c r="B192" s="118"/>
      <c r="C192" s="118"/>
      <c r="D192" s="118"/>
      <c r="E192" s="118"/>
      <c r="F192" s="118"/>
      <c r="G192" s="118"/>
      <c r="H192" s="118"/>
      <c r="I192" s="118"/>
      <c r="J192" s="118"/>
      <c r="K192" s="118"/>
      <c r="L192" s="118"/>
      <c r="M192" s="118"/>
      <c r="N192" s="118"/>
    </row>
    <row r="193" spans="1:14" x14ac:dyDescent="0.2">
      <c r="A193" s="118"/>
      <c r="B193" s="118"/>
      <c r="C193" s="118"/>
      <c r="D193" s="118"/>
      <c r="E193" s="118"/>
      <c r="F193" s="118"/>
      <c r="G193" s="118"/>
      <c r="H193" s="118"/>
      <c r="I193" s="118"/>
      <c r="J193" s="118"/>
      <c r="K193" s="118"/>
      <c r="L193" s="118"/>
      <c r="M193" s="118"/>
      <c r="N193" s="118"/>
    </row>
    <row r="194" spans="1:14" x14ac:dyDescent="0.2">
      <c r="A194" s="118"/>
      <c r="B194" s="118"/>
      <c r="C194" s="118"/>
      <c r="D194" s="118"/>
      <c r="E194" s="118"/>
      <c r="F194" s="118"/>
      <c r="G194" s="118"/>
      <c r="H194" s="118"/>
      <c r="I194" s="118"/>
      <c r="J194" s="118"/>
      <c r="K194" s="118"/>
      <c r="L194" s="118"/>
      <c r="M194" s="118"/>
      <c r="N194" s="118"/>
    </row>
    <row r="195" spans="1:14" x14ac:dyDescent="0.2">
      <c r="A195" s="118"/>
      <c r="B195" s="118"/>
      <c r="C195" s="118"/>
      <c r="D195" s="118"/>
      <c r="E195" s="118"/>
      <c r="F195" s="118"/>
      <c r="G195" s="118"/>
      <c r="H195" s="118"/>
      <c r="I195" s="118"/>
      <c r="J195" s="118"/>
      <c r="K195" s="118"/>
      <c r="L195" s="118"/>
      <c r="M195" s="118"/>
      <c r="N195" s="118"/>
    </row>
    <row r="196" spans="1:14" x14ac:dyDescent="0.2">
      <c r="A196" s="118"/>
      <c r="B196" s="118"/>
      <c r="C196" s="118"/>
      <c r="D196" s="118"/>
      <c r="E196" s="118"/>
      <c r="F196" s="118"/>
      <c r="G196" s="118"/>
      <c r="H196" s="118"/>
      <c r="I196" s="118"/>
      <c r="J196" s="118"/>
      <c r="K196" s="118"/>
      <c r="L196" s="118"/>
      <c r="M196" s="118"/>
      <c r="N196" s="118"/>
    </row>
    <row r="197" spans="1:14" x14ac:dyDescent="0.2">
      <c r="A197" s="118"/>
      <c r="B197" s="118"/>
      <c r="C197" s="118"/>
      <c r="D197" s="118"/>
      <c r="E197" s="118"/>
      <c r="F197" s="118"/>
      <c r="G197" s="118"/>
      <c r="H197" s="118"/>
      <c r="I197" s="118"/>
      <c r="J197" s="118"/>
      <c r="K197" s="118"/>
      <c r="L197" s="118"/>
      <c r="M197" s="118"/>
      <c r="N197" s="118"/>
    </row>
    <row r="198" spans="1:14" x14ac:dyDescent="0.2">
      <c r="A198" s="118"/>
      <c r="B198" s="118"/>
      <c r="C198" s="118"/>
      <c r="D198" s="118"/>
      <c r="E198" s="118"/>
      <c r="F198" s="118"/>
      <c r="G198" s="118"/>
      <c r="H198" s="118"/>
      <c r="I198" s="118"/>
      <c r="J198" s="118"/>
      <c r="K198" s="118"/>
      <c r="L198" s="118"/>
      <c r="M198" s="118"/>
      <c r="N198" s="118"/>
    </row>
    <row r="199" spans="1:14" x14ac:dyDescent="0.2">
      <c r="A199" s="118"/>
      <c r="B199" s="118"/>
      <c r="C199" s="118"/>
      <c r="D199" s="118"/>
      <c r="E199" s="118"/>
      <c r="F199" s="118"/>
      <c r="G199" s="118"/>
      <c r="H199" s="118"/>
      <c r="I199" s="118"/>
      <c r="J199" s="118"/>
      <c r="K199" s="118"/>
      <c r="L199" s="118"/>
      <c r="M199" s="118"/>
      <c r="N199" s="118"/>
    </row>
    <row r="200" spans="1:14" x14ac:dyDescent="0.2">
      <c r="A200" s="118"/>
      <c r="B200" s="118"/>
      <c r="C200" s="118"/>
      <c r="D200" s="118"/>
      <c r="E200" s="118"/>
      <c r="F200" s="118"/>
      <c r="G200" s="118"/>
      <c r="H200" s="118"/>
      <c r="I200" s="118"/>
      <c r="J200" s="118"/>
      <c r="K200" s="118"/>
      <c r="L200" s="118"/>
      <c r="M200" s="118"/>
      <c r="N200" s="118"/>
    </row>
    <row r="201" spans="1:14" x14ac:dyDescent="0.2">
      <c r="A201" s="118"/>
      <c r="B201" s="118"/>
      <c r="C201" s="118"/>
      <c r="D201" s="118"/>
      <c r="E201" s="118"/>
      <c r="F201" s="118"/>
      <c r="G201" s="118"/>
      <c r="H201" s="118"/>
      <c r="I201" s="118"/>
      <c r="J201" s="118"/>
      <c r="K201" s="118"/>
      <c r="L201" s="118"/>
      <c r="M201" s="118"/>
      <c r="N201" s="118"/>
    </row>
    <row r="202" spans="1:14" x14ac:dyDescent="0.2">
      <c r="A202" s="118"/>
      <c r="B202" s="118"/>
      <c r="C202" s="118"/>
      <c r="D202" s="118"/>
      <c r="E202" s="118"/>
      <c r="F202" s="118"/>
      <c r="G202" s="118"/>
      <c r="H202" s="118"/>
      <c r="I202" s="118"/>
      <c r="J202" s="118"/>
      <c r="K202" s="118"/>
      <c r="L202" s="118"/>
      <c r="M202" s="118"/>
      <c r="N202" s="118"/>
    </row>
    <row r="203" spans="1:14" x14ac:dyDescent="0.2">
      <c r="A203" s="118"/>
      <c r="B203" s="118"/>
      <c r="C203" s="118"/>
      <c r="D203" s="118"/>
      <c r="E203" s="118"/>
      <c r="F203" s="118"/>
      <c r="G203" s="118"/>
      <c r="H203" s="118"/>
      <c r="I203" s="118"/>
      <c r="J203" s="118"/>
      <c r="K203" s="118"/>
      <c r="L203" s="118"/>
      <c r="M203" s="118"/>
      <c r="N203" s="118"/>
    </row>
    <row r="204" spans="1:14" x14ac:dyDescent="0.2">
      <c r="A204" s="118"/>
      <c r="B204" s="118"/>
      <c r="C204" s="118"/>
      <c r="D204" s="118"/>
      <c r="E204" s="118"/>
      <c r="F204" s="118"/>
      <c r="G204" s="118"/>
      <c r="H204" s="118"/>
      <c r="I204" s="118"/>
      <c r="J204" s="118"/>
      <c r="K204" s="118"/>
      <c r="L204" s="118"/>
      <c r="M204" s="118"/>
      <c r="N204" s="118"/>
    </row>
    <row r="205" spans="1:14" x14ac:dyDescent="0.2">
      <c r="A205" s="118"/>
      <c r="B205" s="118"/>
      <c r="C205" s="118"/>
      <c r="D205" s="118"/>
      <c r="E205" s="118"/>
      <c r="F205" s="118"/>
      <c r="G205" s="118"/>
      <c r="H205" s="118"/>
      <c r="I205" s="118"/>
      <c r="J205" s="118"/>
      <c r="K205" s="118"/>
      <c r="L205" s="118"/>
      <c r="M205" s="118"/>
      <c r="N205" s="118"/>
    </row>
    <row r="206" spans="1:14" x14ac:dyDescent="0.2">
      <c r="A206" s="118"/>
      <c r="B206" s="118"/>
      <c r="C206" s="118"/>
      <c r="D206" s="118"/>
      <c r="E206" s="118"/>
      <c r="F206" s="118"/>
      <c r="G206" s="118"/>
      <c r="H206" s="118"/>
      <c r="I206" s="118"/>
      <c r="J206" s="118"/>
      <c r="K206" s="118"/>
      <c r="L206" s="118"/>
      <c r="M206" s="118"/>
      <c r="N206" s="118"/>
    </row>
    <row r="207" spans="1:14" x14ac:dyDescent="0.2">
      <c r="A207" s="118"/>
      <c r="B207" s="118"/>
      <c r="C207" s="118"/>
      <c r="D207" s="118"/>
      <c r="E207" s="118"/>
      <c r="F207" s="118"/>
      <c r="G207" s="118"/>
      <c r="H207" s="118"/>
      <c r="I207" s="118"/>
      <c r="J207" s="118"/>
      <c r="K207" s="118"/>
      <c r="L207" s="118"/>
      <c r="M207" s="118"/>
      <c r="N207" s="118"/>
    </row>
    <row r="208" spans="1:14" x14ac:dyDescent="0.2">
      <c r="A208" s="118"/>
      <c r="B208" s="118"/>
      <c r="C208" s="118"/>
      <c r="D208" s="118"/>
      <c r="E208" s="118"/>
      <c r="F208" s="118"/>
      <c r="G208" s="118"/>
      <c r="H208" s="118"/>
      <c r="I208" s="118"/>
      <c r="J208" s="118"/>
      <c r="K208" s="118"/>
      <c r="L208" s="118"/>
      <c r="M208" s="118"/>
      <c r="N208" s="118"/>
    </row>
    <row r="209" spans="1:14" x14ac:dyDescent="0.2">
      <c r="A209" s="118"/>
      <c r="B209" s="118"/>
      <c r="C209" s="118"/>
      <c r="D209" s="118"/>
      <c r="E209" s="118"/>
      <c r="F209" s="118"/>
      <c r="G209" s="118"/>
      <c r="H209" s="118"/>
      <c r="I209" s="118"/>
      <c r="J209" s="118"/>
      <c r="K209" s="118"/>
      <c r="L209" s="118"/>
      <c r="M209" s="118"/>
      <c r="N209" s="118"/>
    </row>
    <row r="210" spans="1:14" x14ac:dyDescent="0.2">
      <c r="A210" s="118"/>
      <c r="B210" s="118"/>
      <c r="C210" s="118"/>
      <c r="D210" s="118"/>
      <c r="E210" s="118"/>
      <c r="F210" s="118"/>
      <c r="G210" s="118"/>
      <c r="H210" s="118"/>
      <c r="I210" s="118"/>
      <c r="J210" s="118"/>
      <c r="K210" s="118"/>
      <c r="L210" s="118"/>
      <c r="M210" s="118"/>
      <c r="N210" s="118"/>
    </row>
    <row r="211" spans="1:14" x14ac:dyDescent="0.2">
      <c r="A211" s="118"/>
      <c r="B211" s="118"/>
      <c r="C211" s="118"/>
      <c r="D211" s="118"/>
      <c r="E211" s="118"/>
      <c r="F211" s="118"/>
      <c r="G211" s="118"/>
      <c r="H211" s="118"/>
      <c r="I211" s="118"/>
      <c r="J211" s="118"/>
      <c r="K211" s="118"/>
      <c r="L211" s="118"/>
      <c r="M211" s="118"/>
      <c r="N211" s="118"/>
    </row>
    <row r="212" spans="1:14" x14ac:dyDescent="0.2">
      <c r="A212" s="118"/>
      <c r="B212" s="118"/>
      <c r="C212" s="118"/>
      <c r="D212" s="118"/>
      <c r="E212" s="118"/>
      <c r="F212" s="118"/>
      <c r="G212" s="118"/>
      <c r="H212" s="118"/>
      <c r="I212" s="118"/>
      <c r="J212" s="118"/>
      <c r="K212" s="118"/>
      <c r="L212" s="118"/>
      <c r="M212" s="118"/>
      <c r="N212" s="118"/>
    </row>
    <row r="213" spans="1:14" x14ac:dyDescent="0.2">
      <c r="A213" s="118"/>
      <c r="B213" s="118"/>
      <c r="C213" s="118"/>
      <c r="D213" s="118"/>
      <c r="E213" s="118"/>
      <c r="F213" s="118"/>
      <c r="G213" s="118"/>
      <c r="H213" s="118"/>
      <c r="I213" s="118"/>
      <c r="J213" s="118"/>
      <c r="K213" s="118"/>
      <c r="L213" s="118"/>
      <c r="M213" s="118"/>
      <c r="N213" s="118"/>
    </row>
    <row r="214" spans="1:14" x14ac:dyDescent="0.2">
      <c r="A214" s="118"/>
      <c r="B214" s="118"/>
      <c r="C214" s="118"/>
      <c r="D214" s="118"/>
      <c r="E214" s="118"/>
      <c r="F214" s="118"/>
      <c r="G214" s="118"/>
      <c r="H214" s="118"/>
      <c r="I214" s="118"/>
      <c r="J214" s="118"/>
      <c r="K214" s="118"/>
      <c r="L214" s="118"/>
      <c r="M214" s="118"/>
      <c r="N214" s="118"/>
    </row>
    <row r="215" spans="1:14" x14ac:dyDescent="0.2">
      <c r="A215" s="118"/>
      <c r="B215" s="118"/>
      <c r="C215" s="118"/>
      <c r="D215" s="118"/>
      <c r="E215" s="118"/>
      <c r="F215" s="118"/>
      <c r="G215" s="118"/>
      <c r="H215" s="118"/>
      <c r="I215" s="118"/>
      <c r="J215" s="118"/>
      <c r="K215" s="118"/>
      <c r="L215" s="118"/>
      <c r="M215" s="118"/>
      <c r="N215" s="118"/>
    </row>
    <row r="216" spans="1:14" x14ac:dyDescent="0.2">
      <c r="A216" s="118"/>
      <c r="B216" s="118"/>
      <c r="C216" s="118"/>
      <c r="D216" s="118"/>
      <c r="E216" s="118"/>
      <c r="F216" s="118"/>
      <c r="G216" s="118"/>
      <c r="H216" s="118"/>
      <c r="I216" s="118"/>
      <c r="J216" s="118"/>
      <c r="K216" s="118"/>
      <c r="L216" s="118"/>
      <c r="M216" s="118"/>
      <c r="N216" s="118"/>
    </row>
    <row r="217" spans="1:14" x14ac:dyDescent="0.2">
      <c r="A217" s="118"/>
      <c r="B217" s="118"/>
      <c r="C217" s="118"/>
      <c r="D217" s="118"/>
      <c r="E217" s="118"/>
      <c r="F217" s="118"/>
      <c r="G217" s="118"/>
      <c r="H217" s="118"/>
      <c r="I217" s="118"/>
      <c r="J217" s="118"/>
      <c r="K217" s="118"/>
      <c r="L217" s="118"/>
      <c r="M217" s="118"/>
      <c r="N217" s="118"/>
    </row>
    <row r="218" spans="1:14" x14ac:dyDescent="0.2">
      <c r="A218" s="118"/>
      <c r="B218" s="118"/>
      <c r="C218" s="118"/>
      <c r="D218" s="118"/>
      <c r="E218" s="118"/>
      <c r="F218" s="118"/>
      <c r="G218" s="118"/>
      <c r="H218" s="118"/>
      <c r="I218" s="118"/>
      <c r="J218" s="118"/>
      <c r="K218" s="118"/>
      <c r="L218" s="118"/>
      <c r="M218" s="118"/>
      <c r="N218" s="118"/>
    </row>
    <row r="219" spans="1:14" x14ac:dyDescent="0.2">
      <c r="A219" s="118"/>
      <c r="B219" s="118"/>
      <c r="C219" s="118"/>
      <c r="D219" s="118"/>
      <c r="E219" s="118"/>
      <c r="F219" s="118"/>
      <c r="G219" s="118"/>
      <c r="H219" s="118"/>
      <c r="I219" s="118"/>
      <c r="J219" s="118"/>
      <c r="K219" s="118"/>
      <c r="L219" s="118"/>
      <c r="M219" s="118"/>
      <c r="N219" s="118"/>
    </row>
    <row r="220" spans="1:14" x14ac:dyDescent="0.2">
      <c r="A220" s="118"/>
      <c r="B220" s="118"/>
      <c r="C220" s="118"/>
      <c r="D220" s="118"/>
      <c r="E220" s="118"/>
      <c r="F220" s="118"/>
      <c r="G220" s="118"/>
      <c r="H220" s="118"/>
      <c r="I220" s="118"/>
      <c r="J220" s="118"/>
      <c r="K220" s="118"/>
      <c r="L220" s="118"/>
      <c r="M220" s="118"/>
      <c r="N220" s="118"/>
    </row>
    <row r="221" spans="1:14" x14ac:dyDescent="0.2">
      <c r="A221" s="118"/>
      <c r="B221" s="118"/>
      <c r="C221" s="118"/>
      <c r="D221" s="118"/>
      <c r="E221" s="118"/>
      <c r="F221" s="118"/>
      <c r="G221" s="118"/>
      <c r="H221" s="118"/>
      <c r="I221" s="118"/>
      <c r="J221" s="118"/>
      <c r="K221" s="118"/>
      <c r="L221" s="118"/>
      <c r="M221" s="118"/>
      <c r="N221" s="118"/>
    </row>
    <row r="222" spans="1:14" x14ac:dyDescent="0.2">
      <c r="A222" s="118"/>
      <c r="B222" s="118"/>
      <c r="C222" s="118"/>
      <c r="D222" s="118"/>
      <c r="E222" s="118"/>
      <c r="F222" s="118"/>
      <c r="G222" s="118"/>
      <c r="H222" s="118"/>
      <c r="I222" s="118"/>
      <c r="J222" s="118"/>
      <c r="K222" s="118"/>
      <c r="L222" s="118"/>
      <c r="M222" s="118"/>
      <c r="N222" s="118"/>
    </row>
    <row r="223" spans="1:14" x14ac:dyDescent="0.2">
      <c r="A223" s="118"/>
      <c r="B223" s="118"/>
      <c r="C223" s="118"/>
      <c r="D223" s="118"/>
      <c r="E223" s="118"/>
      <c r="F223" s="118"/>
      <c r="G223" s="118"/>
      <c r="H223" s="118"/>
      <c r="I223" s="118"/>
      <c r="J223" s="118"/>
      <c r="K223" s="118"/>
      <c r="L223" s="118"/>
      <c r="M223" s="118"/>
      <c r="N223" s="118"/>
    </row>
    <row r="224" spans="1:14" x14ac:dyDescent="0.2">
      <c r="A224" s="118"/>
      <c r="B224" s="118"/>
      <c r="C224" s="118"/>
      <c r="D224" s="118"/>
      <c r="E224" s="118"/>
      <c r="F224" s="118"/>
      <c r="G224" s="118"/>
      <c r="H224" s="118"/>
      <c r="I224" s="118"/>
      <c r="J224" s="118"/>
      <c r="K224" s="118"/>
      <c r="L224" s="118"/>
      <c r="M224" s="118"/>
      <c r="N224" s="118"/>
    </row>
    <row r="225" spans="1:14" x14ac:dyDescent="0.2">
      <c r="A225" s="118"/>
      <c r="B225" s="118"/>
      <c r="C225" s="118"/>
      <c r="D225" s="118"/>
      <c r="E225" s="118"/>
      <c r="F225" s="118"/>
      <c r="G225" s="118"/>
      <c r="H225" s="118"/>
      <c r="I225" s="118"/>
      <c r="J225" s="118"/>
      <c r="K225" s="118"/>
      <c r="L225" s="118"/>
      <c r="M225" s="118"/>
      <c r="N225" s="118"/>
    </row>
    <row r="226" spans="1:14" x14ac:dyDescent="0.2">
      <c r="A226" s="118"/>
      <c r="B226" s="118"/>
      <c r="C226" s="118"/>
      <c r="D226" s="118"/>
      <c r="E226" s="118"/>
      <c r="F226" s="118"/>
      <c r="G226" s="118"/>
      <c r="H226" s="118"/>
      <c r="I226" s="118"/>
      <c r="J226" s="118"/>
      <c r="K226" s="118"/>
      <c r="L226" s="118"/>
      <c r="M226" s="118"/>
      <c r="N226" s="118"/>
    </row>
    <row r="227" spans="1:14" x14ac:dyDescent="0.2">
      <c r="A227" s="118"/>
      <c r="B227" s="118"/>
      <c r="C227" s="118"/>
      <c r="D227" s="118"/>
      <c r="E227" s="118"/>
      <c r="F227" s="118"/>
      <c r="G227" s="118"/>
      <c r="H227" s="118"/>
      <c r="I227" s="118"/>
      <c r="J227" s="118"/>
      <c r="K227" s="118"/>
      <c r="L227" s="118"/>
      <c r="M227" s="118"/>
      <c r="N227" s="118"/>
    </row>
    <row r="228" spans="1:14" x14ac:dyDescent="0.2">
      <c r="A228" s="118"/>
      <c r="B228" s="118"/>
      <c r="C228" s="118"/>
      <c r="D228" s="118"/>
      <c r="E228" s="118"/>
      <c r="F228" s="118"/>
      <c r="G228" s="118"/>
      <c r="H228" s="118"/>
      <c r="I228" s="118"/>
      <c r="J228" s="118"/>
      <c r="K228" s="118"/>
      <c r="L228" s="118"/>
      <c r="M228" s="118"/>
      <c r="N228" s="118"/>
    </row>
    <row r="229" spans="1:14" x14ac:dyDescent="0.2">
      <c r="A229" s="118"/>
      <c r="B229" s="118"/>
      <c r="C229" s="118"/>
      <c r="D229" s="118"/>
      <c r="E229" s="118"/>
      <c r="F229" s="118"/>
      <c r="G229" s="118"/>
      <c r="H229" s="118"/>
      <c r="I229" s="118"/>
      <c r="J229" s="118"/>
      <c r="K229" s="118"/>
      <c r="L229" s="118"/>
      <c r="M229" s="118"/>
      <c r="N229" s="118"/>
    </row>
    <row r="230" spans="1:14" x14ac:dyDescent="0.2">
      <c r="A230" s="118"/>
      <c r="B230" s="118"/>
      <c r="C230" s="118"/>
      <c r="D230" s="118"/>
      <c r="E230" s="118"/>
      <c r="F230" s="118"/>
      <c r="G230" s="118"/>
      <c r="H230" s="118"/>
      <c r="I230" s="118"/>
      <c r="J230" s="118"/>
      <c r="K230" s="118"/>
      <c r="L230" s="118"/>
      <c r="M230" s="118"/>
      <c r="N230" s="118"/>
    </row>
    <row r="231" spans="1:14" x14ac:dyDescent="0.2">
      <c r="A231" s="118"/>
      <c r="B231" s="118"/>
      <c r="C231" s="118"/>
      <c r="D231" s="118"/>
      <c r="E231" s="118"/>
      <c r="F231" s="118"/>
      <c r="G231" s="118"/>
      <c r="H231" s="118"/>
      <c r="I231" s="118"/>
      <c r="J231" s="118"/>
      <c r="K231" s="118"/>
      <c r="L231" s="118"/>
      <c r="M231" s="118"/>
      <c r="N231" s="118"/>
    </row>
    <row r="232" spans="1:14" x14ac:dyDescent="0.2">
      <c r="A232" s="118"/>
      <c r="B232" s="118"/>
      <c r="C232" s="118"/>
      <c r="D232" s="118"/>
      <c r="E232" s="118"/>
      <c r="F232" s="118"/>
      <c r="G232" s="118"/>
      <c r="H232" s="118"/>
      <c r="I232" s="118"/>
      <c r="J232" s="118"/>
      <c r="K232" s="118"/>
      <c r="L232" s="118"/>
      <c r="M232" s="118"/>
      <c r="N232" s="118"/>
    </row>
    <row r="233" spans="1:14" x14ac:dyDescent="0.2">
      <c r="A233" s="118"/>
      <c r="B233" s="118"/>
      <c r="C233" s="118"/>
      <c r="D233" s="118"/>
      <c r="E233" s="118"/>
      <c r="F233" s="118"/>
      <c r="G233" s="118"/>
      <c r="H233" s="118"/>
      <c r="I233" s="118"/>
      <c r="J233" s="118"/>
      <c r="K233" s="118"/>
      <c r="L233" s="118"/>
      <c r="M233" s="118"/>
      <c r="N233" s="118"/>
    </row>
    <row r="234" spans="1:14" x14ac:dyDescent="0.2">
      <c r="A234" s="118"/>
      <c r="B234" s="118"/>
      <c r="C234" s="118"/>
      <c r="D234" s="118"/>
      <c r="E234" s="118"/>
      <c r="F234" s="118"/>
      <c r="G234" s="118"/>
      <c r="H234" s="118"/>
      <c r="I234" s="118"/>
      <c r="J234" s="118"/>
      <c r="K234" s="118"/>
      <c r="L234" s="118"/>
      <c r="M234" s="118"/>
      <c r="N234" s="118"/>
    </row>
  </sheetData>
  <mergeCells count="14">
    <mergeCell ref="L1:N1"/>
    <mergeCell ref="M2:N2"/>
    <mergeCell ref="M3:N3"/>
    <mergeCell ref="A33:N33"/>
    <mergeCell ref="L10:N12"/>
    <mergeCell ref="A1:J1"/>
    <mergeCell ref="A2:J3"/>
    <mergeCell ref="A4:J4"/>
    <mergeCell ref="A7:C7"/>
    <mergeCell ref="A5:C5"/>
    <mergeCell ref="D5:E5"/>
    <mergeCell ref="C6:J6"/>
    <mergeCell ref="D7:F7"/>
    <mergeCell ref="G7:I7"/>
  </mergeCells>
  <phoneticPr fontId="0" type="noConversion"/>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Sheet4.reqAcctUpdate">
                <anchor moveWithCells="1">
                  <from>
                    <xdr:col>0</xdr:col>
                    <xdr:colOff>171450</xdr:colOff>
                    <xdr:row>1</xdr:row>
                    <xdr:rowOff>57150</xdr:rowOff>
                  </from>
                  <to>
                    <xdr:col>2</xdr:col>
                    <xdr:colOff>276225</xdr:colOff>
                    <xdr:row>2</xdr:row>
                    <xdr:rowOff>104775</xdr:rowOff>
                  </to>
                </anchor>
              </controlPr>
            </control>
          </mc:Choice>
        </mc:AlternateContent>
        <mc:AlternateContent xmlns:mc="http://schemas.openxmlformats.org/markup-compatibility/2006">
          <mc:Choice Requires="x14">
            <control shapeId="7176" r:id="rId5" name="Button 8">
              <controlPr defaultSize="0" print="0" autoFill="0" autoPict="0" macro="[0]!Sheet4.requestPortfolio">
                <anchor moveWithCells="1" sizeWithCells="1">
                  <from>
                    <xdr:col>3</xdr:col>
                    <xdr:colOff>47625</xdr:colOff>
                    <xdr:row>1</xdr:row>
                    <xdr:rowOff>47625</xdr:rowOff>
                  </from>
                  <to>
                    <xdr:col>5</xdr:col>
                    <xdr:colOff>247650</xdr:colOff>
                    <xdr:row>2</xdr:row>
                    <xdr:rowOff>95250</xdr:rowOff>
                  </to>
                </anchor>
              </controlPr>
            </control>
          </mc:Choice>
        </mc:AlternateContent>
        <mc:AlternateContent xmlns:mc="http://schemas.openxmlformats.org/markup-compatibility/2006">
          <mc:Choice Requires="x14">
            <control shapeId="7177" r:id="rId6" name="Button 9">
              <controlPr defaultSize="0" print="0" autoFill="0" autoPict="0" macro="[0]!Sheet4.requestManagedAccts">
                <anchor moveWithCells="1" sizeWithCells="1">
                  <from>
                    <xdr:col>6</xdr:col>
                    <xdr:colOff>9525</xdr:colOff>
                    <xdr:row>1</xdr:row>
                    <xdr:rowOff>47625</xdr:rowOff>
                  </from>
                  <to>
                    <xdr:col>7</xdr:col>
                    <xdr:colOff>590550</xdr:colOff>
                    <xdr:row>2</xdr:row>
                    <xdr:rowOff>104775</xdr:rowOff>
                  </to>
                </anchor>
              </controlPr>
            </control>
          </mc:Choice>
        </mc:AlternateContent>
        <mc:AlternateContent xmlns:mc="http://schemas.openxmlformats.org/markup-compatibility/2006">
          <mc:Choice Requires="x14">
            <control shapeId="7178" r:id="rId7" name="Button 10">
              <controlPr defaultSize="0" print="0" autoFill="0" autoPict="0" macro="[0]!Sheet4.onShowError">
                <anchor moveWithCells="1" sizeWithCells="1">
                  <from>
                    <xdr:col>8</xdr:col>
                    <xdr:colOff>228600</xdr:colOff>
                    <xdr:row>1</xdr:row>
                    <xdr:rowOff>38100</xdr:rowOff>
                  </from>
                  <to>
                    <xdr:col>9</xdr:col>
                    <xdr:colOff>514350</xdr:colOff>
                    <xdr:row>2</xdr:row>
                    <xdr:rowOff>114300</xdr:rowOff>
                  </to>
                </anchor>
              </controlPr>
            </control>
          </mc:Choice>
        </mc:AlternateContent>
        <mc:AlternateContent xmlns:mc="http://schemas.openxmlformats.org/markup-compatibility/2006">
          <mc:Choice Requires="x14">
            <control shapeId="7179" r:id="rId8" name="Button 11">
              <controlPr defaultSize="0" print="0" autoFill="0" autoPict="0" macro="[0]!Sheet4.reqAcctUpdate">
                <anchor moveWithCells="1">
                  <from>
                    <xdr:col>0</xdr:col>
                    <xdr:colOff>171450</xdr:colOff>
                    <xdr:row>1</xdr:row>
                    <xdr:rowOff>57150</xdr:rowOff>
                  </from>
                  <to>
                    <xdr:col>2</xdr:col>
                    <xdr:colOff>276225</xdr:colOff>
                    <xdr:row>2</xdr:row>
                    <xdr:rowOff>104775</xdr:rowOff>
                  </to>
                </anchor>
              </controlPr>
            </control>
          </mc:Choice>
        </mc:AlternateContent>
        <mc:AlternateContent xmlns:mc="http://schemas.openxmlformats.org/markup-compatibility/2006">
          <mc:Choice Requires="x14">
            <control shapeId="7180" r:id="rId9" name="Button 12">
              <controlPr defaultSize="0" print="0" autoFill="0" autoPict="0" macro="[0]!Sheet4.requestPortfolio">
                <anchor moveWithCells="1" sizeWithCells="1">
                  <from>
                    <xdr:col>3</xdr:col>
                    <xdr:colOff>47625</xdr:colOff>
                    <xdr:row>1</xdr:row>
                    <xdr:rowOff>47625</xdr:rowOff>
                  </from>
                  <to>
                    <xdr:col>5</xdr:col>
                    <xdr:colOff>247650</xdr:colOff>
                    <xdr:row>2</xdr:row>
                    <xdr:rowOff>95250</xdr:rowOff>
                  </to>
                </anchor>
              </controlPr>
            </control>
          </mc:Choice>
        </mc:AlternateContent>
        <mc:AlternateContent xmlns:mc="http://schemas.openxmlformats.org/markup-compatibility/2006">
          <mc:Choice Requires="x14">
            <control shapeId="7181" r:id="rId10" name="Button 13">
              <controlPr defaultSize="0" print="0" autoFill="0" autoPict="0" macro="[0]!Sheet4.requestManagedAccts">
                <anchor moveWithCells="1" sizeWithCells="1">
                  <from>
                    <xdr:col>6</xdr:col>
                    <xdr:colOff>9525</xdr:colOff>
                    <xdr:row>1</xdr:row>
                    <xdr:rowOff>47625</xdr:rowOff>
                  </from>
                  <to>
                    <xdr:col>7</xdr:col>
                    <xdr:colOff>590550</xdr:colOff>
                    <xdr:row>2</xdr:row>
                    <xdr:rowOff>104775</xdr:rowOff>
                  </to>
                </anchor>
              </controlPr>
            </control>
          </mc:Choice>
        </mc:AlternateContent>
        <mc:AlternateContent xmlns:mc="http://schemas.openxmlformats.org/markup-compatibility/2006">
          <mc:Choice Requires="x14">
            <control shapeId="7182" r:id="rId11" name="Button 14">
              <controlPr defaultSize="0" print="0" autoFill="0" autoPict="0" macro="[0]!Sheet4.onShowError">
                <anchor moveWithCells="1" sizeWithCells="1">
                  <from>
                    <xdr:col>8</xdr:col>
                    <xdr:colOff>228600</xdr:colOff>
                    <xdr:row>1</xdr:row>
                    <xdr:rowOff>38100</xdr:rowOff>
                  </from>
                  <to>
                    <xdr:col>9</xdr:col>
                    <xdr:colOff>514350</xdr:colOff>
                    <xdr:row>2</xdr:row>
                    <xdr:rowOff>114300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filterMode="1">
    <tabColor theme="6"/>
  </sheetPr>
  <dimension ref="A1:T763"/>
  <sheetViews>
    <sheetView zoomScale="80" zoomScaleNormal="80" workbookViewId="0">
      <pane ySplit="9" topLeftCell="A66" activePane="bottomLeft" state="frozenSplit"/>
      <selection pane="bottomLeft" activeCell="A117" sqref="A117"/>
    </sheetView>
  </sheetViews>
  <sheetFormatPr defaultRowHeight="12.75" x14ac:dyDescent="0.2"/>
  <cols>
    <col min="1" max="1" width="12.42578125" style="122" customWidth="1"/>
    <col min="2" max="2" width="9.140625" style="122"/>
    <col min="3" max="3" width="14.42578125" style="122" customWidth="1"/>
    <col min="4" max="5" width="9.140625" style="122"/>
    <col min="6" max="6" width="9" style="122" customWidth="1"/>
    <col min="7" max="7" width="14" style="122" customWidth="1"/>
    <col min="8" max="8" width="10" style="122" customWidth="1"/>
    <col min="9" max="9" width="10.28515625" style="122" customWidth="1"/>
    <col min="10" max="10" width="7.5703125" customWidth="1"/>
    <col min="11" max="11" width="15.5703125" customWidth="1"/>
    <col min="12" max="12" width="17.140625" customWidth="1"/>
    <col min="13" max="13" width="31.5703125" customWidth="1"/>
    <col min="14" max="14" width="15.7109375" customWidth="1"/>
    <col min="16" max="17" width="14.7109375" customWidth="1"/>
    <col min="18" max="18" width="14.140625" customWidth="1"/>
    <col min="19" max="19" width="9.140625" style="122"/>
    <col min="20" max="20" width="10.7109375" style="122" customWidth="1"/>
    <col min="21" max="16384" width="9.140625" style="122"/>
  </cols>
  <sheetData>
    <row r="1" spans="1:20" customFormat="1" x14ac:dyDescent="0.2">
      <c r="A1" s="360" t="s">
        <v>48</v>
      </c>
      <c r="B1" s="274"/>
      <c r="C1" s="274"/>
      <c r="D1" s="274"/>
      <c r="E1" s="275"/>
      <c r="F1" s="26"/>
      <c r="G1" s="26"/>
    </row>
    <row r="2" spans="1:20" customFormat="1" ht="28.5" customHeight="1" x14ac:dyDescent="0.2">
      <c r="A2" s="457"/>
      <c r="B2" s="277"/>
      <c r="C2" s="277"/>
      <c r="D2" s="277"/>
      <c r="E2" s="278"/>
      <c r="F2" s="26"/>
      <c r="G2" s="26"/>
      <c r="L2" s="463" t="s">
        <v>397</v>
      </c>
      <c r="M2" s="459"/>
      <c r="N2" s="459"/>
      <c r="O2" s="459"/>
      <c r="P2" s="460"/>
      <c r="Q2" s="134"/>
      <c r="R2" s="7"/>
      <c r="S2" s="7"/>
      <c r="T2" s="7"/>
    </row>
    <row r="3" spans="1:20" customFormat="1" x14ac:dyDescent="0.2">
      <c r="K3" s="27"/>
    </row>
    <row r="4" spans="1:20" customFormat="1" x14ac:dyDescent="0.2">
      <c r="A4" s="408" t="s">
        <v>52</v>
      </c>
      <c r="B4" s="424"/>
      <c r="C4" s="424"/>
      <c r="D4" s="424"/>
      <c r="E4" s="424"/>
      <c r="F4" s="424"/>
      <c r="G4" s="424"/>
      <c r="H4" s="425"/>
      <c r="L4" s="247" t="s">
        <v>516</v>
      </c>
      <c r="M4" s="248"/>
      <c r="N4" s="250"/>
    </row>
    <row r="5" spans="1:20" customFormat="1" x14ac:dyDescent="0.2">
      <c r="A5" s="323" t="s">
        <v>59</v>
      </c>
      <c r="B5" s="426"/>
      <c r="C5" s="350"/>
      <c r="D5" s="503" t="s">
        <v>571</v>
      </c>
      <c r="E5" s="462"/>
      <c r="F5" s="17"/>
      <c r="G5" s="17"/>
      <c r="H5" s="18"/>
      <c r="L5" s="236" t="s">
        <v>25</v>
      </c>
      <c r="M5" s="7" t="s">
        <v>517</v>
      </c>
      <c r="N5" s="251" t="s">
        <v>518</v>
      </c>
    </row>
    <row r="6" spans="1:20" customFormat="1" x14ac:dyDescent="0.2">
      <c r="L6" s="249">
        <f>[8]!id</f>
        <v>720</v>
      </c>
      <c r="M6" s="260">
        <f>[8]!errorCode</f>
        <v>200</v>
      </c>
      <c r="N6" s="261" t="str">
        <f>[8]!errorMsg</f>
        <v>No security definition has been found for the request</v>
      </c>
    </row>
    <row r="7" spans="1:20" customFormat="1" x14ac:dyDescent="0.2">
      <c r="A7" s="474" t="s">
        <v>94</v>
      </c>
      <c r="B7" s="277"/>
      <c r="C7" s="277"/>
      <c r="D7" s="277"/>
      <c r="E7" s="277"/>
      <c r="F7" s="277"/>
      <c r="G7" s="277"/>
      <c r="H7" s="277"/>
      <c r="I7" s="277"/>
      <c r="J7" s="277"/>
      <c r="K7" s="277"/>
      <c r="L7" s="277"/>
      <c r="M7" s="277"/>
      <c r="N7" s="277"/>
      <c r="O7" s="277"/>
      <c r="P7" s="277"/>
      <c r="Q7" s="277"/>
      <c r="R7" s="277"/>
    </row>
    <row r="8" spans="1:20" customFormat="1" x14ac:dyDescent="0.2">
      <c r="A8" s="344" t="s">
        <v>95</v>
      </c>
      <c r="B8" s="314"/>
      <c r="C8" s="314"/>
      <c r="D8" s="314"/>
      <c r="E8" s="314"/>
      <c r="F8" s="314"/>
      <c r="G8" s="314"/>
      <c r="H8" s="314"/>
      <c r="I8" s="314"/>
      <c r="J8" s="313"/>
      <c r="K8" s="344" t="s">
        <v>96</v>
      </c>
      <c r="L8" s="345"/>
      <c r="M8" s="345"/>
      <c r="N8" s="345"/>
      <c r="O8" s="345"/>
      <c r="P8" s="345"/>
      <c r="Q8" s="345"/>
      <c r="R8" s="351"/>
    </row>
    <row r="9" spans="1:20" customFormat="1" hidden="1" x14ac:dyDescent="0.2">
      <c r="A9" s="9" t="s">
        <v>10</v>
      </c>
      <c r="B9" s="9" t="s">
        <v>22</v>
      </c>
      <c r="C9" s="9" t="s">
        <v>565</v>
      </c>
      <c r="D9" s="9" t="s">
        <v>11</v>
      </c>
      <c r="E9" s="9" t="s">
        <v>24</v>
      </c>
      <c r="F9" s="9" t="s">
        <v>88</v>
      </c>
      <c r="G9" s="9" t="s">
        <v>87</v>
      </c>
      <c r="H9" s="9" t="s">
        <v>13</v>
      </c>
      <c r="I9" s="9" t="s">
        <v>41</v>
      </c>
      <c r="J9" s="110" t="s">
        <v>346</v>
      </c>
      <c r="K9" s="103" t="s">
        <v>23</v>
      </c>
      <c r="L9" s="103" t="s">
        <v>93</v>
      </c>
      <c r="M9" s="28" t="s">
        <v>92</v>
      </c>
      <c r="N9" s="28" t="s">
        <v>90</v>
      </c>
      <c r="O9" s="104" t="s">
        <v>91</v>
      </c>
      <c r="P9" s="105" t="s">
        <v>88</v>
      </c>
      <c r="Q9" s="104" t="s">
        <v>86</v>
      </c>
      <c r="R9" s="28" t="s">
        <v>87</v>
      </c>
    </row>
    <row r="10" spans="1:20" customFormat="1" hidden="1" x14ac:dyDescent="0.2">
      <c r="A10" s="10"/>
      <c r="B10" s="11"/>
      <c r="C10" s="11"/>
      <c r="D10" s="11"/>
      <c r="E10" s="11"/>
      <c r="F10" s="11"/>
      <c r="G10" s="11"/>
      <c r="H10" s="11"/>
      <c r="I10" s="11"/>
      <c r="J10" s="101"/>
      <c r="K10" s="6"/>
      <c r="L10" s="6"/>
      <c r="M10" s="6"/>
      <c r="N10" s="6"/>
      <c r="O10" s="6"/>
      <c r="P10" s="6"/>
      <c r="Q10" s="6"/>
      <c r="R10" s="6"/>
    </row>
    <row r="11" spans="1:20" customFormat="1" hidden="1" x14ac:dyDescent="0.2">
      <c r="A11" s="12" t="s">
        <v>33</v>
      </c>
      <c r="B11" s="13"/>
      <c r="C11" s="13"/>
      <c r="D11" s="13"/>
      <c r="E11" s="63"/>
      <c r="F11" s="13"/>
      <c r="G11" s="13"/>
      <c r="H11" s="13"/>
      <c r="I11" s="13"/>
      <c r="J11" s="101"/>
      <c r="K11" s="6"/>
      <c r="L11" s="6"/>
      <c r="M11" s="6"/>
      <c r="N11" s="6"/>
      <c r="O11" s="6"/>
      <c r="P11" s="6"/>
      <c r="Q11" s="6"/>
      <c r="R11" s="6"/>
    </row>
    <row r="12" spans="1:20" customFormat="1" hidden="1" x14ac:dyDescent="0.2">
      <c r="A12" s="13" t="s">
        <v>69</v>
      </c>
      <c r="B12" s="13" t="s">
        <v>12</v>
      </c>
      <c r="C12" s="13"/>
      <c r="D12" s="13"/>
      <c r="E12" s="63"/>
      <c r="F12" s="13"/>
      <c r="G12" s="13"/>
      <c r="H12" s="13" t="s">
        <v>68</v>
      </c>
      <c r="I12" s="101" t="s">
        <v>44</v>
      </c>
      <c r="J12" s="101"/>
      <c r="K12" s="6">
        <f>[9]!'id0?req?MSFT_STK_SMART_USD_~/'</f>
        <v>0</v>
      </c>
      <c r="L12" s="6" t="str">
        <f>[9]!id0?orderTypes</f>
        <v>ACTIVETIM,ADJUST,ALERT,ALGO,ALLOC,AON,AVGCOST,BASKET,COND,CONDORDER,DARKONLY,DARKPOLL,DAY,DEACT,DEACTDIS,DEACTEOD,DIS,GAT,GTC,GTD,GTT,HID,IBKRATS,ICE,IMB,IOC,LIT,LMT,LOC,MIT,MKT,MOC,MTL,NGCOMB,NODARK,NONALGO,OCA,OPG,OPGREROUT,PEGBENCH,POSTONLY,PREOPGRTH,R</v>
      </c>
      <c r="M12" s="6" t="str">
        <f>[9]!id0?validExchanges</f>
        <v>SMART,CBOE,ISE,CHX,ARCA,ISLAND,VWAP,DRCTEDGE,NSX,BEX,BATS,EDGEA,CSFBALGO,JEFFALGO,BYX,IEX,TPLUS2,PSX</v>
      </c>
      <c r="N12" s="6">
        <f>[9]!id0?conid</f>
        <v>266630</v>
      </c>
      <c r="O12" s="6">
        <f>[9]!id0?minTick</f>
        <v>0.01</v>
      </c>
      <c r="P12" s="6">
        <f>[9]!id0?multiplier</f>
        <v>0</v>
      </c>
      <c r="Q12" s="6" t="str">
        <f>[9]!id0?marketName</f>
        <v>NMS</v>
      </c>
      <c r="R12" s="6" t="str">
        <f>[9]!id0?tradingClass</f>
        <v>NMS</v>
      </c>
    </row>
    <row r="13" spans="1:20" customFormat="1" hidden="1" x14ac:dyDescent="0.2">
      <c r="A13" s="13" t="s">
        <v>70</v>
      </c>
      <c r="B13" s="13" t="s">
        <v>12</v>
      </c>
      <c r="C13" s="13"/>
      <c r="D13" s="13"/>
      <c r="E13" s="63"/>
      <c r="F13" s="13"/>
      <c r="G13" s="13"/>
      <c r="H13" s="13" t="s">
        <v>68</v>
      </c>
      <c r="I13" s="101" t="s">
        <v>44</v>
      </c>
      <c r="J13" s="101"/>
      <c r="K13" s="6">
        <f>[9]!'id2?req?YHOO_STK_SMART_USD_~/'</f>
        <v>0</v>
      </c>
      <c r="L13" s="6" t="str">
        <f>[9]!id2?orderTypes</f>
        <v>ACTIVETIM,ADJUST,ALERT,ALGO,ALLOC,AON,AVGCOST,BASKET,COND,CONDORDER,DARKONLY,DARKPOLL,DAY,DEACT,DEACTDIS,DEACTEOD,DIS,GAT,GTC,GTD,GTT,HID,IBKRATS,ICE,IMB,IOC,LIT,LMT,LOC,MIT,MKT,MOC,MTL,NGCOMB,NODARK,NONALGO,OCA,OPG,OPGREROUT,PEGBENCH,POSTONLY,PREOPGRTH,R</v>
      </c>
      <c r="M13" s="6" t="str">
        <f>[9]!id2?validExchanges</f>
        <v>SMART,NYSE,CBOE,ISE,CHX,ARCA,ISLAND,VWAP,DRCTEDGE,NSX,BEX,BATS,EDGEA,CSFBALGO,JEFFALGO,BYX,IEX,TPLUS2,PSX</v>
      </c>
      <c r="N13" s="6">
        <f>[9]!id2?conid</f>
        <v>5111</v>
      </c>
      <c r="O13" s="6">
        <f>[9]!id2?minTick</f>
        <v>0.01</v>
      </c>
      <c r="P13" s="6">
        <f>[9]!id2?multiplier</f>
        <v>0</v>
      </c>
      <c r="Q13" s="6" t="str">
        <f>[9]!id2?marketName</f>
        <v>BMY</v>
      </c>
      <c r="R13" s="6" t="str">
        <f>[9]!id2?tradingClass</f>
        <v>BMY</v>
      </c>
    </row>
    <row r="14" spans="1:20" customFormat="1" hidden="1" x14ac:dyDescent="0.2">
      <c r="A14" s="13" t="s">
        <v>89</v>
      </c>
      <c r="B14" s="13" t="s">
        <v>12</v>
      </c>
      <c r="C14" s="13"/>
      <c r="D14" s="13"/>
      <c r="E14" s="63"/>
      <c r="F14" s="13"/>
      <c r="G14" s="13"/>
      <c r="H14" s="13" t="s">
        <v>68</v>
      </c>
      <c r="I14" s="101" t="s">
        <v>44</v>
      </c>
      <c r="J14" s="101"/>
      <c r="K14" s="6"/>
      <c r="L14" s="6"/>
      <c r="M14" s="6"/>
      <c r="N14" s="6"/>
      <c r="O14" s="6"/>
      <c r="P14" s="6"/>
      <c r="Q14" s="6"/>
      <c r="R14" s="6"/>
    </row>
    <row r="15" spans="1:20" customFormat="1" hidden="1" x14ac:dyDescent="0.2">
      <c r="A15" s="13" t="s">
        <v>197</v>
      </c>
      <c r="B15" s="13" t="s">
        <v>12</v>
      </c>
      <c r="C15" s="13"/>
      <c r="D15" s="13"/>
      <c r="E15" s="63"/>
      <c r="F15" s="13"/>
      <c r="G15" s="13"/>
      <c r="H15" s="13" t="s">
        <v>68</v>
      </c>
      <c r="I15" s="101" t="s">
        <v>44</v>
      </c>
      <c r="J15" s="101"/>
      <c r="K15" s="6"/>
      <c r="L15" s="6"/>
      <c r="M15" s="6"/>
      <c r="N15" s="6"/>
      <c r="O15" s="6"/>
      <c r="P15" s="6"/>
      <c r="Q15" s="6"/>
      <c r="R15" s="6"/>
    </row>
    <row r="16" spans="1:20" customFormat="1" hidden="1" x14ac:dyDescent="0.2">
      <c r="A16" s="5" t="s">
        <v>494</v>
      </c>
      <c r="B16" s="5" t="s">
        <v>12</v>
      </c>
      <c r="C16" s="5"/>
      <c r="D16" s="5"/>
      <c r="E16" s="64"/>
      <c r="F16" s="5"/>
      <c r="G16" s="5"/>
      <c r="H16" s="5" t="s">
        <v>68</v>
      </c>
      <c r="I16" s="37" t="s">
        <v>44</v>
      </c>
      <c r="J16" s="37"/>
      <c r="K16" s="6"/>
      <c r="L16" s="6"/>
      <c r="M16" s="6"/>
      <c r="N16" s="6"/>
      <c r="O16" s="6"/>
      <c r="P16" s="6"/>
      <c r="Q16" s="6"/>
      <c r="R16" s="6"/>
    </row>
    <row r="17" spans="1:18" customFormat="1" hidden="1" x14ac:dyDescent="0.2">
      <c r="A17" s="5" t="s">
        <v>26</v>
      </c>
      <c r="B17" s="5" t="s">
        <v>12</v>
      </c>
      <c r="C17" s="5"/>
      <c r="D17" s="5"/>
      <c r="E17" s="64"/>
      <c r="F17" s="5"/>
      <c r="G17" s="5"/>
      <c r="H17" s="5" t="s">
        <v>68</v>
      </c>
      <c r="I17" s="37" t="s">
        <v>44</v>
      </c>
      <c r="J17" s="37"/>
      <c r="K17" s="6"/>
      <c r="L17" s="6"/>
      <c r="M17" s="6"/>
      <c r="N17" s="6"/>
      <c r="O17" s="6"/>
      <c r="P17" s="6"/>
      <c r="Q17" s="6"/>
      <c r="R17" s="6"/>
    </row>
    <row r="18" spans="1:18" customFormat="1" hidden="1" x14ac:dyDescent="0.2">
      <c r="A18" s="3" t="s">
        <v>460</v>
      </c>
      <c r="B18" s="5" t="s">
        <v>12</v>
      </c>
      <c r="C18" s="5"/>
      <c r="D18" s="5"/>
      <c r="E18" s="64"/>
      <c r="F18" s="5"/>
      <c r="G18" s="5"/>
      <c r="H18" s="3" t="s">
        <v>461</v>
      </c>
      <c r="I18" s="232" t="s">
        <v>194</v>
      </c>
      <c r="J18" s="232"/>
      <c r="K18" s="6"/>
      <c r="L18" s="6"/>
      <c r="M18" s="6"/>
      <c r="N18" s="6"/>
      <c r="O18" s="6"/>
      <c r="P18" s="6"/>
      <c r="Q18" s="6"/>
      <c r="R18" s="6"/>
    </row>
    <row r="19" spans="1:18" customFormat="1" hidden="1" x14ac:dyDescent="0.2">
      <c r="A19" s="5"/>
      <c r="B19" s="5"/>
      <c r="C19" s="5"/>
      <c r="D19" s="5"/>
      <c r="E19" s="64"/>
      <c r="F19" s="5"/>
      <c r="G19" s="5"/>
      <c r="H19" s="5"/>
      <c r="I19" s="37"/>
      <c r="J19" s="37"/>
      <c r="K19" s="6"/>
      <c r="L19" s="6"/>
      <c r="M19" s="6"/>
      <c r="N19" s="6"/>
      <c r="O19" s="6"/>
      <c r="P19" s="6"/>
      <c r="Q19" s="6"/>
      <c r="R19" s="6"/>
    </row>
    <row r="20" spans="1:18" customFormat="1" hidden="1" x14ac:dyDescent="0.2">
      <c r="A20" s="12" t="s">
        <v>34</v>
      </c>
      <c r="B20" s="13"/>
      <c r="C20" s="13"/>
      <c r="D20" s="13"/>
      <c r="E20" s="63"/>
      <c r="F20" s="13"/>
      <c r="G20" s="13"/>
      <c r="H20" s="13"/>
      <c r="I20" s="101"/>
      <c r="J20" s="101"/>
      <c r="K20" s="6"/>
      <c r="L20" s="6"/>
      <c r="M20" s="6"/>
      <c r="N20" s="6"/>
      <c r="O20" s="6"/>
      <c r="P20" s="6"/>
      <c r="Q20" s="6"/>
      <c r="R20" s="6"/>
    </row>
    <row r="21" spans="1:18" customFormat="1" hidden="1" x14ac:dyDescent="0.2">
      <c r="A21" s="13" t="s">
        <v>197</v>
      </c>
      <c r="B21" s="13" t="s">
        <v>31</v>
      </c>
      <c r="C21" s="13">
        <v>20130719</v>
      </c>
      <c r="D21" s="13">
        <v>875</v>
      </c>
      <c r="E21" s="63" t="s">
        <v>36</v>
      </c>
      <c r="F21" s="13">
        <v>100</v>
      </c>
      <c r="G21" s="14" t="s">
        <v>197</v>
      </c>
      <c r="H21" s="13" t="s">
        <v>68</v>
      </c>
      <c r="I21" s="101" t="s">
        <v>44</v>
      </c>
      <c r="J21" s="101"/>
      <c r="K21" s="6"/>
      <c r="L21" s="6"/>
      <c r="M21" s="6"/>
      <c r="N21" s="6"/>
      <c r="O21" s="6"/>
      <c r="P21" s="6"/>
      <c r="Q21" s="6"/>
      <c r="R21" s="6"/>
    </row>
    <row r="22" spans="1:18" customFormat="1" hidden="1" x14ac:dyDescent="0.2">
      <c r="A22" s="13" t="s">
        <v>197</v>
      </c>
      <c r="B22" s="13" t="s">
        <v>31</v>
      </c>
      <c r="C22" s="13">
        <v>20130719</v>
      </c>
      <c r="D22" s="13">
        <v>875</v>
      </c>
      <c r="E22" s="63" t="s">
        <v>27</v>
      </c>
      <c r="F22" s="13">
        <v>100</v>
      </c>
      <c r="G22" s="13" t="s">
        <v>197</v>
      </c>
      <c r="H22" s="13" t="s">
        <v>68</v>
      </c>
      <c r="I22" s="101" t="s">
        <v>44</v>
      </c>
      <c r="J22" s="101"/>
      <c r="K22" s="6"/>
      <c r="L22" s="6"/>
      <c r="M22" s="6"/>
      <c r="N22" s="6"/>
      <c r="O22" s="6"/>
      <c r="P22" s="6"/>
      <c r="Q22" s="6"/>
      <c r="R22" s="6"/>
    </row>
    <row r="23" spans="1:18" customFormat="1" hidden="1" x14ac:dyDescent="0.2">
      <c r="A23" s="13" t="s">
        <v>26</v>
      </c>
      <c r="B23" s="13" t="s">
        <v>31</v>
      </c>
      <c r="C23" s="13">
        <v>20130719</v>
      </c>
      <c r="D23" s="13">
        <v>180</v>
      </c>
      <c r="E23" s="63" t="s">
        <v>36</v>
      </c>
      <c r="F23" s="13">
        <v>100</v>
      </c>
      <c r="G23" s="13"/>
      <c r="H23" s="14" t="s">
        <v>68</v>
      </c>
      <c r="I23" s="101" t="s">
        <v>44</v>
      </c>
      <c r="J23" s="101"/>
      <c r="K23" s="6"/>
      <c r="L23" s="6"/>
      <c r="M23" s="6"/>
      <c r="N23" s="6"/>
      <c r="O23" s="6"/>
      <c r="P23" s="6"/>
      <c r="Q23" s="6"/>
      <c r="R23" s="6"/>
    </row>
    <row r="24" spans="1:18" customFormat="1" hidden="1" x14ac:dyDescent="0.2">
      <c r="A24" s="13" t="s">
        <v>26</v>
      </c>
      <c r="B24" s="13" t="s">
        <v>31</v>
      </c>
      <c r="C24" s="13">
        <v>20130719</v>
      </c>
      <c r="D24" s="13">
        <v>180</v>
      </c>
      <c r="E24" s="63" t="s">
        <v>27</v>
      </c>
      <c r="F24" s="13">
        <v>100</v>
      </c>
      <c r="G24" s="13"/>
      <c r="H24" s="13" t="s">
        <v>68</v>
      </c>
      <c r="I24" s="101" t="s">
        <v>44</v>
      </c>
      <c r="J24" s="101"/>
      <c r="K24" s="6"/>
      <c r="L24" s="6"/>
      <c r="M24" s="6"/>
      <c r="N24" s="6"/>
      <c r="O24" s="6"/>
      <c r="P24" s="6"/>
      <c r="Q24" s="6"/>
      <c r="R24" s="6"/>
    </row>
    <row r="25" spans="1:18" customFormat="1" hidden="1" x14ac:dyDescent="0.2">
      <c r="A25" s="5" t="s">
        <v>492</v>
      </c>
      <c r="B25" s="5" t="s">
        <v>31</v>
      </c>
      <c r="C25" s="5">
        <v>20130719</v>
      </c>
      <c r="D25" s="5">
        <v>620</v>
      </c>
      <c r="E25" s="64" t="s">
        <v>36</v>
      </c>
      <c r="F25" s="5"/>
      <c r="G25" s="5" t="s">
        <v>493</v>
      </c>
      <c r="H25" s="5" t="s">
        <v>68</v>
      </c>
      <c r="I25" s="37" t="s">
        <v>44</v>
      </c>
      <c r="J25" s="37"/>
      <c r="K25" s="6"/>
      <c r="L25" s="6"/>
      <c r="M25" s="6"/>
      <c r="N25" s="6"/>
      <c r="O25" s="6"/>
      <c r="P25" s="6"/>
      <c r="Q25" s="6"/>
      <c r="R25" s="6"/>
    </row>
    <row r="26" spans="1:18" customFormat="1" hidden="1" x14ac:dyDescent="0.2">
      <c r="A26" s="5" t="s">
        <v>492</v>
      </c>
      <c r="B26" s="5" t="s">
        <v>31</v>
      </c>
      <c r="C26" s="5">
        <v>20130719</v>
      </c>
      <c r="D26" s="5">
        <v>620</v>
      </c>
      <c r="E26" s="64" t="s">
        <v>27</v>
      </c>
      <c r="F26" s="5">
        <v>10</v>
      </c>
      <c r="G26" s="5"/>
      <c r="H26" s="5" t="s">
        <v>68</v>
      </c>
      <c r="I26" s="37" t="s">
        <v>44</v>
      </c>
      <c r="J26" s="37"/>
      <c r="K26" s="6"/>
      <c r="L26" s="6"/>
      <c r="M26" s="6"/>
      <c r="N26" s="6"/>
      <c r="O26" s="6"/>
      <c r="P26" s="6"/>
      <c r="Q26" s="6"/>
      <c r="R26" s="6"/>
    </row>
    <row r="27" spans="1:18" customFormat="1" hidden="1" x14ac:dyDescent="0.2">
      <c r="A27" s="5"/>
      <c r="B27" s="5"/>
      <c r="C27" s="5"/>
      <c r="D27" s="5"/>
      <c r="E27" s="64"/>
      <c r="F27" s="5"/>
      <c r="G27" s="5"/>
      <c r="H27" s="5"/>
      <c r="I27" s="37"/>
      <c r="J27" s="37"/>
      <c r="K27" s="6"/>
      <c r="L27" s="6"/>
      <c r="M27" s="6"/>
      <c r="N27" s="6"/>
      <c r="O27" s="6"/>
      <c r="P27" s="6"/>
      <c r="Q27" s="6"/>
      <c r="R27" s="6"/>
    </row>
    <row r="28" spans="1:18" customFormat="1" hidden="1" x14ac:dyDescent="0.2">
      <c r="A28" s="12" t="s">
        <v>355</v>
      </c>
      <c r="B28" s="13"/>
      <c r="C28" s="13"/>
      <c r="D28" s="13"/>
      <c r="E28" s="63"/>
      <c r="F28" s="13"/>
      <c r="G28" s="13"/>
      <c r="H28" s="13"/>
      <c r="I28" s="101"/>
      <c r="J28" s="101"/>
      <c r="K28" s="6"/>
      <c r="L28" s="6"/>
      <c r="M28" s="6"/>
      <c r="N28" s="6"/>
      <c r="O28" s="6"/>
      <c r="P28" s="6"/>
      <c r="Q28" s="6"/>
      <c r="R28" s="6"/>
    </row>
    <row r="29" spans="1:18" customFormat="1" hidden="1" x14ac:dyDescent="0.2">
      <c r="A29" s="13" t="s">
        <v>192</v>
      </c>
      <c r="B29" s="13" t="s">
        <v>32</v>
      </c>
      <c r="C29" s="13">
        <v>201306</v>
      </c>
      <c r="D29" s="13"/>
      <c r="E29" s="63"/>
      <c r="F29" s="13"/>
      <c r="G29" s="13"/>
      <c r="H29" s="13" t="s">
        <v>193</v>
      </c>
      <c r="I29" s="101" t="s">
        <v>194</v>
      </c>
      <c r="J29" s="101"/>
      <c r="K29" s="6"/>
      <c r="L29" s="6"/>
      <c r="M29" s="6"/>
      <c r="N29" s="6"/>
      <c r="O29" s="6"/>
      <c r="P29" s="6"/>
      <c r="Q29" s="6"/>
      <c r="R29" s="6"/>
    </row>
    <row r="30" spans="1:18" customFormat="1" hidden="1" x14ac:dyDescent="0.2">
      <c r="A30" s="13" t="s">
        <v>475</v>
      </c>
      <c r="B30" s="13" t="s">
        <v>32</v>
      </c>
      <c r="C30" s="13">
        <v>201306</v>
      </c>
      <c r="D30" s="13"/>
      <c r="E30" s="63"/>
      <c r="F30" s="13">
        <v>100</v>
      </c>
      <c r="G30" s="13"/>
      <c r="H30" s="13" t="s">
        <v>476</v>
      </c>
      <c r="I30" s="101" t="s">
        <v>477</v>
      </c>
      <c r="J30" s="101"/>
      <c r="K30" s="6"/>
      <c r="L30" s="6"/>
      <c r="M30" s="6"/>
      <c r="N30" s="6"/>
      <c r="O30" s="6"/>
      <c r="P30" s="6"/>
      <c r="Q30" s="6"/>
      <c r="R30" s="6"/>
    </row>
    <row r="31" spans="1:18" customFormat="1" hidden="1" x14ac:dyDescent="0.2">
      <c r="A31" s="13" t="s">
        <v>475</v>
      </c>
      <c r="B31" s="13" t="s">
        <v>32</v>
      </c>
      <c r="C31" s="13">
        <v>201306</v>
      </c>
      <c r="D31" s="13"/>
      <c r="E31" s="63"/>
      <c r="F31" s="13">
        <v>10</v>
      </c>
      <c r="G31" s="13"/>
      <c r="H31" s="13" t="s">
        <v>476</v>
      </c>
      <c r="I31" s="101" t="s">
        <v>477</v>
      </c>
      <c r="J31" s="101"/>
      <c r="K31" s="6"/>
      <c r="L31" s="6"/>
      <c r="M31" s="6"/>
      <c r="N31" s="6"/>
      <c r="O31" s="6"/>
      <c r="P31" s="6"/>
      <c r="Q31" s="6"/>
      <c r="R31" s="6"/>
    </row>
    <row r="32" spans="1:18" customFormat="1" hidden="1" x14ac:dyDescent="0.2">
      <c r="A32" s="13"/>
      <c r="B32" s="13"/>
      <c r="C32" s="13"/>
      <c r="D32" s="13"/>
      <c r="E32" s="63"/>
      <c r="F32" s="13"/>
      <c r="G32" s="13"/>
      <c r="H32" s="13"/>
      <c r="I32" s="101"/>
      <c r="J32" s="101"/>
      <c r="K32" s="6"/>
      <c r="L32" s="6"/>
      <c r="M32" s="6"/>
      <c r="N32" s="6"/>
      <c r="O32" s="6"/>
      <c r="P32" s="6"/>
      <c r="Q32" s="6"/>
      <c r="R32" s="6"/>
    </row>
    <row r="33" spans="1:18" customFormat="1" hidden="1" x14ac:dyDescent="0.2">
      <c r="A33" s="12" t="s">
        <v>356</v>
      </c>
      <c r="B33" s="13"/>
      <c r="C33" s="13"/>
      <c r="D33" s="13"/>
      <c r="E33" s="63"/>
      <c r="F33" s="13"/>
      <c r="G33" s="13"/>
      <c r="H33" s="13"/>
      <c r="I33" s="101"/>
      <c r="J33" s="101"/>
      <c r="K33" s="6"/>
      <c r="L33" s="6"/>
      <c r="M33" s="6"/>
      <c r="N33" s="6"/>
      <c r="O33" s="6"/>
      <c r="P33" s="6"/>
      <c r="Q33" s="6"/>
      <c r="R33" s="6"/>
    </row>
    <row r="34" spans="1:18" customFormat="1" hidden="1" x14ac:dyDescent="0.2">
      <c r="A34" s="13" t="s">
        <v>195</v>
      </c>
      <c r="B34" s="13" t="s">
        <v>32</v>
      </c>
      <c r="C34" s="13">
        <v>201306</v>
      </c>
      <c r="D34" s="13"/>
      <c r="E34" s="63"/>
      <c r="F34" s="13">
        <v>1000</v>
      </c>
      <c r="G34" s="13"/>
      <c r="H34" s="13" t="s">
        <v>357</v>
      </c>
      <c r="I34" s="101" t="s">
        <v>44</v>
      </c>
      <c r="J34" s="101"/>
      <c r="K34" s="6"/>
      <c r="L34" s="6"/>
      <c r="M34" s="6"/>
      <c r="N34" s="6"/>
      <c r="O34" s="6"/>
      <c r="P34" s="6"/>
      <c r="Q34" s="6"/>
      <c r="R34" s="6"/>
    </row>
    <row r="35" spans="1:18" customFormat="1" hidden="1" x14ac:dyDescent="0.2">
      <c r="A35" s="13" t="s">
        <v>195</v>
      </c>
      <c r="B35" s="13" t="s">
        <v>32</v>
      </c>
      <c r="C35" s="13">
        <v>201306</v>
      </c>
      <c r="D35" s="13"/>
      <c r="E35" s="63"/>
      <c r="F35" s="13">
        <v>1000</v>
      </c>
      <c r="G35" s="13"/>
      <c r="H35" s="13" t="s">
        <v>196</v>
      </c>
      <c r="I35" s="101" t="s">
        <v>44</v>
      </c>
      <c r="J35" s="101"/>
      <c r="K35" s="6"/>
      <c r="L35" s="6"/>
      <c r="M35" s="6"/>
      <c r="N35" s="6"/>
      <c r="O35" s="6"/>
      <c r="P35" s="6"/>
      <c r="Q35" s="6"/>
      <c r="R35" s="6"/>
    </row>
    <row r="36" spans="1:18" customFormat="1" hidden="1" x14ac:dyDescent="0.2">
      <c r="A36" s="13"/>
      <c r="B36" s="13"/>
      <c r="C36" s="13"/>
      <c r="D36" s="13"/>
      <c r="E36" s="63"/>
      <c r="F36" s="13"/>
      <c r="G36" s="13"/>
      <c r="H36" s="13"/>
      <c r="I36" s="101"/>
      <c r="J36" s="101"/>
      <c r="K36" s="6"/>
      <c r="L36" s="6"/>
      <c r="M36" s="6"/>
      <c r="N36" s="6"/>
      <c r="O36" s="6"/>
      <c r="P36" s="6"/>
      <c r="Q36" s="6"/>
      <c r="R36" s="6"/>
    </row>
    <row r="37" spans="1:18" customFormat="1" hidden="1" x14ac:dyDescent="0.2">
      <c r="A37" s="12" t="s">
        <v>353</v>
      </c>
      <c r="B37" s="13"/>
      <c r="C37" s="13"/>
      <c r="D37" s="13"/>
      <c r="E37" s="63"/>
      <c r="F37" s="13"/>
      <c r="G37" s="13"/>
      <c r="H37" s="13"/>
      <c r="I37" s="101"/>
      <c r="J37" s="101"/>
      <c r="K37" s="6"/>
      <c r="L37" s="6"/>
      <c r="M37" s="6"/>
      <c r="N37" s="6"/>
      <c r="O37" s="6"/>
      <c r="P37" s="6"/>
      <c r="Q37" s="6"/>
      <c r="R37" s="6"/>
    </row>
    <row r="38" spans="1:18" customFormat="1" hidden="1" x14ac:dyDescent="0.2">
      <c r="A38" s="13" t="s">
        <v>190</v>
      </c>
      <c r="B38" s="13" t="s">
        <v>32</v>
      </c>
      <c r="C38" s="13">
        <v>201307</v>
      </c>
      <c r="D38" s="13"/>
      <c r="E38" s="63"/>
      <c r="F38" s="13">
        <v>500</v>
      </c>
      <c r="G38" s="13"/>
      <c r="H38" s="13" t="s">
        <v>191</v>
      </c>
      <c r="I38" s="101" t="s">
        <v>44</v>
      </c>
      <c r="J38" s="101"/>
      <c r="K38" s="6"/>
      <c r="L38" s="6"/>
      <c r="M38" s="6"/>
      <c r="N38" s="6"/>
      <c r="O38" s="6"/>
      <c r="P38" s="6"/>
      <c r="Q38" s="6"/>
      <c r="R38" s="6"/>
    </row>
    <row r="39" spans="1:18" customFormat="1" hidden="1" x14ac:dyDescent="0.2">
      <c r="A39" s="13" t="s">
        <v>354</v>
      </c>
      <c r="B39" s="13" t="s">
        <v>32</v>
      </c>
      <c r="C39" s="13">
        <v>201307</v>
      </c>
      <c r="D39" s="13"/>
      <c r="E39" s="63"/>
      <c r="F39" s="13">
        <v>2500</v>
      </c>
      <c r="G39" s="13"/>
      <c r="H39" s="13" t="s">
        <v>191</v>
      </c>
      <c r="I39" s="101" t="s">
        <v>44</v>
      </c>
      <c r="J39" s="101"/>
      <c r="K39" s="6"/>
      <c r="L39" s="6"/>
      <c r="M39" s="6"/>
      <c r="N39" s="6"/>
      <c r="O39" s="6"/>
      <c r="P39" s="6"/>
      <c r="Q39" s="6"/>
      <c r="R39" s="6"/>
    </row>
    <row r="40" spans="1:18" customFormat="1" hidden="1" x14ac:dyDescent="0.2">
      <c r="A40" s="14" t="s">
        <v>390</v>
      </c>
      <c r="B40" s="14" t="s">
        <v>32</v>
      </c>
      <c r="C40" s="13">
        <v>201306</v>
      </c>
      <c r="D40" s="13"/>
      <c r="E40" s="63"/>
      <c r="F40" s="13"/>
      <c r="G40" s="13"/>
      <c r="H40" s="14" t="s">
        <v>328</v>
      </c>
      <c r="I40" s="180" t="s">
        <v>44</v>
      </c>
      <c r="J40" s="180"/>
      <c r="K40" s="6"/>
      <c r="L40" s="6"/>
      <c r="M40" s="6"/>
      <c r="N40" s="6"/>
      <c r="O40" s="6"/>
      <c r="P40" s="6"/>
      <c r="Q40" s="6"/>
      <c r="R40" s="6"/>
    </row>
    <row r="41" spans="1:18" customFormat="1" hidden="1" x14ac:dyDescent="0.2">
      <c r="A41" s="13"/>
      <c r="B41" s="13"/>
      <c r="C41" s="13"/>
      <c r="D41" s="13"/>
      <c r="E41" s="63"/>
      <c r="F41" s="13"/>
      <c r="G41" s="13"/>
      <c r="H41" s="13"/>
      <c r="I41" s="101"/>
      <c r="J41" s="101"/>
      <c r="K41" s="6"/>
      <c r="L41" s="6"/>
      <c r="M41" s="6"/>
      <c r="N41" s="6"/>
      <c r="O41" s="6"/>
      <c r="P41" s="6"/>
      <c r="Q41" s="6"/>
      <c r="R41" s="6"/>
    </row>
    <row r="42" spans="1:18" customFormat="1" hidden="1" x14ac:dyDescent="0.2">
      <c r="A42" s="12" t="s">
        <v>118</v>
      </c>
      <c r="B42" s="13"/>
      <c r="C42" s="13"/>
      <c r="D42" s="13"/>
      <c r="E42" s="63"/>
      <c r="F42" s="13"/>
      <c r="G42" s="13"/>
      <c r="H42" s="13"/>
      <c r="I42" s="101"/>
      <c r="J42" s="101"/>
      <c r="K42" s="6"/>
      <c r="L42" s="6"/>
      <c r="M42" s="6"/>
      <c r="N42" s="6"/>
      <c r="O42" s="6"/>
      <c r="P42" s="6"/>
      <c r="Q42" s="6"/>
      <c r="R42" s="6"/>
    </row>
    <row r="43" spans="1:18" customFormat="1" hidden="1" x14ac:dyDescent="0.2">
      <c r="A43" s="13" t="s">
        <v>195</v>
      </c>
      <c r="B43" s="13" t="s">
        <v>117</v>
      </c>
      <c r="C43" s="13">
        <v>201307</v>
      </c>
      <c r="D43" s="13">
        <v>130</v>
      </c>
      <c r="E43" s="63" t="s">
        <v>27</v>
      </c>
      <c r="F43" s="13">
        <v>1000</v>
      </c>
      <c r="G43" s="13"/>
      <c r="H43" s="13" t="s">
        <v>196</v>
      </c>
      <c r="I43" s="101" t="s">
        <v>44</v>
      </c>
      <c r="J43" s="101"/>
      <c r="K43" s="6"/>
      <c r="L43" s="6"/>
      <c r="M43" s="6"/>
      <c r="N43" s="6"/>
      <c r="O43" s="6"/>
      <c r="P43" s="6"/>
      <c r="Q43" s="6"/>
      <c r="R43" s="6"/>
    </row>
    <row r="44" spans="1:18" customFormat="1" hidden="1" x14ac:dyDescent="0.2">
      <c r="A44" s="13" t="s">
        <v>195</v>
      </c>
      <c r="B44" s="13" t="s">
        <v>117</v>
      </c>
      <c r="C44" s="13">
        <v>201307</v>
      </c>
      <c r="D44" s="13">
        <v>130</v>
      </c>
      <c r="E44" s="63" t="s">
        <v>36</v>
      </c>
      <c r="F44" s="13">
        <v>1000</v>
      </c>
      <c r="G44" s="13"/>
      <c r="H44" s="13" t="s">
        <v>196</v>
      </c>
      <c r="I44" s="101" t="s">
        <v>44</v>
      </c>
      <c r="J44" s="101"/>
      <c r="K44" s="6"/>
      <c r="L44" s="6"/>
      <c r="M44" s="6"/>
      <c r="N44" s="6"/>
      <c r="O44" s="6"/>
      <c r="P44" s="6"/>
      <c r="Q44" s="6"/>
      <c r="R44" s="6"/>
    </row>
    <row r="45" spans="1:18" customFormat="1" hidden="1" x14ac:dyDescent="0.2">
      <c r="A45" s="13"/>
      <c r="B45" s="13"/>
      <c r="C45" s="13"/>
      <c r="D45" s="13"/>
      <c r="E45" s="63"/>
      <c r="F45" s="13"/>
      <c r="G45" s="13"/>
      <c r="H45" s="13"/>
      <c r="I45" s="101"/>
      <c r="J45" s="101"/>
      <c r="K45" s="6"/>
      <c r="L45" s="6"/>
      <c r="M45" s="6"/>
      <c r="N45" s="6"/>
      <c r="O45" s="6"/>
      <c r="P45" s="6"/>
      <c r="Q45" s="6"/>
      <c r="R45" s="6"/>
    </row>
    <row r="46" spans="1:18" customFormat="1" hidden="1" x14ac:dyDescent="0.2">
      <c r="A46" s="12" t="s">
        <v>37</v>
      </c>
      <c r="B46" s="13"/>
      <c r="C46" s="13"/>
      <c r="D46" s="13"/>
      <c r="E46" s="63"/>
      <c r="F46" s="13"/>
      <c r="G46" s="13"/>
      <c r="H46" s="13"/>
      <c r="I46" s="101"/>
      <c r="J46" s="101"/>
      <c r="K46" s="6"/>
      <c r="L46" s="6"/>
      <c r="M46" s="6"/>
      <c r="N46" s="6"/>
      <c r="O46" s="6"/>
      <c r="P46" s="6"/>
      <c r="Q46" s="6"/>
      <c r="R46" s="6"/>
    </row>
    <row r="47" spans="1:18" customFormat="1" hidden="1" x14ac:dyDescent="0.2">
      <c r="A47" s="14" t="s">
        <v>45</v>
      </c>
      <c r="B47" s="13" t="s">
        <v>39</v>
      </c>
      <c r="C47" s="13"/>
      <c r="D47" s="13"/>
      <c r="E47" s="63"/>
      <c r="F47" s="13"/>
      <c r="G47" s="13"/>
      <c r="H47" s="13" t="s">
        <v>46</v>
      </c>
      <c r="I47" s="101" t="s">
        <v>44</v>
      </c>
      <c r="J47" s="101"/>
      <c r="K47" s="6"/>
      <c r="L47" s="6"/>
      <c r="M47" s="6"/>
      <c r="N47" s="6"/>
      <c r="O47" s="6"/>
      <c r="P47" s="6"/>
      <c r="Q47" s="6"/>
      <c r="R47" s="6"/>
    </row>
    <row r="48" spans="1:18" customFormat="1" hidden="1" x14ac:dyDescent="0.2">
      <c r="A48" s="13" t="s">
        <v>38</v>
      </c>
      <c r="B48" s="13" t="s">
        <v>39</v>
      </c>
      <c r="C48" s="13"/>
      <c r="D48" s="13"/>
      <c r="E48" s="63"/>
      <c r="F48" s="13"/>
      <c r="G48" s="13"/>
      <c r="H48" s="13" t="s">
        <v>40</v>
      </c>
      <c r="I48" s="101" t="s">
        <v>44</v>
      </c>
      <c r="J48" s="101"/>
      <c r="K48" s="6"/>
      <c r="L48" s="6"/>
      <c r="M48" s="6"/>
      <c r="N48" s="6"/>
      <c r="O48" s="6"/>
      <c r="P48" s="6"/>
      <c r="Q48" s="6"/>
      <c r="R48" s="6"/>
    </row>
    <row r="49" spans="1:18" customFormat="1" hidden="1" x14ac:dyDescent="0.2">
      <c r="A49" s="13" t="s">
        <v>470</v>
      </c>
      <c r="B49" s="13" t="s">
        <v>39</v>
      </c>
      <c r="C49" s="13"/>
      <c r="D49" s="13"/>
      <c r="E49" s="63"/>
      <c r="F49" s="13"/>
      <c r="G49" s="13"/>
      <c r="H49" s="13" t="s">
        <v>152</v>
      </c>
      <c r="I49" s="101" t="s">
        <v>44</v>
      </c>
      <c r="J49" s="101"/>
      <c r="K49" s="6"/>
      <c r="L49" s="6"/>
      <c r="M49" s="6"/>
      <c r="N49" s="6"/>
      <c r="O49" s="6"/>
      <c r="P49" s="6"/>
      <c r="Q49" s="6"/>
      <c r="R49" s="6"/>
    </row>
    <row r="50" spans="1:18" customFormat="1" hidden="1" x14ac:dyDescent="0.2">
      <c r="A50" s="13" t="s">
        <v>471</v>
      </c>
      <c r="B50" s="13" t="s">
        <v>39</v>
      </c>
      <c r="C50" s="13"/>
      <c r="D50" s="13"/>
      <c r="E50" s="63"/>
      <c r="F50" s="13"/>
      <c r="G50" s="13"/>
      <c r="H50" s="13" t="s">
        <v>210</v>
      </c>
      <c r="I50" s="101" t="s">
        <v>44</v>
      </c>
      <c r="J50" s="101"/>
      <c r="K50" s="6"/>
      <c r="L50" s="6"/>
      <c r="M50" s="6"/>
      <c r="N50" s="6"/>
      <c r="O50" s="6"/>
      <c r="P50" s="6"/>
      <c r="Q50" s="6"/>
      <c r="R50" s="6"/>
    </row>
    <row r="51" spans="1:18" customFormat="1" hidden="1" x14ac:dyDescent="0.2">
      <c r="A51" s="13" t="s">
        <v>472</v>
      </c>
      <c r="B51" s="13" t="s">
        <v>39</v>
      </c>
      <c r="C51" s="13"/>
      <c r="D51" s="13"/>
      <c r="E51" s="63"/>
      <c r="F51" s="13"/>
      <c r="G51" s="13"/>
      <c r="H51" s="13" t="s">
        <v>473</v>
      </c>
      <c r="I51" s="101" t="s">
        <v>44</v>
      </c>
      <c r="J51" s="101"/>
      <c r="K51" s="6"/>
      <c r="L51" s="6"/>
      <c r="M51" s="6"/>
      <c r="N51" s="6"/>
      <c r="O51" s="6"/>
      <c r="P51" s="6"/>
      <c r="Q51" s="6"/>
      <c r="R51" s="6"/>
    </row>
    <row r="52" spans="1:18" customFormat="1" hidden="1" x14ac:dyDescent="0.2">
      <c r="A52" s="13" t="s">
        <v>474</v>
      </c>
      <c r="B52" s="13" t="s">
        <v>39</v>
      </c>
      <c r="C52" s="13"/>
      <c r="D52" s="13"/>
      <c r="E52" s="63"/>
      <c r="F52" s="13"/>
      <c r="G52" s="13"/>
      <c r="H52" s="13" t="s">
        <v>40</v>
      </c>
      <c r="I52" s="101" t="s">
        <v>44</v>
      </c>
      <c r="J52" s="101"/>
      <c r="K52" s="6"/>
      <c r="L52" s="6"/>
      <c r="M52" s="6"/>
      <c r="N52" s="6"/>
      <c r="O52" s="6"/>
      <c r="P52" s="6"/>
      <c r="Q52" s="6"/>
      <c r="R52" s="6"/>
    </row>
    <row r="53" spans="1:18" customFormat="1" hidden="1" x14ac:dyDescent="0.2">
      <c r="A53" s="13"/>
      <c r="B53" s="13"/>
      <c r="C53" s="13"/>
      <c r="D53" s="13"/>
      <c r="E53" s="63"/>
      <c r="F53" s="13"/>
      <c r="G53" s="13"/>
      <c r="H53" s="13"/>
      <c r="I53" s="101"/>
      <c r="J53" s="101"/>
      <c r="K53" s="6"/>
      <c r="L53" s="6"/>
      <c r="M53" s="6"/>
      <c r="N53" s="6"/>
      <c r="O53" s="6"/>
      <c r="P53" s="6"/>
      <c r="Q53" s="6"/>
      <c r="R53" s="6"/>
    </row>
    <row r="54" spans="1:18" customFormat="1" hidden="1" x14ac:dyDescent="0.2">
      <c r="A54" s="12" t="s">
        <v>41</v>
      </c>
      <c r="B54" s="13"/>
      <c r="C54" s="13"/>
      <c r="D54" s="13"/>
      <c r="E54" s="63"/>
      <c r="F54" s="13"/>
      <c r="G54" s="13"/>
      <c r="H54" s="13"/>
      <c r="I54" s="101"/>
      <c r="J54" s="101"/>
      <c r="K54" s="6"/>
      <c r="L54" s="6"/>
      <c r="M54" s="6"/>
      <c r="N54" s="6"/>
      <c r="O54" s="6"/>
      <c r="P54" s="6"/>
      <c r="Q54" s="6"/>
      <c r="R54" s="6"/>
    </row>
    <row r="55" spans="1:18" customFormat="1" hidden="1" x14ac:dyDescent="0.2">
      <c r="A55" s="13" t="s">
        <v>42</v>
      </c>
      <c r="B55" s="13" t="s">
        <v>43</v>
      </c>
      <c r="C55" s="13"/>
      <c r="D55" s="13"/>
      <c r="E55" s="63"/>
      <c r="F55" s="13"/>
      <c r="G55" s="13"/>
      <c r="H55" s="13" t="s">
        <v>491</v>
      </c>
      <c r="I55" s="101" t="s">
        <v>44</v>
      </c>
      <c r="J55" s="101"/>
      <c r="K55" s="6"/>
      <c r="L55" s="6"/>
      <c r="M55" s="6"/>
      <c r="N55" s="6"/>
      <c r="O55" s="6"/>
      <c r="P55" s="6"/>
      <c r="Q55" s="6"/>
      <c r="R55" s="6"/>
    </row>
    <row r="56" spans="1:18" customFormat="1" hidden="1" x14ac:dyDescent="0.2">
      <c r="A56" s="13" t="s">
        <v>42</v>
      </c>
      <c r="B56" s="13" t="s">
        <v>43</v>
      </c>
      <c r="C56" s="13"/>
      <c r="D56" s="13"/>
      <c r="E56" s="63"/>
      <c r="F56" s="13"/>
      <c r="G56" s="13"/>
      <c r="H56" s="13" t="s">
        <v>491</v>
      </c>
      <c r="I56" s="101" t="s">
        <v>47</v>
      </c>
      <c r="J56" s="101"/>
      <c r="K56" s="6"/>
      <c r="L56" s="6"/>
      <c r="M56" s="6"/>
      <c r="N56" s="6"/>
      <c r="O56" s="6"/>
      <c r="P56" s="6"/>
      <c r="Q56" s="6"/>
      <c r="R56" s="6"/>
    </row>
    <row r="57" spans="1:18" customFormat="1" hidden="1" x14ac:dyDescent="0.2">
      <c r="A57" s="13"/>
      <c r="B57" s="56"/>
      <c r="C57" s="56"/>
      <c r="D57" s="56"/>
      <c r="E57" s="65"/>
      <c r="F57" s="56"/>
      <c r="G57" s="56"/>
      <c r="H57" s="56"/>
      <c r="I57" s="56"/>
      <c r="J57" s="56"/>
      <c r="K57" s="6"/>
      <c r="L57" s="6"/>
      <c r="M57" s="6"/>
      <c r="N57" s="6"/>
      <c r="O57" s="6"/>
      <c r="P57" s="6"/>
      <c r="Q57" s="6"/>
      <c r="R57" s="6"/>
    </row>
    <row r="58" spans="1:18" customFormat="1" hidden="1" x14ac:dyDescent="0.2">
      <c r="A58" s="12" t="s">
        <v>480</v>
      </c>
      <c r="B58" s="13"/>
      <c r="C58" s="13"/>
      <c r="D58" s="13"/>
      <c r="E58" s="63"/>
      <c r="F58" s="13"/>
      <c r="G58" s="13"/>
      <c r="H58" s="13"/>
      <c r="I58" s="101"/>
      <c r="J58" s="101"/>
      <c r="K58" s="6"/>
      <c r="L58" s="6"/>
      <c r="M58" s="6"/>
      <c r="N58" s="6"/>
      <c r="O58" s="6"/>
      <c r="P58" s="6"/>
      <c r="Q58" s="6"/>
      <c r="R58" s="6"/>
    </row>
    <row r="59" spans="1:18" customFormat="1" hidden="1" x14ac:dyDescent="0.2">
      <c r="A59" s="216" t="s">
        <v>197</v>
      </c>
      <c r="B59" s="3" t="s">
        <v>478</v>
      </c>
      <c r="C59" s="5">
        <v>20130716</v>
      </c>
      <c r="D59" s="5">
        <v>725</v>
      </c>
      <c r="E59" s="63" t="s">
        <v>36</v>
      </c>
      <c r="F59" s="5">
        <v>0.01</v>
      </c>
      <c r="G59" s="5"/>
      <c r="H59" s="3" t="s">
        <v>484</v>
      </c>
      <c r="I59" s="232" t="s">
        <v>42</v>
      </c>
      <c r="J59" s="232"/>
      <c r="K59" s="6"/>
      <c r="L59" s="6"/>
      <c r="M59" s="6"/>
      <c r="N59" s="6"/>
      <c r="O59" s="6"/>
      <c r="P59" s="6"/>
      <c r="Q59" s="6"/>
      <c r="R59" s="6"/>
    </row>
    <row r="60" spans="1:18" customFormat="1" hidden="1" x14ac:dyDescent="0.2">
      <c r="A60" s="13"/>
      <c r="B60" s="13"/>
      <c r="C60" s="13"/>
      <c r="D60" s="13"/>
      <c r="E60" s="63"/>
      <c r="F60" s="13"/>
      <c r="G60" s="13"/>
      <c r="H60" s="13"/>
      <c r="I60" s="101"/>
      <c r="J60" s="101"/>
      <c r="K60" s="6"/>
      <c r="L60" s="6"/>
      <c r="M60" s="6"/>
      <c r="N60" s="6"/>
      <c r="O60" s="6"/>
      <c r="P60" s="6"/>
      <c r="Q60" s="6"/>
      <c r="R60" s="6"/>
    </row>
    <row r="61" spans="1:18" customFormat="1" hidden="1" x14ac:dyDescent="0.2">
      <c r="A61" s="217" t="s">
        <v>481</v>
      </c>
      <c r="B61" s="3"/>
      <c r="C61" s="5"/>
      <c r="D61" s="5"/>
      <c r="E61" s="63"/>
      <c r="F61" s="5"/>
      <c r="G61" s="5"/>
      <c r="H61" s="3"/>
      <c r="I61" s="232"/>
      <c r="J61" s="232"/>
      <c r="K61" s="6"/>
      <c r="L61" s="6"/>
      <c r="M61" s="6"/>
      <c r="N61" s="6"/>
      <c r="O61" s="6"/>
      <c r="P61" s="6"/>
      <c r="Q61" s="6"/>
      <c r="R61" s="6"/>
    </row>
    <row r="62" spans="1:18" customFormat="1" hidden="1" x14ac:dyDescent="0.2">
      <c r="A62" s="14" t="s">
        <v>26</v>
      </c>
      <c r="B62" s="14" t="s">
        <v>479</v>
      </c>
      <c r="C62" s="13">
        <v>20130620</v>
      </c>
      <c r="D62" s="13">
        <v>270</v>
      </c>
      <c r="E62" s="181" t="s">
        <v>27</v>
      </c>
      <c r="F62" s="13">
        <v>0.1</v>
      </c>
      <c r="G62" s="13"/>
      <c r="H62" s="14" t="s">
        <v>484</v>
      </c>
      <c r="I62" s="180" t="s">
        <v>42</v>
      </c>
      <c r="J62" s="180"/>
      <c r="K62" s="6"/>
      <c r="L62" s="6"/>
      <c r="M62" s="6"/>
      <c r="N62" s="6"/>
      <c r="O62" s="6"/>
      <c r="P62" s="6"/>
      <c r="Q62" s="6"/>
      <c r="R62" s="6"/>
    </row>
    <row r="63" spans="1:18" customFormat="1" hidden="1" x14ac:dyDescent="0.2">
      <c r="A63" s="217"/>
      <c r="B63" s="3"/>
      <c r="C63" s="5"/>
      <c r="D63" s="5"/>
      <c r="E63" s="63"/>
      <c r="F63" s="5"/>
      <c r="G63" s="5"/>
      <c r="H63" s="3"/>
      <c r="I63" s="232"/>
      <c r="J63" s="232"/>
      <c r="K63" s="6"/>
      <c r="L63" s="6"/>
      <c r="M63" s="6"/>
      <c r="N63" s="6"/>
      <c r="O63" s="6"/>
      <c r="P63" s="6"/>
      <c r="Q63" s="6"/>
      <c r="R63" s="6"/>
    </row>
    <row r="64" spans="1:18" customFormat="1" hidden="1" x14ac:dyDescent="0.2">
      <c r="A64" s="14"/>
      <c r="B64" s="14"/>
      <c r="C64" s="13"/>
      <c r="D64" s="13"/>
      <c r="E64" s="181"/>
      <c r="F64" s="13"/>
      <c r="G64" s="13"/>
      <c r="H64" s="14"/>
      <c r="I64" s="180"/>
      <c r="J64" s="180"/>
      <c r="K64" s="6"/>
      <c r="L64" s="6"/>
      <c r="M64" s="6"/>
      <c r="N64" s="6"/>
      <c r="O64" s="6"/>
      <c r="P64" s="6"/>
      <c r="Q64" s="6"/>
      <c r="R64" s="6"/>
    </row>
    <row r="65" spans="1:18" customFormat="1" x14ac:dyDescent="0.2">
      <c r="A65" s="14"/>
      <c r="B65" s="13"/>
      <c r="C65" s="13"/>
      <c r="D65" s="13"/>
      <c r="E65" s="63"/>
      <c r="F65" s="13"/>
      <c r="G65" s="13"/>
      <c r="H65" s="13"/>
      <c r="I65" s="13"/>
      <c r="J65" s="101"/>
      <c r="K65" s="6"/>
      <c r="L65" s="6"/>
      <c r="M65" s="6"/>
      <c r="N65" s="6"/>
      <c r="O65" s="6"/>
      <c r="P65" s="6"/>
      <c r="Q65" s="6"/>
      <c r="R65" s="6"/>
    </row>
    <row r="66" spans="1:18" customFormat="1" x14ac:dyDescent="0.2">
      <c r="A66" s="31" t="s">
        <v>574</v>
      </c>
      <c r="B66" s="31" t="s">
        <v>22</v>
      </c>
      <c r="C66" s="31" t="s">
        <v>581</v>
      </c>
      <c r="D66" s="31" t="s">
        <v>587</v>
      </c>
      <c r="E66" s="31" t="s">
        <v>587</v>
      </c>
      <c r="F66" s="31" t="s">
        <v>587</v>
      </c>
      <c r="G66" s="31" t="s">
        <v>587</v>
      </c>
      <c r="H66" s="31" t="s">
        <v>582</v>
      </c>
      <c r="I66" s="31" t="s">
        <v>583</v>
      </c>
      <c r="J66" s="262" t="s">
        <v>587</v>
      </c>
      <c r="K66" s="263" t="s">
        <v>586</v>
      </c>
      <c r="L66" s="263" t="s">
        <v>586</v>
      </c>
      <c r="M66" s="263" t="s">
        <v>587</v>
      </c>
      <c r="N66" s="263" t="s">
        <v>585</v>
      </c>
      <c r="O66" s="263" t="s">
        <v>587</v>
      </c>
      <c r="P66" s="263" t="s">
        <v>587</v>
      </c>
      <c r="Q66" s="263" t="s">
        <v>584</v>
      </c>
      <c r="R66" s="6" t="s">
        <v>586</v>
      </c>
    </row>
    <row r="67" spans="1:18" customFormat="1" hidden="1" x14ac:dyDescent="0.2">
      <c r="A67" s="176" t="s">
        <v>794</v>
      </c>
      <c r="B67" s="13" t="s">
        <v>12</v>
      </c>
      <c r="C67" s="13" t="b">
        <f>A67=Q67</f>
        <v>1</v>
      </c>
      <c r="D67" s="13"/>
      <c r="E67" s="63"/>
      <c r="F67" s="13"/>
      <c r="G67" s="13"/>
      <c r="H67" s="13" t="s">
        <v>68</v>
      </c>
      <c r="I67" s="101" t="s">
        <v>44</v>
      </c>
      <c r="J67" s="101"/>
      <c r="K67" s="6">
        <f>[9]!'id639?req?BFsingleSpaceB_STK_SMART_USD_~/'</f>
        <v>0</v>
      </c>
      <c r="L67" s="6" t="str">
        <f>[9]!id639?orderTypes</f>
        <v>ACTIVETIM,ADJUST,ALERT,ALGO,ALLOC,AON,AVGCOST,BASKET,COND,CONDORDER,DARKONLY,DARKPOLL,DAY,DEACT,DEACTDIS,DEACTEOD,DIS,GAT,GTC,GTD,GTT,HID,IBKRATS,ICE,IMB,IOC,LIT,LMT,LOC,MIT,MKT,MOC,MTL,NGCOMB,NODARK,NONALGO,OCA,OPG,OPGREROUT,PEGBENCH,POSTONLY,PREOPGRTH,R</v>
      </c>
      <c r="M67" s="6" t="str">
        <f>[9]!id639?validExchanges</f>
        <v>SMART,NYSE,CBOE,ISE,CHX,ARCA,ISLAND,VWAP,DRCTEDGE,NSX,BEX,BATS,EDGEA,CSFBALGO,JEFFALGO,BYX,IEX,TPLUS2,PSX</v>
      </c>
      <c r="N67" s="6">
        <f>[9]!id639?conid</f>
        <v>4931</v>
      </c>
      <c r="O67" s="6">
        <f>[9]!id639?minTick</f>
        <v>0.01</v>
      </c>
      <c r="P67" s="6">
        <f>[9]!id639?multiplier</f>
        <v>0</v>
      </c>
      <c r="Q67" s="6" t="str">
        <f>[9]!id639?marketName</f>
        <v>BF B</v>
      </c>
      <c r="R67" s="6" t="str">
        <f>[9]!id639?tradingClass</f>
        <v>BF B</v>
      </c>
    </row>
    <row r="68" spans="1:18" customFormat="1" hidden="1" x14ac:dyDescent="0.2">
      <c r="A68" s="176" t="s">
        <v>795</v>
      </c>
      <c r="B68" s="13" t="s">
        <v>12</v>
      </c>
      <c r="C68" s="13" t="b">
        <f t="shared" ref="C68:C130" si="0">A68=Q68</f>
        <v>1</v>
      </c>
      <c r="D68" s="13"/>
      <c r="E68" s="63"/>
      <c r="F68" s="13"/>
      <c r="G68" s="13"/>
      <c r="H68" s="13" t="s">
        <v>68</v>
      </c>
      <c r="I68" s="101" t="s">
        <v>44</v>
      </c>
      <c r="J68" s="101"/>
      <c r="K68" s="6">
        <f>[9]!'id638?req?CHK_STK_SMART_USD_~/'</f>
        <v>0</v>
      </c>
      <c r="L68" s="6" t="str">
        <f>[9]!id638?orderTypes</f>
        <v>ACTIVETIM,ADJUST,ALERT,ALGO,ALLOC,AON,AVGCOST,BASKET,COND,CONDORDER,DARKONLY,DARKPOLL,DAY,DEACT,DEACTDIS,DEACTEOD,DIS,GAT,GTC,GTD,GTT,HID,IBKRATS,ICE,IMB,IOC,LIT,LMT,LOC,MIT,MKT,MOC,MTL,NGCOMB,NODARK,NONALGO,OCA,OPG,OPGREROUT,PEGBENCH,POSTONLY,PREOPGRTH,R</v>
      </c>
      <c r="M68" s="6" t="str">
        <f>[9]!id638?validExchanges</f>
        <v>SMART,NYSE,CBOE,ISE,CHX,ARCA,ISLAND,VWAP,DRCTEDGE,NSX,BEX,BATS,EDGEA,CSFBALGO,JEFFALGO,BYX,IEX,TPLUS2,PSX</v>
      </c>
      <c r="N68" s="6">
        <f>[9]!id638?conid</f>
        <v>661417</v>
      </c>
      <c r="O68" s="6">
        <f>[9]!id638?minTick</f>
        <v>1E-4</v>
      </c>
      <c r="P68" s="6">
        <f>[9]!id638?multiplier</f>
        <v>0</v>
      </c>
      <c r="Q68" s="6" t="str">
        <f>[9]!id638?marketName</f>
        <v>CHK</v>
      </c>
      <c r="R68" s="6" t="str">
        <f>[9]!id638?tradingClass</f>
        <v>CHK</v>
      </c>
    </row>
    <row r="69" spans="1:18" customFormat="1" hidden="1" x14ac:dyDescent="0.2">
      <c r="A69" s="176" t="s">
        <v>796</v>
      </c>
      <c r="B69" s="13" t="s">
        <v>12</v>
      </c>
      <c r="C69" s="13" t="b">
        <f t="shared" si="0"/>
        <v>1</v>
      </c>
      <c r="D69" s="13"/>
      <c r="E69" s="63"/>
      <c r="F69" s="13"/>
      <c r="G69" s="13"/>
      <c r="H69" s="13" t="s">
        <v>68</v>
      </c>
      <c r="I69" s="101" t="s">
        <v>44</v>
      </c>
      <c r="J69" s="101"/>
      <c r="K69" s="6">
        <f>[9]!'id640?req?MLM_STK_SMART_USD_~/'</f>
        <v>0</v>
      </c>
      <c r="L69" s="6" t="str">
        <f>[9]!id640?orderTypes</f>
        <v>ACTIVETIM,ADJUST,ALERT,ALGO,ALLOC,AON,AVGCOST,BASKET,COND,CONDORDER,DARKONLY,DARKPOLL,DAY,DEACT,DEACTDIS,DEACTEOD,DIS,GAT,GTC,GTD,GTT,HID,IBKRATS,ICE,IMB,IOC,LIT,LMT,LOC,MIT,MKT,MOC,MTL,NGCOMB,NODARK,NONALGO,OCA,OPG,OPGREROUT,PEGBENCH,POSTONLY,PREOPGRTH,R</v>
      </c>
      <c r="M69" s="6" t="str">
        <f>[9]!id640?validExchanges</f>
        <v>SMART,NYSE,CBOE,ISE,CHX,ARCA,ISLAND,DRCTEDGE,NSX,BEX,BATS,EDGEA,CSFBALGO,JEFFALGO,BYX,IEX,TPLUS2,PSX</v>
      </c>
      <c r="N69" s="6">
        <f>[9]!id640?conid</f>
        <v>9690</v>
      </c>
      <c r="O69" s="6">
        <f>[9]!id640?minTick</f>
        <v>0.01</v>
      </c>
      <c r="P69" s="6">
        <f>[9]!id640?multiplier</f>
        <v>0</v>
      </c>
      <c r="Q69" s="6" t="str">
        <f>[9]!id640?marketName</f>
        <v>MLM</v>
      </c>
      <c r="R69" s="6" t="str">
        <f>[9]!id640?tradingClass</f>
        <v>MLM</v>
      </c>
    </row>
    <row r="70" spans="1:18" customFormat="1" hidden="1" x14ac:dyDescent="0.2">
      <c r="A70" s="176" t="s">
        <v>797</v>
      </c>
      <c r="B70" s="13" t="s">
        <v>12</v>
      </c>
      <c r="C70" s="13" t="b">
        <f t="shared" si="0"/>
        <v>0</v>
      </c>
      <c r="D70" s="13"/>
      <c r="E70" s="63"/>
      <c r="F70" s="13"/>
      <c r="G70" s="13"/>
      <c r="H70" s="13" t="s">
        <v>68</v>
      </c>
      <c r="I70" s="101" t="s">
        <v>44</v>
      </c>
      <c r="J70" s="101"/>
      <c r="K70" s="6">
        <f>[9]!'id641?req?MAT_STK_SMART_USD_~/'</f>
        <v>0</v>
      </c>
      <c r="L70" s="6" t="str">
        <f>[9]!id641?orderTypes</f>
        <v>ACTIVETIM,ADJUST,ALERT,ALGO,ALLOC,AON,AVGCOST,BASKET,COND,CONDORDER,DARKONLY,DARKPOLL,DAY,DEACT,DEACTDIS,DEACTEOD,DIS,GAT,GTC,GTD,GTT,HID,IBKRATS,ICE,IMB,IOC,LIT,LMT,LOC,MIT,MKT,MOC,MTL,NGCOMB,NODARK,NONALGO,OCA,OPG,OPGREROUT,PEGBENCH,POSTONLY,PREOPGRTH,R</v>
      </c>
      <c r="M70" s="6" t="str">
        <f>[9]!id641?validExchanges</f>
        <v>SMART,CBOE,ISE,CHX,ARCA,ISLAND,VWAP,DRCTEDGE,NSX,BEX,BATS,EDGEA,CSFBALGO,JEFFALGO,BYX,IEX,TPLUS2,PSX</v>
      </c>
      <c r="N70" s="6">
        <f>[9]!id641?conid</f>
        <v>9365</v>
      </c>
      <c r="O70" s="6">
        <f>[9]!id641?minTick</f>
        <v>0.01</v>
      </c>
      <c r="P70" s="6">
        <f>[9]!id641?multiplier</f>
        <v>0</v>
      </c>
      <c r="Q70" s="6" t="str">
        <f>[9]!id641?marketName</f>
        <v>NMS</v>
      </c>
      <c r="R70" s="6" t="str">
        <f>[9]!id641?tradingClass</f>
        <v>NMS</v>
      </c>
    </row>
    <row r="71" spans="1:18" customFormat="1" hidden="1" x14ac:dyDescent="0.2">
      <c r="A71" s="176" t="s">
        <v>798</v>
      </c>
      <c r="B71" s="13" t="s">
        <v>12</v>
      </c>
      <c r="C71" s="13" t="b">
        <f t="shared" si="0"/>
        <v>1</v>
      </c>
      <c r="D71" s="13"/>
      <c r="E71" s="63"/>
      <c r="F71" s="13"/>
      <c r="G71" s="13"/>
      <c r="H71" s="13" t="s">
        <v>68</v>
      </c>
      <c r="I71" s="101" t="s">
        <v>44</v>
      </c>
      <c r="J71" s="101"/>
      <c r="K71" s="6">
        <f>[9]!'id642?req?MET_STK_SMART_USD_~/'</f>
        <v>0</v>
      </c>
      <c r="L71" s="6" t="str">
        <f>[9]!id642?orderTypes</f>
        <v>ACTIVETIM,ADJUST,ALERT,ALGO,ALLOC,AON,AVGCOST,BASKET,COND,CONDORDER,DARKONLY,DARKPOLL,DAY,DEACT,DEACTDIS,DEACTEOD,DIS,GAT,GTC,GTD,GTT,HID,IBKRATS,ICE,IMB,IOC,LIT,LMT,LOC,MIT,MKT,MOC,MTL,NGCOMB,NODARK,NONALGO,OCA,OPG,OPGREROUT,PEGBENCH,POSTONLY,PREOPGRTH,R</v>
      </c>
      <c r="M71" s="6" t="str">
        <f>[9]!id642?validExchanges</f>
        <v>SMART,NYSE,CBOE,ISE,CHX,ARCA,ISLAND,VWAP,DRCTEDGE,NSX,BEX,BATS,EDGEA,CSFBALGO,JEFFALGO,BYX,IEX,TPLUS2,PSX</v>
      </c>
      <c r="N71" s="6">
        <f>[9]!id642?conid</f>
        <v>8093509</v>
      </c>
      <c r="O71" s="6">
        <f>[9]!id642?minTick</f>
        <v>0.01</v>
      </c>
      <c r="P71" s="6">
        <f>[9]!id642?multiplier</f>
        <v>0</v>
      </c>
      <c r="Q71" s="6" t="str">
        <f>[9]!id642?marketName</f>
        <v>MET</v>
      </c>
      <c r="R71" s="6" t="str">
        <f>[9]!id642?tradingClass</f>
        <v>MET</v>
      </c>
    </row>
    <row r="72" spans="1:18" customFormat="1" hidden="1" x14ac:dyDescent="0.2">
      <c r="A72" s="176" t="s">
        <v>799</v>
      </c>
      <c r="B72" s="13" t="s">
        <v>12</v>
      </c>
      <c r="C72" s="13" t="b">
        <f t="shared" si="0"/>
        <v>0</v>
      </c>
      <c r="D72" s="13"/>
      <c r="E72" s="63"/>
      <c r="F72" s="13"/>
      <c r="G72" s="13"/>
      <c r="H72" s="13" t="s">
        <v>68</v>
      </c>
      <c r="I72" s="101" t="s">
        <v>44</v>
      </c>
      <c r="J72" s="101"/>
      <c r="K72" s="6">
        <f>[9]!'id643?req?ATVI_STK_SMART_USD_~/'</f>
        <v>0</v>
      </c>
      <c r="L72" s="6" t="str">
        <f>[9]!id643?orderTypes</f>
        <v>ACTIVETIM,ADJUST,ALERT,ALGO,ALLOC,AON,AVGCOST,BASKET,COND,CONDORDER,DARKONLY,DARKPOLL,DAY,DEACT,DEACTDIS,DEACTEOD,DIS,GAT,GTC,GTD,GTT,HID,IBKRATS,ICE,IMB,IOC,LIT,LMT,LOC,MIT,MKT,MOC,MTL,NGCOMB,NODARK,NONALGO,OCA,OPG,OPGREROUT,PEGBENCH,POSTONLY,PREOPGRTH,R</v>
      </c>
      <c r="M72" s="6" t="str">
        <f>[9]!id643?validExchanges</f>
        <v>SMART,CBOE,ISE,CHX,ARCA,ISLAND,VWAP,DRCTEDGE,NSX,BEX,BATS,EDGEA,CSFBALGO,JEFFALGO,BYX,IEX,TPLUS2,PSX</v>
      </c>
      <c r="N72" s="6">
        <f>[9]!id643?conid</f>
        <v>52424577</v>
      </c>
      <c r="O72" s="6">
        <f>[9]!id643?minTick</f>
        <v>0.01</v>
      </c>
      <c r="P72" s="6">
        <f>[9]!id643?multiplier</f>
        <v>0</v>
      </c>
      <c r="Q72" s="6" t="str">
        <f>[9]!id643?marketName</f>
        <v>NMS</v>
      </c>
      <c r="R72" s="6" t="str">
        <f>[9]!id643?tradingClass</f>
        <v>NMS</v>
      </c>
    </row>
    <row r="73" spans="1:18" customFormat="1" hidden="1" x14ac:dyDescent="0.2">
      <c r="A73" s="176" t="s">
        <v>800</v>
      </c>
      <c r="B73" s="13" t="s">
        <v>12</v>
      </c>
      <c r="C73" s="13" t="b">
        <f t="shared" si="0"/>
        <v>1</v>
      </c>
      <c r="D73" s="13"/>
      <c r="E73" s="63"/>
      <c r="F73" s="13"/>
      <c r="G73" s="13"/>
      <c r="H73" s="13" t="s">
        <v>68</v>
      </c>
      <c r="I73" s="101" t="s">
        <v>44</v>
      </c>
      <c r="J73" s="101"/>
      <c r="K73" s="6">
        <f>[9]!'id644?req?CVS_STK_SMART_USD_~/'</f>
        <v>0</v>
      </c>
      <c r="L73" s="6" t="str">
        <f>[9]!id644?orderTypes</f>
        <v>ACTIVETIM,ADJUST,ALERT,ALGO,ALLOC,AON,AVGCOST,BASKET,COND,CONDORDER,DARKONLY,DARKPOLL,DAY,DEACT,DEACTDIS,DEACTEOD,DIS,GAT,GTC,GTD,GTT,HID,IBKRATS,ICE,IMB,IOC,LIT,LMT,LOC,MIT,MKT,MOC,MTL,NGCOMB,NODARK,NONALGO,OCA,OPG,OPGREROUT,PEGBENCH,POSTONLY,PREOPGRTH,R</v>
      </c>
      <c r="M73" s="6" t="str">
        <f>[9]!id644?validExchanges</f>
        <v>SMART,NYSE,CBOE,ISE,CHX,ARCA,ISLAND,VWAP,DRCTEDGE,NSX,BEX,BATS,EDGEA,CSFBALGO,JEFFALGO,BYX,IEX,TPLUS2,PSX</v>
      </c>
      <c r="N73" s="6">
        <f>[9]!id644?conid</f>
        <v>2585769</v>
      </c>
      <c r="O73" s="6">
        <f>[9]!id644?minTick</f>
        <v>0.01</v>
      </c>
      <c r="P73" s="6">
        <f>[9]!id644?multiplier</f>
        <v>0</v>
      </c>
      <c r="Q73" s="6" t="str">
        <f>[9]!id644?marketName</f>
        <v>CVS</v>
      </c>
      <c r="R73" s="6" t="str">
        <f>[9]!id644?tradingClass</f>
        <v>CVS</v>
      </c>
    </row>
    <row r="74" spans="1:18" customFormat="1" hidden="1" x14ac:dyDescent="0.2">
      <c r="A74" s="176" t="s">
        <v>801</v>
      </c>
      <c r="B74" s="13" t="s">
        <v>12</v>
      </c>
      <c r="C74" s="13" t="b">
        <f t="shared" si="0"/>
        <v>1</v>
      </c>
      <c r="D74" s="13"/>
      <c r="E74" s="63"/>
      <c r="F74" s="13"/>
      <c r="G74" s="13"/>
      <c r="H74" s="13" t="s">
        <v>68</v>
      </c>
      <c r="I74" s="101" t="s">
        <v>44</v>
      </c>
      <c r="J74" s="101"/>
      <c r="K74" s="6">
        <f>[9]!'id645?req?LH_STK_SMART_USD_~/'</f>
        <v>0</v>
      </c>
      <c r="L74" s="6" t="str">
        <f>[9]!id645?orderTypes</f>
        <v>ACTIVETIM,ADJUST,ALERT,ALGO,ALLOC,AON,AVGCOST,BASKET,COND,CONDORDER,DARKONLY,DARKPOLL,DAY,DEACT,DEACTDIS,DEACTEOD,DIS,GAT,GTC,GTD,GTT,HID,IBKRATS,ICE,IMB,IOC,LIT,LMT,LOC,MIT,MKT,MOC,MTL,NGCOMB,NODARK,NONALGO,OCA,OPG,OPGREROUT,PEGBENCH,POSTONLY,PREOPGRTH,R</v>
      </c>
      <c r="M74" s="6" t="str">
        <f>[9]!id645?validExchanges</f>
        <v>SMART,NYSE,CBOE,ISE,CHX,ARCA,ISLAND,VWAP,DRCTEDGE,NSX,BEX,BATS,EDGEA,CSFBALGO,JEFFALGO,BYX,IEX,TPLUS2,PSX</v>
      </c>
      <c r="N74" s="6">
        <f>[9]!id645?conid</f>
        <v>661507</v>
      </c>
      <c r="O74" s="6">
        <f>[9]!id645?minTick</f>
        <v>0.01</v>
      </c>
      <c r="P74" s="6">
        <f>[9]!id645?multiplier</f>
        <v>0</v>
      </c>
      <c r="Q74" s="6" t="str">
        <f>[9]!id645?marketName</f>
        <v>LH</v>
      </c>
      <c r="R74" s="6" t="str">
        <f>[9]!id645?tradingClass</f>
        <v>LH</v>
      </c>
    </row>
    <row r="75" spans="1:18" customFormat="1" hidden="1" x14ac:dyDescent="0.2">
      <c r="A75" s="176" t="s">
        <v>69</v>
      </c>
      <c r="B75" s="13" t="s">
        <v>12</v>
      </c>
      <c r="C75" s="13" t="b">
        <f t="shared" si="0"/>
        <v>0</v>
      </c>
      <c r="D75" s="13"/>
      <c r="E75" s="63"/>
      <c r="F75" s="13"/>
      <c r="G75" s="13"/>
      <c r="H75" s="13" t="s">
        <v>68</v>
      </c>
      <c r="I75" s="101" t="s">
        <v>44</v>
      </c>
      <c r="J75" s="101"/>
      <c r="K75" s="6">
        <f>[9]!'id646?req?MSFT_STK_SMART_USD_~/'</f>
        <v>0</v>
      </c>
      <c r="L75" s="6" t="str">
        <f>[9]!id646?orderTypes</f>
        <v>ACTIVETIM,ADJUST,ALERT,ALGO,ALLOC,AON,AVGCOST,BASKET,COND,CONDORDER,DARKONLY,DARKPOLL,DAY,DEACT,DEACTDIS,DEACTEOD,DIS,GAT,GTC,GTD,GTT,HID,IBKRATS,ICE,IMB,IOC,LIT,LMT,LOC,MIT,MKT,MOC,MTL,NGCOMB,NODARK,NONALGO,OCA,OPG,OPGREROUT,PEGBENCH,POSTONLY,PREOPGRTH,R</v>
      </c>
      <c r="M75" s="6" t="str">
        <f>[9]!id646?validExchanges</f>
        <v>SMART,CBOE,ISE,CHX,ARCA,ISLAND,VWAP,DRCTEDGE,NSX,BEX,BATS,EDGEA,CSFBALGO,JEFFALGO,BYX,IEX,TPLUS2,PSX</v>
      </c>
      <c r="N75" s="6">
        <f>[9]!id646?conid</f>
        <v>272093</v>
      </c>
      <c r="O75" s="6">
        <f>[9]!id646?minTick</f>
        <v>0.01</v>
      </c>
      <c r="P75" s="6">
        <f>[9]!id646?multiplier</f>
        <v>0</v>
      </c>
      <c r="Q75" s="6" t="str">
        <f>[9]!id646?marketName</f>
        <v>NMS</v>
      </c>
      <c r="R75" s="6" t="str">
        <f>[9]!id646?tradingClass</f>
        <v>NMS</v>
      </c>
    </row>
    <row r="76" spans="1:18" customFormat="1" hidden="1" x14ac:dyDescent="0.2">
      <c r="A76" s="176" t="s">
        <v>802</v>
      </c>
      <c r="B76" s="13" t="s">
        <v>12</v>
      </c>
      <c r="C76" s="13" t="b">
        <f t="shared" si="0"/>
        <v>0</v>
      </c>
      <c r="D76" s="13"/>
      <c r="E76" s="63"/>
      <c r="F76" s="13"/>
      <c r="G76" s="13"/>
      <c r="H76" s="13" t="s">
        <v>68</v>
      </c>
      <c r="I76" s="101" t="s">
        <v>44</v>
      </c>
      <c r="J76" s="101"/>
      <c r="K76" s="6">
        <f>[9]!'id647?req?MU_STK_SMART_USD_~/'</f>
        <v>0</v>
      </c>
      <c r="L76" s="6" t="str">
        <f>[9]!id647?orderTypes</f>
        <v>ACTIVETIM,ADJUST,ALERT,ALGO,ALLOC,AON,AVGCOST,BASKET,COND,CONDORDER,DARKONLY,DARKPOLL,DAY,DEACT,DEACTDIS,DEACTEOD,DIS,GAT,GTC,GTD,GTT,HID,IBKRATS,ICE,IMB,IOC,LIT,LMT,LOC,MIT,MKT,MOC,MTL,NGCOMB,NODARK,NONALGO,OCA,OPG,OPGREROUT,PEGBENCH,POSTONLY,PREOPGRTH,R</v>
      </c>
      <c r="M76" s="6" t="str">
        <f>[9]!id647?validExchanges</f>
        <v>SMART,CBOE,ISE,CHX,ARCA,ISLAND,VWAP,DRCTEDGE,NSX,BEX,BATS,EDGEA,CSFBALGO,JEFFALGO,BYX,IEX,TPLUS2,PSX</v>
      </c>
      <c r="N76" s="6">
        <f>[9]!id647?conid</f>
        <v>9939</v>
      </c>
      <c r="O76" s="6">
        <f>[9]!id647?minTick</f>
        <v>0.01</v>
      </c>
      <c r="P76" s="6">
        <f>[9]!id647?multiplier</f>
        <v>0</v>
      </c>
      <c r="Q76" s="6" t="str">
        <f>[9]!id647?marketName</f>
        <v>NMS</v>
      </c>
      <c r="R76" s="6" t="str">
        <f>[9]!id647?tradingClass</f>
        <v>NMS</v>
      </c>
    </row>
    <row r="77" spans="1:18" customFormat="1" hidden="1" x14ac:dyDescent="0.2">
      <c r="A77" s="176" t="s">
        <v>803</v>
      </c>
      <c r="B77" s="13" t="s">
        <v>12</v>
      </c>
      <c r="C77" s="13" t="b">
        <f t="shared" si="0"/>
        <v>0</v>
      </c>
      <c r="D77" s="13"/>
      <c r="E77" s="63"/>
      <c r="F77" s="13"/>
      <c r="G77" s="13"/>
      <c r="H77" s="13" t="s">
        <v>68</v>
      </c>
      <c r="I77" s="101" t="s">
        <v>44</v>
      </c>
      <c r="J77" s="101"/>
      <c r="K77" s="6">
        <f>[9]!'id648?req?MCHP_STK_SMART_USD_~/'</f>
        <v>0</v>
      </c>
      <c r="L77" s="6" t="str">
        <f>[9]!id648?orderTypes</f>
        <v>ACTIVETIM,ADJUST,ALERT,ALGO,ALLOC,AON,AVGCOST,BASKET,COND,CONDORDER,DARKONLY,DARKPOLL,DAY,DEACT,DEACTDIS,DEACTEOD,DIS,GAT,GTC,GTD,GTT,HID,IBKRATS,ICE,IMB,IOC,LIT,LMT,LOC,MIT,MKT,MOC,MTL,NGCOMB,NODARK,NONALGO,OCA,OPG,OPGREROUT,PEGBENCH,POSTONLY,PREOPGRTH,R</v>
      </c>
      <c r="M77" s="6" t="str">
        <f>[9]!id648?validExchanges</f>
        <v>SMART,CBOE,ISE,CHX,ARCA,ISLAND,VWAP,DRCTEDGE,NSX,BEX,BATS,EDGEA,CSFBALGO,JEFFALGO,BYX,IEX,TPLUS2,PSX</v>
      </c>
      <c r="N77" s="6">
        <f>[9]!id648?conid</f>
        <v>271568</v>
      </c>
      <c r="O77" s="6">
        <f>[9]!id648?minTick</f>
        <v>0.01</v>
      </c>
      <c r="P77" s="6">
        <f>[9]!id648?multiplier</f>
        <v>0</v>
      </c>
      <c r="Q77" s="6" t="str">
        <f>[9]!id648?marketName</f>
        <v>NMS</v>
      </c>
      <c r="R77" s="6" t="str">
        <f>[9]!id648?tradingClass</f>
        <v>NMS</v>
      </c>
    </row>
    <row r="78" spans="1:18" customFormat="1" hidden="1" x14ac:dyDescent="0.2">
      <c r="A78" s="176" t="s">
        <v>804</v>
      </c>
      <c r="B78" s="13" t="s">
        <v>12</v>
      </c>
      <c r="C78" s="13" t="b">
        <f t="shared" si="0"/>
        <v>1</v>
      </c>
      <c r="D78" s="13"/>
      <c r="E78" s="63"/>
      <c r="F78" s="13"/>
      <c r="G78" s="13"/>
      <c r="H78" s="13" t="s">
        <v>68</v>
      </c>
      <c r="I78" s="101" t="s">
        <v>44</v>
      </c>
      <c r="J78" s="101"/>
      <c r="K78" s="6">
        <f>[9]!'id649?req?MMM_STK_SMART_USD_~/'</f>
        <v>0</v>
      </c>
      <c r="L78" s="6" t="str">
        <f>[9]!id649?orderTypes</f>
        <v>ACTIVETIM,ADJUST,ALERT,ALGO,ALLOC,AON,AVGCOST,BASKET,COND,CONDORDER,DARKONLY,DARKPOLL,DAY,DEACT,DEACTDIS,DEACTEOD,DIS,GAT,GTC,GTD,GTT,HID,IBKRATS,ICE,IMB,IOC,LIT,LMT,LOC,MIT,MKT,MOC,MTL,NGCOMB,NODARK,NONALGO,OCA,OPG,OPGREROUT,PEGBENCH,POSTONLY,PREOPGRTH,R</v>
      </c>
      <c r="M78" s="6" t="str">
        <f>[9]!id649?validExchanges</f>
        <v>SMART,NYSE,CBOE,ISE,CHX,ARCA,ISLAND,VWAP,DRCTEDGE,NSX,BEX,BATS,EDGEA,CSFBALGO,JEFFALGO,BYX,IEX,TPLUS2,PSX</v>
      </c>
      <c r="N78" s="6">
        <f>[9]!id649?conid</f>
        <v>9720</v>
      </c>
      <c r="O78" s="6">
        <f>[9]!id649?minTick</f>
        <v>0.01</v>
      </c>
      <c r="P78" s="6">
        <f>[9]!id649?multiplier</f>
        <v>0</v>
      </c>
      <c r="Q78" s="6" t="str">
        <f>[9]!id649?marketName</f>
        <v>MMM</v>
      </c>
      <c r="R78" s="6" t="str">
        <f>[9]!id649?tradingClass</f>
        <v>MMM</v>
      </c>
    </row>
    <row r="79" spans="1:18" customFormat="1" hidden="1" x14ac:dyDescent="0.2">
      <c r="A79" s="176" t="s">
        <v>805</v>
      </c>
      <c r="B79" s="13" t="s">
        <v>12</v>
      </c>
      <c r="C79" s="13" t="b">
        <f t="shared" si="0"/>
        <v>1</v>
      </c>
      <c r="D79" s="13"/>
      <c r="E79" s="63"/>
      <c r="F79" s="13"/>
      <c r="G79" s="13"/>
      <c r="H79" s="13" t="s">
        <v>68</v>
      </c>
      <c r="I79" s="101" t="s">
        <v>44</v>
      </c>
      <c r="J79" s="101"/>
      <c r="K79" s="6">
        <f>[9]!'id650?req?MHK_STK_SMART_USD_~/'</f>
        <v>0</v>
      </c>
      <c r="L79" s="6" t="str">
        <f>[9]!id650?orderTypes</f>
        <v>ACTIVETIM,ADJUST,ALERT,ALGO,ALLOC,AON,AVGCOST,BASKET,COND,CONDORDER,DARKONLY,DARKPOLL,DAY,DEACT,DEACTDIS,DEACTEOD,DIS,GAT,GTC,GTD,GTT,HID,IBKRATS,ICE,IMB,IOC,LIT,LMT,LOC,MIT,MKT,MOC,MTL,NGCOMB,NODARK,NONALGO,OCA,OPG,OPGREROUT,PEGBENCH,POSTONLY,PREOPGRTH,R</v>
      </c>
      <c r="M79" s="6" t="str">
        <f>[9]!id650?validExchanges</f>
        <v>SMART,NYSE,CBOE,ISE,CHX,ARCA,ISLAND,VWAP,DRCTEDGE,NSX,BEX,BATS,EDGEA,CSFBALGO,JEFFALGO,BYX,IEX,TPLUS2,PSX</v>
      </c>
      <c r="N79" s="6">
        <f>[9]!id650?conid</f>
        <v>271967</v>
      </c>
      <c r="O79" s="6">
        <f>[9]!id650?minTick</f>
        <v>0.01</v>
      </c>
      <c r="P79" s="6">
        <f>[9]!id650?multiplier</f>
        <v>0</v>
      </c>
      <c r="Q79" s="6" t="str">
        <f>[9]!id650?marketName</f>
        <v>MHK</v>
      </c>
      <c r="R79" s="6" t="str">
        <f>[9]!id650?tradingClass</f>
        <v>MHK</v>
      </c>
    </row>
    <row r="80" spans="1:18" customFormat="1" hidden="1" x14ac:dyDescent="0.2">
      <c r="A80" s="176" t="s">
        <v>806</v>
      </c>
      <c r="B80" s="13" t="s">
        <v>12</v>
      </c>
      <c r="C80" s="13" t="b">
        <f t="shared" si="0"/>
        <v>1</v>
      </c>
      <c r="D80" s="13"/>
      <c r="E80" s="63"/>
      <c r="F80" s="13"/>
      <c r="G80" s="13"/>
      <c r="H80" s="13" t="s">
        <v>68</v>
      </c>
      <c r="I80" s="101" t="s">
        <v>44</v>
      </c>
      <c r="J80" s="101"/>
      <c r="K80" s="6">
        <f>[9]!'id651?req?KSU_STK_SMART_USD_~/'</f>
        <v>0</v>
      </c>
      <c r="L80" s="6" t="str">
        <f>[9]!id651?orderTypes</f>
        <v>ACTIVETIM,ADJUST,ALERT,ALGO,ALLOC,AON,AVGCOST,BASKET,COND,CONDORDER,DARKONLY,DARKPOLL,DAY,DEACT,DEACTDIS,DEACTEOD,DIS,GAT,GTC,GTD,GTT,HID,IBKRATS,ICE,IMB,IOC,LIT,LMT,LOC,MIT,MKT,MOC,MTL,NGCOMB,NODARK,NONALGO,OCA,OPG,OPGREROUT,PEGBENCH,POSTONLY,PREOPGRTH,R</v>
      </c>
      <c r="M80" s="6" t="str">
        <f>[9]!id651?validExchanges</f>
        <v>SMART,NYSE,CBOE,ISE,CHX,ARCA,ISLAND,VWAP,DRCTEDGE,NSX,BEX,BATS,EDGEA,CSFBALGO,JEFFALGO,BYX,IEX,TPLUS2,PSX</v>
      </c>
      <c r="N80" s="6">
        <f>[9]!id651?conid</f>
        <v>8949</v>
      </c>
      <c r="O80" s="6">
        <f>[9]!id651?minTick</f>
        <v>0.01</v>
      </c>
      <c r="P80" s="6">
        <f>[9]!id651?multiplier</f>
        <v>0</v>
      </c>
      <c r="Q80" s="6" t="str">
        <f>[9]!id651?marketName</f>
        <v>KSU</v>
      </c>
      <c r="R80" s="6" t="str">
        <f>[9]!id651?tradingClass</f>
        <v>KSU</v>
      </c>
    </row>
    <row r="81" spans="1:18" customFormat="1" hidden="1" x14ac:dyDescent="0.2">
      <c r="A81" s="176" t="s">
        <v>807</v>
      </c>
      <c r="B81" s="13" t="s">
        <v>12</v>
      </c>
      <c r="C81" s="13" t="b">
        <f t="shared" si="0"/>
        <v>1</v>
      </c>
      <c r="D81" s="13"/>
      <c r="E81" s="63"/>
      <c r="F81" s="13"/>
      <c r="G81" s="13"/>
      <c r="H81" s="13" t="s">
        <v>68</v>
      </c>
      <c r="I81" s="101" t="s">
        <v>44</v>
      </c>
      <c r="J81" s="101"/>
      <c r="K81" s="6">
        <f>[9]!'id652?req?MUR_STK_SMART_USD_~/'</f>
        <v>0</v>
      </c>
      <c r="L81" s="6" t="str">
        <f>[9]!id652?orderTypes</f>
        <v>ACTIVETIM,ADJUST,ALERT,ALGO,ALLOC,AON,AVGCOST,BASKET,COND,CONDORDER,DARKONLY,DARKPOLL,DAY,DEACT,DEACTDIS,DEACTEOD,DIS,GAT,GTC,GTD,GTT,HID,IBKRATS,ICE,IMB,IOC,LIT,LMT,LOC,MIT,MKT,MOC,MTL,NGCOMB,NODARK,NONALGO,OCA,OPG,OPGREROUT,PEGBENCH,POSTONLY,PREOPGRTH,R</v>
      </c>
      <c r="M81" s="6" t="str">
        <f>[9]!id652?validExchanges</f>
        <v>SMART,NYSE,CBOE,ISE,CHX,ARCA,ISLAND,VWAP,DRCTEDGE,NSX,BEX,BATS,EDGEA,CSFBALGO,JEFFALGO,BYX,IEX,TPLUS2,PSX</v>
      </c>
      <c r="N81" s="6">
        <f>[9]!id652?conid</f>
        <v>9952</v>
      </c>
      <c r="O81" s="6">
        <f>[9]!id652?minTick</f>
        <v>0.01</v>
      </c>
      <c r="P81" s="6">
        <f>[9]!id652?multiplier</f>
        <v>0</v>
      </c>
      <c r="Q81" s="6" t="str">
        <f>[9]!id652?marketName</f>
        <v>MUR</v>
      </c>
      <c r="R81" s="6" t="str">
        <f>[9]!id652?tradingClass</f>
        <v>MUR</v>
      </c>
    </row>
    <row r="82" spans="1:18" customFormat="1" hidden="1" x14ac:dyDescent="0.2">
      <c r="A82" s="176" t="s">
        <v>808</v>
      </c>
      <c r="B82" s="13" t="s">
        <v>12</v>
      </c>
      <c r="C82" s="13" t="b">
        <f t="shared" si="0"/>
        <v>0</v>
      </c>
      <c r="D82" s="13"/>
      <c r="E82" s="63"/>
      <c r="F82" s="13"/>
      <c r="G82" s="13"/>
      <c r="H82" s="13" t="s">
        <v>68</v>
      </c>
      <c r="I82" s="101" t="s">
        <v>44</v>
      </c>
      <c r="J82" s="101"/>
      <c r="K82" s="6">
        <f>[9]!'id653?req?ILMN_STK_SMART_USD_~/'</f>
        <v>0</v>
      </c>
      <c r="L82" s="6" t="str">
        <f>[9]!id653?orderTypes</f>
        <v>ACTIVETIM,ADJUST,ALERT,ALGO,ALLOC,AON,AVGCOST,BASKET,COND,CONDORDER,DARKONLY,DARKPOLL,DAY,DEACT,DEACTDIS,DEACTEOD,DIS,GAT,GTC,GTD,GTT,HID,IBKRATS,ICE,IMB,IOC,LIT,LMT,LOC,MIT,MKT,MOC,MTL,NGCOMB,NODARK,NONALGO,OCA,OPG,OPGREROUT,PEGBENCH,POSTONLY,PREOPGRTH,R</v>
      </c>
      <c r="M82" s="6" t="str">
        <f>[9]!id653?validExchanges</f>
        <v>SMART,CBOE,ISE,CHX,ARCA,ISLAND,DRCTEDGE,NSX,BEX,BATS,EDGEA,CSFBALGO,JEFFALGO,BYX,IEX,TPLUS2,PSX</v>
      </c>
      <c r="N82" s="6">
        <f>[9]!id653?conid</f>
        <v>9869443</v>
      </c>
      <c r="O82" s="6">
        <f>[9]!id653?minTick</f>
        <v>0.01</v>
      </c>
      <c r="P82" s="6">
        <f>[9]!id653?multiplier</f>
        <v>0</v>
      </c>
      <c r="Q82" s="6" t="str">
        <f>[9]!id653?marketName</f>
        <v>NMS</v>
      </c>
      <c r="R82" s="6" t="str">
        <f>[9]!id653?tradingClass</f>
        <v>NMS</v>
      </c>
    </row>
    <row r="83" spans="1:18" customFormat="1" hidden="1" x14ac:dyDescent="0.2">
      <c r="A83" s="176" t="s">
        <v>809</v>
      </c>
      <c r="B83" s="13" t="s">
        <v>12</v>
      </c>
      <c r="C83" s="13" t="b">
        <f t="shared" si="0"/>
        <v>1</v>
      </c>
      <c r="D83" s="13"/>
      <c r="E83" s="63"/>
      <c r="F83" s="13"/>
      <c r="G83" s="13"/>
      <c r="H83" s="13" t="s">
        <v>68</v>
      </c>
      <c r="I83" s="101" t="s">
        <v>44</v>
      </c>
      <c r="J83" s="101"/>
      <c r="K83" s="6">
        <f>[9]!'id654?req?XEL_STK_SMART_USD_~/'</f>
        <v>0</v>
      </c>
      <c r="L83" s="6" t="str">
        <f>[9]!id654?orderTypes</f>
        <v>ACTIVETIM,ADJUST,ALERT,ALGO,ALLOC,AON,AVGCOST,BASKET,COND,CONDORDER,DARKONLY,DARKPOLL,DAY,DEACT,DEACTDIS,DEACTEOD,DIS,GAT,GTC,GTD,GTT,HID,IBKRATS,ICE,IMB,IOC,LIT,LMT,LOC,MIT,MKT,MOC,MTL,NGCOMB,NODARK,NONALGO,OCA,OPG,OPGREROUT,PEGBENCH,POSTONLY,PREOPGRTH,R</v>
      </c>
      <c r="M83" s="6" t="str">
        <f>[9]!id654?validExchanges</f>
        <v>SMART,NYSE,CBOE,ISE,CHX,ARCA,ISLAND,VWAP,DRCTEDGE,NSX,BEX,BATS,EDGEA,CSFBALGO,JEFFALGO,BYX,IEX,TPLUS2,PSX</v>
      </c>
      <c r="N83" s="6">
        <f>[9]!id654?conid</f>
        <v>10517</v>
      </c>
      <c r="O83" s="6">
        <f>[9]!id654?minTick</f>
        <v>0.01</v>
      </c>
      <c r="P83" s="6">
        <f>[9]!id654?multiplier</f>
        <v>0</v>
      </c>
      <c r="Q83" s="6" t="str">
        <f>[9]!id654?marketName</f>
        <v>XEL</v>
      </c>
      <c r="R83" s="6" t="str">
        <f>[9]!id654?tradingClass</f>
        <v>XEL</v>
      </c>
    </row>
    <row r="84" spans="1:18" customFormat="1" hidden="1" x14ac:dyDescent="0.2">
      <c r="A84" s="176" t="s">
        <v>810</v>
      </c>
      <c r="B84" s="13" t="s">
        <v>12</v>
      </c>
      <c r="C84" s="13" t="b">
        <f t="shared" si="0"/>
        <v>1</v>
      </c>
      <c r="D84" s="13"/>
      <c r="E84" s="63"/>
      <c r="F84" s="13"/>
      <c r="G84" s="13"/>
      <c r="H84" s="13" t="s">
        <v>68</v>
      </c>
      <c r="I84" s="101" t="s">
        <v>44</v>
      </c>
      <c r="J84" s="101"/>
      <c r="K84" s="6">
        <f>[9]!'id655?req?F_STK_SMART_USD_~/'</f>
        <v>0</v>
      </c>
      <c r="L84" s="6" t="str">
        <f>[9]!id655?orderTypes</f>
        <v>ACTIVETIM,ADJUST,ALERT,ALGO,ALLOC,AON,AVGCOST,BASKET,COND,CONDORDER,DARKONLY,DARKPOLL,DAY,DEACT,DEACTDIS,DEACTEOD,DIS,GAT,GTC,GTD,GTT,HID,IBKRATS,ICE,IMB,IOC,LIT,LMT,LOC,MIT,MKT,MOC,MTL,NGCOMB,NODARK,NONALGO,OCA,OPG,OPGREROUT,PEGBENCH,POSTONLY,PREOPGRTH,R</v>
      </c>
      <c r="M84" s="6" t="str">
        <f>[9]!id655?validExchanges</f>
        <v>SMART,NYSE,CBOE,ISE,CHX,ARCA,ISLAND,VWAP,DRCTEDGE,NSX,BEX,BATS,EDGEA,CSFBALGO,JEFFALGO,BYX,IEX,TPLUS2,PSX</v>
      </c>
      <c r="N84" s="6">
        <f>[9]!id655?conid</f>
        <v>9599491</v>
      </c>
      <c r="O84" s="6">
        <f>[9]!id655?minTick</f>
        <v>0.01</v>
      </c>
      <c r="P84" s="6">
        <f>[9]!id655?multiplier</f>
        <v>0</v>
      </c>
      <c r="Q84" s="6" t="str">
        <f>[9]!id655?marketName</f>
        <v>F</v>
      </c>
      <c r="R84" s="6" t="str">
        <f>[9]!id655?tradingClass</f>
        <v>F</v>
      </c>
    </row>
    <row r="85" spans="1:18" customFormat="1" hidden="1" x14ac:dyDescent="0.2">
      <c r="A85" s="176" t="s">
        <v>811</v>
      </c>
      <c r="B85" s="13" t="s">
        <v>12</v>
      </c>
      <c r="C85" s="13" t="b">
        <f t="shared" si="0"/>
        <v>1</v>
      </c>
      <c r="D85" s="13"/>
      <c r="E85" s="63"/>
      <c r="F85" s="13"/>
      <c r="G85" s="13"/>
      <c r="H85" s="13" t="s">
        <v>68</v>
      </c>
      <c r="I85" s="101" t="s">
        <v>44</v>
      </c>
      <c r="J85" s="101"/>
      <c r="K85" s="6">
        <f>[9]!'id656?req?NOV_STK_SMART_USD_~/'</f>
        <v>0</v>
      </c>
      <c r="L85" s="6" t="str">
        <f>[9]!id656?orderTypes</f>
        <v>ACTIVETIM,ADJUST,ALERT,ALGO,ALLOC,AON,AVGCOST,BASKET,COND,CONDORDER,DARKONLY,DARKPOLL,DAY,DEACT,DEACTDIS,DEACTEOD,DIS,GAT,GTC,GTD,GTT,HID,IBKRATS,ICE,IMB,IOC,LIT,LMT,LOC,MIT,MKT,MOC,MTL,NGCOMB,NODARK,NONALGO,OCA,OPG,OPGREROUT,PEGBENCH,POSTONLY,PREOPGRTH,R</v>
      </c>
      <c r="M85" s="6" t="str">
        <f>[9]!id656?validExchanges</f>
        <v>SMART,NYSE,CBOE,ISE,CHX,ARCA,ISLAND,VWAP,DRCTEDGE,NSX,BEX,BATS,EDGEA,CSFBALGO,JEFFALGO,BYX,IEX,TPLUS2,PSX</v>
      </c>
      <c r="N85" s="6">
        <f>[9]!id656?conid</f>
        <v>2585583</v>
      </c>
      <c r="O85" s="6">
        <f>[9]!id656?minTick</f>
        <v>0.01</v>
      </c>
      <c r="P85" s="6">
        <f>[9]!id656?multiplier</f>
        <v>0</v>
      </c>
      <c r="Q85" s="6" t="str">
        <f>[9]!id656?marketName</f>
        <v>NOV</v>
      </c>
      <c r="R85" s="6" t="str">
        <f>[9]!id656?tradingClass</f>
        <v>NOV</v>
      </c>
    </row>
    <row r="86" spans="1:18" customFormat="1" hidden="1" x14ac:dyDescent="0.2">
      <c r="A86" s="176" t="s">
        <v>812</v>
      </c>
      <c r="B86" s="13" t="s">
        <v>12</v>
      </c>
      <c r="C86" s="13" t="b">
        <f t="shared" si="0"/>
        <v>0</v>
      </c>
      <c r="D86" s="13"/>
      <c r="E86" s="63"/>
      <c r="F86" s="13"/>
      <c r="G86" s="13"/>
      <c r="H86" s="13" t="s">
        <v>68</v>
      </c>
      <c r="I86" s="101" t="s">
        <v>44</v>
      </c>
      <c r="J86" s="101"/>
      <c r="K86" s="6">
        <f>[9]!'id657?req?NTAP_STK_SMART_USD_~/'</f>
        <v>0</v>
      </c>
      <c r="L86" s="6" t="str">
        <f>[9]!id657?orderTypes</f>
        <v>ACTIVETIM,ADJUST,ALERT,ALGO,ALLOC,AON,AVGCOST,BASKET,COND,CONDORDER,DARKONLY,DARKPOLL,DAY,DEACT,DEACTDIS,DEACTEOD,DIS,GAT,GTC,GTD,GTT,HID,IBKRATS,ICE,IMB,IOC,LIT,LMT,LOC,MIT,MKT,MOC,MTL,NGCOMB,NODARK,NONALGO,OCA,OPG,OPGREROUT,PEGBENCH,POSTONLY,PREOPGRTH,R</v>
      </c>
      <c r="M86" s="6" t="str">
        <f>[9]!id657?validExchanges</f>
        <v>SMART,CBOE,ISE,CHX,ARCA,ISLAND,VWAP,DRCTEDGE,NSX,BEX,BATS,EDGEA,CSFBALGO,JEFFALGO,BYX,IEX,TPLUS2,PSX</v>
      </c>
      <c r="N86" s="6">
        <f>[9]!id657?conid</f>
        <v>49921110</v>
      </c>
      <c r="O86" s="6">
        <f>[9]!id657?minTick</f>
        <v>0.01</v>
      </c>
      <c r="P86" s="6">
        <f>[9]!id657?multiplier</f>
        <v>0</v>
      </c>
      <c r="Q86" s="6" t="str">
        <f>[9]!id657?marketName</f>
        <v>NMS</v>
      </c>
      <c r="R86" s="6" t="str">
        <f>[9]!id657?tradingClass</f>
        <v>NMS</v>
      </c>
    </row>
    <row r="87" spans="1:18" customFormat="1" hidden="1" x14ac:dyDescent="0.2">
      <c r="A87" s="176" t="s">
        <v>813</v>
      </c>
      <c r="B87" s="13" t="s">
        <v>12</v>
      </c>
      <c r="C87" s="13" t="b">
        <f t="shared" si="0"/>
        <v>1</v>
      </c>
      <c r="D87" s="13"/>
      <c r="E87" s="63"/>
      <c r="F87" s="13"/>
      <c r="G87" s="13"/>
      <c r="H87" s="13" t="s">
        <v>68</v>
      </c>
      <c r="I87" s="101" t="s">
        <v>44</v>
      </c>
      <c r="J87" s="101"/>
      <c r="K87" s="6">
        <f>[9]!'id658?req?NFX_STK_SMART_USD_~/'</f>
        <v>0</v>
      </c>
      <c r="L87" s="6" t="str">
        <f>[9]!id658?orderTypes</f>
        <v>ACTIVETIM,ADJUST,ALERT,ALGO,ALLOC,AON,AVGCOST,BASKET,COND,CONDORDER,DARKONLY,DARKPOLL,DAY,DEACT,DEACTDIS,DEACTEOD,DIS,GAT,GTC,GTD,GTT,HID,IBKRATS,ICE,IMB,IOC,LIT,LMT,LOC,MIT,MKT,MOC,MTL,NGCOMB,NODARK,NONALGO,OCA,OPG,OPGREROUT,PEGBENCH,POSTONLY,PREOPGRTH,R</v>
      </c>
      <c r="M87" s="6" t="str">
        <f>[9]!id658?validExchanges</f>
        <v>SMART,NYSE,CBOE,ISE,CHX,ARCA,ISLAND,DRCTEDGE,NSX,BEX,BATS,EDGEA,CSFBALGO,JEFFALGO,BYX,IEX,TPLUS2,PSX</v>
      </c>
      <c r="N87" s="6">
        <f>[9]!id658?conid</f>
        <v>10209</v>
      </c>
      <c r="O87" s="6">
        <f>[9]!id658?minTick</f>
        <v>0.01</v>
      </c>
      <c r="P87" s="6">
        <f>[9]!id658?multiplier</f>
        <v>0</v>
      </c>
      <c r="Q87" s="6" t="str">
        <f>[9]!id658?marketName</f>
        <v>NFX</v>
      </c>
      <c r="R87" s="6" t="str">
        <f>[9]!id658?tradingClass</f>
        <v>NFX</v>
      </c>
    </row>
    <row r="88" spans="1:18" customFormat="1" hidden="1" x14ac:dyDescent="0.2">
      <c r="A88" s="176" t="s">
        <v>814</v>
      </c>
      <c r="B88" s="13" t="s">
        <v>12</v>
      </c>
      <c r="C88" s="13" t="b">
        <f t="shared" si="0"/>
        <v>1</v>
      </c>
      <c r="D88" s="13"/>
      <c r="E88" s="63"/>
      <c r="F88" s="13"/>
      <c r="G88" s="13"/>
      <c r="H88" s="13" t="s">
        <v>68</v>
      </c>
      <c r="I88" s="101" t="s">
        <v>44</v>
      </c>
      <c r="J88" s="101"/>
      <c r="K88" s="6">
        <f>[9]!'id659?req?NWL_STK_SMART_USD_~/'</f>
        <v>0</v>
      </c>
      <c r="L88" s="6" t="str">
        <f>[9]!id659?orderTypes</f>
        <v>ACTIVETIM,ADJUST,ALERT,ALGO,ALLOC,AON,AVGCOST,BASKET,COND,CONDORDER,DARKONLY,DARKPOLL,DAY,DEACT,DEACTDIS,DEACTEOD,DIS,GAT,GTC,GTD,GTT,HID,IBKRATS,ICE,IMB,IOC,LIT,LMT,LOC,MIT,MKT,MOC,MTL,NGCOMB,NODARK,NONALGO,OCA,OPG,OPGREROUT,PEGBENCH,POSTONLY,PREOPGRTH,R</v>
      </c>
      <c r="M88" s="6" t="str">
        <f>[9]!id659?validExchanges</f>
        <v>SMART,NYSE,CBOE,ISE,CHX,ARCA,ISLAND,VWAP,DRCTEDGE,NSX,BEX,BATS,EDGEA,CSFBALGO,JEFFALGO,BYX,IEX,TPLUS2,PSX</v>
      </c>
      <c r="N88" s="6">
        <f>[9]!id659?conid</f>
        <v>10627</v>
      </c>
      <c r="O88" s="6">
        <f>[9]!id659?minTick</f>
        <v>0.01</v>
      </c>
      <c r="P88" s="6">
        <f>[9]!id659?multiplier</f>
        <v>0</v>
      </c>
      <c r="Q88" s="6" t="str">
        <f>[9]!id659?marketName</f>
        <v>NWL</v>
      </c>
      <c r="R88" s="6" t="str">
        <f>[9]!id659?tradingClass</f>
        <v>NWL</v>
      </c>
    </row>
    <row r="89" spans="1:18" customFormat="1" hidden="1" x14ac:dyDescent="0.2">
      <c r="A89" s="176" t="s">
        <v>815</v>
      </c>
      <c r="B89" s="13" t="s">
        <v>12</v>
      </c>
      <c r="C89" s="13" t="b">
        <f t="shared" si="0"/>
        <v>1</v>
      </c>
      <c r="D89" s="13"/>
      <c r="E89" s="63"/>
      <c r="F89" s="13"/>
      <c r="G89" s="13"/>
      <c r="H89" s="13" t="s">
        <v>68</v>
      </c>
      <c r="I89" s="101" t="s">
        <v>44</v>
      </c>
      <c r="J89" s="101"/>
      <c r="K89" s="6">
        <f>[9]!'id660?req?DNB_STK_SMART_USD_~/'</f>
        <v>0</v>
      </c>
      <c r="L89" s="6" t="str">
        <f>[9]!id660?orderTypes</f>
        <v>ACTIVETIM,ADJUST,ALERT,ALGO,ALLOC,AON,AVGCOST,BASKET,COND,CONDORDER,DARKONLY,DARKPOLL,DAY,DEACT,DEACTDIS,DEACTEOD,DIS,GAT,GTC,GTD,GTT,HID,IBKRATS,ICE,IMB,IOC,LIT,LMT,LOC,MIT,MKT,MOC,MTL,NGCOMB,NODARK,NONALGO,OCA,OPG,OPGREROUT,PEGBENCH,POSTONLY,PREOPGRTH,R</v>
      </c>
      <c r="M89" s="6" t="str">
        <f>[9]!id660?validExchanges</f>
        <v>SMART,NYSE,CBOE,ISE,CHX,ARCA,ISLAND,DRCTEDGE,NSX,BEX,BATS,EDGEA,CSFBALGO,JEFFALGO,BYX,IEX,TPLUS2,PSX</v>
      </c>
      <c r="N89" s="6">
        <f>[9]!id660?conid</f>
        <v>1715032</v>
      </c>
      <c r="O89" s="6">
        <f>[9]!id660?minTick</f>
        <v>0.01</v>
      </c>
      <c r="P89" s="6">
        <f>[9]!id660?multiplier</f>
        <v>0</v>
      </c>
      <c r="Q89" s="6" t="str">
        <f>[9]!id660?marketName</f>
        <v>DNB</v>
      </c>
      <c r="R89" s="6" t="str">
        <f>[9]!id660?tradingClass</f>
        <v>DNB</v>
      </c>
    </row>
    <row r="90" spans="1:18" customFormat="1" hidden="1" x14ac:dyDescent="0.2">
      <c r="A90" s="176" t="s">
        <v>816</v>
      </c>
      <c r="B90" s="13" t="s">
        <v>12</v>
      </c>
      <c r="C90" s="13" t="b">
        <f t="shared" si="0"/>
        <v>1</v>
      </c>
      <c r="D90" s="13"/>
      <c r="E90" s="63"/>
      <c r="F90" s="13"/>
      <c r="G90" s="13"/>
      <c r="H90" s="13" t="s">
        <v>68</v>
      </c>
      <c r="I90" s="101" t="s">
        <v>44</v>
      </c>
      <c r="J90" s="101"/>
      <c r="K90" s="6">
        <f>[9]!'id661?req?NEM_STK_SMART_USD_~/'</f>
        <v>0</v>
      </c>
      <c r="L90" s="6" t="str">
        <f>[9]!id661?orderTypes</f>
        <v>ACTIVETIM,ADJUST,ALERT,ALGO,ALLOC,AON,AVGCOST,BASKET,COND,CONDORDER,DARKONLY,DARKPOLL,DAY,DEACT,DEACTDIS,DEACTEOD,DIS,GAT,GTC,GTD,GTT,HID,IBKRATS,ICE,IMB,IOC,LIT,LMT,LOC,MIT,MKT,MOC,MTL,NGCOMB,NODARK,NONALGO,OCA,OPG,OPGREROUT,PEGBENCH,POSTONLY,PREOPGRTH,R</v>
      </c>
      <c r="M90" s="6" t="str">
        <f>[9]!id661?validExchanges</f>
        <v>SMART,NYSE,CBOE,ISE,CHX,ARCA,ISLAND,VWAP,DRCTEDGE,NSX,BEX,BATS,EDGEA,CSFBALGO,JEFFALGO,BYX,IEX,TPLUS2,PSX</v>
      </c>
      <c r="N90" s="6">
        <f>[9]!id661?conid</f>
        <v>10174</v>
      </c>
      <c r="O90" s="6">
        <f>[9]!id661?minTick</f>
        <v>0.01</v>
      </c>
      <c r="P90" s="6">
        <f>[9]!id661?multiplier</f>
        <v>0</v>
      </c>
      <c r="Q90" s="6" t="str">
        <f>[9]!id661?marketName</f>
        <v>NEM</v>
      </c>
      <c r="R90" s="6" t="str">
        <f>[9]!id661?tradingClass</f>
        <v>NEM</v>
      </c>
    </row>
    <row r="91" spans="1:18" customFormat="1" hidden="1" x14ac:dyDescent="0.2">
      <c r="A91" s="176" t="s">
        <v>817</v>
      </c>
      <c r="B91" s="13" t="s">
        <v>12</v>
      </c>
      <c r="C91" s="13" t="b">
        <f t="shared" si="0"/>
        <v>1</v>
      </c>
      <c r="D91" s="13"/>
      <c r="E91" s="63"/>
      <c r="F91" s="13"/>
      <c r="G91" s="13"/>
      <c r="H91" s="13" t="s">
        <v>68</v>
      </c>
      <c r="I91" s="101" t="s">
        <v>44</v>
      </c>
      <c r="J91" s="101"/>
      <c r="K91" s="6">
        <f>[9]!'id662?req?NKE_STK_SMART_USD_~/'</f>
        <v>0</v>
      </c>
      <c r="L91" s="6" t="str">
        <f>[9]!id662?orderTypes</f>
        <v>ACTIVETIM,ADJUST,ALERT,ALGO,ALLOC,AON,AVGCOST,BASKET,COND,CONDORDER,DARKONLY,DARKPOLL,DAY,DEACT,DEACTDIS,DEACTEOD,DIS,GAT,GTC,GTD,GTT,HID,IBKRATS,ICE,IMB,IOC,LIT,LMT,LOC,MIT,MKT,MOC,MTL,NGCOMB,NODARK,NONALGO,OCA,OPG,OPGREROUT,PEGBENCH,POSTONLY,PREOPGRTH,R</v>
      </c>
      <c r="M91" s="6" t="str">
        <f>[9]!id662?validExchanges</f>
        <v>SMART,NYSE,CBOE,ISE,CHX,ARCA,ISLAND,VWAP,DRCTEDGE,NSX,BEX,BATS,EDGEA,CSFBALGO,JEFFALGO,BYX,IEX,TPLUS2,PSX</v>
      </c>
      <c r="N91" s="6">
        <f>[9]!id662?conid</f>
        <v>10291</v>
      </c>
      <c r="O91" s="6">
        <f>[9]!id662?minTick</f>
        <v>0.01</v>
      </c>
      <c r="P91" s="6">
        <f>[9]!id662?multiplier</f>
        <v>0</v>
      </c>
      <c r="Q91" s="6" t="str">
        <f>[9]!id662?marketName</f>
        <v>NKE</v>
      </c>
      <c r="R91" s="6" t="str">
        <f>[9]!id662?tradingClass</f>
        <v>NKE</v>
      </c>
    </row>
    <row r="92" spans="1:18" customFormat="1" hidden="1" x14ac:dyDescent="0.2">
      <c r="A92" s="176" t="s">
        <v>818</v>
      </c>
      <c r="B92" s="13" t="s">
        <v>12</v>
      </c>
      <c r="C92" s="13" t="b">
        <f t="shared" si="0"/>
        <v>1</v>
      </c>
      <c r="D92" s="13"/>
      <c r="E92" s="63"/>
      <c r="F92" s="13"/>
      <c r="G92" s="13"/>
      <c r="H92" s="13" t="s">
        <v>68</v>
      </c>
      <c r="I92" s="101" t="s">
        <v>44</v>
      </c>
      <c r="J92" s="101"/>
      <c r="K92" s="6">
        <f>[9]!'id663?req?NBL_STK_SMART_USD_~/'</f>
        <v>0</v>
      </c>
      <c r="L92" s="6" t="str">
        <f>[9]!id663?orderTypes</f>
        <v>ACTIVETIM,ADJUST,ALERT,ALGO,ALLOC,AON,AVGCOST,BASKET,COND,CONDORDER,DARKONLY,DARKPOLL,DAY,DEACT,DEACTDIS,DEACTEOD,DIS,GAT,GTC,GTD,GTT,HID,IBKRATS,ICE,IMB,IOC,LIT,LMT,LOC,MIT,MKT,MOC,MTL,NGCOMB,NODARK,NONALGO,OCA,OPG,OPGREROUT,PEGBENCH,POSTONLY,PREOPGRTH,R</v>
      </c>
      <c r="M92" s="6" t="str">
        <f>[9]!id663?validExchanges</f>
        <v>SMART,NYSE,CBOE,ISE,CHX,ARCA,ISLAND,VWAP,DRCTEDGE,NSX,BEX,BATS,EDGEA,CSFBALGO,JEFFALGO,BYX,IEX,TPLUS2,PSX</v>
      </c>
      <c r="N92" s="6">
        <f>[9]!id663?conid</f>
        <v>10109</v>
      </c>
      <c r="O92" s="6">
        <f>[9]!id663?minTick</f>
        <v>0.01</v>
      </c>
      <c r="P92" s="6">
        <f>[9]!id663?multiplier</f>
        <v>0</v>
      </c>
      <c r="Q92" s="6" t="str">
        <f>[9]!id663?marketName</f>
        <v>NBL</v>
      </c>
      <c r="R92" s="6" t="str">
        <f>[9]!id663?tradingClass</f>
        <v>NBL</v>
      </c>
    </row>
    <row r="93" spans="1:18" customFormat="1" hidden="1" x14ac:dyDescent="0.2">
      <c r="A93" s="176" t="s">
        <v>197</v>
      </c>
      <c r="B93" s="13" t="s">
        <v>12</v>
      </c>
      <c r="C93" s="13" t="b">
        <f t="shared" si="0"/>
        <v>0</v>
      </c>
      <c r="D93" s="13"/>
      <c r="E93" s="63"/>
      <c r="F93" s="13"/>
      <c r="G93" s="13"/>
      <c r="H93" s="13" t="s">
        <v>68</v>
      </c>
      <c r="I93" s="101" t="s">
        <v>44</v>
      </c>
      <c r="J93" s="101"/>
      <c r="K93" s="6">
        <f>[9]!'id664?req?GOOG_STK_SMART_USD_~/'</f>
        <v>0</v>
      </c>
      <c r="L93" s="6" t="str">
        <f>[9]!id664?orderTypes</f>
        <v>ACTIVETIM,ADJUST,ALERT,ALGO,ALLOC,AON,AVGCOST,BASKET,COND,CONDORDER,DARKONLY,DARKPOLL,DAY,DEACT,DEACTDIS,DEACTEOD,DIS,GAT,GTC,GTD,GTT,HID,IBKRATS,ICE,IMB,IOC,LIT,LMT,LOC,MIT,MKT,MOC,MTL,NGCOMB,NODARK,NONALGO,OCA,OPG,OPGREROUT,PEGBENCH,POSTONLY,PREOPGRTH,R</v>
      </c>
      <c r="M93" s="6" t="str">
        <f>[9]!id664?validExchanges</f>
        <v>SMART,CBOE,ISE,CHX,ARCA,ISLAND,DRCTEDGE,NSX,BEX,BATS,EDGEA,CSFBALGO,JEFFALGO,BYX,IEX,TPLUS2,PSX</v>
      </c>
      <c r="N93" s="6">
        <f>[9]!id664?conid</f>
        <v>208813720</v>
      </c>
      <c r="O93" s="6">
        <f>[9]!id664?minTick</f>
        <v>0.01</v>
      </c>
      <c r="P93" s="6">
        <f>[9]!id664?multiplier</f>
        <v>0</v>
      </c>
      <c r="Q93" s="6" t="str">
        <f>[9]!id664?marketName</f>
        <v>NMS</v>
      </c>
      <c r="R93" s="6" t="str">
        <f>[9]!id664?tradingClass</f>
        <v>NMS</v>
      </c>
    </row>
    <row r="94" spans="1:18" customFormat="1" hidden="1" x14ac:dyDescent="0.2">
      <c r="A94" s="176" t="s">
        <v>819</v>
      </c>
      <c r="B94" s="13" t="s">
        <v>12</v>
      </c>
      <c r="C94" s="13" t="b">
        <f t="shared" si="0"/>
        <v>0</v>
      </c>
      <c r="D94" s="13"/>
      <c r="E94" s="63"/>
      <c r="F94" s="13"/>
      <c r="G94" s="13"/>
      <c r="H94" s="13" t="s">
        <v>68</v>
      </c>
      <c r="I94" s="101" t="s">
        <v>44</v>
      </c>
      <c r="J94" s="101"/>
      <c r="K94" s="6">
        <f>[9]!'id665?req?AMZN_STK_SMART_USD_~/'</f>
        <v>0</v>
      </c>
      <c r="L94" s="6" t="str">
        <f>[9]!id665?orderTypes</f>
        <v>ACTIVETIM,ADJUST,ALERT,ALGO,ALLOC,AON,AVGCOST,BASKET,COND,CONDORDER,DARKONLY,DARKPOLL,DAY,DEACT,DEACTDIS,DEACTEOD,DIS,GAT,GTC,GTD,GTT,HID,IBKRATS,ICE,IMB,IOC,LIT,LMT,LOC,MIT,MKT,MOC,MTL,NGCOMB,NODARK,NONALGO,OCA,OPG,OPGREROUT,PEGBENCH,POSTONLY,PREOPGRTH,R</v>
      </c>
      <c r="M94" s="6" t="str">
        <f>[9]!id665?validExchanges</f>
        <v>SMART,CBOE,ISE,CHX,ARCA,ISLAND,VWAP,DRCTEDGE,NSX,BEX,BATS,EDGEA,CSFBALGO,JEFFALGO,BYX,IEX,TPLUS2,PSX</v>
      </c>
      <c r="N94" s="6">
        <f>[9]!id665?conid</f>
        <v>3691937</v>
      </c>
      <c r="O94" s="6">
        <f>[9]!id665?minTick</f>
        <v>0.01</v>
      </c>
      <c r="P94" s="6">
        <f>[9]!id665?multiplier</f>
        <v>0</v>
      </c>
      <c r="Q94" s="6" t="str">
        <f>[9]!id665?marketName</f>
        <v>NMS</v>
      </c>
      <c r="R94" s="6" t="str">
        <f>[9]!id665?tradingClass</f>
        <v>NMS</v>
      </c>
    </row>
    <row r="95" spans="1:18" customFormat="1" hidden="1" x14ac:dyDescent="0.2">
      <c r="A95" s="176" t="s">
        <v>820</v>
      </c>
      <c r="B95" s="13" t="s">
        <v>12</v>
      </c>
      <c r="C95" s="13" t="b">
        <f t="shared" si="0"/>
        <v>1</v>
      </c>
      <c r="D95" s="13"/>
      <c r="E95" s="63"/>
      <c r="F95" s="13"/>
      <c r="G95" s="13"/>
      <c r="H95" s="13" t="s">
        <v>68</v>
      </c>
      <c r="I95" s="101" t="s">
        <v>44</v>
      </c>
      <c r="J95" s="101"/>
      <c r="K95" s="6">
        <f>[9]!'id666?req?ABT_STK_SMART_USD_~/'</f>
        <v>0</v>
      </c>
      <c r="L95" s="6" t="str">
        <f>[9]!id666?orderTypes</f>
        <v>ACTIVETIM,ADJUST,ALERT,ALGO,ALLOC,AON,AVGCOST,BASKET,COND,CONDORDER,DARKONLY,DARKPOLL,DAY,DEACT,DEACTDIS,DEACTEOD,DIS,GAT,GTC,GTD,GTT,HID,IBKRATS,ICE,IMB,IOC,LIT,LMT,LOC,MIT,MKT,MOC,MTL,NGCOMB,NODARK,NONALGO,OCA,OPG,OPGREROUT,PEGBENCH,POSTONLY,PREOPGRTH,R</v>
      </c>
      <c r="M95" s="6" t="str">
        <f>[9]!id666?validExchanges</f>
        <v>SMART,NYSE,CBOE,ISE,CHX,ARCA,ISLAND,VWAP,DRCTEDGE,NSX,BEX,BATS,EDGEA,CSFBALGO,JEFFALGO,BYX,IEX,TPLUS2,PSX</v>
      </c>
      <c r="N95" s="6">
        <f>[9]!id666?conid</f>
        <v>4065</v>
      </c>
      <c r="O95" s="6">
        <f>[9]!id666?minTick</f>
        <v>0.01</v>
      </c>
      <c r="P95" s="6">
        <f>[9]!id666?multiplier</f>
        <v>0</v>
      </c>
      <c r="Q95" s="6" t="str">
        <f>[9]!id666?marketName</f>
        <v>ABT</v>
      </c>
      <c r="R95" s="6" t="str">
        <f>[9]!id666?tradingClass</f>
        <v>ABT</v>
      </c>
    </row>
    <row r="96" spans="1:18" customFormat="1" hidden="1" x14ac:dyDescent="0.2">
      <c r="A96" s="176" t="s">
        <v>821</v>
      </c>
      <c r="B96" s="13" t="s">
        <v>12</v>
      </c>
      <c r="C96" s="13" t="b">
        <f t="shared" si="0"/>
        <v>1</v>
      </c>
      <c r="D96" s="13"/>
      <c r="E96" s="63"/>
      <c r="F96" s="13"/>
      <c r="G96" s="13"/>
      <c r="H96" s="13" t="s">
        <v>68</v>
      </c>
      <c r="I96" s="101" t="s">
        <v>44</v>
      </c>
      <c r="J96" s="101"/>
      <c r="K96" s="6">
        <f>[9]!'id667?req?AES_STK_SMART_USD_~/'</f>
        <v>0</v>
      </c>
      <c r="L96" s="6" t="str">
        <f>[9]!id667?orderTypes</f>
        <v>ACTIVETIM,ADJUST,ALERT,ALGO,ALLOC,AON,AVGCOST,BASKET,COND,CONDORDER,DARKONLY,DARKPOLL,DAY,DEACT,DEACTDIS,DEACTEOD,DIS,GAT,GTC,GTD,GTT,HID,IBKRATS,ICE,IMB,IOC,LIT,LMT,LOC,MIT,MKT,MOC,MTL,NGCOMB,NODARK,NONALGO,OCA,OPG,OPGREROUT,PEGBENCH,POSTONLY,PREOPGRTH,R</v>
      </c>
      <c r="M96" s="6" t="str">
        <f>[9]!id667?validExchanges</f>
        <v>SMART,NYSE,CBOE,ISE,CHX,ARCA,ISLAND,VWAP,DRCTEDGE,NSX,BEX,BATS,EDGEA,CSFBALGO,JEFFALGO,BYX,IEX,TPLUS2,PSX</v>
      </c>
      <c r="N96" s="6">
        <f>[9]!id667?conid</f>
        <v>2560358</v>
      </c>
      <c r="O96" s="6">
        <f>[9]!id667?minTick</f>
        <v>0.01</v>
      </c>
      <c r="P96" s="6">
        <f>[9]!id667?multiplier</f>
        <v>0</v>
      </c>
      <c r="Q96" s="6" t="str">
        <f>[9]!id667?marketName</f>
        <v>AES</v>
      </c>
      <c r="R96" s="6" t="str">
        <f>[9]!id667?tradingClass</f>
        <v>AES</v>
      </c>
    </row>
    <row r="97" spans="1:18" customFormat="1" hidden="1" x14ac:dyDescent="0.2">
      <c r="A97" s="176" t="s">
        <v>26</v>
      </c>
      <c r="B97" s="13" t="s">
        <v>12</v>
      </c>
      <c r="C97" s="13" t="b">
        <f t="shared" si="0"/>
        <v>1</v>
      </c>
      <c r="D97" s="13"/>
      <c r="E97" s="63"/>
      <c r="F97" s="13"/>
      <c r="G97" s="13"/>
      <c r="H97" s="13" t="s">
        <v>68</v>
      </c>
      <c r="I97" s="101" t="s">
        <v>44</v>
      </c>
      <c r="J97" s="101"/>
      <c r="K97" s="6">
        <f>[9]!'id668?req?IBM_STK_SMART_USD_~/'</f>
        <v>0</v>
      </c>
      <c r="L97" s="6" t="str">
        <f>[9]!id668?orderTypes</f>
        <v>ACTIVETIM,ADJUST,ALERT,ALGO,ALLOC,AON,AVGCOST,BASKET,COND,CONDORDER,DARKONLY,DARKPOLL,DAY,DEACT,DEACTDIS,DEACTEOD,DIS,GAT,GTC,GTD,GTT,HID,IBKRATS,ICE,IMB,IOC,LIT,LMT,LOC,MIT,MKT,MOC,MTL,NGCOMB,NODARK,NONALGO,OCA,OPG,OPGREROUT,PEGBENCH,POSTONLY,PREOPGRTH,R</v>
      </c>
      <c r="M97" s="6" t="str">
        <f>[9]!id668?validExchanges</f>
        <v>SMART,NYSE,CBOE,ISE,CHX,ARCA,ISLAND,VWAP,DRCTEDGE,NSX,BEX,BATS,EDGEA,CSFBALGO,JEFFALGO,BYX,IEX,TPLUS2,PSX</v>
      </c>
      <c r="N97" s="6">
        <f>[9]!id668?conid</f>
        <v>8314</v>
      </c>
      <c r="O97" s="6">
        <f>[9]!id668?minTick</f>
        <v>0.01</v>
      </c>
      <c r="P97" s="6">
        <f>[9]!id668?multiplier</f>
        <v>0</v>
      </c>
      <c r="Q97" s="6" t="str">
        <f>[9]!id668?marketName</f>
        <v>IBM</v>
      </c>
      <c r="R97" s="6" t="str">
        <f>[9]!id668?tradingClass</f>
        <v>IBM</v>
      </c>
    </row>
    <row r="98" spans="1:18" customFormat="1" hidden="1" x14ac:dyDescent="0.2">
      <c r="A98" s="176" t="s">
        <v>822</v>
      </c>
      <c r="B98" s="13" t="s">
        <v>12</v>
      </c>
      <c r="C98" s="13" t="b">
        <f t="shared" si="0"/>
        <v>0</v>
      </c>
      <c r="D98" s="13"/>
      <c r="E98" s="63"/>
      <c r="F98" s="13"/>
      <c r="G98" s="13"/>
      <c r="H98" s="13" t="s">
        <v>68</v>
      </c>
      <c r="I98" s="101" t="s">
        <v>44</v>
      </c>
      <c r="J98" s="101"/>
      <c r="K98" s="6">
        <f>[9]!'id669?req?ADBE_STK_SMART_USD_~/'</f>
        <v>0</v>
      </c>
      <c r="L98" s="6" t="str">
        <f>[9]!id669?orderTypes</f>
        <v>ACTIVETIM,ADJUST,ALERT,ALGO,ALLOC,AON,AVGCOST,BASKET,COND,CONDORDER,DARKONLY,DARKPOLL,DAY,DEACT,DEACTDIS,DEACTEOD,DIS,GAT,GTC,GTD,GTT,HID,IBKRATS,ICE,IMB,IOC,LIT,LMT,LOC,MIT,MKT,MOC,MTL,NGCOMB,NODARK,NONALGO,OCA,OPG,OPGREROUT,PEGBENCH,POSTONLY,PREOPGRTH,R</v>
      </c>
      <c r="M98" s="6" t="str">
        <f>[9]!id669?validExchanges</f>
        <v>SMART,CBOE,ISE,CHX,ARCA,ISLAND,VWAP,DRCTEDGE,NSX,BEX,BATS,EDGEA,CSFBALGO,JEFFALGO,BYX,IEX,TPLUS2,PSX</v>
      </c>
      <c r="N98" s="6">
        <f>[9]!id669?conid</f>
        <v>265768</v>
      </c>
      <c r="O98" s="6">
        <f>[9]!id669?minTick</f>
        <v>0.01</v>
      </c>
      <c r="P98" s="6">
        <f>[9]!id669?multiplier</f>
        <v>0</v>
      </c>
      <c r="Q98" s="6" t="str">
        <f>[9]!id669?marketName</f>
        <v>NMS</v>
      </c>
      <c r="R98" s="6" t="str">
        <f>[9]!id669?tradingClass</f>
        <v>NMS</v>
      </c>
    </row>
    <row r="99" spans="1:18" customFormat="1" hidden="1" x14ac:dyDescent="0.2">
      <c r="A99" s="176" t="s">
        <v>823</v>
      </c>
      <c r="B99" s="13" t="s">
        <v>12</v>
      </c>
      <c r="C99" s="13" t="b">
        <f t="shared" si="0"/>
        <v>1</v>
      </c>
      <c r="D99" s="13"/>
      <c r="E99" s="63"/>
      <c r="F99" s="13"/>
      <c r="G99" s="13"/>
      <c r="H99" s="13" t="s">
        <v>68</v>
      </c>
      <c r="I99" s="101" t="s">
        <v>44</v>
      </c>
      <c r="J99" s="101"/>
      <c r="K99" s="6">
        <f>[9]!'id670?req?APD_STK_SMART_USD_~/'</f>
        <v>0</v>
      </c>
      <c r="L99" s="6" t="str">
        <f>[9]!id670?orderTypes</f>
        <v>ACTIVETIM,ADJUST,ALERT,ALGO,ALLOC,AON,AVGCOST,BASKET,COND,CONDORDER,DARKONLY,DARKPOLL,DAY,DEACT,DEACTDIS,DEACTEOD,DIS,GAT,GTC,GTD,GTT,HID,IBKRATS,ICE,IMB,IOC,LIT,LMT,LOC,MIT,MKT,MOC,MTL,NGCOMB,NODARK,NONALGO,OCA,OPG,OPGREROUT,PEGBENCH,POSTONLY,PREOPGRTH,R</v>
      </c>
      <c r="M99" s="6" t="str">
        <f>[9]!id670?validExchanges</f>
        <v>SMART,NYSE,CBOE,ISE,CHX,ARCA,ISLAND,VWAP,DRCTEDGE,NSX,BEX,BATS,EDGEA,CSFBALGO,JEFFALGO,BYX,IEX,TPLUS2,PSX</v>
      </c>
      <c r="N99" s="6">
        <f>[9]!id670?conid</f>
        <v>4487</v>
      </c>
      <c r="O99" s="6">
        <f>[9]!id670?minTick</f>
        <v>0.01</v>
      </c>
      <c r="P99" s="6">
        <f>[9]!id670?multiplier</f>
        <v>0</v>
      </c>
      <c r="Q99" s="6" t="str">
        <f>[9]!id670?marketName</f>
        <v>APD</v>
      </c>
      <c r="R99" s="6" t="str">
        <f>[9]!id670?tradingClass</f>
        <v>APD</v>
      </c>
    </row>
    <row r="100" spans="1:18" customFormat="1" hidden="1" x14ac:dyDescent="0.2">
      <c r="A100" s="176" t="s">
        <v>824</v>
      </c>
      <c r="B100" s="13" t="s">
        <v>12</v>
      </c>
      <c r="C100" s="13" t="b">
        <f t="shared" si="0"/>
        <v>1</v>
      </c>
      <c r="D100" s="13"/>
      <c r="E100" s="63"/>
      <c r="F100" s="13"/>
      <c r="G100" s="13"/>
      <c r="H100" s="13" t="s">
        <v>68</v>
      </c>
      <c r="I100" s="101" t="s">
        <v>44</v>
      </c>
      <c r="J100" s="101"/>
      <c r="K100" s="6">
        <f>[9]!'id671?req?DD_STK_SMART_USD_~/'</f>
        <v>0</v>
      </c>
      <c r="L100" s="6" t="str">
        <f>[9]!id671?orderTypes</f>
        <v>ACTIVETIM,ADJUST,ALERT,ALGO,ALLOC,AON,AVGCOST,BASKET,COND,CONDORDER,DARKONLY,DARKPOLL,DAY,DEACT,DEACTDIS,DEACTEOD,DIS,GAT,GTC,GTD,GTT,HID,IBKRATS,ICE,IMB,IOC,LIT,LMT,LOC,MIT,MKT,MOC,MTL,NGCOMB,NODARK,NONALGO,OCA,OPG,OPGREROUT,PEGBENCH,POSTONLY,PREOPGRTH,R</v>
      </c>
      <c r="M100" s="6" t="str">
        <f>[9]!id671?validExchanges</f>
        <v>SMART,NYSE,CBOE,ISE,CHX,ARCA,ISLAND,VWAP,DRCTEDGE,NSX,BEX,BATS,EDGEA,CSFBALGO,JEFFALGO,BYX,IEX,TPLUS2,PSX</v>
      </c>
      <c r="N100" s="6">
        <f>[9]!id671?conid</f>
        <v>6366</v>
      </c>
      <c r="O100" s="6">
        <f>[9]!id671?minTick</f>
        <v>0.01</v>
      </c>
      <c r="P100" s="6">
        <f>[9]!id671?multiplier</f>
        <v>0</v>
      </c>
      <c r="Q100" s="6" t="str">
        <f>[9]!id671?marketName</f>
        <v>DD</v>
      </c>
      <c r="R100" s="6" t="str">
        <f>[9]!id671?tradingClass</f>
        <v>DD</v>
      </c>
    </row>
    <row r="101" spans="1:18" customFormat="1" hidden="1" x14ac:dyDescent="0.2">
      <c r="A101" s="176" t="s">
        <v>825</v>
      </c>
      <c r="B101" s="13" t="s">
        <v>12</v>
      </c>
      <c r="C101" s="13" t="b">
        <f t="shared" si="0"/>
        <v>1</v>
      </c>
      <c r="D101" s="13"/>
      <c r="E101" s="63"/>
      <c r="F101" s="13"/>
      <c r="G101" s="13"/>
      <c r="H101" s="13" t="s">
        <v>68</v>
      </c>
      <c r="I101" s="101" t="s">
        <v>44</v>
      </c>
      <c r="J101" s="101"/>
      <c r="K101" s="6">
        <f>[9]!'id672?req?BXP_STK_SMART_USD_~/'</f>
        <v>0</v>
      </c>
      <c r="L101" s="6" t="str">
        <f>[9]!id672?orderTypes</f>
        <v>ACTIVETIM,ADJUST,ALERT,ALGO,ALLOC,AON,AVGCOST,BASKET,COND,CONDORDER,DARKONLY,DARKPOLL,DAY,DEACT,DEACTDIS,DEACTEOD,DIS,GAT,GTC,GTD,GTT,HID,IBKRATS,ICE,IMB,IOC,LIT,LMT,LOC,MIT,MKT,MOC,MTL,NGCOMB,NODARK,NONALGO,OCA,OPG,OPGREROUT,PEGBENCH,POSTONLY,PREOPGRTH,R</v>
      </c>
      <c r="M101" s="6" t="str">
        <f>[9]!id672?validExchanges</f>
        <v>SMART,NYSE,CBOE,ISE,CHX,ARCA,ISLAND,VWAP,DRCTEDGE,NSX,BEX,BATS,EDGEA,CSFBALGO,JEFFALGO,BYX,IEX,TPLUS2,PSX</v>
      </c>
      <c r="N101" s="6">
        <f>[9]!id672?conid</f>
        <v>5021340</v>
      </c>
      <c r="O101" s="6">
        <f>[9]!id672?minTick</f>
        <v>0.01</v>
      </c>
      <c r="P101" s="6">
        <f>[9]!id672?multiplier</f>
        <v>0</v>
      </c>
      <c r="Q101" s="6" t="str">
        <f>[9]!id672?marketName</f>
        <v>BXP</v>
      </c>
      <c r="R101" s="6" t="str">
        <f>[9]!id672?tradingClass</f>
        <v>BXP</v>
      </c>
    </row>
    <row r="102" spans="1:18" customFormat="1" hidden="1" x14ac:dyDescent="0.2">
      <c r="A102" s="176" t="s">
        <v>245</v>
      </c>
      <c r="B102" s="13" t="s">
        <v>12</v>
      </c>
      <c r="C102" s="13" t="b">
        <f t="shared" si="0"/>
        <v>1</v>
      </c>
      <c r="D102" s="13"/>
      <c r="E102" s="63"/>
      <c r="F102" s="13"/>
      <c r="G102" s="13"/>
      <c r="H102" s="13" t="s">
        <v>68</v>
      </c>
      <c r="I102" s="101" t="s">
        <v>44</v>
      </c>
      <c r="J102" s="101"/>
      <c r="K102" s="6">
        <f>[9]!'id673?req?ALL_STK_SMART_USD_~/'</f>
        <v>0</v>
      </c>
      <c r="L102" s="6" t="str">
        <f>[9]!id673?orderTypes</f>
        <v>ACTIVETIM,ADJUST,ALERT,ALGO,ALLOC,AON,AVGCOST,BASKET,COND,CONDORDER,DARKONLY,DARKPOLL,DAY,DEACT,DEACTDIS,DEACTEOD,DIS,GAT,GTC,GTD,GTT,HID,IBKRATS,ICE,IMB,IOC,LIT,LMT,LOC,MIT,MKT,MOC,MTL,NGCOMB,NODARK,NONALGO,OCA,OPG,OPGREROUT,PEGBENCH,POSTONLY,PREOPGRTH,R</v>
      </c>
      <c r="M102" s="6" t="str">
        <f>[9]!id673?validExchanges</f>
        <v>SMART,NYSE,CBOE,ISE,CHX,ARCA,ISLAND,VWAP,DRCTEDGE,NSX,BEX,BATS,EDGEA,CSFBALGO,JEFFALGO,BYX,IEX,TPLUS2,PSX</v>
      </c>
      <c r="N102" s="6">
        <f>[9]!id673?conid</f>
        <v>4357</v>
      </c>
      <c r="O102" s="6">
        <f>[9]!id673?minTick</f>
        <v>0.01</v>
      </c>
      <c r="P102" s="6">
        <f>[9]!id673?multiplier</f>
        <v>0</v>
      </c>
      <c r="Q102" s="6" t="str">
        <f>[9]!id673?marketName</f>
        <v>ALL</v>
      </c>
      <c r="R102" s="6" t="str">
        <f>[9]!id673?tradingClass</f>
        <v>ALL</v>
      </c>
    </row>
    <row r="103" spans="1:18" customFormat="1" hidden="1" x14ac:dyDescent="0.2">
      <c r="A103" s="176" t="s">
        <v>826</v>
      </c>
      <c r="B103" s="13" t="s">
        <v>12</v>
      </c>
      <c r="C103" s="13" t="b">
        <f t="shared" si="0"/>
        <v>1</v>
      </c>
      <c r="D103" s="13"/>
      <c r="E103" s="63"/>
      <c r="F103" s="13"/>
      <c r="G103" s="13"/>
      <c r="H103" s="13" t="s">
        <v>68</v>
      </c>
      <c r="I103" s="101" t="s">
        <v>44</v>
      </c>
      <c r="J103" s="101"/>
      <c r="K103" s="6">
        <f>[9]!'id674?req?HON_STK_SMART_USD_~/'</f>
        <v>0</v>
      </c>
      <c r="L103" s="6" t="str">
        <f>[9]!id674?orderTypes</f>
        <v>ACTIVETIM,ADJUST,ALERT,ALGO,ALLOC,AON,AVGCOST,BASKET,COND,CONDORDER,DARKONLY,DARKPOLL,DAY,DEACT,DEACTDIS,DEACTEOD,DIS,GAT,GTC,GTD,GTT,HID,IBKRATS,ICE,IMB,IOC,LIT,LMT,LOC,MIT,MKT,MOC,MTL,NGCOMB,NODARK,NONALGO,OCA,OPG,OPGREROUT,PEGBENCH,POSTONLY,PREOPGRTH,R</v>
      </c>
      <c r="M103" s="6" t="str">
        <f>[9]!id674?validExchanges</f>
        <v>SMART,NYSE,CBOE,ISE,CHX,ARCA,ISLAND,VWAP,DRCTEDGE,NSX,BEX,BATS,EDGEA,CSFBALGO,JEFFALGO,BYX,IEX,TPLUS2,PSX</v>
      </c>
      <c r="N103" s="6">
        <f>[9]!id674?conid</f>
        <v>4350</v>
      </c>
      <c r="O103" s="6">
        <f>[9]!id674?minTick</f>
        <v>0.01</v>
      </c>
      <c r="P103" s="6">
        <f>[9]!id674?multiplier</f>
        <v>0</v>
      </c>
      <c r="Q103" s="6" t="str">
        <f>[9]!id674?marketName</f>
        <v>HON</v>
      </c>
      <c r="R103" s="6" t="str">
        <f>[9]!id674?tradingClass</f>
        <v>HON</v>
      </c>
    </row>
    <row r="104" spans="1:18" customFormat="1" hidden="1" x14ac:dyDescent="0.2">
      <c r="A104" s="176" t="s">
        <v>827</v>
      </c>
      <c r="B104" s="13" t="s">
        <v>12</v>
      </c>
      <c r="C104" s="13" t="b">
        <f t="shared" si="0"/>
        <v>1</v>
      </c>
      <c r="D104" s="13"/>
      <c r="E104" s="63"/>
      <c r="F104" s="13"/>
      <c r="G104" s="13"/>
      <c r="H104" s="13" t="s">
        <v>68</v>
      </c>
      <c r="I104" s="101" t="s">
        <v>44</v>
      </c>
      <c r="J104" s="101"/>
      <c r="K104" s="6">
        <f>[9]!'id675?req?AA_STK_SMART_USD_~/'</f>
        <v>0</v>
      </c>
      <c r="L104" s="6" t="str">
        <f>[9]!id675?orderTypes</f>
        <v>ACTIVETIM,ADJUST,ALERT,ALGO,ALLOC,AON,AVGCOST,BASKET,COND,CONDORDER,DARKONLY,DARKPOLL,DAY,DEACT,DEACTDIS,DEACTEOD,DIS,GAT,GTC,GTD,GTT,HID,IBKRATS,ICE,IMB,IOC,LIT,LMT,LOC,MIT,MKT,MOC,MTL,NGCOMB,NODARK,NONALGO,OCA,OPG,OPGREROUT,PEGBENCH,POSTONLY,PREOPGRTH,R</v>
      </c>
      <c r="M104" s="6" t="str">
        <f>[9]!id675?validExchanges</f>
        <v>SMART,NYSE,CBOE,ISE,CHX,ARCA,ISLAND,VWAP,DRCTEDGE,NSX,BEX,BATS,EDGEA,CSFBALGO,JEFFALGO,BYX,IEX,TPLUS2,PSX</v>
      </c>
      <c r="N104" s="6">
        <f>[9]!id675?conid</f>
        <v>4005</v>
      </c>
      <c r="O104" s="6">
        <f>[9]!id675?minTick</f>
        <v>0.01</v>
      </c>
      <c r="P104" s="6">
        <f>[9]!id675?multiplier</f>
        <v>0</v>
      </c>
      <c r="Q104" s="6" t="str">
        <f>[9]!id675?marketName</f>
        <v>AA</v>
      </c>
      <c r="R104" s="6" t="str">
        <f>[9]!id675?tradingClass</f>
        <v>AA</v>
      </c>
    </row>
    <row r="105" spans="1:18" customFormat="1" hidden="1" x14ac:dyDescent="0.2">
      <c r="A105" s="176" t="s">
        <v>828</v>
      </c>
      <c r="B105" s="13" t="s">
        <v>12</v>
      </c>
      <c r="C105" s="13" t="b">
        <f t="shared" si="0"/>
        <v>0</v>
      </c>
      <c r="D105" s="13"/>
      <c r="E105" s="63"/>
      <c r="F105" s="13"/>
      <c r="G105" s="13"/>
      <c r="H105" s="13" t="s">
        <v>68</v>
      </c>
      <c r="I105" s="101" t="s">
        <v>44</v>
      </c>
      <c r="J105" s="101"/>
      <c r="K105" s="6">
        <f>[9]!'id676?req?AMGN_STK_SMART_USD_~/'</f>
        <v>0</v>
      </c>
      <c r="L105" s="6" t="str">
        <f>[9]!id676?orderTypes</f>
        <v>ACTIVETIM,ADJUST,ALERT,ALGO,ALLOC,AON,AVGCOST,BASKET,COND,CONDORDER,DARKONLY,DARKPOLL,DAY,DEACT,DEACTDIS,DEACTEOD,DIS,GAT,GTC,GTD,GTT,HID,IBKRATS,ICE,IMB,IOC,LIT,LMT,LOC,MIT,MKT,MOC,MTL,NGCOMB,NODARK,NONALGO,OCA,OPG,OPGREROUT,PEGBENCH,POSTONLY,PREOPGRTH,R</v>
      </c>
      <c r="M105" s="6" t="str">
        <f>[9]!id676?validExchanges</f>
        <v>SMART,CBOE,ISE,CHX,ARCA,ISLAND,VWAP,DRCTEDGE,NSX,BEX,BATS,EDGEA,CSFBALGO,JEFFALGO,BYX,IEX,TPLUS2,PSX</v>
      </c>
      <c r="N105" s="6">
        <f>[9]!id676?conid</f>
        <v>266145</v>
      </c>
      <c r="O105" s="6">
        <f>[9]!id676?minTick</f>
        <v>0.01</v>
      </c>
      <c r="P105" s="6">
        <f>[9]!id676?multiplier</f>
        <v>0</v>
      </c>
      <c r="Q105" s="6" t="str">
        <f>[9]!id676?marketName</f>
        <v>NMS</v>
      </c>
      <c r="R105" s="6" t="str">
        <f>[9]!id676?tradingClass</f>
        <v>NMS</v>
      </c>
    </row>
    <row r="106" spans="1:18" customFormat="1" hidden="1" x14ac:dyDescent="0.2">
      <c r="A106" s="176" t="s">
        <v>829</v>
      </c>
      <c r="B106" s="13" t="s">
        <v>12</v>
      </c>
      <c r="C106" s="13" t="b">
        <f t="shared" si="0"/>
        <v>1</v>
      </c>
      <c r="D106" s="13"/>
      <c r="E106" s="63"/>
      <c r="F106" s="13"/>
      <c r="G106" s="13"/>
      <c r="H106" s="13" t="s">
        <v>68</v>
      </c>
      <c r="I106" s="101" t="s">
        <v>44</v>
      </c>
      <c r="J106" s="101"/>
      <c r="K106" s="6">
        <f>[9]!'id677?req?HES_STK_SMART_USD_~/'</f>
        <v>0</v>
      </c>
      <c r="L106" s="6" t="str">
        <f>[9]!id677?orderTypes</f>
        <v>ACTIVETIM,ADJUST,ALERT,ALGO,ALLOC,AON,AVGCOST,BASKET,COND,CONDORDER,DARKONLY,DARKPOLL,DAY,DEACT,DEACTDIS,DEACTEOD,DIS,GAT,GTC,GTD,GTT,HID,IBKRATS,ICE,IMB,IOC,LIT,LMT,LOC,MIT,MKT,MOC,MTL,NGCOMB,NODARK,NONALGO,OCA,OPG,OPGREROUT,PEGBENCH,POSTONLY,PREOPGRTH,R</v>
      </c>
      <c r="M106" s="6" t="str">
        <f>[9]!id677?validExchanges</f>
        <v>SMART,NYSE,CBOE,ISE,CHX,ARCA,ISLAND,VWAP,DRCTEDGE,NSX,BEX,BATS,EDGEA,CSFBALGO,JEFFALGO,BYX,IEX,TPLUS2,PSX</v>
      </c>
      <c r="N106" s="6">
        <f>[9]!id677?conid</f>
        <v>39118796</v>
      </c>
      <c r="O106" s="6">
        <f>[9]!id677?minTick</f>
        <v>0.01</v>
      </c>
      <c r="P106" s="6">
        <f>[9]!id677?multiplier</f>
        <v>0</v>
      </c>
      <c r="Q106" s="6" t="str">
        <f>[9]!id677?marketName</f>
        <v>HES</v>
      </c>
      <c r="R106" s="6" t="str">
        <f>[9]!id677?tradingClass</f>
        <v>HES</v>
      </c>
    </row>
    <row r="107" spans="1:18" customFormat="1" hidden="1" x14ac:dyDescent="0.2">
      <c r="A107" s="176" t="s">
        <v>830</v>
      </c>
      <c r="B107" s="13" t="s">
        <v>12</v>
      </c>
      <c r="C107" s="13" t="b">
        <f t="shared" si="0"/>
        <v>1</v>
      </c>
      <c r="D107" s="13"/>
      <c r="E107" s="63"/>
      <c r="F107" s="13"/>
      <c r="G107" s="13"/>
      <c r="H107" s="13" t="s">
        <v>68</v>
      </c>
      <c r="I107" s="101" t="s">
        <v>44</v>
      </c>
      <c r="J107" s="101"/>
      <c r="K107" s="6">
        <f>[9]!'id678?req?AXP_STK_SMART_USD_~/'</f>
        <v>0</v>
      </c>
      <c r="L107" s="6" t="str">
        <f>[9]!id678?orderTypes</f>
        <v>ACTIVETIM,ADJUST,ALERT,ALGO,ALLOC,AON,AVGCOST,BASKET,COND,CONDORDER,DARKONLY,DARKPOLL,DAY,DEACT,DEACTDIS,DEACTEOD,DIS,GAT,GTC,GTD,GTT,HID,IBKRATS,ICE,IMB,IOC,LIT,LMT,LOC,MIT,MKT,MOC,MTL,NGCOMB,NODARK,NONALGO,OCA,OPG,OPGREROUT,PEGBENCH,POSTONLY,PREOPGRTH,R</v>
      </c>
      <c r="M107" s="6" t="str">
        <f>[9]!id678?validExchanges</f>
        <v>SMART,NYSE,CBOE,ISE,CHX,ARCA,ISLAND,VWAP,DRCTEDGE,NSX,BEX,BATS,EDGEA,CSFBALGO,JEFFALGO,BYX,IEX,TPLUS2,PSX</v>
      </c>
      <c r="N107" s="6">
        <f>[9]!id678?conid</f>
        <v>4721</v>
      </c>
      <c r="O107" s="6">
        <f>[9]!id678?minTick</f>
        <v>0.01</v>
      </c>
      <c r="P107" s="6">
        <f>[9]!id678?multiplier</f>
        <v>0</v>
      </c>
      <c r="Q107" s="6" t="str">
        <f>[9]!id678?marketName</f>
        <v>AXP</v>
      </c>
      <c r="R107" s="6" t="str">
        <f>[9]!id678?tradingClass</f>
        <v>AXP</v>
      </c>
    </row>
    <row r="108" spans="1:18" customFormat="1" hidden="1" x14ac:dyDescent="0.2">
      <c r="A108" s="176" t="s">
        <v>831</v>
      </c>
      <c r="B108" s="13" t="s">
        <v>12</v>
      </c>
      <c r="C108" s="13" t="b">
        <f t="shared" si="0"/>
        <v>1</v>
      </c>
      <c r="D108" s="13"/>
      <c r="E108" s="63"/>
      <c r="F108" s="13"/>
      <c r="G108" s="13"/>
      <c r="H108" s="13" t="s">
        <v>68</v>
      </c>
      <c r="I108" s="101" t="s">
        <v>44</v>
      </c>
      <c r="J108" s="101"/>
      <c r="K108" s="6">
        <f>[9]!'id679?req?AEP_STK_SMART_USD_~/'</f>
        <v>0</v>
      </c>
      <c r="L108" s="6" t="str">
        <f>[9]!id679?orderTypes</f>
        <v>ACTIVETIM,ADJUST,ALERT,ALGO,ALLOC,AON,AVGCOST,BASKET,COND,CONDORDER,DARKONLY,DARKPOLL,DAY,DEACT,DEACTDIS,DEACTEOD,DIS,GAT,GTC,GTD,GTT,HID,IBKRATS,ICE,IMB,IOC,LIT,LMT,LOC,MIT,MKT,MOC,MTL,NGCOMB,NODARK,NONALGO,OCA,OPG,OPGREROUT,PEGBENCH,POSTONLY,PREOPGRTH,R</v>
      </c>
      <c r="M108" s="6" t="str">
        <f>[9]!id679?validExchanges</f>
        <v>SMART,NYSE,CBOE,ISE,CHX,ARCA,ISLAND,VWAP,DRCTEDGE,NSX,BEX,BATS,EDGEA,CSFBALGO,JEFFALGO,BYX,IEX,TPLUS2,PSX</v>
      </c>
      <c r="N108" s="6">
        <f>[9]!id679?conid</f>
        <v>4211</v>
      </c>
      <c r="O108" s="6">
        <f>[9]!id679?minTick</f>
        <v>0.01</v>
      </c>
      <c r="P108" s="6">
        <f>[9]!id679?multiplier</f>
        <v>0</v>
      </c>
      <c r="Q108" s="6" t="str">
        <f>[9]!id679?marketName</f>
        <v>AEP</v>
      </c>
      <c r="R108" s="6" t="str">
        <f>[9]!id679?tradingClass</f>
        <v>AEP</v>
      </c>
    </row>
    <row r="109" spans="1:18" customFormat="1" hidden="1" x14ac:dyDescent="0.2">
      <c r="A109" s="176" t="s">
        <v>832</v>
      </c>
      <c r="B109" s="13" t="s">
        <v>12</v>
      </c>
      <c r="C109" s="13" t="b">
        <f t="shared" si="0"/>
        <v>1</v>
      </c>
      <c r="D109" s="13"/>
      <c r="E109" s="63"/>
      <c r="F109" s="13"/>
      <c r="G109" s="13"/>
      <c r="H109" s="13" t="s">
        <v>68</v>
      </c>
      <c r="I109" s="101" t="s">
        <v>44</v>
      </c>
      <c r="J109" s="101"/>
      <c r="K109" s="6">
        <f>[9]!'id680?req?AFL_STK_SMART_USD_~/'</f>
        <v>0</v>
      </c>
      <c r="L109" s="6" t="str">
        <f>[9]!id680?orderTypes</f>
        <v>ACTIVETIM,ADJUST,ALERT,ALGO,ALLOC,AON,AVGCOST,BASKET,COND,CONDORDER,DARKONLY,DARKPOLL,DAY,DEACT,DEACTDIS,DEACTEOD,DIS,GAT,GTC,GTD,GTT,HID,IBKRATS,ICE,IMB,IOC,LIT,LMT,LOC,MIT,MKT,MOC,MTL,NGCOMB,NODARK,NONALGO,OCA,OPG,OPGREROUT,PEGBENCH,POSTONLY,PREOPGRTH,R</v>
      </c>
      <c r="M109" s="6" t="str">
        <f>[9]!id680?validExchanges</f>
        <v>SMART,NYSE,CBOE,ISE,CHX,ARCA,ISLAND,VWAP,DRCTEDGE,NSX,BEX,BATS,EDGEA,CSFBALGO,JEFFALGO,BYX,IEX,TPLUS2,PSX</v>
      </c>
      <c r="N109" s="6">
        <f>[9]!id680?conid</f>
        <v>4227</v>
      </c>
      <c r="O109" s="6">
        <f>[9]!id680?minTick</f>
        <v>0.01</v>
      </c>
      <c r="P109" s="6">
        <f>[9]!id680?multiplier</f>
        <v>0</v>
      </c>
      <c r="Q109" s="6" t="str">
        <f>[9]!id680?marketName</f>
        <v>AFL</v>
      </c>
      <c r="R109" s="6" t="str">
        <f>[9]!id680?tradingClass</f>
        <v>AFL</v>
      </c>
    </row>
    <row r="110" spans="1:18" customFormat="1" hidden="1" x14ac:dyDescent="0.2">
      <c r="A110" s="176" t="s">
        <v>833</v>
      </c>
      <c r="B110" s="13" t="s">
        <v>12</v>
      </c>
      <c r="C110" s="13" t="b">
        <f t="shared" si="0"/>
        <v>1</v>
      </c>
      <c r="D110" s="13"/>
      <c r="E110" s="63"/>
      <c r="F110" s="13"/>
      <c r="G110" s="13"/>
      <c r="H110" s="13" t="s">
        <v>68</v>
      </c>
      <c r="I110" s="101" t="s">
        <v>44</v>
      </c>
      <c r="J110" s="101"/>
      <c r="K110" s="6">
        <f>[9]!'id681?req?AIG_STK_SMART_USD_~/'</f>
        <v>0</v>
      </c>
      <c r="L110" s="6" t="str">
        <f>[9]!id681?orderTypes</f>
        <v>ACTIVETIM,ADJUST,ALERT,ALGO,ALLOC,AON,AVGCOST,BASKET,COND,CONDORDER,DARKONLY,DARKPOLL,DAY,DEACT,DEACTDIS,DEACTEOD,DIS,GAT,GTC,GTD,GTT,HID,IBKRATS,ICE,IMB,IOC,LIT,LMT,LOC,MIT,MKT,MOC,MTL,NGCOMB,NODARK,NONALGO,OCA,OPG,OPGREROUT,PEGBENCH,POSTONLY,PREOPGRTH,R</v>
      </c>
      <c r="M110" s="6" t="str">
        <f>[9]!id681?validExchanges</f>
        <v>SMART,NYSE,CBOE,ISE,CHX,ARCA,ISLAND,DRCTEDGE,NSX,BEX,BATS,EDGEA,CSFBALGO,JEFFALGO,BYX,IEX,TPLUS2,PSX</v>
      </c>
      <c r="N110" s="6">
        <f>[9]!id681?conid</f>
        <v>61319701</v>
      </c>
      <c r="O110" s="6">
        <f>[9]!id681?minTick</f>
        <v>0.01</v>
      </c>
      <c r="P110" s="6">
        <f>[9]!id681?multiplier</f>
        <v>0</v>
      </c>
      <c r="Q110" s="6" t="str">
        <f>[9]!id681?marketName</f>
        <v>AIG</v>
      </c>
      <c r="R110" s="6" t="str">
        <f>[9]!id681?tradingClass</f>
        <v>AIG</v>
      </c>
    </row>
    <row r="111" spans="1:18" customFormat="1" hidden="1" x14ac:dyDescent="0.2">
      <c r="A111" s="176" t="s">
        <v>834</v>
      </c>
      <c r="B111" s="13" t="s">
        <v>12</v>
      </c>
      <c r="C111" s="13" t="b">
        <f t="shared" si="0"/>
        <v>0</v>
      </c>
      <c r="D111" s="13"/>
      <c r="E111" s="63"/>
      <c r="F111" s="13"/>
      <c r="G111" s="13"/>
      <c r="H111" s="13" t="s">
        <v>68</v>
      </c>
      <c r="I111" s="101" t="s">
        <v>44</v>
      </c>
      <c r="J111" s="101"/>
      <c r="K111" s="6">
        <f>[9]!'id682?req?ADI_STK_SMART_USD_~/'</f>
        <v>0</v>
      </c>
      <c r="L111" s="6" t="str">
        <f>[9]!id682?orderTypes</f>
        <v>ACTIVETIM,ADJUST,ALERT,ALGO,ALLOC,AON,AVGCOST,BASKET,COND,CONDORDER,DARKONLY,DARKPOLL,DAY,DEACT,DEACTDIS,DEACTEOD,DIS,GAT,GTC,GTD,GTT,HID,IBKRATS,ICE,IMB,IOC,LIT,LMT,LOC,MIT,MKT,MOC,MTL,NGCOMB,NODARK,NONALGO,OCA,OPG,OPGREROUT,PEGBENCH,POSTONLY,PREOPGRTH,R</v>
      </c>
      <c r="M111" s="6" t="str">
        <f>[9]!id682?validExchanges</f>
        <v>SMART,CBOE,ISE,CHX,ARCA,ISLAND,VWAP,DRCTEDGE,NSX,BEX,BATS,EDGEA,CSFBALGO,JEFFALGO,BYX,IEX,TPLUS2,PSX</v>
      </c>
      <c r="N111" s="6">
        <f>[9]!id682?conid</f>
        <v>4157</v>
      </c>
      <c r="O111" s="6">
        <f>[9]!id682?minTick</f>
        <v>0.01</v>
      </c>
      <c r="P111" s="6">
        <f>[9]!id682?multiplier</f>
        <v>0</v>
      </c>
      <c r="Q111" s="6" t="str">
        <f>[9]!id682?marketName</f>
        <v>NMS</v>
      </c>
      <c r="R111" s="6" t="str">
        <f>[9]!id682?tradingClass</f>
        <v>NMS</v>
      </c>
    </row>
    <row r="112" spans="1:18" customFormat="1" hidden="1" x14ac:dyDescent="0.2">
      <c r="A112" s="176" t="s">
        <v>835</v>
      </c>
      <c r="B112" s="13" t="s">
        <v>12</v>
      </c>
      <c r="C112" s="13" t="b">
        <f t="shared" si="0"/>
        <v>1</v>
      </c>
      <c r="D112" s="13"/>
      <c r="E112" s="63"/>
      <c r="F112" s="13"/>
      <c r="G112" s="13"/>
      <c r="H112" s="13" t="s">
        <v>68</v>
      </c>
      <c r="I112" s="101" t="s">
        <v>44</v>
      </c>
      <c r="J112" s="101"/>
      <c r="K112" s="6">
        <f>[9]!'id683?req?APC_STK_SMART_USD_~/'</f>
        <v>0</v>
      </c>
      <c r="L112" s="6" t="str">
        <f>[9]!id683?orderTypes</f>
        <v>ACTIVETIM,ADJUST,ALERT,ALGO,ALLOC,AON,AVGCOST,BASKET,COND,CONDORDER,DARKONLY,DARKPOLL,DAY,DEACT,DEACTDIS,DEACTEOD,DIS,GAT,GTC,GTD,GTT,HID,IBKRATS,ICE,IMB,IOC,LIT,LMT,LOC,MIT,MKT,MOC,MTL,NGCOMB,NODARK,NONALGO,OCA,OPG,OPGREROUT,PEGBENCH,POSTONLY,PREOPGRTH,R</v>
      </c>
      <c r="M112" s="6" t="str">
        <f>[9]!id683?validExchanges</f>
        <v>SMART,NYSE,CBOE,ISE,CHX,ARCA,ISLAND,VWAP,DRCTEDGE,NSX,BEX,BATS,EDGEA,CSFBALGO,JEFFALGO,BYX,IEX,TPLUS2,PSX</v>
      </c>
      <c r="N112" s="6">
        <f>[9]!id683?conid</f>
        <v>4482</v>
      </c>
      <c r="O112" s="6">
        <f>[9]!id683?minTick</f>
        <v>0.01</v>
      </c>
      <c r="P112" s="6">
        <f>[9]!id683?multiplier</f>
        <v>0</v>
      </c>
      <c r="Q112" s="6" t="str">
        <f>[9]!id683?marketName</f>
        <v>APC</v>
      </c>
      <c r="R112" s="6" t="str">
        <f>[9]!id683?tradingClass</f>
        <v>APC</v>
      </c>
    </row>
    <row r="113" spans="1:18" customFormat="1" hidden="1" x14ac:dyDescent="0.2">
      <c r="A113" s="176" t="s">
        <v>836</v>
      </c>
      <c r="B113" s="13" t="s">
        <v>12</v>
      </c>
      <c r="C113" s="13" t="b">
        <f t="shared" si="0"/>
        <v>0</v>
      </c>
      <c r="D113" s="13"/>
      <c r="E113" s="63"/>
      <c r="F113" s="13"/>
      <c r="G113" s="13"/>
      <c r="H113" s="13" t="s">
        <v>68</v>
      </c>
      <c r="I113" s="101" t="s">
        <v>44</v>
      </c>
      <c r="J113" s="101"/>
      <c r="K113" s="6">
        <f>[9]!'id684?req?ALXN_STK_SMART_USD_~/'</f>
        <v>0</v>
      </c>
      <c r="L113" s="6" t="str">
        <f>[9]!id684?orderTypes</f>
        <v>ACTIVETIM,ADJUST,ALERT,ALGO,ALLOC,AON,AVGCOST,BASKET,COND,CONDORDER,DARKONLY,DARKPOLL,DAY,DEACT,DEACTDIS,DEACTEOD,DIS,GAT,GTC,GTD,GTT,HID,IBKRATS,ICE,IMB,IOC,LIT,LMT,LOC,MIT,MKT,MOC,MTL,NGCOMB,NODARK,NONALGO,OCA,OPG,OPGREROUT,PEGBENCH,POSTONLY,PREOPGRTH,R</v>
      </c>
      <c r="M113" s="6" t="str">
        <f>[9]!id684?validExchanges</f>
        <v>SMART,CBOE,ISE,CHX,ARCA,ISLAND,DRCTEDGE,NSX,BEX,BATS,EDGEA,CSFBALGO,JEFFALGO,BYX,IEX,TPLUS2,PSX</v>
      </c>
      <c r="N113" s="6">
        <f>[9]!id684?conid</f>
        <v>4726176</v>
      </c>
      <c r="O113" s="6">
        <f>[9]!id684?minTick</f>
        <v>0.01</v>
      </c>
      <c r="P113" s="6">
        <f>[9]!id684?multiplier</f>
        <v>0</v>
      </c>
      <c r="Q113" s="6" t="str">
        <f>[9]!id684?marketName</f>
        <v>NMS</v>
      </c>
      <c r="R113" s="6" t="str">
        <f>[9]!id684?tradingClass</f>
        <v>NMS</v>
      </c>
    </row>
    <row r="114" spans="1:18" customFormat="1" hidden="1" x14ac:dyDescent="0.2">
      <c r="A114" s="176" t="s">
        <v>837</v>
      </c>
      <c r="B114" s="13" t="s">
        <v>12</v>
      </c>
      <c r="C114" s="13" t="b">
        <f t="shared" si="0"/>
        <v>1</v>
      </c>
      <c r="D114" s="13"/>
      <c r="E114" s="63"/>
      <c r="F114" s="13"/>
      <c r="G114" s="13"/>
      <c r="H114" s="13" t="s">
        <v>68</v>
      </c>
      <c r="I114" s="101" t="s">
        <v>44</v>
      </c>
      <c r="J114" s="101"/>
      <c r="K114" s="6">
        <f>[9]!'id685?req?VLO_STK_SMART_USD_~/'</f>
        <v>0</v>
      </c>
      <c r="L114" s="6" t="str">
        <f>[9]!id685?orderTypes</f>
        <v>ACTIVETIM,ADJUST,ALERT,ALGO,ALLOC,AON,AVGCOST,BASKET,COND,CONDORDER,DARKONLY,DARKPOLL,DAY,DEACT,DEACTDIS,DEACTEOD,DIS,GAT,GTC,GTD,GTT,HID,IBKRATS,ICE,IMB,IOC,LIT,LMT,LOC,MIT,MKT,MOC,MTL,NGCOMB,NODARK,NONALGO,OCA,OPG,OPGREROUT,PEGBENCH,POSTONLY,PREOPGRTH,R</v>
      </c>
      <c r="M114" s="6" t="str">
        <f>[9]!id685?validExchanges</f>
        <v>SMART,NYSE,CBOE,ISE,CHX,ARCA,ISLAND,VWAP,DRCTEDGE,NSX,BEX,BATS,EDGEA,CSFBALGO,JEFFALGO,BYX,IEX,TPLUS2,PSX</v>
      </c>
      <c r="N114" s="6">
        <f>[9]!id685?conid</f>
        <v>13497</v>
      </c>
      <c r="O114" s="6">
        <f>[9]!id685?minTick</f>
        <v>0.01</v>
      </c>
      <c r="P114" s="6">
        <f>[9]!id685?multiplier</f>
        <v>0</v>
      </c>
      <c r="Q114" s="6" t="str">
        <f>[9]!id685?marketName</f>
        <v>VLO</v>
      </c>
      <c r="R114" s="6" t="str">
        <f>[9]!id685?tradingClass</f>
        <v>VLO</v>
      </c>
    </row>
    <row r="115" spans="1:18" customFormat="1" hidden="1" x14ac:dyDescent="0.2">
      <c r="A115" s="176" t="s">
        <v>838</v>
      </c>
      <c r="B115" s="13" t="s">
        <v>12</v>
      </c>
      <c r="C115" s="13" t="b">
        <f t="shared" si="0"/>
        <v>1</v>
      </c>
      <c r="D115" s="13"/>
      <c r="E115" s="63"/>
      <c r="F115" s="13"/>
      <c r="G115" s="13"/>
      <c r="H115" s="13" t="s">
        <v>68</v>
      </c>
      <c r="I115" s="101" t="s">
        <v>44</v>
      </c>
      <c r="J115" s="101"/>
      <c r="K115" s="6">
        <f>[9]!'id686?req?APA_STK_SMART_USD_~/'</f>
        <v>0</v>
      </c>
      <c r="L115" s="6" t="str">
        <f>[9]!id686?orderTypes</f>
        <v>ACTIVETIM,ADJUST,ALERT,ALGO,ALLOC,AON,AVGCOST,BASKET,COND,CONDORDER,DARKONLY,DARKPOLL,DAY,DEACT,DEACTDIS,DEACTEOD,DIS,GAT,GTC,GTD,GTT,HID,IBKRATS,ICE,IMB,IOC,LIT,LMT,LOC,MIT,MKT,MOC,MTL,NGCOMB,NODARK,NONALGO,OCA,OPG,OPGREROUT,PEGBENCH,POSTONLY,PREOPGRTH,R</v>
      </c>
      <c r="M115" s="6" t="str">
        <f>[9]!id686?validExchanges</f>
        <v>SMART,NYSE,CBOE,ISE,CHX,ARCA,ISLAND,VWAP,DRCTEDGE,NSX,BEX,BATS,EDGEA,CSFBALGO,JEFFALGO,BYX,IEX,TPLUS2,PSX</v>
      </c>
      <c r="N115" s="6">
        <f>[9]!id686?conid</f>
        <v>4472</v>
      </c>
      <c r="O115" s="6">
        <f>[9]!id686?minTick</f>
        <v>0.01</v>
      </c>
      <c r="P115" s="6">
        <f>[9]!id686?multiplier</f>
        <v>0</v>
      </c>
      <c r="Q115" s="6" t="str">
        <f>[9]!id686?marketName</f>
        <v>APA</v>
      </c>
      <c r="R115" s="6" t="str">
        <f>[9]!id686?tradingClass</f>
        <v>APA</v>
      </c>
    </row>
    <row r="116" spans="1:18" customFormat="1" hidden="1" x14ac:dyDescent="0.2">
      <c r="A116" s="176" t="s">
        <v>839</v>
      </c>
      <c r="B116" s="13" t="s">
        <v>12</v>
      </c>
      <c r="C116" s="13" t="b">
        <f t="shared" si="0"/>
        <v>0</v>
      </c>
      <c r="D116" s="13"/>
      <c r="E116" s="63"/>
      <c r="F116" s="13"/>
      <c r="G116" s="13"/>
      <c r="H116" s="13" t="s">
        <v>68</v>
      </c>
      <c r="I116" s="101" t="s">
        <v>44</v>
      </c>
      <c r="J116" s="101"/>
      <c r="K116" s="6">
        <f>[9]!'id687?req?CMCSA_STK_SMART_USD_~/'</f>
        <v>0</v>
      </c>
      <c r="L116" s="6" t="str">
        <f>[9]!id687?orderTypes</f>
        <v>ACTIVETIM,ADJUST,ALERT,ALGO,ALLOC,AON,AVGCOST,BASKET,COND,CONDORDER,DARKONLY,DARKPOLL,DAY,DEACT,DEACTDIS,DEACTEOD,DIS,GAT,GTC,GTD,GTT,HID,IBKRATS,ICE,IMB,IOC,LIT,LMT,LOC,MIT,MKT,MOC,MTL,NGCOMB,NODARK,NONALGO,OCA,OPG,OPGREROUT,PEGBENCH,POSTONLY,PREOPGRTH,R</v>
      </c>
      <c r="M116" s="6" t="str">
        <f>[9]!id687?validExchanges</f>
        <v>SMART,CBOE,ISE,CHX,ARCA,ISLAND,VWAP,DRCTEDGE,NSX,BEX,BATS,EDGEA,CSFBALGO,JEFFALGO,BYX,IEX,TPLUS2,PSX</v>
      </c>
      <c r="N116" s="6">
        <f>[9]!id687?conid</f>
        <v>267748</v>
      </c>
      <c r="O116" s="6">
        <f>[9]!id687?minTick</f>
        <v>0.01</v>
      </c>
      <c r="P116" s="6">
        <f>[9]!id687?multiplier</f>
        <v>0</v>
      </c>
      <c r="Q116" s="6" t="str">
        <f>[9]!id687?marketName</f>
        <v>NMS</v>
      </c>
      <c r="R116" s="6" t="str">
        <f>[9]!id687?tradingClass</f>
        <v>NMS</v>
      </c>
    </row>
    <row r="117" spans="1:18" customFormat="1" x14ac:dyDescent="0.2">
      <c r="A117" s="176" t="s">
        <v>492</v>
      </c>
      <c r="B117" s="13" t="s">
        <v>12</v>
      </c>
      <c r="C117" s="13" t="b">
        <f t="shared" si="0"/>
        <v>0</v>
      </c>
      <c r="D117" s="13"/>
      <c r="E117" s="63"/>
      <c r="F117" s="13"/>
      <c r="G117" s="13"/>
      <c r="H117" s="13" t="s">
        <v>68</v>
      </c>
      <c r="I117" s="101" t="s">
        <v>44</v>
      </c>
      <c r="J117" s="101"/>
      <c r="K117" s="6">
        <f>[9]!'id688?req?AAPL_STK_SMART_USD_~/'</f>
        <v>0</v>
      </c>
      <c r="L117" s="6" t="str">
        <f>[9]!id688?orderTypes</f>
        <v>ACTIVETIM,ADJUST,ALERT,ALGO,ALLOC,AON,AVGCOST,BASKET,COND,CONDORDER,DARKONLY,DARKPOLL,DAY,DEACT,DEACTDIS,DEACTEOD,DIS,GAT,GTC,GTD,GTT,HID,IBKRATS,ICE,IMB,IOC,LIT,LMT,LOC,MIT,MKT,MOC,MTL,NGCOMB,NODARK,NONALGO,OCA,OPG,OPGREROUT,PEGBENCH,POSTONLY,PREOPGRTH,R</v>
      </c>
      <c r="M117" s="6" t="str">
        <f>[9]!id688?validExchanges</f>
        <v>SMART,CBOE,ISE,CHX,ARCA,ISLAND,VWAP,DRCTEDGE,NSX,BEX,BATS,EDGEA,CSFBALGO,JEFFALGO,BYX,IEX,TPLUS2,PSX</v>
      </c>
      <c r="N117" s="6">
        <f>[9]!id688?conid</f>
        <v>265598</v>
      </c>
      <c r="O117" s="6">
        <f>[9]!id688?minTick</f>
        <v>0.01</v>
      </c>
      <c r="P117" s="6">
        <f>[9]!id688?multiplier</f>
        <v>0</v>
      </c>
      <c r="Q117" s="6" t="str">
        <f>[9]!id688?marketName</f>
        <v>NMS</v>
      </c>
      <c r="R117" s="6" t="str">
        <f>[9]!id688?tradingClass</f>
        <v>NMS</v>
      </c>
    </row>
    <row r="118" spans="1:18" customFormat="1" hidden="1" x14ac:dyDescent="0.2">
      <c r="A118" s="176" t="s">
        <v>840</v>
      </c>
      <c r="B118" s="13" t="s">
        <v>12</v>
      </c>
      <c r="C118" s="13" t="b">
        <f t="shared" si="0"/>
        <v>0</v>
      </c>
      <c r="D118" s="13"/>
      <c r="E118" s="63"/>
      <c r="F118" s="13"/>
      <c r="G118" s="13"/>
      <c r="H118" s="13" t="s">
        <v>68</v>
      </c>
      <c r="I118" s="101" t="s">
        <v>44</v>
      </c>
      <c r="J118" s="101"/>
      <c r="K118" s="6">
        <f>[9]!'id689?req?AMAT_STK_SMART_USD_~/'</f>
        <v>0</v>
      </c>
      <c r="L118" s="6" t="str">
        <f>[9]!id689?orderTypes</f>
        <v>ACTIVETIM,ADJUST,ALERT,ALGO,ALLOC,AON,AVGCOST,BASKET,COND,CONDORDER,DARKONLY,DARKPOLL,DAY,DEACT,DEACTDIS,DEACTEOD,DIS,GAT,GTC,GTD,GTT,HID,IBKRATS,ICE,IMB,IOC,LIT,LMT,LOC,MIT,MKT,MOC,MTL,NGCOMB,NODARK,NONALGO,OCA,OPG,OPGREROUT,PEGBENCH,POSTONLY,PREOPGRTH,R</v>
      </c>
      <c r="M118" s="6" t="str">
        <f>[9]!id689?validExchanges</f>
        <v>SMART,CBOE,ISE,CHX,ARCA,ISLAND,VWAP,DRCTEDGE,NSX,BEX,BATS,EDGEA,CSFBALGO,JEFFALGO,BYX,IEX,TPLUS2,PSX</v>
      </c>
      <c r="N118" s="6">
        <f>[9]!id689?conid</f>
        <v>266093</v>
      </c>
      <c r="O118" s="6">
        <f>[9]!id689?minTick</f>
        <v>0.01</v>
      </c>
      <c r="P118" s="6">
        <f>[9]!id689?multiplier</f>
        <v>0</v>
      </c>
      <c r="Q118" s="6" t="str">
        <f>[9]!id689?marketName</f>
        <v>NMS</v>
      </c>
      <c r="R118" s="6" t="str">
        <f>[9]!id689?tradingClass</f>
        <v>NMS</v>
      </c>
    </row>
    <row r="119" spans="1:18" customFormat="1" hidden="1" x14ac:dyDescent="0.2">
      <c r="A119" s="176" t="s">
        <v>841</v>
      </c>
      <c r="B119" s="13" t="s">
        <v>12</v>
      </c>
      <c r="C119" s="13" t="b">
        <f t="shared" si="0"/>
        <v>1</v>
      </c>
      <c r="D119" s="13"/>
      <c r="E119" s="63"/>
      <c r="F119" s="13"/>
      <c r="G119" s="13"/>
      <c r="H119" s="13" t="s">
        <v>68</v>
      </c>
      <c r="I119" s="101" t="s">
        <v>44</v>
      </c>
      <c r="J119" s="101"/>
      <c r="K119" s="6">
        <f>[9]!'id690?req?ADM_STK_SMART_USD_~/'</f>
        <v>0</v>
      </c>
      <c r="L119" s="6" t="str">
        <f>[9]!id690?orderTypes</f>
        <v>ACTIVETIM,ADJUST,ALERT,ALGO,ALLOC,AON,AVGCOST,BASKET,COND,CONDORDER,DARKONLY,DARKPOLL,DAY,DEACT,DEACTDIS,DEACTEOD,DIS,GAT,GTC,GTD,GTT,HID,IBKRATS,ICE,IMB,IOC,LIT,LMT,LOC,MIT,MKT,MOC,MTL,NGCOMB,NODARK,NONALGO,OCA,OPG,OPGREROUT,PEGBENCH,POSTONLY,PREOPGRTH,R</v>
      </c>
      <c r="M119" s="6" t="str">
        <f>[9]!id690?validExchanges</f>
        <v>SMART,NYSE,CBOE,ISE,CHX,ARCA,ISLAND,VWAP,DRCTEDGE,NSX,BEX,BATS,EDGEA,CSFBALGO,JEFFALGO,BYX,IEX,TPLUS2,PSX</v>
      </c>
      <c r="N119" s="6">
        <f>[9]!id690?conid</f>
        <v>4165</v>
      </c>
      <c r="O119" s="6">
        <f>[9]!id690?minTick</f>
        <v>0.01</v>
      </c>
      <c r="P119" s="6">
        <f>[9]!id690?multiplier</f>
        <v>0</v>
      </c>
      <c r="Q119" s="6" t="str">
        <f>[9]!id690?marketName</f>
        <v>ADM</v>
      </c>
      <c r="R119" s="6" t="str">
        <f>[9]!id690?tradingClass</f>
        <v>ADM</v>
      </c>
    </row>
    <row r="120" spans="1:18" customFormat="1" hidden="1" x14ac:dyDescent="0.2">
      <c r="A120" s="176" t="s">
        <v>842</v>
      </c>
      <c r="B120" s="13" t="s">
        <v>12</v>
      </c>
      <c r="C120" s="13" t="b">
        <f t="shared" si="0"/>
        <v>1</v>
      </c>
      <c r="D120" s="13"/>
      <c r="E120" s="63"/>
      <c r="F120" s="13"/>
      <c r="G120" s="13"/>
      <c r="H120" s="13" t="s">
        <v>68</v>
      </c>
      <c r="I120" s="101" t="s">
        <v>44</v>
      </c>
      <c r="J120" s="101"/>
      <c r="K120" s="6">
        <f>[9]!'id691?req?PNW_STK_SMART_USD_~/'</f>
        <v>0</v>
      </c>
      <c r="L120" s="6" t="str">
        <f>[9]!id691?orderTypes</f>
        <v>ACTIVETIM,ADJUST,ALERT,ALGO,ALLOC,AON,AVGCOST,BASKET,COND,CONDORDER,DARKONLY,DARKPOLL,DAY,DEACT,DEACTDIS,DEACTEOD,DIS,GAT,GTC,GTD,GTT,HID,IBKRATS,ICE,IMB,IOC,LIT,LMT,LOC,MIT,MKT,MOC,MTL,NGCOMB,NODARK,NONALGO,OCA,OPG,OPGREROUT,PEGBENCH,POSTONLY,PREOPGRTH,R</v>
      </c>
      <c r="M120" s="6" t="str">
        <f>[9]!id691?validExchanges</f>
        <v>SMART,NYSE,ISE,CHX,ARCA,ISLAND,VWAP,DRCTEDGE,NSX,BEX,BATS,EDGEA,CSFBALGO,JEFFALGO,BYX,IEX,TPLUS2,PSX</v>
      </c>
      <c r="N120" s="6">
        <f>[9]!id691?conid</f>
        <v>11257</v>
      </c>
      <c r="O120" s="6">
        <f>[9]!id691?minTick</f>
        <v>0.01</v>
      </c>
      <c r="P120" s="6">
        <f>[9]!id691?multiplier</f>
        <v>0</v>
      </c>
      <c r="Q120" s="6" t="str">
        <f>[9]!id691?marketName</f>
        <v>PNW</v>
      </c>
      <c r="R120" s="6" t="str">
        <f>[9]!id691?tradingClass</f>
        <v>PNW</v>
      </c>
    </row>
    <row r="121" spans="1:18" customFormat="1" hidden="1" x14ac:dyDescent="0.2">
      <c r="A121" s="176" t="s">
        <v>843</v>
      </c>
      <c r="B121" s="13" t="s">
        <v>12</v>
      </c>
      <c r="C121" s="13" t="b">
        <f t="shared" si="0"/>
        <v>1</v>
      </c>
      <c r="D121" s="13"/>
      <c r="E121" s="63"/>
      <c r="F121" s="13"/>
      <c r="G121" s="13"/>
      <c r="H121" s="13" t="s">
        <v>68</v>
      </c>
      <c r="I121" s="101" t="s">
        <v>44</v>
      </c>
      <c r="J121" s="101"/>
      <c r="K121" s="6">
        <f>[9]!'id692?req?AEE_STK_SMART_USD_~/'</f>
        <v>0</v>
      </c>
      <c r="L121" s="6" t="str">
        <f>[9]!id692?orderTypes</f>
        <v>ACTIVETIM,ADJUST,ALERT,ALGO,ALLOC,AON,AVGCOST,BASKET,COND,CONDORDER,DARKONLY,DARKPOLL,DAY,DEACT,DEACTDIS,DEACTEOD,DIS,GAT,GTC,GTD,GTT,HID,IBKRATS,ICE,IMB,IOC,LIT,LMT,LOC,MIT,MKT,MOC,MTL,NGCOMB,NODARK,NONALGO,OCA,OPG,OPGREROUT,PEGBENCH,POSTONLY,PREOPGRTH,R</v>
      </c>
      <c r="M121" s="6" t="str">
        <f>[9]!id692?validExchanges</f>
        <v>SMART,NYSE,CBOE,ISE,CHX,ARCA,ISLAND,VWAP,DRCTEDGE,NSX,BEX,BATS,EDGEA,CSFBALGO,JEFFALGO,BYX,IEX,TPLUS2,PSX</v>
      </c>
      <c r="N121" s="6">
        <f>[9]!id692?conid</f>
        <v>13181</v>
      </c>
      <c r="O121" s="6">
        <f>[9]!id692?minTick</f>
        <v>0.01</v>
      </c>
      <c r="P121" s="6">
        <f>[9]!id692?multiplier</f>
        <v>0</v>
      </c>
      <c r="Q121" s="6" t="str">
        <f>[9]!id692?marketName</f>
        <v>AEE</v>
      </c>
      <c r="R121" s="6" t="str">
        <f>[9]!id692?tradingClass</f>
        <v>AEE</v>
      </c>
    </row>
    <row r="122" spans="1:18" customFormat="1" hidden="1" x14ac:dyDescent="0.2">
      <c r="A122" s="176" t="s">
        <v>844</v>
      </c>
      <c r="B122" s="13" t="s">
        <v>12</v>
      </c>
      <c r="C122" s="13" t="b">
        <f t="shared" si="0"/>
        <v>1</v>
      </c>
      <c r="D122" s="13"/>
      <c r="E122" s="63"/>
      <c r="F122" s="13"/>
      <c r="G122" s="13"/>
      <c r="H122" s="13" t="s">
        <v>68</v>
      </c>
      <c r="I122" s="101" t="s">
        <v>44</v>
      </c>
      <c r="J122" s="101"/>
      <c r="K122" s="6">
        <f>[9]!'id693?req?AIV_STK_SMART_USD_~/'</f>
        <v>0</v>
      </c>
      <c r="L122" s="6" t="str">
        <f>[9]!id693?orderTypes</f>
        <v>ACTIVETIM,ADJUST,ALERT,ALGO,ALLOC,AON,AVGCOST,BASKET,COND,CONDORDER,DARKONLY,DARKPOLL,DAY,DEACT,DEACTDIS,DEACTEOD,DIS,GAT,GTC,GTD,GTT,HID,IBKRATS,ICE,IMB,IOC,LIT,LMT,LOC,MIT,MKT,MOC,MTL,NGCOMB,NODARK,NONALGO,OCA,OPG,OPGREROUT,PEGBENCH,POSTONLY,PREOPGRTH,R</v>
      </c>
      <c r="M122" s="6" t="str">
        <f>[9]!id693?validExchanges</f>
        <v>SMART,NYSE,CBOE,ISE,CHX,ARCA,ISLAND,VWAP,DRCTEDGE,NSX,BEX,BATS,EDGEA,CSFBALGO,JEFFALGO,BYX,IEX,TPLUS2,PSX</v>
      </c>
      <c r="N122" s="6">
        <f>[9]!id693?conid</f>
        <v>4316</v>
      </c>
      <c r="O122" s="6">
        <f>[9]!id693?minTick</f>
        <v>0.01</v>
      </c>
      <c r="P122" s="6">
        <f>[9]!id693?multiplier</f>
        <v>0</v>
      </c>
      <c r="Q122" s="6" t="str">
        <f>[9]!id693?marketName</f>
        <v>AIV</v>
      </c>
      <c r="R122" s="6" t="str">
        <f>[9]!id693?tradingClass</f>
        <v>AIV</v>
      </c>
    </row>
    <row r="123" spans="1:18" customFormat="1" hidden="1" x14ac:dyDescent="0.2">
      <c r="A123" s="176" t="s">
        <v>845</v>
      </c>
      <c r="B123" s="13" t="s">
        <v>12</v>
      </c>
      <c r="C123" s="13" t="b">
        <f t="shared" si="0"/>
        <v>0</v>
      </c>
      <c r="D123" s="13"/>
      <c r="E123" s="63"/>
      <c r="F123" s="13"/>
      <c r="G123" s="13"/>
      <c r="H123" s="13" t="s">
        <v>68</v>
      </c>
      <c r="I123" s="101" t="s">
        <v>44</v>
      </c>
      <c r="J123" s="101"/>
      <c r="K123" s="6">
        <f>[9]!'id695?req?ADSK_STK_SMART_USD_~/'</f>
        <v>0</v>
      </c>
      <c r="L123" s="6" t="str">
        <f>[9]!id695?orderTypes</f>
        <v>ACTIVETIM,ADJUST,ALERT,ALGO,ALLOC,AON,AVGCOST,BASKET,COND,CONDORDER,DARKONLY,DARKPOLL,DAY,DEACT,DEACTDIS,DEACTEOD,DIS,GAT,GTC,GTD,GTT,HID,IBKRATS,ICE,IMB,IOC,LIT,LMT,LOC,MIT,MKT,MOC,MTL,NGCOMB,NODARK,NONALGO,OCA,OPG,OPGREROUT,PEGBENCH,POSTONLY,PREOPGRTH,R</v>
      </c>
      <c r="M123" s="6" t="str">
        <f>[9]!id695?validExchanges</f>
        <v>SMART,CBOE,ISE,CHX,ARCA,ISLAND,VWAP,DRCTEDGE,NSX,BEX,BATS,EDGEA,CSFBALGO,JEFFALGO,BYX,IEX,TPLUS2,PSX</v>
      </c>
      <c r="N123" s="6">
        <f>[9]!id695?conid</f>
        <v>265681</v>
      </c>
      <c r="O123" s="6">
        <f>[9]!id695?minTick</f>
        <v>0.01</v>
      </c>
      <c r="P123" s="6">
        <f>[9]!id695?multiplier</f>
        <v>0</v>
      </c>
      <c r="Q123" s="6" t="str">
        <f>[9]!id695?marketName</f>
        <v>NMS</v>
      </c>
      <c r="R123" s="6" t="str">
        <f>[9]!id695?tradingClass</f>
        <v>NMS</v>
      </c>
    </row>
    <row r="124" spans="1:18" customFormat="1" hidden="1" x14ac:dyDescent="0.2">
      <c r="A124" s="176" t="s">
        <v>846</v>
      </c>
      <c r="B124" s="13" t="s">
        <v>12</v>
      </c>
      <c r="C124" s="13" t="b">
        <f t="shared" si="0"/>
        <v>0</v>
      </c>
      <c r="D124" s="13"/>
      <c r="E124" s="63"/>
      <c r="F124" s="13"/>
      <c r="G124" s="13"/>
      <c r="H124" s="13" t="s">
        <v>68</v>
      </c>
      <c r="I124" s="101" t="s">
        <v>44</v>
      </c>
      <c r="J124" s="101"/>
      <c r="K124" s="6">
        <f>[9]!'id696?req?ADP_STK_SMART_USD_~/'</f>
        <v>0</v>
      </c>
      <c r="L124" s="6" t="str">
        <f>[9]!id696?orderTypes</f>
        <v>ACTIVETIM,ADJUST,ALERT,ALGO,ALLOC,AON,AVGCOST,BASKET,COND,CONDORDER,DARKONLY,DARKPOLL,DAY,DEACT,DEACTDIS,DEACTEOD,DIS,GAT,GTC,GTD,GTT,HID,IBKRATS,ICE,IMB,IOC,LIT,LMT,LOC,MIT,MKT,MOC,MTL,NGCOMB,NODARK,NONALGO,OCA,OPG,OPGREROUT,PEGBENCH,POSTONLY,PREOPGRTH,R</v>
      </c>
      <c r="M124" s="6" t="str">
        <f>[9]!id696?validExchanges</f>
        <v>SMART,CBOE,ISE,CHX,ARCA,ISLAND,VWAP,DRCTEDGE,NSX,BEX,BATS,EDGEA,CSFBALGO,JEFFALGO,BYX,IEX,TPLUS2,PSX</v>
      </c>
      <c r="N124" s="6">
        <f>[9]!id696?conid</f>
        <v>4661</v>
      </c>
      <c r="O124" s="6">
        <f>[9]!id696?minTick</f>
        <v>0.01</v>
      </c>
      <c r="P124" s="6">
        <f>[9]!id696?multiplier</f>
        <v>0</v>
      </c>
      <c r="Q124" s="6" t="str">
        <f>[9]!id696?marketName</f>
        <v>NMS</v>
      </c>
      <c r="R124" s="6" t="str">
        <f>[9]!id696?tradingClass</f>
        <v>NMS</v>
      </c>
    </row>
    <row r="125" spans="1:18" customFormat="1" hidden="1" x14ac:dyDescent="0.2">
      <c r="A125" s="176" t="s">
        <v>847</v>
      </c>
      <c r="B125" s="13" t="s">
        <v>12</v>
      </c>
      <c r="C125" s="13" t="b">
        <f t="shared" si="0"/>
        <v>1</v>
      </c>
      <c r="D125" s="13"/>
      <c r="E125" s="63"/>
      <c r="F125" s="13"/>
      <c r="G125" s="13"/>
      <c r="H125" s="13" t="s">
        <v>68</v>
      </c>
      <c r="I125" s="101" t="s">
        <v>44</v>
      </c>
      <c r="J125" s="101"/>
      <c r="K125" s="6">
        <f>[9]!'id697?req?AZO_STK_SMART_USD_~/'</f>
        <v>0</v>
      </c>
      <c r="L125" s="6" t="str">
        <f>[9]!id697?orderTypes</f>
        <v>ACTIVETIM,ADJUST,ALERT,ALGO,ALLOC,AON,AVGCOST,BASKET,COND,CONDORDER,DARKONLY,DARKPOLL,DAY,DEACT,DEACTDIS,DEACTEOD,DIS,GAT,GTC,GTD,GTT,HID,IBKRATS,ICE,IMB,IOC,LIT,LMT,LOC,MIT,MKT,MOC,MTL,NGCOMB,NODARK,NONALGO,OCA,OPG,OPGREROUT,PEGBENCH,POSTONLY,PREOPGRTH,R</v>
      </c>
      <c r="M125" s="6" t="str">
        <f>[9]!id697?validExchanges</f>
        <v>SMART,NYSE,CBOE,ISE,CHX,ARCA,ISLAND,VWAP,DRCTEDGE,NSX,BEX,BATS,EDGEA,CSFBALGO,JEFFALGO,BYX,IEX,TPLUS2,PSX</v>
      </c>
      <c r="N125" s="6">
        <f>[9]!id697?conid</f>
        <v>4750</v>
      </c>
      <c r="O125" s="6">
        <f>[9]!id697?minTick</f>
        <v>0.01</v>
      </c>
      <c r="P125" s="6">
        <f>[9]!id697?multiplier</f>
        <v>0</v>
      </c>
      <c r="Q125" s="6" t="str">
        <f>[9]!id697?marketName</f>
        <v>AZO</v>
      </c>
      <c r="R125" s="6" t="str">
        <f>[9]!id697?tradingClass</f>
        <v>AZO</v>
      </c>
    </row>
    <row r="126" spans="1:18" customFormat="1" hidden="1" x14ac:dyDescent="0.2">
      <c r="A126" s="176" t="s">
        <v>848</v>
      </c>
      <c r="B126" s="13" t="s">
        <v>12</v>
      </c>
      <c r="C126" s="13" t="b">
        <f t="shared" si="0"/>
        <v>1</v>
      </c>
      <c r="D126" s="13"/>
      <c r="E126" s="63"/>
      <c r="F126" s="13"/>
      <c r="G126" s="13"/>
      <c r="H126" s="13" t="s">
        <v>68</v>
      </c>
      <c r="I126" s="101" t="s">
        <v>44</v>
      </c>
      <c r="J126" s="101"/>
      <c r="K126" s="6">
        <f>[9]!'id698?req?AVY_STK_SMART_USD_~/'</f>
        <v>0</v>
      </c>
      <c r="L126" s="6" t="str">
        <f>[9]!id698?orderTypes</f>
        <v>ACTIVETIM,ADJUST,ALERT,ALGO,ALLOC,AON,AVGCOST,BASKET,COND,CONDORDER,DARKONLY,DARKPOLL,DAY,DEACT,DEACTDIS,DEACTEOD,DIS,GAT,GTC,GTD,GTT,HID,IBKRATS,ICE,IMB,IOC,LIT,LMT,LOC,MIT,MKT,MOC,MTL,NGCOMB,NODARK,NONALGO,OCA,OPG,OPGREROUT,PEGBENCH,POSTONLY,PREOPGRTH,R</v>
      </c>
      <c r="M126" s="6" t="str">
        <f>[9]!id698?validExchanges</f>
        <v>SMART,NYSE,CBOE,ISE,CHX,ARCA,ISLAND,VWAP,DRCTEDGE,NSX,BEX,BATS,EDGEA,CSFBALGO,JEFFALGO,BYX,IEX,TPLUS2,PSX</v>
      </c>
      <c r="N126" s="6">
        <f>[9]!id698?conid</f>
        <v>4694</v>
      </c>
      <c r="O126" s="6">
        <f>[9]!id698?minTick</f>
        <v>0.01</v>
      </c>
      <c r="P126" s="6">
        <f>[9]!id698?multiplier</f>
        <v>0</v>
      </c>
      <c r="Q126" s="6" t="str">
        <f>[9]!id698?marketName</f>
        <v>AVY</v>
      </c>
      <c r="R126" s="6" t="str">
        <f>[9]!id698?tradingClass</f>
        <v>AVY</v>
      </c>
    </row>
    <row r="127" spans="1:18" customFormat="1" hidden="1" x14ac:dyDescent="0.2">
      <c r="A127" s="176" t="s">
        <v>849</v>
      </c>
      <c r="B127" s="13" t="s">
        <v>12</v>
      </c>
      <c r="C127" s="13" t="b">
        <f t="shared" si="0"/>
        <v>1</v>
      </c>
      <c r="D127" s="13"/>
      <c r="E127" s="63"/>
      <c r="F127" s="13"/>
      <c r="G127" s="13"/>
      <c r="H127" s="13" t="s">
        <v>68</v>
      </c>
      <c r="I127" s="101" t="s">
        <v>44</v>
      </c>
      <c r="J127" s="101"/>
      <c r="K127" s="6">
        <f>[9]!'id699?req?BHI_STK_SMART_USD_~/'</f>
        <v>0</v>
      </c>
      <c r="L127" s="6" t="str">
        <f>[9]!id699?orderTypes</f>
        <v>ACTIVETIM,ADJUST,ALERT,ALGO,ALLOC,AON,AVGCOST,BASKET,COND,CONDORDER,DARKONLY,DARKPOLL,DAY,DEACT,DEACTDIS,DEACTEOD,DIS,GAT,GTC,GTD,GTT,HID,IBKRATS,ICE,IMB,IOC,LIT,LMT,LOC,MIT,MKT,MOC,MTL,NGCOMB,NODARK,NONALGO,OCA,OPG,OPGREROUT,PEGBENCH,POSTONLY,PREOPGRTH,R</v>
      </c>
      <c r="M127" s="6" t="str">
        <f>[9]!id699?validExchanges</f>
        <v>SMART,NYSE,CBOE,ISE,CHX,ARCA,ISLAND,VWAP,DRCTEDGE,NSX,BEX,BATS,EDGEA,CSFBALGO,JEFFALGO,BYX,IEX,TPLUS2,PSX</v>
      </c>
      <c r="N127" s="6">
        <f>[9]!id699?conid</f>
        <v>4981</v>
      </c>
      <c r="O127" s="6">
        <f>[9]!id699?minTick</f>
        <v>0.01</v>
      </c>
      <c r="P127" s="6">
        <f>[9]!id699?multiplier</f>
        <v>0</v>
      </c>
      <c r="Q127" s="6" t="str">
        <f>[9]!id699?marketName</f>
        <v>BHI</v>
      </c>
      <c r="R127" s="6" t="str">
        <f>[9]!id699?tradingClass</f>
        <v>BHI</v>
      </c>
    </row>
    <row r="128" spans="1:18" customFormat="1" hidden="1" x14ac:dyDescent="0.2">
      <c r="A128" s="176" t="s">
        <v>850</v>
      </c>
      <c r="B128" s="13" t="s">
        <v>12</v>
      </c>
      <c r="C128" s="13" t="b">
        <f t="shared" si="0"/>
        <v>1</v>
      </c>
      <c r="D128" s="13"/>
      <c r="E128" s="63"/>
      <c r="F128" s="13"/>
      <c r="G128" s="13"/>
      <c r="H128" s="13" t="s">
        <v>68</v>
      </c>
      <c r="I128" s="101" t="s">
        <v>44</v>
      </c>
      <c r="J128" s="101"/>
      <c r="K128" s="6">
        <f>[9]!'id700?req?BLL_STK_SMART_USD_~/'</f>
        <v>0</v>
      </c>
      <c r="L128" s="6" t="str">
        <f>[9]!id700?orderTypes</f>
        <v>ACTIVETIM,ADJUST,ALERT,ALGO,ALLOC,AON,AVGCOST,BASKET,COND,CONDORDER,DARKONLY,DARKPOLL,DAY,DEACT,DEACTDIS,DEACTEOD,DIS,GAT,GTC,GTD,GTT,HID,IBKRATS,ICE,IMB,IOC,LIT,LMT,LOC,MIT,MKT,MOC,MTL,NGCOMB,NODARK,NONALGO,OCA,OPG,OPGREROUT,PEGBENCH,POSTONLY,PREOPGRTH,R</v>
      </c>
      <c r="M128" s="6" t="str">
        <f>[9]!id700?validExchanges</f>
        <v>SMART,NYSE,CBOE,ISE,CHX,ARCA,ISLAND,VWAP,DRCTEDGE,NSX,BEX,BATS,EDGEA,CSFBALGO,JEFFALGO,BYX,IEX,TPLUS2,PSX</v>
      </c>
      <c r="N128" s="6">
        <f>[9]!id700?conid</f>
        <v>5052</v>
      </c>
      <c r="O128" s="6">
        <f>[9]!id700?minTick</f>
        <v>0.01</v>
      </c>
      <c r="P128" s="6">
        <f>[9]!id700?multiplier</f>
        <v>0</v>
      </c>
      <c r="Q128" s="6" t="str">
        <f>[9]!id700?marketName</f>
        <v>BLL</v>
      </c>
      <c r="R128" s="6" t="str">
        <f>[9]!id700?tradingClass</f>
        <v>BLL</v>
      </c>
    </row>
    <row r="129" spans="1:18" customFormat="1" hidden="1" x14ac:dyDescent="0.2">
      <c r="A129" s="176" t="s">
        <v>851</v>
      </c>
      <c r="B129" s="13" t="s">
        <v>12</v>
      </c>
      <c r="C129" s="13" t="b">
        <f t="shared" si="0"/>
        <v>1</v>
      </c>
      <c r="D129" s="13"/>
      <c r="E129" s="63"/>
      <c r="F129" s="13"/>
      <c r="G129" s="13"/>
      <c r="H129" s="13" t="s">
        <v>68</v>
      </c>
      <c r="I129" s="101" t="s">
        <v>44</v>
      </c>
      <c r="J129" s="101"/>
      <c r="K129" s="6">
        <f>[9]!'id701?req?BCR_STK_SMART_USD_~/'</f>
        <v>0</v>
      </c>
      <c r="L129" s="6" t="str">
        <f>[9]!id701?orderTypes</f>
        <v>ACTIVETIM,ADJUST,ALERT,ALGO,ALLOC,AON,AVGCOST,BASKET,COND,CONDORDER,DARKONLY,DARKPOLL,DAY,DEACT,DEACTDIS,DEACTEOD,DIS,GAT,GTC,GTD,GTT,HID,IBKRATS,ICE,IMB,IOC,LIT,LMT,LOC,MIT,MKT,MOC,MTL,NGCOMB,NODARK,NONALGO,OCA,OPG,OPGREROUT,PEGBENCH,POSTONLY,PREOPGRTH,R</v>
      </c>
      <c r="M129" s="6" t="str">
        <f>[9]!id701?validExchanges</f>
        <v>SMART,NYSE,CBOE,ISE,CHX,ARCA,ISLAND,VWAP,DRCTEDGE,NSX,BEX,BATS,EDGEA,CSFBALGO,JEFFALGO,BYX,IEX,TPLUS2,PSX</v>
      </c>
      <c r="N129" s="6">
        <f>[9]!id701?conid</f>
        <v>4851</v>
      </c>
      <c r="O129" s="6">
        <f>[9]!id701?minTick</f>
        <v>0.01</v>
      </c>
      <c r="P129" s="6">
        <f>[9]!id701?multiplier</f>
        <v>0</v>
      </c>
      <c r="Q129" s="6" t="str">
        <f>[9]!id701?marketName</f>
        <v>BCR</v>
      </c>
      <c r="R129" s="6" t="str">
        <f>[9]!id701?tradingClass</f>
        <v>BCR</v>
      </c>
    </row>
    <row r="130" spans="1:18" customFormat="1" hidden="1" x14ac:dyDescent="0.2">
      <c r="A130" s="176" t="s">
        <v>852</v>
      </c>
      <c r="B130" s="13" t="s">
        <v>12</v>
      </c>
      <c r="C130" s="13" t="b">
        <f t="shared" si="0"/>
        <v>1</v>
      </c>
      <c r="D130" s="13"/>
      <c r="E130" s="63"/>
      <c r="F130" s="13"/>
      <c r="G130" s="13"/>
      <c r="H130" s="13" t="s">
        <v>68</v>
      </c>
      <c r="I130" s="101" t="s">
        <v>44</v>
      </c>
      <c r="J130" s="101"/>
      <c r="K130" s="6">
        <f>[9]!'id702?req?BAX_STK_SMART_USD_~/'</f>
        <v>0</v>
      </c>
      <c r="L130" s="6" t="str">
        <f>[9]!id702?orderTypes</f>
        <v>ACTIVETIM,ADJUST,ALERT,ALGO,ALLOC,AON,AVGCOST,BASKET,COND,CONDORDER,DARKONLY,DARKPOLL,DAY,DEACT,DEACTDIS,DEACTEOD,DIS,GAT,GTC,GTD,GTT,HID,IBKRATS,ICE,IMB,IOC,LIT,LMT,LOC,MIT,MKT,MOC,MTL,NGCOMB,NODARK,NONALGO,OCA,OPG,OPGREROUT,PEGBENCH,POSTONLY,PREOPGRTH,R</v>
      </c>
      <c r="M130" s="6" t="str">
        <f>[9]!id702?validExchanges</f>
        <v>SMART,NYSE,CBOE,ISE,CHX,ARCA,ISLAND,VWAP,DRCTEDGE,NSX,BEX,BATS,EDGEA,CSFBALGO,JEFFALGO,BYX,IEX,TPLUS2,PSX</v>
      </c>
      <c r="N130" s="6">
        <f>[9]!id702?conid</f>
        <v>8111188</v>
      </c>
      <c r="O130" s="6">
        <f>[9]!id702?minTick</f>
        <v>0.01</v>
      </c>
      <c r="P130" s="6">
        <f>[9]!id702?multiplier</f>
        <v>0</v>
      </c>
      <c r="Q130" s="6" t="str">
        <f>[9]!id702?marketName</f>
        <v>BAX</v>
      </c>
      <c r="R130" s="6" t="str">
        <f>[9]!id702?tradingClass</f>
        <v>BAX</v>
      </c>
    </row>
    <row r="131" spans="1:18" customFormat="1" hidden="1" x14ac:dyDescent="0.2">
      <c r="A131" s="176" t="s">
        <v>853</v>
      </c>
      <c r="B131" s="13" t="s">
        <v>12</v>
      </c>
      <c r="C131" s="13" t="b">
        <f>A131=Q131</f>
        <v>0</v>
      </c>
      <c r="D131" s="13"/>
      <c r="E131" s="63"/>
      <c r="F131" s="13"/>
      <c r="G131" s="13"/>
      <c r="H131" s="13" t="s">
        <v>68</v>
      </c>
      <c r="I131" s="101" t="s">
        <v>44</v>
      </c>
      <c r="J131" s="101"/>
      <c r="K131" s="6">
        <f>[9]!'id703?req?BBBY_STK_SMART_USD_~/'</f>
        <v>0</v>
      </c>
      <c r="L131" s="6" t="str">
        <f>[9]!id703?orderTypes</f>
        <v>ACTIVETIM,ADJUST,ALERT,ALGO,ALLOC,AON,AVGCOST,BASKET,COND,CONDORDER,DARKONLY,DARKPOLL,DAY,DEACT,DEACTDIS,DEACTEOD,DIS,GAT,GTC,GTD,GTT,HID,IBKRATS,ICE,IMB,IOC,LIT,LMT,LOC,MIT,MKT,MOC,MTL,NGCOMB,NODARK,NONALGO,OCA,OPG,OPGREROUT,PEGBENCH,POSTONLY,PREOPGRTH,R</v>
      </c>
      <c r="M131" s="6" t="str">
        <f>[9]!id703?validExchanges</f>
        <v>SMART,CBOE,ISE,CHX,ARCA,ISLAND,VWAP,DRCTEDGE,NSX,BEX,BATS,EDGEA,CSFBALGO,JEFFALGO,BYX,IEX,TPLUS2,PSX</v>
      </c>
      <c r="N131" s="6">
        <f>[9]!id703?conid</f>
        <v>266630</v>
      </c>
      <c r="O131" s="6">
        <f>[9]!id703?minTick</f>
        <v>0.01</v>
      </c>
      <c r="P131" s="6">
        <f>[9]!id703?multiplier</f>
        <v>0</v>
      </c>
      <c r="Q131" s="6" t="str">
        <f>[9]!id703?marketName</f>
        <v>NMS</v>
      </c>
      <c r="R131" s="6" t="str">
        <f>[9]!id703?tradingClass</f>
        <v>NMS</v>
      </c>
    </row>
    <row r="132" spans="1:18" customFormat="1" hidden="1" x14ac:dyDescent="0.2">
      <c r="A132" s="176" t="s">
        <v>854</v>
      </c>
      <c r="B132" s="13" t="s">
        <v>12</v>
      </c>
      <c r="C132" s="13" t="b">
        <f t="shared" ref="C132:C193" si="1">A132=Q132</f>
        <v>1</v>
      </c>
      <c r="D132" s="13"/>
      <c r="E132" s="63"/>
      <c r="F132" s="13"/>
      <c r="G132" s="13"/>
      <c r="H132" s="13" t="s">
        <v>68</v>
      </c>
      <c r="I132" s="101" t="s">
        <v>44</v>
      </c>
      <c r="J132" s="101"/>
      <c r="K132" s="6">
        <f>[9]!'id704?req?BDX_STK_SMART_USD_~/'</f>
        <v>0</v>
      </c>
      <c r="L132" s="6" t="str">
        <f>[9]!id704?orderTypes</f>
        <v>ACTIVETIM,ADJUST,ALERT,ALGO,ALLOC,AON,AVGCOST,BASKET,COND,CONDORDER,DARKONLY,DARKPOLL,DAY,DEACT,DEACTDIS,DEACTEOD,DIS,GAT,GTC,GTD,GTT,HID,IBKRATS,ICE,IMB,IOC,LIT,LMT,LOC,MIT,MKT,MOC,MTL,NGCOMB,NODARK,NONALGO,OCA,OPG,OPGREROUT,PEGBENCH,POSTONLY,PREOPGRTH,R</v>
      </c>
      <c r="M132" s="6" t="str">
        <f>[9]!id704?validExchanges</f>
        <v>SMART,NYSE,CBOE,ISE,CHX,ARCA,ISLAND,VWAP,DRCTEDGE,NSX,BEX,BATS,EDGEA,CSFBALGO,JEFFALGO,BYX,IEX,TPLUS2,PSX</v>
      </c>
      <c r="N132" s="6">
        <f>[9]!id704?conid</f>
        <v>4886</v>
      </c>
      <c r="O132" s="6">
        <f>[9]!id704?minTick</f>
        <v>0.01</v>
      </c>
      <c r="P132" s="6">
        <f>[9]!id704?multiplier</f>
        <v>0</v>
      </c>
      <c r="Q132" s="6" t="str">
        <f>[9]!id704?marketName</f>
        <v>BDX</v>
      </c>
      <c r="R132" s="6" t="str">
        <f>[9]!id704?tradingClass</f>
        <v>BDX</v>
      </c>
    </row>
    <row r="133" spans="1:18" customFormat="1" hidden="1" x14ac:dyDescent="0.2">
      <c r="A133" s="176" t="s">
        <v>855</v>
      </c>
      <c r="B133" s="13" t="s">
        <v>12</v>
      </c>
      <c r="C133" s="13" t="b">
        <f t="shared" si="1"/>
        <v>1</v>
      </c>
      <c r="D133" s="13"/>
      <c r="E133" s="63"/>
      <c r="F133" s="13"/>
      <c r="G133" s="13"/>
      <c r="H133" s="13" t="s">
        <v>68</v>
      </c>
      <c r="I133" s="101" t="s">
        <v>44</v>
      </c>
      <c r="J133" s="101"/>
      <c r="K133" s="6">
        <f>[9]!'id705?req?AME_STK_SMART_USD_~/'</f>
        <v>0</v>
      </c>
      <c r="L133" s="6" t="str">
        <f>[9]!id705?orderTypes</f>
        <v>ACTIVETIM,ADJUST,ALERT,ALGO,ALLOC,AON,AVGCOST,BASKET,COND,CONDORDER,DARKONLY,DARKPOLL,DAY,DEACT,DEACTDIS,DEACTEOD,DIS,GAT,GTC,GTD,GTT,HID,IBKRATS,ICE,IMB,IOC,LIT,LMT,LOC,MIT,MKT,MOC,MTL,NGCOMB,NODARK,NONALGO,OCA,OPG,OPGREROUT,PEGBENCH,POSTONLY,PREOPGRTH,R</v>
      </c>
      <c r="M133" s="6" t="str">
        <f>[9]!id705?validExchanges</f>
        <v>SMART,NYSE,CBOE,ISE,CHX,ARCA,ISLAND,DRCTEDGE,NSX,BEX,BATS,EDGEA,CSFBALGO,JEFFALGO,BYX,IEX,TPLUS2,PSX</v>
      </c>
      <c r="N133" s="6">
        <f>[9]!id705?conid</f>
        <v>4392</v>
      </c>
      <c r="O133" s="6">
        <f>[9]!id705?minTick</f>
        <v>0.01</v>
      </c>
      <c r="P133" s="6">
        <f>[9]!id705?multiplier</f>
        <v>0</v>
      </c>
      <c r="Q133" s="6" t="str">
        <f>[9]!id705?marketName</f>
        <v>AME</v>
      </c>
      <c r="R133" s="6" t="str">
        <f>[9]!id705?tradingClass</f>
        <v>AME</v>
      </c>
    </row>
    <row r="134" spans="1:18" customFormat="1" hidden="1" x14ac:dyDescent="0.2">
      <c r="A134" s="176" t="s">
        <v>856</v>
      </c>
      <c r="B134" s="13" t="s">
        <v>12</v>
      </c>
      <c r="C134" s="13" t="b">
        <f t="shared" si="1"/>
        <v>1</v>
      </c>
      <c r="D134" s="13"/>
      <c r="E134" s="63"/>
      <c r="F134" s="13"/>
      <c r="G134" s="13"/>
      <c r="H134" s="13" t="s">
        <v>68</v>
      </c>
      <c r="I134" s="101" t="s">
        <v>44</v>
      </c>
      <c r="J134" s="101"/>
      <c r="K134" s="6">
        <f>[9]!'id706?req?VZ_STK_SMART_USD_~/'</f>
        <v>0</v>
      </c>
      <c r="L134" s="6" t="str">
        <f>[9]!id706?orderTypes</f>
        <v>ACTIVETIM,ADJUST,ALERT,ALGO,ALLOC,AON,AVGCOST,BASKET,COND,CONDORDER,DARKONLY,DARKPOLL,DAY,DEACT,DEACTDIS,DEACTEOD,DIS,GAT,GTC,GTD,GTT,HID,IBKRATS,ICE,IMB,IOC,LIT,LMT,LOC,MIT,MKT,MOC,MTL,NGCOMB,NODARK,NONALGO,OCA,OPG,OPGREROUT,PEGBENCH,POSTONLY,PREOPGRTH,R</v>
      </c>
      <c r="M134" s="6" t="str">
        <f>[9]!id706?validExchanges</f>
        <v>SMART,NYSE,CBOE,ISE,CHX,ARCA,ISLAND,VWAP,DRCTEDGE,NSX,BEX,BATS,EDGEA,CSFBALGO,JEFFALGO,BYX,IEX,TPLUS2,PSX</v>
      </c>
      <c r="N134" s="6">
        <f>[9]!id706?conid</f>
        <v>4901</v>
      </c>
      <c r="O134" s="6">
        <f>[9]!id706?minTick</f>
        <v>0.01</v>
      </c>
      <c r="P134" s="6">
        <f>[9]!id706?multiplier</f>
        <v>0</v>
      </c>
      <c r="Q134" s="6" t="str">
        <f>[9]!id706?marketName</f>
        <v>VZ</v>
      </c>
      <c r="R134" s="6" t="str">
        <f>[9]!id706?tradingClass</f>
        <v>VZ</v>
      </c>
    </row>
    <row r="135" spans="1:18" customFormat="1" hidden="1" x14ac:dyDescent="0.2">
      <c r="A135" s="176" t="s">
        <v>857</v>
      </c>
      <c r="B135" s="13" t="s">
        <v>12</v>
      </c>
      <c r="C135" s="13" t="b">
        <f t="shared" si="1"/>
        <v>1</v>
      </c>
      <c r="D135" s="13"/>
      <c r="E135" s="63"/>
      <c r="F135" s="13"/>
      <c r="G135" s="13"/>
      <c r="H135" s="13" t="s">
        <v>68</v>
      </c>
      <c r="I135" s="101" t="s">
        <v>44</v>
      </c>
      <c r="J135" s="101"/>
      <c r="K135" s="6">
        <f>[9]!'id707?req?BBY_STK_SMART_USD_~/'</f>
        <v>0</v>
      </c>
      <c r="L135" s="6" t="str">
        <f>[9]!id707?orderTypes</f>
        <v>ACTIVETIM,ADJUST,ALERT,ALGO,ALLOC,AON,AVGCOST,BASKET,COND,CONDORDER,DARKONLY,DARKPOLL,DAY,DEACT,DEACTDIS,DEACTEOD,DIS,GAT,GTC,GTD,GTT,HID,IBKRATS,ICE,IMB,IOC,LIT,LMT,LOC,MIT,MKT,MOC,MTL,NGCOMB,NODARK,NONALGO,OCA,OPG,OPGREROUT,PEGBENCH,POSTONLY,PREOPGRTH,R</v>
      </c>
      <c r="M135" s="6" t="str">
        <f>[9]!id707?validExchanges</f>
        <v>SMART,NYSE,CBOE,ISE,CHX,ARCA,ISLAND,VWAP,DRCTEDGE,NSX,BEX,BATS,EDGEA,CSFBALGO,JEFFALGO,BYX,IEX,TPLUS2,PSX</v>
      </c>
      <c r="N135" s="6">
        <f>[9]!id707?conid</f>
        <v>4817</v>
      </c>
      <c r="O135" s="6">
        <f>[9]!id707?minTick</f>
        <v>0.01</v>
      </c>
      <c r="P135" s="6">
        <f>[9]!id707?multiplier</f>
        <v>0</v>
      </c>
      <c r="Q135" s="6" t="str">
        <f>[9]!id707?marketName</f>
        <v>BBY</v>
      </c>
      <c r="R135" s="6" t="str">
        <f>[9]!id707?tradingClass</f>
        <v>BBY</v>
      </c>
    </row>
    <row r="136" spans="1:18" customFormat="1" hidden="1" x14ac:dyDescent="0.2">
      <c r="A136" s="176" t="s">
        <v>858</v>
      </c>
      <c r="B136" s="13" t="s">
        <v>12</v>
      </c>
      <c r="C136" s="13" t="b">
        <f t="shared" si="1"/>
        <v>1</v>
      </c>
      <c r="D136" s="13"/>
      <c r="E136" s="63"/>
      <c r="F136" s="13"/>
      <c r="G136" s="13"/>
      <c r="H136" s="13" t="s">
        <v>68</v>
      </c>
      <c r="I136" s="101" t="s">
        <v>44</v>
      </c>
      <c r="J136" s="101"/>
      <c r="K136" s="6">
        <f>[9]!'id708?req?SLG_STK_SMART_USD_~/'</f>
        <v>0</v>
      </c>
      <c r="L136" s="6" t="str">
        <f>[9]!id708?orderTypes</f>
        <v>ACTIVETIM,ADJUST,ALERT,ALGO,ALLOC,AON,AVGCOST,BASKET,COND,CONDORDER,DARKONLY,DARKPOLL,DAY,DEACT,DEACTDIS,DEACTEOD,DIS,GAT,GTC,GTD,GTT,HID,IBKRATS,ICE,IMB,IOC,LIT,LMT,LOC,MIT,MKT,MOC,MTL,NGCOMB,NODARK,NONALGO,OCA,OPG,OPGREROUT,PEGBENCH,POSTONLY,PREOPGRTH,R</v>
      </c>
      <c r="M136" s="6" t="str">
        <f>[9]!id708?validExchanges</f>
        <v>SMART,NYSE,CBOE,ISE,CHX,ARCA,ISLAND,DRCTEDGE,NSX,BEX,BATS,EDGEA,CSFBALGO,JEFFALGO,BYX,IEX,TPLUS2,PSX</v>
      </c>
      <c r="N136" s="6">
        <f>[9]!id708?conid</f>
        <v>6608473</v>
      </c>
      <c r="O136" s="6">
        <f>[9]!id708?minTick</f>
        <v>0.01</v>
      </c>
      <c r="P136" s="6">
        <f>[9]!id708?multiplier</f>
        <v>0</v>
      </c>
      <c r="Q136" s="6" t="str">
        <f>[9]!id708?marketName</f>
        <v>SLG</v>
      </c>
      <c r="R136" s="6" t="str">
        <f>[9]!id708?tradingClass</f>
        <v>SLG</v>
      </c>
    </row>
    <row r="137" spans="1:18" customFormat="1" hidden="1" x14ac:dyDescent="0.2">
      <c r="A137" s="176" t="s">
        <v>859</v>
      </c>
      <c r="B137" s="13" t="s">
        <v>12</v>
      </c>
      <c r="C137" s="13" t="b">
        <f t="shared" si="1"/>
        <v>1</v>
      </c>
      <c r="D137" s="13"/>
      <c r="E137" s="63"/>
      <c r="F137" s="13"/>
      <c r="G137" s="13"/>
      <c r="H137" s="13" t="s">
        <v>68</v>
      </c>
      <c r="I137" s="101" t="s">
        <v>44</v>
      </c>
      <c r="J137" s="101"/>
      <c r="K137" s="6">
        <f>[9]!'id709?req?YUM_STK_SMART_USD_~/'</f>
        <v>0</v>
      </c>
      <c r="L137" s="6" t="str">
        <f>[9]!id709?orderTypes</f>
        <v>ACTIVETIM,ADJUST,ALERT,ALGO,ALLOC,AON,AVGCOST,BASKET,COND,CONDORDER,DARKONLY,DARKPOLL,DAY,DEACT,DEACTDIS,DEACTEOD,DIS,GAT,GTC,GTD,GTT,HID,IBKRATS,ICE,IMB,IOC,LIT,LMT,LOC,MIT,MKT,MOC,MTL,NGCOMB,NODARK,NONALGO,OCA,OPG,OPGREROUT,PEGBENCH,POSTONLY,PREOPGRTH,R</v>
      </c>
      <c r="M137" s="6" t="str">
        <f>[9]!id709?validExchanges</f>
        <v>SMART,NYSE,CBOE,ISE,CHX,ARCA,ISLAND,VWAP,DRCTEDGE,NSX,BEX,BATS,EDGEA,CSFBALGO,JEFFALGO,BYX,IEX,TPLUS2,PSX</v>
      </c>
      <c r="N137" s="6">
        <f>[9]!id709?conid</f>
        <v>3206042</v>
      </c>
      <c r="O137" s="6">
        <f>[9]!id709?minTick</f>
        <v>0.01</v>
      </c>
      <c r="P137" s="6">
        <f>[9]!id709?multiplier</f>
        <v>0</v>
      </c>
      <c r="Q137" s="6" t="str">
        <f>[9]!id709?marketName</f>
        <v>YUM</v>
      </c>
      <c r="R137" s="6" t="str">
        <f>[9]!id709?tradingClass</f>
        <v>YUM</v>
      </c>
    </row>
    <row r="138" spans="1:18" customFormat="1" hidden="1" x14ac:dyDescent="0.2">
      <c r="A138" s="176" t="s">
        <v>860</v>
      </c>
      <c r="B138" s="13" t="s">
        <v>12</v>
      </c>
      <c r="C138" s="13" t="b">
        <f t="shared" si="1"/>
        <v>1</v>
      </c>
      <c r="D138" s="13"/>
      <c r="E138" s="63"/>
      <c r="F138" s="13"/>
      <c r="G138" s="13"/>
      <c r="H138" s="13" t="s">
        <v>68</v>
      </c>
      <c r="I138" s="101" t="s">
        <v>44</v>
      </c>
      <c r="J138" s="101"/>
      <c r="K138" s="6">
        <f>[9]!'id710?req?FE_STK_SMART_USD_~/'</f>
        <v>0</v>
      </c>
      <c r="L138" s="6" t="str">
        <f>[9]!id710?orderTypes</f>
        <v>ACTIVETIM,ADJUST,ALERT,ALGO,ALLOC,AON,AVGCOST,BASKET,COND,CONDORDER,DARKONLY,DARKPOLL,DAY,DEACT,DEACTDIS,DEACTEOD,DIS,GAT,GTC,GTD,GTT,HID,IBKRATS,ICE,IMB,IOC,LIT,LMT,LOC,MIT,MKT,MOC,MTL,NGCOMB,NODARK,NONALGO,OCA,OPG,OPGREROUT,PEGBENCH,POSTONLY,PREOPGRTH,R</v>
      </c>
      <c r="M138" s="6" t="str">
        <f>[9]!id710?validExchanges</f>
        <v>SMART,NYSE,CBOE,ISE,CHX,ARCA,ISLAND,VWAP,DRCTEDGE,NSX,BEX,BATS,EDGEA,CSFBALGO,JEFFALGO,BYX,IEX,TPLUS2,PSX</v>
      </c>
      <c r="N138" s="6">
        <f>[9]!id710?conid</f>
        <v>3265376</v>
      </c>
      <c r="O138" s="6">
        <f>[9]!id710?minTick</f>
        <v>0.01</v>
      </c>
      <c r="P138" s="6">
        <f>[9]!id710?multiplier</f>
        <v>0</v>
      </c>
      <c r="Q138" s="6" t="str">
        <f>[9]!id710?marketName</f>
        <v>FE</v>
      </c>
      <c r="R138" s="6" t="str">
        <f>[9]!id710?tradingClass</f>
        <v>FE</v>
      </c>
    </row>
    <row r="139" spans="1:18" customFormat="1" hidden="1" x14ac:dyDescent="0.2">
      <c r="A139" s="176" t="s">
        <v>861</v>
      </c>
      <c r="B139" s="13" t="s">
        <v>12</v>
      </c>
      <c r="C139" s="13" t="b">
        <f t="shared" si="1"/>
        <v>1</v>
      </c>
      <c r="D139" s="13"/>
      <c r="E139" s="63"/>
      <c r="F139" s="13"/>
      <c r="G139" s="13"/>
      <c r="H139" s="13" t="s">
        <v>68</v>
      </c>
      <c r="I139" s="101" t="s">
        <v>44</v>
      </c>
      <c r="J139" s="101"/>
      <c r="K139" s="6">
        <f>[9]!'id711?req?HRB_STK_SMART_USD_~/'</f>
        <v>0</v>
      </c>
      <c r="L139" s="6" t="str">
        <f>[9]!id711?orderTypes</f>
        <v>ACTIVETIM,ADJUST,ALERT,ALGO,ALLOC,AON,AVGCOST,BASKET,COND,CONDORDER,DARKONLY,DARKPOLL,DAY,DEACT,DEACTDIS,DEACTEOD,DIS,GAT,GTC,GTD,GTT,HID,IBKRATS,ICE,IMB,IOC,LIT,LMT,LOC,MIT,MKT,MOC,MTL,NGCOMB,NODARK,NONALGO,OCA,OPG,OPGREROUT,PEGBENCH,POSTONLY,PREOPGRTH,R</v>
      </c>
      <c r="M139" s="6" t="str">
        <f>[9]!id711?validExchanges</f>
        <v>SMART,NYSE,CBOE,ISE,CHX,ARCA,ISLAND,VWAP,DRCTEDGE,NSX,BEX,BATS,EDGEA,CSFBALGO,JEFFALGO,BYX,IEX,TPLUS2,PSX</v>
      </c>
      <c r="N139" s="6">
        <f>[9]!id711?conid</f>
        <v>8130</v>
      </c>
      <c r="O139" s="6">
        <f>[9]!id711?minTick</f>
        <v>0.01</v>
      </c>
      <c r="P139" s="6">
        <f>[9]!id711?multiplier</f>
        <v>0</v>
      </c>
      <c r="Q139" s="6" t="str">
        <f>[9]!id711?marketName</f>
        <v>HRB</v>
      </c>
      <c r="R139" s="6" t="str">
        <f>[9]!id711?tradingClass</f>
        <v>HRB</v>
      </c>
    </row>
    <row r="140" spans="1:18" customFormat="1" hidden="1" x14ac:dyDescent="0.2">
      <c r="A140" s="176" t="s">
        <v>862</v>
      </c>
      <c r="B140" s="13" t="s">
        <v>12</v>
      </c>
      <c r="C140" s="13" t="b">
        <f t="shared" si="1"/>
        <v>1</v>
      </c>
      <c r="D140" s="13"/>
      <c r="E140" s="63"/>
      <c r="F140" s="13"/>
      <c r="G140" s="13"/>
      <c r="H140" s="13" t="s">
        <v>68</v>
      </c>
      <c r="I140" s="101" t="s">
        <v>44</v>
      </c>
      <c r="J140" s="101"/>
      <c r="K140" s="6">
        <f>[9]!'id712?req?BA_STK_SMART_USD_~/'</f>
        <v>0</v>
      </c>
      <c r="L140" s="6" t="str">
        <f>[9]!id712?orderTypes</f>
        <v>ACTIVETIM,ADJUST,ALERT,ALGO,ALLOC,AON,AVGCOST,BASKET,COND,CONDORDER,DARKONLY,DARKPOLL,DAY,DEACT,DEACTDIS,DEACTEOD,DIS,GAT,GTC,GTD,GTT,HID,IBKRATS,ICE,IMB,IOC,LIT,LMT,LOC,MIT,MKT,MOC,MTL,NGCOMB,NODARK,NONALGO,OCA,OPG,OPGREROUT,PEGBENCH,POSTONLY,PREOPGRTH,R</v>
      </c>
      <c r="M140" s="6" t="str">
        <f>[9]!id712?validExchanges</f>
        <v>SMART,NYSE,CBOE,ISE,CHX,ARCA,ISLAND,VWAP,DRCTEDGE,NSX,BEX,BATS,EDGEA,CSFBALGO,JEFFALGO,BYX,IEX,TPLUS2,PSX</v>
      </c>
      <c r="N140" s="6">
        <f>[9]!id712?conid</f>
        <v>4762</v>
      </c>
      <c r="O140" s="6">
        <f>[9]!id712?minTick</f>
        <v>0.01</v>
      </c>
      <c r="P140" s="6">
        <f>[9]!id712?multiplier</f>
        <v>0</v>
      </c>
      <c r="Q140" s="6" t="str">
        <f>[9]!id712?marketName</f>
        <v>BA</v>
      </c>
      <c r="R140" s="6" t="str">
        <f>[9]!id712?tradingClass</f>
        <v>BA</v>
      </c>
    </row>
    <row r="141" spans="1:18" customFormat="1" hidden="1" x14ac:dyDescent="0.2">
      <c r="A141" s="176" t="s">
        <v>863</v>
      </c>
      <c r="B141" s="13" t="s">
        <v>12</v>
      </c>
      <c r="C141" s="13" t="b">
        <f t="shared" si="1"/>
        <v>1</v>
      </c>
      <c r="D141" s="13"/>
      <c r="E141" s="63"/>
      <c r="F141" s="13"/>
      <c r="G141" s="13"/>
      <c r="H141" s="13" t="s">
        <v>68</v>
      </c>
      <c r="I141" s="101" t="s">
        <v>44</v>
      </c>
      <c r="J141" s="101"/>
      <c r="K141" s="6">
        <f>[9]!'id713?req?RHI_STK_SMART_USD_~/'</f>
        <v>0</v>
      </c>
      <c r="L141" s="6" t="str">
        <f>[9]!id713?orderTypes</f>
        <v>ACTIVETIM,ADJUST,ALERT,ALGO,ALLOC,AON,AVGCOST,BASKET,COND,CONDORDER,DARKONLY,DARKPOLL,DAY,DEACT,DEACTDIS,DEACTEOD,DIS,GAT,GTC,GTD,GTT,HID,IBKRATS,ICE,IMB,IOC,LIT,LMT,LOC,MIT,MKT,MOC,MTL,NGCOMB,NODARK,NONALGO,OCA,OPG,OPGREROUT,PEGBENCH,POSTONLY,PREOPGRTH,R</v>
      </c>
      <c r="M141" s="6" t="str">
        <f>[9]!id713?validExchanges</f>
        <v>SMART,NYSE,CBOE,ISE,CHX,ARCA,ISLAND,VWAP,DRCTEDGE,NSX,BEX,BATS,EDGEA,CSFBALGO,JEFFALGO,BYX,IEX,TPLUS2,PSX</v>
      </c>
      <c r="N141" s="6">
        <f>[9]!id713?conid</f>
        <v>11634</v>
      </c>
      <c r="O141" s="6">
        <f>[9]!id713?minTick</f>
        <v>0.01</v>
      </c>
      <c r="P141" s="6">
        <f>[9]!id713?multiplier</f>
        <v>0</v>
      </c>
      <c r="Q141" s="6" t="str">
        <f>[9]!id713?marketName</f>
        <v>RHI</v>
      </c>
      <c r="R141" s="6" t="str">
        <f>[9]!id713?tradingClass</f>
        <v>RHI</v>
      </c>
    </row>
    <row r="142" spans="1:18" customFormat="1" hidden="1" x14ac:dyDescent="0.2">
      <c r="A142" s="176" t="s">
        <v>864</v>
      </c>
      <c r="B142" s="13" t="s">
        <v>12</v>
      </c>
      <c r="C142" s="13" t="b">
        <f t="shared" si="1"/>
        <v>1</v>
      </c>
      <c r="D142" s="13"/>
      <c r="E142" s="63"/>
      <c r="F142" s="13"/>
      <c r="G142" s="13"/>
      <c r="H142" s="13" t="s">
        <v>68</v>
      </c>
      <c r="I142" s="101" t="s">
        <v>44</v>
      </c>
      <c r="J142" s="101"/>
      <c r="K142" s="6">
        <f>[9]!'id714?req?BWA_STK_SMART_USD_~/'</f>
        <v>0</v>
      </c>
      <c r="L142" s="6" t="str">
        <f>[9]!id714?orderTypes</f>
        <v>ACTIVETIM,ADJUST,ALERT,ALGO,ALLOC,AON,AVGCOST,BASKET,COND,CONDORDER,DARKONLY,DARKPOLL,DAY,DEACT,DEACTDIS,DEACTEOD,DIS,GAT,GTC,GTD,GTT,HID,IBKRATS,ICE,IMB,IOC,LIT,LMT,LOC,MIT,MKT,MOC,MTL,NGCOMB,NODARK,NONALGO,OCA,OPG,OPGREROUT,PEGBENCH,POSTONLY,PREOPGRTH,R</v>
      </c>
      <c r="M142" s="6" t="str">
        <f>[9]!id714?validExchanges</f>
        <v>SMART,NYSE,CBOE,ISE,CHX,ARCA,ISLAND,DRCTEDGE,NSX,BEX,BATS,EDGEA,CSFBALGO,JEFFALGO,BYX,IEX,TPLUS2,PSX</v>
      </c>
      <c r="N142" s="6">
        <f>[9]!id714?conid</f>
        <v>5336</v>
      </c>
      <c r="O142" s="6">
        <f>[9]!id714?minTick</f>
        <v>0.01</v>
      </c>
      <c r="P142" s="6">
        <f>[9]!id714?multiplier</f>
        <v>0</v>
      </c>
      <c r="Q142" s="6" t="str">
        <f>[9]!id714?marketName</f>
        <v>BWA</v>
      </c>
      <c r="R142" s="6" t="str">
        <f>[9]!id714?tradingClass</f>
        <v>BWA</v>
      </c>
    </row>
    <row r="143" spans="1:18" customFormat="1" hidden="1" x14ac:dyDescent="0.2">
      <c r="A143" s="176" t="s">
        <v>865</v>
      </c>
      <c r="B143" s="13" t="s">
        <v>12</v>
      </c>
      <c r="C143" s="13" t="b">
        <f t="shared" si="1"/>
        <v>1</v>
      </c>
      <c r="D143" s="13"/>
      <c r="E143" s="63"/>
      <c r="F143" s="13"/>
      <c r="G143" s="13"/>
      <c r="H143" s="13" t="s">
        <v>68</v>
      </c>
      <c r="I143" s="101" t="s">
        <v>44</v>
      </c>
      <c r="J143" s="101"/>
      <c r="K143" s="6">
        <f>[9]!'id715?req?BSX_STK_SMART_USD_~/'</f>
        <v>0</v>
      </c>
      <c r="L143" s="6" t="str">
        <f>[9]!id715?orderTypes</f>
        <v>ACTIVETIM,ADJUST,ALERT,ALGO,ALLOC,AON,AVGCOST,BASKET,COND,CONDORDER,DARKONLY,DARKPOLL,DAY,DEACT,DEACTDIS,DEACTEOD,DIS,GAT,GTC,GTD,GTT,HID,IBKRATS,ICE,IMB,IOC,LIT,LMT,LOC,MIT,MKT,MOC,MTL,NGCOMB,NODARK,NONALGO,OCA,OPG,OPGREROUT,PEGBENCH,POSTONLY,PREOPGRTH,R</v>
      </c>
      <c r="M143" s="6" t="str">
        <f>[9]!id715?validExchanges</f>
        <v>SMART,NYSE,CBOE,ISE,CHX,ARCA,ISLAND,VWAP,DRCTEDGE,NSX,BEX,BATS,EDGEA,CSFBALGO,JEFFALGO,BYX,IEX,TPLUS2,PSX</v>
      </c>
      <c r="N143" s="6">
        <f>[9]!id715?conid</f>
        <v>5270</v>
      </c>
      <c r="O143" s="6">
        <f>[9]!id715?minTick</f>
        <v>0.01</v>
      </c>
      <c r="P143" s="6">
        <f>[9]!id715?multiplier</f>
        <v>0</v>
      </c>
      <c r="Q143" s="6" t="str">
        <f>[9]!id715?marketName</f>
        <v>BSX</v>
      </c>
      <c r="R143" s="6" t="str">
        <f>[9]!id715?tradingClass</f>
        <v>BSX</v>
      </c>
    </row>
    <row r="144" spans="1:18" customFormat="1" hidden="1" x14ac:dyDescent="0.2">
      <c r="A144" s="176" t="s">
        <v>866</v>
      </c>
      <c r="B144" s="13" t="s">
        <v>12</v>
      </c>
      <c r="C144" s="13" t="b">
        <f t="shared" si="1"/>
        <v>0</v>
      </c>
      <c r="D144" s="13"/>
      <c r="E144" s="63"/>
      <c r="F144" s="13"/>
      <c r="G144" s="13"/>
      <c r="H144" s="13" t="s">
        <v>68</v>
      </c>
      <c r="I144" s="101" t="s">
        <v>44</v>
      </c>
      <c r="J144" s="101"/>
      <c r="K144" s="6">
        <f>[9]!'id716?req?CHRW_STK_SMART_USD_~/'</f>
        <v>0</v>
      </c>
      <c r="L144" s="6" t="str">
        <f>[9]!id716?orderTypes</f>
        <v>ACTIVETIM,ADJUST,ALERT,ALGO,ALLOC,AON,AVGCOST,BASKET,COND,CONDORDER,DARKONLY,DARKPOLL,DAY,DEACT,DEACTDIS,DEACTEOD,DIS,GAT,GTC,GTD,GTT,HID,IBKRATS,ICE,IMB,IOC,LIT,LMT,LOC,MIT,MKT,MOC,MTL,NGCOMB,NODARK,NONALGO,OCA,OPG,OPGREROUT,PEGBENCH,POSTONLY,PREOPGRTH,R</v>
      </c>
      <c r="M144" s="6" t="str">
        <f>[9]!id716?validExchanges</f>
        <v>SMART,CBOE,ISE,CHX,ARCA,ISLAND,DRCTEDGE,NSX,BEX,BATS,EDGEA,CSFBALGO,JEFFALGO,BYX,IEX,TPLUS2,PSX</v>
      </c>
      <c r="N144" s="6">
        <f>[9]!id716?conid</f>
        <v>36320731</v>
      </c>
      <c r="O144" s="6">
        <f>[9]!id716?minTick</f>
        <v>0.01</v>
      </c>
      <c r="P144" s="6">
        <f>[9]!id716?multiplier</f>
        <v>0</v>
      </c>
      <c r="Q144" s="6" t="str">
        <f>[9]!id716?marketName</f>
        <v>NMS</v>
      </c>
      <c r="R144" s="6" t="str">
        <f>[9]!id716?tradingClass</f>
        <v>NMS</v>
      </c>
    </row>
    <row r="145" spans="1:18" customFormat="1" hidden="1" x14ac:dyDescent="0.2">
      <c r="A145" s="176" t="s">
        <v>867</v>
      </c>
      <c r="B145" s="13" t="s">
        <v>12</v>
      </c>
      <c r="C145" s="13" t="b">
        <f t="shared" si="1"/>
        <v>1</v>
      </c>
      <c r="D145" s="13"/>
      <c r="E145" s="63"/>
      <c r="F145" s="13"/>
      <c r="G145" s="13"/>
      <c r="H145" s="13" t="s">
        <v>68</v>
      </c>
      <c r="I145" s="101" t="s">
        <v>44</v>
      </c>
      <c r="J145" s="101"/>
      <c r="K145" s="6">
        <f>[9]!'id2?req?BMY_STK_SMART_USD_~/'</f>
        <v>0</v>
      </c>
      <c r="L145" s="6" t="str">
        <f>[9]!id2?orderTypes</f>
        <v>ACTIVETIM,ADJUST,ALERT,ALGO,ALLOC,AON,AVGCOST,BASKET,COND,CONDORDER,DARKONLY,DARKPOLL,DAY,DEACT,DEACTDIS,DEACTEOD,DIS,GAT,GTC,GTD,GTT,HID,IBKRATS,ICE,IMB,IOC,LIT,LMT,LOC,MIT,MKT,MOC,MTL,NGCOMB,NODARK,NONALGO,OCA,OPG,OPGREROUT,PEGBENCH,POSTONLY,PREOPGRTH,R</v>
      </c>
      <c r="M145" s="6" t="str">
        <f>[9]!id2?validExchanges</f>
        <v>SMART,NYSE,CBOE,ISE,CHX,ARCA,ISLAND,VWAP,DRCTEDGE,NSX,BEX,BATS,EDGEA,CSFBALGO,JEFFALGO,BYX,IEX,TPLUS2,PSX</v>
      </c>
      <c r="N145" s="6">
        <f>[9]!id2?conid</f>
        <v>5111</v>
      </c>
      <c r="O145" s="6">
        <f>[9]!id2?minTick</f>
        <v>0.01</v>
      </c>
      <c r="P145" s="6">
        <f>[9]!id2?multiplier</f>
        <v>0</v>
      </c>
      <c r="Q145" s="6" t="str">
        <f>[9]!id2?marketName</f>
        <v>BMY</v>
      </c>
      <c r="R145" s="6" t="str">
        <f>[9]!id2?tradingClass</f>
        <v>BMY</v>
      </c>
    </row>
    <row r="146" spans="1:18" customFormat="1" hidden="1" x14ac:dyDescent="0.2">
      <c r="A146" s="176" t="s">
        <v>868</v>
      </c>
      <c r="B146" s="13" t="s">
        <v>12</v>
      </c>
      <c r="C146" s="13" t="b">
        <f t="shared" si="1"/>
        <v>1</v>
      </c>
      <c r="D146" s="13"/>
      <c r="E146" s="63"/>
      <c r="F146" s="13"/>
      <c r="G146" s="13"/>
      <c r="H146" s="13" t="s">
        <v>68</v>
      </c>
      <c r="I146" s="101" t="s">
        <v>44</v>
      </c>
      <c r="J146" s="101"/>
      <c r="K146" s="6">
        <f>[9]!'id3?req?AMG_STK_SMART_USD_~/'</f>
        <v>0</v>
      </c>
      <c r="L146" s="6" t="str">
        <f>[9]!id3?orderTypes</f>
        <v>ACTIVETIM,ADJUST,ALERT,ALGO,ALLOC,AON,AVGCOST,BASKET,COND,CONDORDER,DARKONLY,DARKPOLL,DAY,DEACT,DEACTDIS,DEACTEOD,DIS,GAT,GTC,GTD,GTT,HID,IBKRATS,ICE,IMB,IOC,LIT,LMT,LOC,MIT,MKT,MOC,MTL,NGCOMB,NODARK,NONALGO,OCA,OPG,OPGREROUT,PEGBENCH,POSTONLY,PREOPGRTH,R</v>
      </c>
      <c r="M146" s="6" t="str">
        <f>[9]!id3?validExchanges</f>
        <v>SMART,NYSE,CBOE,ISE,CHX,ARCA,ISLAND,DRCTEDGE,NSX,BEX,BATS,EDGEA,CSFBALGO,JEFFALGO,BYX,IEX,TPLUS2,PSX</v>
      </c>
      <c r="N146" s="6">
        <f>[9]!id3?conid</f>
        <v>6607470</v>
      </c>
      <c r="O146" s="6">
        <f>[9]!id3?minTick</f>
        <v>0.01</v>
      </c>
      <c r="P146" s="6">
        <f>[9]!id3?multiplier</f>
        <v>0</v>
      </c>
      <c r="Q146" s="6" t="str">
        <f>[9]!id3?marketName</f>
        <v>AMG</v>
      </c>
      <c r="R146" s="6" t="str">
        <f>[9]!id3?tradingClass</f>
        <v>AMG</v>
      </c>
    </row>
    <row r="147" spans="1:18" customFormat="1" hidden="1" x14ac:dyDescent="0.2">
      <c r="A147" s="176" t="s">
        <v>869</v>
      </c>
      <c r="B147" s="13" t="s">
        <v>12</v>
      </c>
      <c r="C147" s="13" t="b">
        <f t="shared" si="1"/>
        <v>1</v>
      </c>
      <c r="D147" s="13"/>
      <c r="E147" s="63"/>
      <c r="F147" s="13"/>
      <c r="G147" s="13"/>
      <c r="H147" s="13" t="s">
        <v>68</v>
      </c>
      <c r="I147" s="101" t="s">
        <v>44</v>
      </c>
      <c r="J147" s="101"/>
      <c r="K147" s="6">
        <f>[9]!'id4?req?OKE_STK_SMART_USD_~/'</f>
        <v>0</v>
      </c>
      <c r="L147" s="6" t="str">
        <f>[9]!id4?orderTypes</f>
        <v>ACTIVETIM,ADJUST,ALERT,ALGO,ALLOC,AON,AVGCOST,BASKET,COND,CONDORDER,DARKONLY,DARKPOLL,DAY,DEACT,DEACTDIS,DEACTEOD,DIS,GAT,GTC,GTD,GTT,HID,IBKRATS,ICE,IMB,IOC,LIT,LMT,LOC,MIT,MKT,MOC,MTL,NGCOMB,NODARK,NONALGO,OCA,OPG,OPGREROUT,PEGBENCH,POSTONLY,PREOPGRTH,R</v>
      </c>
      <c r="M147" s="6" t="str">
        <f>[9]!id4?validExchanges</f>
        <v>SMART,NYSE,CBOE,ISE,CHX,ARCA,ISLAND,DRCTEDGE,NSX,BEX,BATS,EDGEA,CSFBALGO,JEFFALGO,BYX,IEX,TPLUS2,PSX</v>
      </c>
      <c r="N147" s="6">
        <f>[9]!id4?conid</f>
        <v>10794</v>
      </c>
      <c r="O147" s="6">
        <f>[9]!id4?minTick</f>
        <v>0.01</v>
      </c>
      <c r="P147" s="6">
        <f>[9]!id4?multiplier</f>
        <v>0</v>
      </c>
      <c r="Q147" s="6" t="str">
        <f>[9]!id4?marketName</f>
        <v>OKE</v>
      </c>
      <c r="R147" s="6" t="str">
        <f>[9]!id4?tradingClass</f>
        <v>OKE</v>
      </c>
    </row>
    <row r="148" spans="1:18" customFormat="1" hidden="1" x14ac:dyDescent="0.2">
      <c r="A148" s="176" t="s">
        <v>870</v>
      </c>
      <c r="B148" s="13" t="s">
        <v>12</v>
      </c>
      <c r="C148" s="13" t="b">
        <f t="shared" si="1"/>
        <v>1</v>
      </c>
      <c r="D148" s="13"/>
      <c r="E148" s="63"/>
      <c r="F148" s="13"/>
      <c r="G148" s="13"/>
      <c r="H148" s="13" t="s">
        <v>68</v>
      </c>
      <c r="I148" s="101" t="s">
        <v>44</v>
      </c>
      <c r="J148" s="101"/>
      <c r="K148" s="6">
        <f>[9]!'id5?req?AVB_STK_SMART_USD_~/'</f>
        <v>0</v>
      </c>
      <c r="L148" s="6" t="str">
        <f>[9]!id5?orderTypes</f>
        <v>ACTIVETIM,ADJUST,ALERT,ALGO,ALLOC,AON,AVGCOST,BASKET,COND,CONDORDER,DARKONLY,DARKPOLL,DAY,DEACT,DEACTDIS,DEACTEOD,DIS,GAT,GTC,GTD,GTT,HID,IBKRATS,ICE,IMB,IOC,LIT,LMT,LOC,MIT,MKT,MOC,MTL,NGCOMB,NODARK,NONALGO,OCA,OPG,OPGREROUT,PEGBENCH,POSTONLY,PREOPGRTH,R</v>
      </c>
      <c r="M148" s="6" t="str">
        <f>[9]!id5?validExchanges</f>
        <v>SMART,NYSE,CBOE,ISE,CHX,ARCA,ISLAND,VWAP,DRCTEDGE,NSX,BEX,BATS,EDGEA,CSFBALGO,JEFFALGO,BYX,IEX,TPLUS2,PSX</v>
      </c>
      <c r="N148" s="6">
        <f>[9]!id5?conid</f>
        <v>5026974</v>
      </c>
      <c r="O148" s="6">
        <f>[9]!id5?minTick</f>
        <v>0.01</v>
      </c>
      <c r="P148" s="6">
        <f>[9]!id5?multiplier</f>
        <v>0</v>
      </c>
      <c r="Q148" s="6" t="str">
        <f>[9]!id5?marketName</f>
        <v>AVB</v>
      </c>
      <c r="R148" s="6" t="str">
        <f>[9]!id5?tradingClass</f>
        <v>AVB</v>
      </c>
    </row>
    <row r="149" spans="1:18" customFormat="1" hidden="1" x14ac:dyDescent="0.2">
      <c r="A149" s="176" t="s">
        <v>871</v>
      </c>
      <c r="B149" s="13" t="s">
        <v>12</v>
      </c>
      <c r="C149" s="13" t="b">
        <f t="shared" si="1"/>
        <v>1</v>
      </c>
      <c r="D149" s="13"/>
      <c r="E149" s="63"/>
      <c r="F149" s="13"/>
      <c r="G149" s="13"/>
      <c r="H149" s="13" t="s">
        <v>68</v>
      </c>
      <c r="I149" s="101" t="s">
        <v>44</v>
      </c>
      <c r="J149" s="101"/>
      <c r="K149" s="6">
        <f>[9]!'id6?req?URI_STK_SMART_USD_~/'</f>
        <v>0</v>
      </c>
      <c r="L149" s="6" t="str">
        <f>[9]!id6?orderTypes</f>
        <v>ACTIVETIM,ADJUST,ALERT,ALGO,ALLOC,AON,AVGCOST,BASKET,COND,CONDORDER,DARKONLY,DARKPOLL,DAY,DEACT,DEACTDIS,DEACTEOD,DIS,GAT,GTC,GTD,GTT,HID,IBKRATS,ICE,IMB,IOC,LIT,LMT,LOC,MIT,MKT,MOC,MTL,NGCOMB,NODARK,NONALGO,OCA,OPG,OPGREROUT,PEGBENCH,POSTONLY,PREOPGRTH,R</v>
      </c>
      <c r="M149" s="6" t="str">
        <f>[9]!id6?validExchanges</f>
        <v>SMART,NYSE,CBOE,ISE,CHX,ARCA,ISLAND,DRCTEDGE,NSX,BEX,BATS,EDGEA,CSFBALGO,JEFFALGO,BYX,IEX,TPLUS2,PSX</v>
      </c>
      <c r="N149" s="6">
        <f>[9]!id6?conid</f>
        <v>3629755</v>
      </c>
      <c r="O149" s="6">
        <f>[9]!id6?minTick</f>
        <v>0.01</v>
      </c>
      <c r="P149" s="6">
        <f>[9]!id6?multiplier</f>
        <v>0</v>
      </c>
      <c r="Q149" s="6" t="str">
        <f>[9]!id6?marketName</f>
        <v>URI</v>
      </c>
      <c r="R149" s="6" t="str">
        <f>[9]!id6?tradingClass</f>
        <v>URI</v>
      </c>
    </row>
    <row r="150" spans="1:18" customFormat="1" hidden="1" x14ac:dyDescent="0.2">
      <c r="A150" s="176" t="s">
        <v>872</v>
      </c>
      <c r="B150" s="13" t="s">
        <v>12</v>
      </c>
      <c r="C150" s="13" t="b">
        <f t="shared" si="1"/>
        <v>1</v>
      </c>
      <c r="D150" s="13"/>
      <c r="E150" s="63"/>
      <c r="F150" s="13"/>
      <c r="G150" s="13"/>
      <c r="H150" s="13" t="s">
        <v>68</v>
      </c>
      <c r="I150" s="101" t="s">
        <v>44</v>
      </c>
      <c r="J150" s="101"/>
      <c r="K150" s="6">
        <f>[9]!'id7?req?SRE_STK_SMART_USD_~/'</f>
        <v>0</v>
      </c>
      <c r="L150" s="6" t="str">
        <f>[9]!id7?orderTypes</f>
        <v>ACTIVETIM,ADJUST,ALERT,ALGO,ALLOC,AON,AVGCOST,BASKET,COND,CONDORDER,DARKONLY,DARKPOLL,DAY,DEACT,DEACTDIS,DEACTEOD,DIS,GAT,GTC,GTD,GTT,HID,IBKRATS,ICE,IMB,IOC,LIT,LMT,LOC,MIT,MKT,MOC,MTL,NGCOMB,NODARK,NONALGO,OCA,OPG,OPGREROUT,PEGBENCH,POSTONLY,PREOPGRTH,R</v>
      </c>
      <c r="M150" s="6" t="str">
        <f>[9]!id7?validExchanges</f>
        <v>SMART,NYSE,CBOE,ISE,CHX,ARCA,ISLAND,VWAP,DRCTEDGE,NSX,BEX,BATS,EDGEA,CSFBALGO,JEFFALGO,BYX,IEX,TPLUS2,PSX</v>
      </c>
      <c r="N150" s="6">
        <f>[9]!id7?conid</f>
        <v>11020</v>
      </c>
      <c r="O150" s="6">
        <f>[9]!id7?minTick</f>
        <v>0.01</v>
      </c>
      <c r="P150" s="6">
        <f>[9]!id7?multiplier</f>
        <v>0</v>
      </c>
      <c r="Q150" s="6" t="str">
        <f>[9]!id7?marketName</f>
        <v>SRE</v>
      </c>
      <c r="R150" s="6" t="str">
        <f>[9]!id7?tradingClass</f>
        <v>SRE</v>
      </c>
    </row>
    <row r="151" spans="1:18" customFormat="1" hidden="1" x14ac:dyDescent="0.2">
      <c r="A151" s="176" t="s">
        <v>873</v>
      </c>
      <c r="B151" s="13" t="s">
        <v>12</v>
      </c>
      <c r="C151" s="13" t="b">
        <f t="shared" si="1"/>
        <v>1</v>
      </c>
      <c r="D151" s="13"/>
      <c r="E151" s="63"/>
      <c r="F151" s="13"/>
      <c r="G151" s="13"/>
      <c r="H151" s="13" t="s">
        <v>68</v>
      </c>
      <c r="I151" s="101" t="s">
        <v>44</v>
      </c>
      <c r="J151" s="101"/>
      <c r="K151" s="6">
        <f>[9]!'id8?req?FDX_STK_SMART_USD_~/'</f>
        <v>0</v>
      </c>
      <c r="L151" s="6" t="str">
        <f>[9]!id8?orderTypes</f>
        <v>ACTIVETIM,ADJUST,ALERT,ALGO,ALLOC,AON,AVGCOST,BASKET,COND,CONDORDER,DARKONLY,DARKPOLL,DAY,DEACT,DEACTDIS,DEACTEOD,DIS,GAT,GTC,GTD,GTT,HID,IBKRATS,ICE,IMB,IOC,LIT,LMT,LOC,MIT,MKT,MOC,MTL,NGCOMB,NODARK,NONALGO,OCA,OPG,OPGREROUT,PEGBENCH,POSTONLY,PREOPGRTH,R</v>
      </c>
      <c r="M151" s="6" t="str">
        <f>[9]!id8?validExchanges</f>
        <v>SMART,NYSE,CBOE,ISE,CHX,ARCA,ISLAND,VWAP,DRCTEDGE,NSX,BEX,BATS,EDGEA,CSFBALGO,JEFFALGO,BYX,IEX,TPLUS2,PSX</v>
      </c>
      <c r="N151" s="6">
        <f>[9]!id8?conid</f>
        <v>5100583</v>
      </c>
      <c r="O151" s="6">
        <f>[9]!id8?minTick</f>
        <v>0.01</v>
      </c>
      <c r="P151" s="6">
        <f>[9]!id8?multiplier</f>
        <v>0</v>
      </c>
      <c r="Q151" s="6" t="str">
        <f>[9]!id8?marketName</f>
        <v>FDX</v>
      </c>
      <c r="R151" s="6" t="str">
        <f>[9]!id8?tradingClass</f>
        <v>FDX</v>
      </c>
    </row>
    <row r="152" spans="1:18" customFormat="1" hidden="1" x14ac:dyDescent="0.2">
      <c r="A152" s="176" t="s">
        <v>874</v>
      </c>
      <c r="B152" s="13" t="s">
        <v>12</v>
      </c>
      <c r="C152" s="13" t="b">
        <f t="shared" si="1"/>
        <v>0</v>
      </c>
      <c r="D152" s="13"/>
      <c r="E152" s="63"/>
      <c r="F152" s="13"/>
      <c r="G152" s="13"/>
      <c r="H152" s="13" t="s">
        <v>68</v>
      </c>
      <c r="I152" s="101" t="s">
        <v>44</v>
      </c>
      <c r="J152" s="101"/>
      <c r="K152" s="6">
        <f>[9]!'id9?req?VRSN_STK_SMART_USD_~/'</f>
        <v>0</v>
      </c>
      <c r="L152" s="6" t="str">
        <f>[9]!id9?orderTypes</f>
        <v>ACTIVETIM,ADJUST,ALERT,ALGO,ALLOC,AON,AVGCOST,BASKET,COND,CONDORDER,DARKONLY,DARKPOLL,DAY,DEACT,DEACTDIS,DEACTEOD,DIS,GAT,GTC,GTD,GTT,HID,IBKRATS,ICE,IMB,IOC,LIT,LMT,LOC,MIT,MKT,MOC,MTL,NGCOMB,NODARK,NONALGO,OCA,OPG,OPGREROUT,PEGBENCH,POSTONLY,PREOPGRTH,R</v>
      </c>
      <c r="M152" s="6" t="str">
        <f>[9]!id9?validExchanges</f>
        <v>SMART,CBOE,ISE,CHX,ARCA,ISLAND,VWAP,DRCTEDGE,NSX,BEX,BATS,EDGEA,CSFBALGO,JEFFALGO,BYX,IEX,TPLUS2,PSX</v>
      </c>
      <c r="N152" s="6">
        <f>[9]!id9?conid</f>
        <v>4173050</v>
      </c>
      <c r="O152" s="6">
        <f>[9]!id9?minTick</f>
        <v>0.01</v>
      </c>
      <c r="P152" s="6">
        <f>[9]!id9?multiplier</f>
        <v>0</v>
      </c>
      <c r="Q152" s="6" t="str">
        <f>[9]!id9?marketName</f>
        <v>NMS</v>
      </c>
      <c r="R152" s="6" t="str">
        <f>[9]!id9?tradingClass</f>
        <v>NMS</v>
      </c>
    </row>
    <row r="153" spans="1:18" customFormat="1" hidden="1" x14ac:dyDescent="0.2">
      <c r="A153" s="176" t="s">
        <v>875</v>
      </c>
      <c r="B153" s="13" t="s">
        <v>12</v>
      </c>
      <c r="C153" s="13" t="b">
        <f t="shared" si="1"/>
        <v>1</v>
      </c>
      <c r="D153" s="13"/>
      <c r="E153" s="63"/>
      <c r="F153" s="13"/>
      <c r="G153" s="13"/>
      <c r="H153" s="13" t="s">
        <v>68</v>
      </c>
      <c r="I153" s="101" t="s">
        <v>44</v>
      </c>
      <c r="J153" s="101"/>
      <c r="K153" s="6">
        <f>[9]!'id10?req?APH_STK_SMART_USD_~/'</f>
        <v>0</v>
      </c>
      <c r="L153" s="6" t="str">
        <f>[9]!id10?orderTypes</f>
        <v>ACTIVETIM,ADJUST,ALERT,ALGO,ALLOC,AON,AVGCOST,BASKET,COND,CONDORDER,DARKONLY,DARKPOLL,DAY,DEACT,DEACTDIS,DEACTEOD,DIS,GAT,GTC,GTD,GTT,HID,IBKRATS,ICE,IMB,IOC,LIT,LMT,LOC,MIT,MKT,MOC,MTL,NGCOMB,NODARK,NONALGO,OCA,OPG,OPGREROUT,PEGBENCH,POSTONLY,PREOPGRTH,R</v>
      </c>
      <c r="M153" s="6" t="str">
        <f>[9]!id10?validExchanges</f>
        <v>SMART,NYSE,CBOE,ISE,CHX,ARCA,ISLAND,VWAP,DRCTEDGE,NSX,BEX,BATS,EDGEA,CSFBALGO,JEFFALGO,BYX,IEX,TPLUS2,PSX</v>
      </c>
      <c r="N153" s="6">
        <f>[9]!id10?conid</f>
        <v>4493</v>
      </c>
      <c r="O153" s="6">
        <f>[9]!id10?minTick</f>
        <v>0.01</v>
      </c>
      <c r="P153" s="6">
        <f>[9]!id10?multiplier</f>
        <v>0</v>
      </c>
      <c r="Q153" s="6" t="str">
        <f>[9]!id10?marketName</f>
        <v>APH</v>
      </c>
      <c r="R153" s="6" t="str">
        <f>[9]!id10?tradingClass</f>
        <v>APH</v>
      </c>
    </row>
    <row r="154" spans="1:18" customFormat="1" hidden="1" x14ac:dyDescent="0.2">
      <c r="A154" s="176" t="s">
        <v>876</v>
      </c>
      <c r="B154" s="13" t="s">
        <v>12</v>
      </c>
      <c r="C154" s="13" t="b">
        <f t="shared" si="1"/>
        <v>1</v>
      </c>
      <c r="D154" s="13"/>
      <c r="E154" s="63"/>
      <c r="F154" s="13"/>
      <c r="G154" s="13"/>
      <c r="H154" s="13" t="s">
        <v>68</v>
      </c>
      <c r="I154" s="101" t="s">
        <v>44</v>
      </c>
      <c r="J154" s="101"/>
      <c r="K154" s="6">
        <f>[9]!'id11?req?PWR_STK_SMART_USD_~/'</f>
        <v>0</v>
      </c>
      <c r="L154" s="6" t="str">
        <f>[9]!id11?orderTypes</f>
        <v>ACTIVETIM,ADJUST,ALERT,ALGO,ALLOC,AON,AVGCOST,BASKET,COND,CONDORDER,DARKONLY,DARKPOLL,DAY,DEACT,DEACTDIS,DEACTEOD,DIS,GAT,GTC,GTD,GTT,HID,IBKRATS,ICE,IMB,IOC,LIT,LMT,LOC,MIT,MKT,MOC,MTL,NGCOMB,NODARK,NONALGO,OCA,OPG,OPGREROUT,PEGBENCH,POSTONLY,PREOPGRTH,R</v>
      </c>
      <c r="M154" s="6" t="str">
        <f>[9]!id11?validExchanges</f>
        <v>SMART,NYSE,CBOE,ISE,CHX,ARCA,ISLAND,DRCTEDGE,NSX,BEX,BATS,EDGEA,CSFBALGO,JEFFALGO,BYX,IEX,TPLUS2,PSX</v>
      </c>
      <c r="N154" s="6">
        <f>[9]!id11?conid</f>
        <v>6608432</v>
      </c>
      <c r="O154" s="6">
        <f>[9]!id11?minTick</f>
        <v>0.01</v>
      </c>
      <c r="P154" s="6">
        <f>[9]!id11?multiplier</f>
        <v>0</v>
      </c>
      <c r="Q154" s="6" t="str">
        <f>[9]!id11?marketName</f>
        <v>PWR</v>
      </c>
      <c r="R154" s="6" t="str">
        <f>[9]!id11?tradingClass</f>
        <v>PWR</v>
      </c>
    </row>
    <row r="155" spans="1:18" customFormat="1" hidden="1" x14ac:dyDescent="0.2">
      <c r="A155" s="176" t="s">
        <v>877</v>
      </c>
      <c r="B155" s="13" t="s">
        <v>12</v>
      </c>
      <c r="C155" s="13" t="b">
        <f t="shared" si="1"/>
        <v>0</v>
      </c>
      <c r="D155" s="13"/>
      <c r="E155" s="63"/>
      <c r="F155" s="13"/>
      <c r="G155" s="13"/>
      <c r="H155" s="13" t="s">
        <v>68</v>
      </c>
      <c r="I155" s="101" t="s">
        <v>44</v>
      </c>
      <c r="J155" s="101"/>
      <c r="K155" s="6">
        <f>[9]!'id12?req?CSX_STK_SMART_USD_~/'</f>
        <v>0</v>
      </c>
      <c r="L155" s="6" t="str">
        <f>[9]!id12?orderTypes</f>
        <v>ACTIVETIM,ADJUST,ALERT,ALGO,ALLOC,AON,AVGCOST,BASKET,COND,CONDORDER,DARKONLY,DARKPOLL,DAY,DEACT,DEACTDIS,DEACTEOD,DIS,GAT,GTC,GTD,GTT,HID,IBKRATS,ICE,IMB,IOC,LIT,LMT,LOC,MIT,MKT,MOC,MTL,NGCOMB,NODARK,NONALGO,OCA,OPG,OPGREROUT,PEGBENCH,POSTONLY,PREOPGRTH,R</v>
      </c>
      <c r="M155" s="6" t="str">
        <f>[9]!id12?validExchanges</f>
        <v>SMART,CBOE,ISE,CHX,ARCA,ISLAND,VWAP,DRCTEDGE,NSX,BEX,BATS,EDGEA,CSFBALGO,JEFFALGO,BYX,IEX,TPLUS2,PSX</v>
      </c>
      <c r="N155" s="6">
        <f>[9]!id12?conid</f>
        <v>6150</v>
      </c>
      <c r="O155" s="6">
        <f>[9]!id12?minTick</f>
        <v>0.01</v>
      </c>
      <c r="P155" s="6">
        <f>[9]!id12?multiplier</f>
        <v>0</v>
      </c>
      <c r="Q155" s="6" t="str">
        <f>[9]!id12?marketName</f>
        <v>NMS</v>
      </c>
      <c r="R155" s="6" t="str">
        <f>[9]!id12?tradingClass</f>
        <v>NMS</v>
      </c>
    </row>
    <row r="156" spans="1:18" customFormat="1" hidden="1" x14ac:dyDescent="0.2">
      <c r="A156" s="176" t="s">
        <v>878</v>
      </c>
      <c r="B156" s="13" t="s">
        <v>12</v>
      </c>
      <c r="C156" s="13" t="b">
        <f t="shared" si="1"/>
        <v>1</v>
      </c>
      <c r="D156" s="13"/>
      <c r="E156" s="63"/>
      <c r="F156" s="13"/>
      <c r="G156" s="13"/>
      <c r="H156" s="13" t="s">
        <v>68</v>
      </c>
      <c r="I156" s="101" t="s">
        <v>44</v>
      </c>
      <c r="J156" s="101"/>
      <c r="K156" s="6">
        <f>[9]!'id718?req?COG_STK_SMART_USD_~/'</f>
        <v>0</v>
      </c>
      <c r="L156" s="6" t="str">
        <f>[9]!id718?orderTypes</f>
        <v>ACTIVETIM,ADJUST,ALERT,ALGO,ALLOC,AON,AVGCOST,BASKET,COND,CONDORDER,DARKONLY,DARKPOLL,DAY,DEACT,DEACTDIS,DEACTEOD,DIS,GAT,GTC,GTD,GTT,HID,IBKRATS,ICE,IMB,IOC,LIT,LMT,LOC,MIT,MKT,MOC,MTL,NGCOMB,NODARK,NONALGO,OCA,OPG,OPGREROUT,PEGBENCH,POSTONLY,PREOPGRTH,R</v>
      </c>
      <c r="M156" s="6" t="str">
        <f>[9]!id718?validExchanges</f>
        <v>SMART,NYSE,CBOE,ISE,CHX,ARCA,ISLAND,DRCTEDGE,NSX,BEX,BATS,EDGEA,CSFBALGO,JEFFALGO,BYX,IEX,TPLUS2,PSX</v>
      </c>
      <c r="N156" s="6">
        <f>[9]!id718?conid</f>
        <v>5946</v>
      </c>
      <c r="O156" s="6">
        <f>[9]!id718?minTick</f>
        <v>0.01</v>
      </c>
      <c r="P156" s="6">
        <f>[9]!id718?multiplier</f>
        <v>0</v>
      </c>
      <c r="Q156" s="6" t="str">
        <f>[9]!id718?marketName</f>
        <v>COG</v>
      </c>
      <c r="R156" s="6" t="str">
        <f>[9]!id718?tradingClass</f>
        <v>COG</v>
      </c>
    </row>
    <row r="157" spans="1:18" customFormat="1" hidden="1" x14ac:dyDescent="0.2">
      <c r="A157" s="176" t="s">
        <v>879</v>
      </c>
      <c r="B157" s="13" t="s">
        <v>12</v>
      </c>
      <c r="C157" s="13" t="b">
        <f t="shared" si="1"/>
        <v>1</v>
      </c>
      <c r="D157" s="13"/>
      <c r="E157" s="63"/>
      <c r="F157" s="13"/>
      <c r="G157" s="13"/>
      <c r="H157" s="13" t="s">
        <v>68</v>
      </c>
      <c r="I157" s="101" t="s">
        <v>44</v>
      </c>
      <c r="J157" s="101"/>
      <c r="K157" s="6">
        <f>[9]!'id15?req?CPB_STK_SMART_USD_~/'</f>
        <v>0</v>
      </c>
      <c r="L157" s="6" t="str">
        <f>[9]!id15?orderTypes</f>
        <v>ACTIVETIM,ADJUST,ALERT,ALGO,ALLOC,AON,AVGCOST,BASKET,COND,CONDORDER,DARKONLY,DARKPOLL,DAY,DEACT,DEACTDIS,DEACTEOD,DIS,GAT,GTC,GTD,GTT,HID,IBKRATS,ICE,IMB,IOC,LIT,LMT,LOC,MIT,MKT,MOC,MTL,NGCOMB,NODARK,NONALGO,OCA,OPG,OPGREROUT,PEGBENCH,POSTONLY,PREOPGRTH,R</v>
      </c>
      <c r="M157" s="6" t="str">
        <f>[9]!id15?validExchanges</f>
        <v>SMART,NYSE,CBOE,ISE,CHX,ARCA,ISLAND,VWAP,DRCTEDGE,NSX,BEX,BATS,EDGEA,CSFBALGO,JEFFALGO,BYX,IEX,TPLUS2,PSX</v>
      </c>
      <c r="N157" s="6">
        <f>[9]!id15?conid</f>
        <v>5980</v>
      </c>
      <c r="O157" s="6">
        <f>[9]!id15?minTick</f>
        <v>0.01</v>
      </c>
      <c r="P157" s="6">
        <f>[9]!id15?multiplier</f>
        <v>0</v>
      </c>
      <c r="Q157" s="6" t="str">
        <f>[9]!id15?marketName</f>
        <v>CPB</v>
      </c>
      <c r="R157" s="6" t="str">
        <f>[9]!id15?tradingClass</f>
        <v>CPB</v>
      </c>
    </row>
    <row r="158" spans="1:18" customFormat="1" hidden="1" x14ac:dyDescent="0.2">
      <c r="A158" s="176" t="s">
        <v>880</v>
      </c>
      <c r="B158" s="13" t="s">
        <v>12</v>
      </c>
      <c r="C158" s="13" t="b">
        <f t="shared" si="1"/>
        <v>1</v>
      </c>
      <c r="D158" s="13"/>
      <c r="E158" s="63"/>
      <c r="F158" s="13"/>
      <c r="G158" s="13"/>
      <c r="H158" s="13" t="s">
        <v>68</v>
      </c>
      <c r="I158" s="101" t="s">
        <v>44</v>
      </c>
      <c r="J158" s="101"/>
      <c r="K158" s="6">
        <f>[9]!'id16?req?STZ_STK_SMART_USD_~/'</f>
        <v>0</v>
      </c>
      <c r="L158" s="6" t="str">
        <f>[9]!id16?orderTypes</f>
        <v>ACTIVETIM,ADJUST,ALERT,ALGO,ALLOC,AON,AVGCOST,BASKET,COND,CONDORDER,DARKONLY,DARKPOLL,DAY,DEACT,DEACTDIS,DEACTEOD,DIS,GAT,GTC,GTD,GTT,HID,IBKRATS,ICE,IMB,IOC,LIT,LMT,LOC,MIT,MKT,MOC,MTL,NGCOMB,NODARK,NONALGO,OCA,OPG,OPGREROUT,PEGBENCH,POSTONLY,PREOPGRTH,R</v>
      </c>
      <c r="M158" s="6" t="str">
        <f>[9]!id16?validExchanges</f>
        <v>SMART,NYSE,CBOE,ISE,CHX,ARCA,ISLAND,VWAP,DRCTEDGE,NSX,BEX,BATS,EDGEA,CSFBALGO,JEFFALGO,BYX,IEX,TPLUS2,PSX</v>
      </c>
      <c r="N158" s="6">
        <f>[9]!id16?conid</f>
        <v>276066</v>
      </c>
      <c r="O158" s="6">
        <f>[9]!id16?minTick</f>
        <v>0.01</v>
      </c>
      <c r="P158" s="6">
        <f>[9]!id16?multiplier</f>
        <v>0</v>
      </c>
      <c r="Q158" s="6" t="str">
        <f>[9]!id16?marketName</f>
        <v>STZ</v>
      </c>
      <c r="R158" s="6" t="str">
        <f>[9]!id16?tradingClass</f>
        <v>STZ</v>
      </c>
    </row>
    <row r="159" spans="1:18" customFormat="1" hidden="1" x14ac:dyDescent="0.2">
      <c r="A159" s="176" t="s">
        <v>881</v>
      </c>
      <c r="B159" s="13" t="s">
        <v>12</v>
      </c>
      <c r="C159" s="13" t="b">
        <f t="shared" si="1"/>
        <v>1</v>
      </c>
      <c r="D159" s="13"/>
      <c r="E159" s="63"/>
      <c r="F159" s="13"/>
      <c r="G159" s="13"/>
      <c r="H159" s="13" t="s">
        <v>68</v>
      </c>
      <c r="I159" s="101" t="s">
        <v>44</v>
      </c>
      <c r="J159" s="101"/>
      <c r="K159" s="6">
        <f>[9]!'id17?req?CAH_STK_SMART_USD_~/'</f>
        <v>0</v>
      </c>
      <c r="L159" s="6" t="str">
        <f>[9]!id17?orderTypes</f>
        <v>ACTIVETIM,ADJUST,ALERT,ALGO,ALLOC,AON,AVGCOST,BASKET,COND,CONDORDER,DARKONLY,DARKPOLL,DAY,DEACT,DEACTDIS,DEACTEOD,DIS,GAT,GTC,GTD,GTT,HID,IBKRATS,ICE,IMB,IOC,LIT,LMT,LOC,MIT,MKT,MOC,MTL,NGCOMB,NODARK,NONALGO,OCA,OPG,OPGREROUT,PEGBENCH,POSTONLY,PREOPGRTH,R</v>
      </c>
      <c r="M159" s="6" t="str">
        <f>[9]!id17?validExchanges</f>
        <v>SMART,NYSE,CBOE,ISE,CHX,ARCA,ISLAND,VWAP,DRCTEDGE,NSX,BEX,BATS,EDGEA,CSFBALGO,JEFFALGO,BYX,IEX,TPLUS2,PSX</v>
      </c>
      <c r="N159" s="6">
        <f>[9]!id17?conid</f>
        <v>5407</v>
      </c>
      <c r="O159" s="6">
        <f>[9]!id17?minTick</f>
        <v>0.01</v>
      </c>
      <c r="P159" s="6">
        <f>[9]!id17?multiplier</f>
        <v>0</v>
      </c>
      <c r="Q159" s="6" t="str">
        <f>[9]!id17?marketName</f>
        <v>CAH</v>
      </c>
      <c r="R159" s="6" t="str">
        <f>[9]!id17?tradingClass</f>
        <v>CAH</v>
      </c>
    </row>
    <row r="160" spans="1:18" customFormat="1" hidden="1" x14ac:dyDescent="0.2">
      <c r="A160" s="176" t="s">
        <v>882</v>
      </c>
      <c r="B160" s="13" t="s">
        <v>12</v>
      </c>
      <c r="C160" s="13" t="b">
        <f t="shared" si="1"/>
        <v>1</v>
      </c>
      <c r="D160" s="13"/>
      <c r="E160" s="63"/>
      <c r="F160" s="13"/>
      <c r="G160" s="13"/>
      <c r="H160" s="13" t="s">
        <v>68</v>
      </c>
      <c r="I160" s="101" t="s">
        <v>44</v>
      </c>
      <c r="J160" s="101"/>
      <c r="K160" s="6">
        <f>[9]!'id18?req?CAT_STK_SMART_USD_~/'</f>
        <v>0</v>
      </c>
      <c r="L160" s="6" t="str">
        <f>[9]!id18?orderTypes</f>
        <v>ACTIVETIM,ADJUST,ALERT,ALGO,ALLOC,AON,AVGCOST,BASKET,COND,CONDORDER,DARKONLY,DARKPOLL,DAY,DEACT,DEACTDIS,DEACTEOD,DIS,GAT,GTC,GTD,GTT,HID,IBKRATS,ICE,IMB,IOC,LIT,LMT,LOC,MIT,MKT,MOC,MTL,NGCOMB,NODARK,NONALGO,OCA,OPG,OPGREROUT,PEGBENCH,POSTONLY,PREOPGRTH,R</v>
      </c>
      <c r="M160" s="6" t="str">
        <f>[9]!id18?validExchanges</f>
        <v>SMART,NYSE,CBOE,ISE,CHX,ARCA,ISLAND,VWAP,DRCTEDGE,NSX,BEX,BATS,EDGEA,CSFBALGO,JEFFALGO,BYX,IEX,TPLUS2,PSX</v>
      </c>
      <c r="N160" s="6">
        <f>[9]!id18?conid</f>
        <v>5437</v>
      </c>
      <c r="O160" s="6">
        <f>[9]!id18?minTick</f>
        <v>0.01</v>
      </c>
      <c r="P160" s="6">
        <f>[9]!id18?multiplier</f>
        <v>0</v>
      </c>
      <c r="Q160" s="6" t="str">
        <f>[9]!id18?marketName</f>
        <v>CAT</v>
      </c>
      <c r="R160" s="6" t="str">
        <f>[9]!id18?tradingClass</f>
        <v>CAT</v>
      </c>
    </row>
    <row r="161" spans="1:18" customFormat="1" hidden="1" x14ac:dyDescent="0.2">
      <c r="A161" s="176" t="s">
        <v>883</v>
      </c>
      <c r="B161" s="13" t="s">
        <v>12</v>
      </c>
      <c r="C161" s="13" t="b">
        <f t="shared" si="1"/>
        <v>0</v>
      </c>
      <c r="D161" s="13"/>
      <c r="E161" s="63"/>
      <c r="F161" s="13"/>
      <c r="G161" s="13"/>
      <c r="H161" s="13" t="s">
        <v>68</v>
      </c>
      <c r="I161" s="101" t="s">
        <v>44</v>
      </c>
      <c r="J161" s="101"/>
      <c r="K161" s="6">
        <f>[9]!'id19?req?CELG_STK_SMART_USD_~/'</f>
        <v>0</v>
      </c>
      <c r="L161" s="6" t="str">
        <f>[9]!id19?orderTypes</f>
        <v>ACTIVETIM,ADJUST,ALERT,ALGO,ALLOC,AON,AVGCOST,BASKET,COND,CONDORDER,DARKONLY,DARKPOLL,DAY,DEACT,DEACTDIS,DEACTEOD,DIS,GAT,GTC,GTD,GTT,HID,IBKRATS,ICE,IMB,IOC,LIT,LMT,LOC,MIT,MKT,MOC,MTL,NGCOMB,NODARK,NONALGO,OCA,OPG,OPGREROUT,PEGBENCH,POSTONLY,PREOPGRTH,R</v>
      </c>
      <c r="M161" s="6" t="str">
        <f>[9]!id19?validExchanges</f>
        <v>SMART,CBOE,ISE,CHX,ARCA,ISLAND,VWAP,DRCTEDGE,NSX,BEX,BATS,EDGEA,CSFBALGO,JEFFALGO,BYX,IEX,TPLUS2,PSX</v>
      </c>
      <c r="N161" s="6">
        <f>[9]!id19?conid</f>
        <v>267455</v>
      </c>
      <c r="O161" s="6">
        <f>[9]!id19?minTick</f>
        <v>0.01</v>
      </c>
      <c r="P161" s="6">
        <f>[9]!id19?multiplier</f>
        <v>0</v>
      </c>
      <c r="Q161" s="6" t="str">
        <f>[9]!id19?marketName</f>
        <v>NMS</v>
      </c>
      <c r="R161" s="6" t="str">
        <f>[9]!id19?tradingClass</f>
        <v>NMS</v>
      </c>
    </row>
    <row r="162" spans="1:18" customFormat="1" hidden="1" x14ac:dyDescent="0.2">
      <c r="A162" s="176" t="s">
        <v>884</v>
      </c>
      <c r="B162" s="13" t="s">
        <v>12</v>
      </c>
      <c r="C162" s="13" t="b">
        <f t="shared" si="1"/>
        <v>0</v>
      </c>
      <c r="D162" s="13"/>
      <c r="E162" s="63"/>
      <c r="F162" s="13"/>
      <c r="G162" s="13"/>
      <c r="H162" s="13" t="s">
        <v>68</v>
      </c>
      <c r="I162" s="101" t="s">
        <v>44</v>
      </c>
      <c r="J162" s="101"/>
      <c r="K162" s="6">
        <f>[9]!'id20?req?CTXS_STK_SMART_USD_~/'</f>
        <v>0</v>
      </c>
      <c r="L162" s="6" t="str">
        <f>[9]!id20?orderTypes</f>
        <v>ACTIVETIM,ADJUST,ALERT,ALGO,ALLOC,AON,AVGCOST,BASKET,COND,CONDORDER,DARKONLY,DARKPOLL,DAY,DEACT,DEACTDIS,DEACTEOD,DIS,GAT,GTC,GTD,GTT,HID,IBKRATS,ICE,IMB,IOC,LIT,LMT,LOC,MIT,MKT,MOC,MTL,NGCOMB,NODARK,NONALGO,OCA,OPG,OPGREROUT,PEGBENCH,POSTONLY,PREOPGRTH,R</v>
      </c>
      <c r="M162" s="6" t="str">
        <f>[9]!id20?validExchanges</f>
        <v>SMART,CBOE,ISE,CHX,ARCA,ISLAND,VWAP,DRCTEDGE,NSX,BEX,BATS,EDGEA,CSFBALGO,JEFFALGO,BYX,IEX,TPLUS2,PSX</v>
      </c>
      <c r="N162" s="6">
        <f>[9]!id20?conid</f>
        <v>1767080</v>
      </c>
      <c r="O162" s="6">
        <f>[9]!id20?minTick</f>
        <v>0.01</v>
      </c>
      <c r="P162" s="6">
        <f>[9]!id20?multiplier</f>
        <v>0</v>
      </c>
      <c r="Q162" s="6" t="str">
        <f>[9]!id20?marketName</f>
        <v>NMS</v>
      </c>
      <c r="R162" s="6" t="str">
        <f>[9]!id20?tradingClass</f>
        <v>NMS</v>
      </c>
    </row>
    <row r="163" spans="1:18" customFormat="1" hidden="1" x14ac:dyDescent="0.2">
      <c r="A163" s="176" t="s">
        <v>885</v>
      </c>
      <c r="B163" s="13" t="s">
        <v>12</v>
      </c>
      <c r="C163" s="13" t="b">
        <f t="shared" si="1"/>
        <v>1</v>
      </c>
      <c r="D163" s="13"/>
      <c r="E163" s="63"/>
      <c r="F163" s="13"/>
      <c r="G163" s="13"/>
      <c r="H163" s="13" t="s">
        <v>68</v>
      </c>
      <c r="I163" s="101" t="s">
        <v>44</v>
      </c>
      <c r="J163" s="101"/>
      <c r="K163" s="6">
        <f>[9]!'id21?req?CTL_STK_SMART_USD_~/'</f>
        <v>0</v>
      </c>
      <c r="L163" s="6" t="str">
        <f>[9]!id21?orderTypes</f>
        <v>ACTIVETIM,ADJUST,ALERT,ALGO,ALLOC,AON,AVGCOST,BASKET,COND,CONDORDER,DARKONLY,DARKPOLL,DAY,DEACT,DEACTDIS,DEACTEOD,DIS,GAT,GTC,GTD,GTT,HID,IBKRATS,ICE,IMB,IOC,LIT,LMT,LOC,MIT,MKT,MOC,MTL,NGCOMB,NODARK,NONALGO,OCA,OPG,OPGREROUT,PEGBENCH,POSTONLY,PREOPGRTH,R</v>
      </c>
      <c r="M163" s="6" t="str">
        <f>[9]!id21?validExchanges</f>
        <v>SMART,NYSE,CBOE,ISE,CHX,ARCA,ISLAND,VWAP,DRCTEDGE,NSX,BEX,BATS,EDGEA,CSFBALGO,JEFFALGO,BYX,IEX,TPLUS2,PSX</v>
      </c>
      <c r="N163" s="6">
        <f>[9]!id21?conid</f>
        <v>6180</v>
      </c>
      <c r="O163" s="6">
        <f>[9]!id21?minTick</f>
        <v>0.01</v>
      </c>
      <c r="P163" s="6">
        <f>[9]!id21?multiplier</f>
        <v>0</v>
      </c>
      <c r="Q163" s="6" t="str">
        <f>[9]!id21?marketName</f>
        <v>CTL</v>
      </c>
      <c r="R163" s="6" t="str">
        <f>[9]!id21?tradingClass</f>
        <v>CTL</v>
      </c>
    </row>
    <row r="164" spans="1:18" customFormat="1" hidden="1" x14ac:dyDescent="0.2">
      <c r="A164" s="176" t="s">
        <v>886</v>
      </c>
      <c r="B164" s="13" t="s">
        <v>12</v>
      </c>
      <c r="C164" s="13" t="b">
        <f t="shared" si="1"/>
        <v>0</v>
      </c>
      <c r="D164" s="13"/>
      <c r="E164" s="63"/>
      <c r="F164" s="13"/>
      <c r="G164" s="13"/>
      <c r="H164" s="13" t="s">
        <v>68</v>
      </c>
      <c r="I164" s="101" t="s">
        <v>44</v>
      </c>
      <c r="J164" s="101"/>
      <c r="K164" s="6">
        <f>[9]!'id22?req?CERN_STK_SMART_USD_~/'</f>
        <v>0</v>
      </c>
      <c r="L164" s="6" t="str">
        <f>[9]!id22?orderTypes</f>
        <v>ACTIVETIM,ADJUST,ALERT,ALGO,ALLOC,AON,AVGCOST,BASKET,COND,CONDORDER,DARKONLY,DARKPOLL,DAY,DEACT,DEACTDIS,DEACTEOD,DIS,GAT,GTC,GTD,GTT,HID,IBKRATS,ICE,IMB,IOC,LIT,LMT,LOC,MIT,MKT,MOC,MTL,NGCOMB,NODARK,NONALGO,OCA,OPG,OPGREROUT,PEGBENCH,POSTONLY,PREOPGRTH,R</v>
      </c>
      <c r="M164" s="6" t="str">
        <f>[9]!id22?validExchanges</f>
        <v>SMART,CBOE,ISE,CHX,ARCA,ISLAND,VWAP,DRCTEDGE,NSX,BEX,BATS,EDGEA,CSFBALGO,JEFFALGO,BYX,IEX,TPLUS2,PSX</v>
      </c>
      <c r="N164" s="6">
        <f>[9]!id22?conid</f>
        <v>267475</v>
      </c>
      <c r="O164" s="6">
        <f>[9]!id22?minTick</f>
        <v>0.01</v>
      </c>
      <c r="P164" s="6">
        <f>[9]!id22?multiplier</f>
        <v>0</v>
      </c>
      <c r="Q164" s="6" t="str">
        <f>[9]!id22?marketName</f>
        <v>NMS</v>
      </c>
      <c r="R164" s="6" t="str">
        <f>[9]!id22?tradingClass</f>
        <v>NMS</v>
      </c>
    </row>
    <row r="165" spans="1:18" customFormat="1" hidden="1" x14ac:dyDescent="0.2">
      <c r="A165" s="176" t="s">
        <v>887</v>
      </c>
      <c r="B165" s="13" t="s">
        <v>12</v>
      </c>
      <c r="C165" s="13" t="b">
        <f t="shared" si="1"/>
        <v>1</v>
      </c>
      <c r="D165" s="13"/>
      <c r="E165" s="63"/>
      <c r="F165" s="13"/>
      <c r="G165" s="13"/>
      <c r="H165" s="13" t="s">
        <v>68</v>
      </c>
      <c r="I165" s="101" t="s">
        <v>44</v>
      </c>
      <c r="J165" s="101"/>
      <c r="K165" s="6">
        <f>[9]!'id23?req?JPM_STK_SMART_USD_~/'</f>
        <v>0</v>
      </c>
      <c r="L165" s="6" t="str">
        <f>[9]!id23?orderTypes</f>
        <v>ACTIVETIM,ADJUST,ALERT,ALGO,ALLOC,AON,AVGCOST,BASKET,COND,CONDORDER,DARKONLY,DARKPOLL,DAY,DEACT,DEACTDIS,DEACTEOD,DIS,GAT,GTC,GTD,GTT,HID,IBKRATS,ICE,IMB,IOC,LIT,LMT,LOC,MIT,MKT,MOC,MTL,NGCOMB,NODARK,NONALGO,OCA,OPG,OPGREROUT,PEGBENCH,POSTONLY,PREOPGRTH,R</v>
      </c>
      <c r="M165" s="6" t="str">
        <f>[9]!id23?validExchanges</f>
        <v>SMART,NYSE,CBOE,ISE,CHX,ARCA,ISLAND,VWAP,DRCTEDGE,NSX,BEX,BATS,EDGEA,CSFBALGO,JEFFALGO,BYX,IEX,TPLUS2,PSX</v>
      </c>
      <c r="N165" s="6">
        <f>[9]!id23?conid</f>
        <v>1520593</v>
      </c>
      <c r="O165" s="6">
        <f>[9]!id23?minTick</f>
        <v>0.01</v>
      </c>
      <c r="P165" s="6">
        <f>[9]!id23?multiplier</f>
        <v>0</v>
      </c>
      <c r="Q165" s="6" t="str">
        <f>[9]!id23?marketName</f>
        <v>JPM</v>
      </c>
      <c r="R165" s="6" t="str">
        <f>[9]!id23?tradingClass</f>
        <v>JPM</v>
      </c>
    </row>
    <row r="166" spans="1:18" customFormat="1" hidden="1" x14ac:dyDescent="0.2">
      <c r="A166" s="176" t="s">
        <v>888</v>
      </c>
      <c r="B166" s="13" t="s">
        <v>12</v>
      </c>
      <c r="C166" s="13" t="b">
        <f t="shared" si="1"/>
        <v>1</v>
      </c>
      <c r="D166" s="13"/>
      <c r="E166" s="63"/>
      <c r="F166" s="13"/>
      <c r="G166" s="13"/>
      <c r="H166" s="13" t="s">
        <v>68</v>
      </c>
      <c r="I166" s="101" t="s">
        <v>44</v>
      </c>
      <c r="J166" s="101"/>
      <c r="K166" s="6">
        <f>[9]!'id24?req?CHD_STK_SMART_USD_~/'</f>
        <v>0</v>
      </c>
      <c r="L166" s="6" t="str">
        <f>[9]!id24?orderTypes</f>
        <v>ACTIVETIM,ADJUST,ALERT,ALGO,ALLOC,AON,AVGCOST,BASKET,COND,CONDORDER,DARKONLY,DARKPOLL,DAY,DEACT,DEACTDIS,DEACTEOD,DIS,GAT,GTC,GTD,GTT,HID,IBKRATS,ICE,IMB,IOC,LIT,LMT,LOC,MIT,MKT,MOC,MTL,NGCOMB,NODARK,NONALGO,OCA,OPG,OPGREROUT,PEGBENCH,POSTONLY,PREOPGRTH,R</v>
      </c>
      <c r="M166" s="6" t="str">
        <f>[9]!id24?validExchanges</f>
        <v>SMART,NYSE,CBOE,ISE,CHX,ARCA,ISLAND,DRCTEDGE,NSX,BEX,BATS,EDGEA,CSFBALGO,JEFFALGO,BYX,IEX,TPLUS2,PSX</v>
      </c>
      <c r="N166" s="6">
        <f>[9]!id24?conid</f>
        <v>5651</v>
      </c>
      <c r="O166" s="6">
        <f>[9]!id24?minTick</f>
        <v>0.01</v>
      </c>
      <c r="P166" s="6">
        <f>[9]!id24?multiplier</f>
        <v>0</v>
      </c>
      <c r="Q166" s="6" t="str">
        <f>[9]!id24?marketName</f>
        <v>CHD</v>
      </c>
      <c r="R166" s="6" t="str">
        <f>[9]!id24?tradingClass</f>
        <v>CHD</v>
      </c>
    </row>
    <row r="167" spans="1:18" customFormat="1" hidden="1" x14ac:dyDescent="0.2">
      <c r="A167" s="176" t="s">
        <v>889</v>
      </c>
      <c r="B167" s="13" t="s">
        <v>12</v>
      </c>
      <c r="C167" s="13" t="b">
        <f t="shared" si="1"/>
        <v>1</v>
      </c>
      <c r="D167" s="13"/>
      <c r="E167" s="63"/>
      <c r="F167" s="13"/>
      <c r="G167" s="13"/>
      <c r="H167" s="13" t="s">
        <v>68</v>
      </c>
      <c r="I167" s="101" t="s">
        <v>44</v>
      </c>
      <c r="J167" s="101"/>
      <c r="K167" s="6">
        <f>[9]!'id25?req?CI_STK_SMART_USD_~/'</f>
        <v>0</v>
      </c>
      <c r="L167" s="6" t="str">
        <f>[9]!id25?orderTypes</f>
        <v>ACTIVETIM,ADJUST,ALERT,ALGO,ALLOC,AON,AVGCOST,BASKET,COND,CONDORDER,DARKONLY,DARKPOLL,DAY,DEACT,DEACTDIS,DEACTEOD,DIS,GAT,GTC,GTD,GTT,HID,IBKRATS,ICE,IMB,IOC,LIT,LMT,LOC,MIT,MKT,MOC,MTL,NGCOMB,NODARK,NONALGO,OCA,OPG,OPGREROUT,PEGBENCH,POSTONLY,PREOPGRTH,R</v>
      </c>
      <c r="M167" s="6" t="str">
        <f>[9]!id25?validExchanges</f>
        <v>SMART,NYSE,CBOE,ISE,CHX,ARCA,ISLAND,VWAP,DRCTEDGE,NSX,BEX,BATS,EDGEA,CSFBALGO,JEFFALGO,BYX,IEX,TPLUS2,PSX</v>
      </c>
      <c r="N167" s="6">
        <f>[9]!id25?conid</f>
        <v>5702</v>
      </c>
      <c r="O167" s="6">
        <f>[9]!id25?minTick</f>
        <v>0.01</v>
      </c>
      <c r="P167" s="6">
        <f>[9]!id25?multiplier</f>
        <v>0</v>
      </c>
      <c r="Q167" s="6" t="str">
        <f>[9]!id25?marketName</f>
        <v>CI</v>
      </c>
      <c r="R167" s="6" t="str">
        <f>[9]!id25?tradingClass</f>
        <v>CI</v>
      </c>
    </row>
    <row r="168" spans="1:18" customFormat="1" hidden="1" x14ac:dyDescent="0.2">
      <c r="A168" s="176" t="s">
        <v>890</v>
      </c>
      <c r="B168" s="13" t="s">
        <v>12</v>
      </c>
      <c r="C168" s="13" t="b">
        <f t="shared" si="1"/>
        <v>0</v>
      </c>
      <c r="D168" s="13"/>
      <c r="E168" s="63"/>
      <c r="F168" s="13"/>
      <c r="G168" s="13"/>
      <c r="H168" s="13" t="s">
        <v>68</v>
      </c>
      <c r="I168" s="101" t="s">
        <v>44</v>
      </c>
      <c r="J168" s="101"/>
      <c r="K168" s="6">
        <f>[9]!'id26?req?CINF_STK_SMART_USD_~/'</f>
        <v>0</v>
      </c>
      <c r="L168" s="6" t="str">
        <f>[9]!id26?orderTypes</f>
        <v>ACTIVETIM,ADJUST,ALERT,ALGO,ALLOC,AON,AVGCOST,BASKET,COND,CONDORDER,DARKONLY,DARKPOLL,DAY,DEACT,DEACTDIS,DEACTEOD,DIS,GAT,GTC,GTD,GTT,HID,IBKRATS,ICE,IMB,IOC,LIT,LMT,LOC,MIT,MKT,MOC,MTL,NGCOMB,NODARK,NONALGO,OCA,OPG,OPGREROUT,PEGBENCH,POSTONLY,PREOPGRTH,R</v>
      </c>
      <c r="M168" s="6" t="str">
        <f>[9]!id26?validExchanges</f>
        <v>SMART,CBOE,ISE,CHX,ARCA,ISLAND,VWAP,DRCTEDGE,NSX,BEX,BATS,EDGEA,CSFBALGO,JEFFALGO,BYX,IEX,TPLUS2,PSX</v>
      </c>
      <c r="N168" s="6">
        <f>[9]!id26?conid</f>
        <v>267661</v>
      </c>
      <c r="O168" s="6">
        <f>[9]!id26?minTick</f>
        <v>0.01</v>
      </c>
      <c r="P168" s="6">
        <f>[9]!id26?multiplier</f>
        <v>0</v>
      </c>
      <c r="Q168" s="6" t="str">
        <f>[9]!id26?marketName</f>
        <v>NMS</v>
      </c>
      <c r="R168" s="6" t="str">
        <f>[9]!id26?tradingClass</f>
        <v>NMS</v>
      </c>
    </row>
    <row r="169" spans="1:18" customFormat="1" hidden="1" x14ac:dyDescent="0.2">
      <c r="A169" s="176" t="s">
        <v>891</v>
      </c>
      <c r="B169" s="13" t="s">
        <v>12</v>
      </c>
      <c r="C169" s="13" t="b">
        <f t="shared" si="1"/>
        <v>0</v>
      </c>
      <c r="D169" s="13"/>
      <c r="E169" s="63"/>
      <c r="F169" s="13"/>
      <c r="G169" s="13"/>
      <c r="H169" s="13" t="s">
        <v>68</v>
      </c>
      <c r="I169" s="101" t="s">
        <v>44</v>
      </c>
      <c r="J169" s="101"/>
      <c r="K169" s="6">
        <f>[9]!'id27?req?CTAS_STK_SMART_USD_~/'</f>
        <v>0</v>
      </c>
      <c r="L169" s="6" t="str">
        <f>[9]!id27?orderTypes</f>
        <v>ACTIVETIM,ADJUST,ALERT,ALGO,ALLOC,AON,AVGCOST,BASKET,COND,CONDORDER,DARKONLY,DARKPOLL,DAY,DEACT,DEACTDIS,DEACTEOD,DIS,GAT,GTC,GTD,GTT,HID,IBKRATS,ICE,IMB,IOC,LIT,LMT,LOC,MIT,MKT,MOC,MTL,NGCOMB,NODARK,NONALGO,OCA,OPG,OPGREROUT,PEGBENCH,POSTONLY,PREOPGRTH,R</v>
      </c>
      <c r="M169" s="6" t="str">
        <f>[9]!id27?validExchanges</f>
        <v>SMART,CBOE,ISE,CHX,ARCA,ISLAND,VWAP,DRCTEDGE,NSX,BEX,BATS,EDGEA,CSFBALGO,JEFFALGO,BYX,IEX,TPLUS2,PSX</v>
      </c>
      <c r="N169" s="6">
        <f>[9]!id27?conid</f>
        <v>268149</v>
      </c>
      <c r="O169" s="6">
        <f>[9]!id27?minTick</f>
        <v>0.01</v>
      </c>
      <c r="P169" s="6">
        <f>[9]!id27?multiplier</f>
        <v>0</v>
      </c>
      <c r="Q169" s="6" t="str">
        <f>[9]!id27?marketName</f>
        <v>NMS</v>
      </c>
      <c r="R169" s="6" t="str">
        <f>[9]!id27?tradingClass</f>
        <v>NMS</v>
      </c>
    </row>
    <row r="170" spans="1:18" customFormat="1" hidden="1" x14ac:dyDescent="0.2">
      <c r="A170" s="176" t="s">
        <v>892</v>
      </c>
      <c r="B170" s="13" t="s">
        <v>12</v>
      </c>
      <c r="C170" s="13" t="b">
        <f t="shared" si="1"/>
        <v>0</v>
      </c>
      <c r="D170" s="13"/>
      <c r="E170" s="63"/>
      <c r="F170" s="13"/>
      <c r="G170" s="13"/>
      <c r="H170" s="13" t="s">
        <v>68</v>
      </c>
      <c r="I170" s="101" t="s">
        <v>44</v>
      </c>
      <c r="J170" s="101"/>
      <c r="K170" s="6">
        <f>[9]!'id28?req?FTR_STK_SMART_USD_~/'</f>
        <v>0</v>
      </c>
      <c r="L170" s="6" t="str">
        <f>[9]!id28?orderTypes</f>
        <v>ACTIVETIM,ADJUST,ALERT,ALGO,ALLOC,AON,AVGCOST,BASKET,COND,CONDORDER,DARKONLY,DARKPOLL,DAY,DEACT,DEACTDIS,DEACTEOD,DIS,GAT,GTC,GTD,GTT,HID,IBKRATS,ICE,IMB,IOC,LIT,LMT,LOC,MIT,MKT,MOC,MTL,NGCOMB,NODARK,NONALGO,OCA,OPG,OPGREROUT,PEGBENCH,POSTONLY,PREOPGRTH,R</v>
      </c>
      <c r="M170" s="6" t="str">
        <f>[9]!id28?validExchanges</f>
        <v>SMART,CBOE,ISE,CHX,ARCA,ISLAND,DRCTEDGE,NSX,BEX,BATS,EDGEA,CSFBALGO,JEFFALGO,BYX,IEX,TPLUS2,PSX</v>
      </c>
      <c r="N170" s="6">
        <f>[9]!id28?conid</f>
        <v>51575076</v>
      </c>
      <c r="O170" s="6">
        <f>[9]!id28?minTick</f>
        <v>0.01</v>
      </c>
      <c r="P170" s="6">
        <f>[9]!id28?multiplier</f>
        <v>0</v>
      </c>
      <c r="Q170" s="6" t="str">
        <f>[9]!id28?marketName</f>
        <v>NMS</v>
      </c>
      <c r="R170" s="6" t="str">
        <f>[9]!id28?tradingClass</f>
        <v>NMS</v>
      </c>
    </row>
    <row r="171" spans="1:18" customFormat="1" hidden="1" x14ac:dyDescent="0.2">
      <c r="A171" s="176" t="s">
        <v>563</v>
      </c>
      <c r="B171" s="13" t="s">
        <v>12</v>
      </c>
      <c r="C171" s="13" t="b">
        <f t="shared" si="1"/>
        <v>0</v>
      </c>
      <c r="D171" s="13"/>
      <c r="E171" s="63"/>
      <c r="F171" s="13"/>
      <c r="G171" s="13"/>
      <c r="H171" s="13" t="s">
        <v>68</v>
      </c>
      <c r="I171" s="101" t="s">
        <v>44</v>
      </c>
      <c r="J171" s="101"/>
      <c r="K171" s="6">
        <f>[9]!'id29?req?CSCO_STK_SMART_USD_~/'</f>
        <v>0</v>
      </c>
      <c r="L171" s="6" t="str">
        <f>[9]!id29?orderTypes</f>
        <v>ACTIVETIM,ADJUST,ALERT,ALGO,ALLOC,AON,AVGCOST,BASKET,COND,CONDORDER,DARKONLY,DARKPOLL,DAY,DEACT,DEACTDIS,DEACTEOD,DIS,GAT,GTC,GTD,GTT,HID,IBKRATS,ICE,IMB,IOC,LIT,LMT,LOC,MIT,MKT,MOC,MTL,NGCOMB,NODARK,NONALGO,OCA,OPG,OPGREROUT,PEGBENCH,POSTONLY,PREOPGRTH,R</v>
      </c>
      <c r="M171" s="6" t="str">
        <f>[9]!id29?validExchanges</f>
        <v>SMART,CBOE,ISE,CHX,ARCA,ISLAND,VWAP,DRCTEDGE,NSX,BEX,BATS,EDGEA,CSFBALGO,JEFFALGO,BYX,IEX,TPLUS2,PSX</v>
      </c>
      <c r="N171" s="6">
        <f>[9]!id29?conid</f>
        <v>268084</v>
      </c>
      <c r="O171" s="6">
        <f>[9]!id29?minTick</f>
        <v>0.01</v>
      </c>
      <c r="P171" s="6">
        <f>[9]!id29?multiplier</f>
        <v>0</v>
      </c>
      <c r="Q171" s="6" t="str">
        <f>[9]!id29?marketName</f>
        <v>NMS</v>
      </c>
      <c r="R171" s="6" t="str">
        <f>[9]!id29?tradingClass</f>
        <v>NMS</v>
      </c>
    </row>
    <row r="172" spans="1:18" customFormat="1" hidden="1" x14ac:dyDescent="0.2">
      <c r="A172" s="176" t="s">
        <v>893</v>
      </c>
      <c r="B172" s="13" t="s">
        <v>12</v>
      </c>
      <c r="C172" s="13" t="b">
        <f t="shared" si="1"/>
        <v>1</v>
      </c>
      <c r="D172" s="13"/>
      <c r="E172" s="63"/>
      <c r="F172" s="13"/>
      <c r="G172" s="13"/>
      <c r="H172" s="13" t="s">
        <v>68</v>
      </c>
      <c r="I172" s="101" t="s">
        <v>44</v>
      </c>
      <c r="J172" s="101"/>
      <c r="K172" s="6">
        <f>[9]!'id30?req?CLX_STK_SMART_USD_~/'</f>
        <v>0</v>
      </c>
      <c r="L172" s="6" t="str">
        <f>[9]!id30?orderTypes</f>
        <v>ACTIVETIM,ADJUST,ALERT,ALGO,ALLOC,AON,AVGCOST,BASKET,COND,CONDORDER,DARKONLY,DARKPOLL,DAY,DEACT,DEACTDIS,DEACTEOD,DIS,GAT,GTC,GTD,GTT,HID,IBKRATS,ICE,IMB,IOC,LIT,LMT,LOC,MIT,MKT,MOC,MTL,NGCOMB,NODARK,NONALGO,OCA,OPG,OPGREROUT,PEGBENCH,POSTONLY,PREOPGRTH,R</v>
      </c>
      <c r="M172" s="6" t="str">
        <f>[9]!id30?validExchanges</f>
        <v>SMART,NYSE,CBOE,ISE,CHX,ARCA,ISLAND,VWAP,DRCTEDGE,NSX,BEX,BATS,EDGEA,CSFBALGO,JEFFALGO,BYX,IEX,TPLUS2,PSX</v>
      </c>
      <c r="N172" s="6">
        <f>[9]!id30?conid</f>
        <v>5794</v>
      </c>
      <c r="O172" s="6">
        <f>[9]!id30?minTick</f>
        <v>0.01</v>
      </c>
      <c r="P172" s="6">
        <f>[9]!id30?multiplier</f>
        <v>0</v>
      </c>
      <c r="Q172" s="6" t="str">
        <f>[9]!id30?marketName</f>
        <v>CLX</v>
      </c>
      <c r="R172" s="6" t="str">
        <f>[9]!id30?tradingClass</f>
        <v>CLX</v>
      </c>
    </row>
    <row r="173" spans="1:18" customFormat="1" hidden="1" x14ac:dyDescent="0.2">
      <c r="A173" s="176" t="s">
        <v>894</v>
      </c>
      <c r="B173" s="13" t="s">
        <v>12</v>
      </c>
      <c r="C173" s="13" t="b">
        <f t="shared" si="1"/>
        <v>1</v>
      </c>
      <c r="D173" s="13"/>
      <c r="E173" s="63"/>
      <c r="F173" s="13"/>
      <c r="G173" s="13"/>
      <c r="H173" s="13" t="s">
        <v>68</v>
      </c>
      <c r="I173" s="101" t="s">
        <v>44</v>
      </c>
      <c r="J173" s="101"/>
      <c r="K173" s="6">
        <f>[9]!'id31?req?KO_STK_SMART_USD_~/'</f>
        <v>0</v>
      </c>
      <c r="L173" s="6" t="str">
        <f>[9]!id31?orderTypes</f>
        <v>ACTIVETIM,ADJUST,ALERT,ALGO,ALLOC,AON,AVGCOST,BASKET,COND,CONDORDER,DARKONLY,DARKPOLL,DAY,DEACT,DEACTDIS,DEACTEOD,DIS,GAT,GTC,GTD,GTT,HID,IBKRATS,ICE,IMB,IOC,LIT,LMT,LOC,MIT,MKT,MOC,MTL,NGCOMB,NODARK,NONALGO,OCA,OPG,OPGREROUT,PEGBENCH,POSTONLY,PREOPGRTH,R</v>
      </c>
      <c r="M173" s="6" t="str">
        <f>[9]!id31?validExchanges</f>
        <v>SMART,NYSE,CBOE,ISE,CHX,ARCA,ISLAND,VWAP,DRCTEDGE,NSX,BEX,BATS,EDGEA,CSFBALGO,JEFFALGO,BYX,IEX,TPLUS2,PSX</v>
      </c>
      <c r="N173" s="6">
        <f>[9]!id31?conid</f>
        <v>8894</v>
      </c>
      <c r="O173" s="6">
        <f>[9]!id31?minTick</f>
        <v>0.01</v>
      </c>
      <c r="P173" s="6">
        <f>[9]!id31?multiplier</f>
        <v>0</v>
      </c>
      <c r="Q173" s="6" t="str">
        <f>[9]!id31?marketName</f>
        <v>KO</v>
      </c>
      <c r="R173" s="6" t="str">
        <f>[9]!id31?tradingClass</f>
        <v>KO</v>
      </c>
    </row>
    <row r="174" spans="1:18" customFormat="1" hidden="1" x14ac:dyDescent="0.2">
      <c r="A174" s="176" t="s">
        <v>895</v>
      </c>
      <c r="B174" s="13" t="s">
        <v>12</v>
      </c>
      <c r="C174" s="13" t="b">
        <f t="shared" si="1"/>
        <v>1</v>
      </c>
      <c r="D174" s="13"/>
      <c r="E174" s="63"/>
      <c r="F174" s="13"/>
      <c r="G174" s="13"/>
      <c r="H174" s="13" t="s">
        <v>68</v>
      </c>
      <c r="I174" s="101" t="s">
        <v>44</v>
      </c>
      <c r="J174" s="101"/>
      <c r="K174" s="6">
        <f>[9]!'id32?req?CL_STK_SMART_USD_~/'</f>
        <v>0</v>
      </c>
      <c r="L174" s="6" t="str">
        <f>[9]!id32?orderTypes</f>
        <v>ACTIVETIM,ADJUST,ALERT,ALGO,ALLOC,AON,AVGCOST,BASKET,COND,CONDORDER,DARKONLY,DARKPOLL,DAY,DEACT,DEACTDIS,DEACTEOD,DIS,GAT,GTC,GTD,GTT,HID,IBKRATS,ICE,IMB,IOC,LIT,LMT,LOC,MIT,MKT,MOC,MTL,NGCOMB,NODARK,NONALGO,OCA,OPG,OPGREROUT,PEGBENCH,POSTONLY,PREOPGRTH,R</v>
      </c>
      <c r="M174" s="6" t="str">
        <f>[9]!id32?validExchanges</f>
        <v>SMART,NYSE,CBOE,ISE,CHX,ARCA,ISLAND,VWAP,DRCTEDGE,NSX,BEX,BATS,EDGEA,CSFBALGO,JEFFALGO,BYX,IEX,TPLUS2,PSX</v>
      </c>
      <c r="N174" s="6">
        <f>[9]!id32?conid</f>
        <v>5749</v>
      </c>
      <c r="O174" s="6">
        <f>[9]!id32?minTick</f>
        <v>0.01</v>
      </c>
      <c r="P174" s="6">
        <f>[9]!id32?multiplier</f>
        <v>0</v>
      </c>
      <c r="Q174" s="6" t="str">
        <f>[9]!id32?marketName</f>
        <v>CL</v>
      </c>
      <c r="R174" s="6" t="str">
        <f>[9]!id32?tradingClass</f>
        <v>CL</v>
      </c>
    </row>
    <row r="175" spans="1:18" customFormat="1" hidden="1" x14ac:dyDescent="0.2">
      <c r="A175" s="176" t="s">
        <v>896</v>
      </c>
      <c r="B175" s="13" t="s">
        <v>12</v>
      </c>
      <c r="C175" s="13" t="b">
        <f t="shared" si="1"/>
        <v>0</v>
      </c>
      <c r="D175" s="13"/>
      <c r="E175" s="63"/>
      <c r="F175" s="13"/>
      <c r="G175" s="13"/>
      <c r="H175" s="13" t="s">
        <v>68</v>
      </c>
      <c r="I175" s="101" t="s">
        <v>44</v>
      </c>
      <c r="J175" s="101"/>
      <c r="K175" s="6">
        <f>[9]!'id33?req?MAR_STK_SMART_USD_~/'</f>
        <v>0</v>
      </c>
      <c r="L175" s="6" t="str">
        <f>[9]!id33?orderTypes</f>
        <v>ACTIVETIM,ADJUST,ALERT,ALGO,ALLOC,AON,AVGCOST,BASKET,COND,CONDORDER,DARKONLY,DARKPOLL,DAY,DEACT,DEACTDIS,DEACTEOD,DIS,GAT,GTC,GTD,GTT,HID,IBKRATS,ICE,IMB,IOC,LIT,LMT,LOC,MIT,MKT,MOC,MTL,NGCOMB,NODARK,NONALGO,OCA,OPG,OPGREROUT,PEGBENCH,POSTONLY,PREOPGRTH,R</v>
      </c>
      <c r="M175" s="6" t="str">
        <f>[9]!id33?validExchanges</f>
        <v>SMART,CBOE,ISE,CHX,ARCA,ISLAND,VWAP,DRCTEDGE,NSX,BEX,BATS,EDGEA,CSFBALGO,JEFFALGO,BYX,IEX,TPLUS2,PSX</v>
      </c>
      <c r="N175" s="6">
        <f>[9]!id33?conid</f>
        <v>9358</v>
      </c>
      <c r="O175" s="6">
        <f>[9]!id33?minTick</f>
        <v>0.01</v>
      </c>
      <c r="P175" s="6">
        <f>[9]!id33?multiplier</f>
        <v>0</v>
      </c>
      <c r="Q175" s="6" t="str">
        <f>[9]!id33?marketName</f>
        <v>NMS</v>
      </c>
      <c r="R175" s="6" t="str">
        <f>[9]!id33?tradingClass</f>
        <v>NMS</v>
      </c>
    </row>
    <row r="176" spans="1:18" customFormat="1" hidden="1" x14ac:dyDescent="0.2">
      <c r="A176" s="176" t="s">
        <v>897</v>
      </c>
      <c r="B176" s="13" t="s">
        <v>12</v>
      </c>
      <c r="C176" s="13" t="b">
        <f t="shared" si="1"/>
        <v>1</v>
      </c>
      <c r="D176" s="13"/>
      <c r="E176" s="63"/>
      <c r="F176" s="13"/>
      <c r="G176" s="13"/>
      <c r="H176" s="13" t="s">
        <v>68</v>
      </c>
      <c r="I176" s="101" t="s">
        <v>44</v>
      </c>
      <c r="J176" s="101"/>
      <c r="K176" s="6">
        <f>[9]!'id34?req?CMA_STK_SMART_USD_~/'</f>
        <v>0</v>
      </c>
      <c r="L176" s="6" t="str">
        <f>[9]!id34?orderTypes</f>
        <v>ACTIVETIM,ADJUST,ALERT,ALGO,ALLOC,AON,AVGCOST,BASKET,COND,CONDORDER,DARKONLY,DARKPOLL,DAY,DEACT,DEACTDIS,DEACTEOD,DIS,GAT,GTC,GTD,GTT,HID,IBKRATS,ICE,IMB,IOC,LIT,LMT,LOC,MIT,MKT,MOC,MTL,NGCOMB,NODARK,NONALGO,OCA,OPG,OPGREROUT,PEGBENCH,POSTONLY,PREOPGRTH,R</v>
      </c>
      <c r="M176" s="6" t="str">
        <f>[9]!id34?validExchanges</f>
        <v>SMART,NYSE,CBOE,ISE,CHX,ARCA,ISLAND,VWAP,DRCTEDGE,NSX,BEX,BATS,EDGEA,CSFBALGO,JEFFALGO,BYX,IEX,TPLUS2,PSX</v>
      </c>
      <c r="N176" s="6">
        <f>[9]!id34?conid</f>
        <v>5800</v>
      </c>
      <c r="O176" s="6">
        <f>[9]!id34?minTick</f>
        <v>0.01</v>
      </c>
      <c r="P176" s="6">
        <f>[9]!id34?multiplier</f>
        <v>0</v>
      </c>
      <c r="Q176" s="6" t="str">
        <f>[9]!id34?marketName</f>
        <v>CMA</v>
      </c>
      <c r="R176" s="6" t="str">
        <f>[9]!id34?tradingClass</f>
        <v>CMA</v>
      </c>
    </row>
    <row r="177" spans="1:18" customFormat="1" hidden="1" x14ac:dyDescent="0.2">
      <c r="A177" s="176" t="s">
        <v>898</v>
      </c>
      <c r="B177" s="13" t="s">
        <v>12</v>
      </c>
      <c r="C177" s="13" t="b">
        <f t="shared" si="1"/>
        <v>1</v>
      </c>
      <c r="D177" s="13"/>
      <c r="E177" s="63"/>
      <c r="F177" s="13"/>
      <c r="G177" s="13"/>
      <c r="H177" s="13" t="s">
        <v>68</v>
      </c>
      <c r="I177" s="101" t="s">
        <v>44</v>
      </c>
      <c r="J177" s="101"/>
      <c r="K177" s="6">
        <f>[9]!'id35?req?NRG_STK_SMART_USD_~/'</f>
        <v>0</v>
      </c>
      <c r="L177" s="6" t="str">
        <f>[9]!id35?orderTypes</f>
        <v>ACTIVETIM,ADJUST,ALERT,ALGO,ALLOC,AON,AVGCOST,BASKET,COND,CONDORDER,DARKONLY,DARKPOLL,DAY,DEACT,DEACTDIS,DEACTEOD,DIS,GAT,GTC,GTD,GTT,HID,IBKRATS,ICE,IMB,IOC,LIT,LMT,LOC,MIT,MKT,MOC,MTL,NGCOMB,NODARK,NONALGO,OCA,OPG,OPGREROUT,PEGBENCH,POSTONLY,PREOPGRTH,R</v>
      </c>
      <c r="M177" s="6" t="str">
        <f>[9]!id35?validExchanges</f>
        <v>SMART,NYSE,CBOE,ISE,CHX,ARCA,ISLAND,DRCTEDGE,NSX,BEX,BATS,EDGEA,CSFBALGO,JEFFALGO,BYX,IEX,TPLUS2,PSX</v>
      </c>
      <c r="N177" s="6">
        <f>[9]!id35?conid</f>
        <v>10188791</v>
      </c>
      <c r="O177" s="6">
        <f>[9]!id35?minTick</f>
        <v>0.01</v>
      </c>
      <c r="P177" s="6">
        <f>[9]!id35?multiplier</f>
        <v>0</v>
      </c>
      <c r="Q177" s="6" t="str">
        <f>[9]!id35?marketName</f>
        <v>NRG</v>
      </c>
      <c r="R177" s="6" t="str">
        <f>[9]!id35?tradingClass</f>
        <v>NRG</v>
      </c>
    </row>
    <row r="178" spans="1:18" customFormat="1" hidden="1" x14ac:dyDescent="0.2">
      <c r="A178" s="176" t="s">
        <v>899</v>
      </c>
      <c r="B178" s="13" t="s">
        <v>12</v>
      </c>
      <c r="C178" s="13" t="b">
        <f t="shared" si="1"/>
        <v>0</v>
      </c>
      <c r="D178" s="13"/>
      <c r="E178" s="63"/>
      <c r="F178" s="13"/>
      <c r="G178" s="13"/>
      <c r="H178" s="13" t="s">
        <v>68</v>
      </c>
      <c r="I178" s="101" t="s">
        <v>44</v>
      </c>
      <c r="J178" s="101"/>
      <c r="K178" s="6">
        <f>[9]!'id36?req?CA_STK_SMART_USD_~/'</f>
        <v>0</v>
      </c>
      <c r="L178" s="6" t="str">
        <f>[9]!id36?orderTypes</f>
        <v>ACTIVETIM,ADJUST,ALERT,ALGO,ALLOC,AON,AVGCOST,BASKET,COND,CONDORDER,DARKONLY,DARKPOLL,DAY,DEACT,DEACTDIS,DEACTEOD,DIS,GAT,GTC,GTD,GTT,HID,IBKRATS,ICE,IMB,IOC,LIT,LMT,LOC,MIT,MKT,MOC,MTL,NGCOMB,NODARK,NONALGO,OCA,OPG,OPGREROUT,PEGBENCH,POSTONLY,PREOPGRTH,R</v>
      </c>
      <c r="M178" s="6" t="str">
        <f>[9]!id36?validExchanges</f>
        <v>SMART,CBOE,ISE,CHX,ARCA,ISLAND,VWAP,DRCTEDGE,NSX,BEX,BATS,EDGEA,CSFBALGO,JEFFALGO,BYX,IEX,TPLUS2,PSX</v>
      </c>
      <c r="N178" s="6">
        <f>[9]!id36?conid</f>
        <v>37875225</v>
      </c>
      <c r="O178" s="6">
        <f>[9]!id36?minTick</f>
        <v>0.01</v>
      </c>
      <c r="P178" s="6">
        <f>[9]!id36?multiplier</f>
        <v>0</v>
      </c>
      <c r="Q178" s="6" t="str">
        <f>[9]!id36?marketName</f>
        <v>NMS</v>
      </c>
      <c r="R178" s="6" t="str">
        <f>[9]!id36?tradingClass</f>
        <v>NMS</v>
      </c>
    </row>
    <row r="179" spans="1:18" customFormat="1" hidden="1" x14ac:dyDescent="0.2">
      <c r="A179" s="176" t="s">
        <v>900</v>
      </c>
      <c r="B179" s="13" t="s">
        <v>12</v>
      </c>
      <c r="C179" s="13" t="b">
        <f t="shared" si="1"/>
        <v>1</v>
      </c>
      <c r="D179" s="13"/>
      <c r="E179" s="63"/>
      <c r="F179" s="13"/>
      <c r="G179" s="13"/>
      <c r="H179" s="13" t="s">
        <v>68</v>
      </c>
      <c r="I179" s="101" t="s">
        <v>44</v>
      </c>
      <c r="J179" s="101"/>
      <c r="K179" s="6">
        <f>[9]!'id37?req?CAG_STK_SMART_USD_~/'</f>
        <v>0</v>
      </c>
      <c r="L179" s="6" t="str">
        <f>[9]!id37?orderTypes</f>
        <v>ACTIVETIM,ADJUST,ALERT,ALGO,ALLOC,AON,AVGCOST,BASKET,COND,CONDORDER,DARKONLY,DARKPOLL,DAY,DEACT,DEACTDIS,DEACTEOD,DIS,GAT,GTC,GTD,GTT,HID,IBKRATS,ICE,IMB,IOC,LIT,LMT,LOC,MIT,MKT,MOC,MTL,NGCOMB,NODARK,NONALGO,OCA,OPG,OPGREROUT,PEGBENCH,POSTONLY,PREOPGRTH,R</v>
      </c>
      <c r="M179" s="6" t="str">
        <f>[9]!id37?validExchanges</f>
        <v>SMART,NYSE,CBOE,ISE,CHX,ARCA,ISLAND,VWAP,DRCTEDGE,NSX,BEX,BATS,EDGEA,CSFBALGO,JEFFALGO,BYX,IEX,TPLUS2,PSX</v>
      </c>
      <c r="N179" s="6">
        <f>[9]!id37?conid</f>
        <v>5402</v>
      </c>
      <c r="O179" s="6">
        <f>[9]!id37?minTick</f>
        <v>0.01</v>
      </c>
      <c r="P179" s="6">
        <f>[9]!id37?multiplier</f>
        <v>0</v>
      </c>
      <c r="Q179" s="6" t="str">
        <f>[9]!id37?marketName</f>
        <v>CAG</v>
      </c>
      <c r="R179" s="6" t="str">
        <f>[9]!id37?tradingClass</f>
        <v>CAG</v>
      </c>
    </row>
    <row r="180" spans="1:18" customFormat="1" hidden="1" x14ac:dyDescent="0.2">
      <c r="A180" s="176" t="s">
        <v>901</v>
      </c>
      <c r="B180" s="13" t="s">
        <v>12</v>
      </c>
      <c r="C180" s="13" t="b">
        <f t="shared" si="1"/>
        <v>1</v>
      </c>
      <c r="D180" s="13"/>
      <c r="E180" s="63"/>
      <c r="F180" s="13"/>
      <c r="G180" s="13"/>
      <c r="H180" s="13" t="s">
        <v>68</v>
      </c>
      <c r="I180" s="101" t="s">
        <v>44</v>
      </c>
      <c r="J180" s="101"/>
      <c r="K180" s="6">
        <f>[9]!'id38?req?ED_STK_SMART_USD_~/'</f>
        <v>0</v>
      </c>
      <c r="L180" s="6" t="str">
        <f>[9]!id38?orderTypes</f>
        <v>ACTIVETIM,ADJUST,ALERT,ALGO,ALLOC,AON,AVGCOST,BASKET,COND,CONDORDER,DARKONLY,DARKPOLL,DAY,DEACT,DEACTDIS,DEACTEOD,DIS,GAT,GTC,GTD,GTT,HID,IBKRATS,ICE,IMB,IOC,LIT,LMT,LOC,MIT,MKT,MOC,MTL,NGCOMB,NODARK,NONALGO,OCA,OPG,OPGREROUT,PEGBENCH,POSTONLY,PREOPGRTH,R</v>
      </c>
      <c r="M180" s="6" t="str">
        <f>[9]!id38?validExchanges</f>
        <v>SMART,NYSE,CBOE,ISE,CHX,ARCA,ISLAND,VWAP,DRCTEDGE,NSX,BEX,BATS,EDGEA,CSFBALGO,JEFFALGO,BYX,IEX,TPLUS2,PSX</v>
      </c>
      <c r="N180" s="6">
        <f>[9]!id38?conid</f>
        <v>6691</v>
      </c>
      <c r="O180" s="6">
        <f>[9]!id38?minTick</f>
        <v>0.01</v>
      </c>
      <c r="P180" s="6">
        <f>[9]!id38?multiplier</f>
        <v>0</v>
      </c>
      <c r="Q180" s="6" t="str">
        <f>[9]!id38?marketName</f>
        <v>ED</v>
      </c>
      <c r="R180" s="6" t="str">
        <f>[9]!id38?tradingClass</f>
        <v>ED</v>
      </c>
    </row>
    <row r="181" spans="1:18" customFormat="1" hidden="1" x14ac:dyDescent="0.2">
      <c r="A181" s="176" t="s">
        <v>902</v>
      </c>
      <c r="B181" s="13" t="s">
        <v>12</v>
      </c>
      <c r="C181" s="13" t="b">
        <f t="shared" si="1"/>
        <v>1</v>
      </c>
      <c r="D181" s="13"/>
      <c r="E181" s="63"/>
      <c r="F181" s="13"/>
      <c r="G181" s="13"/>
      <c r="H181" s="13" t="s">
        <v>68</v>
      </c>
      <c r="I181" s="101" t="s">
        <v>44</v>
      </c>
      <c r="J181" s="101"/>
      <c r="K181" s="6">
        <f>[9]!'id39?req?CMS_STK_SMART_USD_~/'</f>
        <v>0</v>
      </c>
      <c r="L181" s="6" t="str">
        <f>[9]!id39?orderTypes</f>
        <v>ACTIVETIM,ADJUST,ALERT,ALGO,ALLOC,AON,AVGCOST,BASKET,COND,CONDORDER,DARKONLY,DARKPOLL,DAY,DEACT,DEACTDIS,DEACTEOD,DIS,GAT,GTC,GTD,GTT,HID,IBKRATS,ICE,IMB,IOC,LIT,LMT,LOC,MIT,MKT,MOC,MTL,NGCOMB,NODARK,NONALGO,OCA,OPG,OPGREROUT,PEGBENCH,POSTONLY,PREOPGRTH,R</v>
      </c>
      <c r="M181" s="6" t="str">
        <f>[9]!id39?validExchanges</f>
        <v>SMART,NYSE,CBOE,ISE,CHX,ARCA,ISLAND,VWAP,DRCTEDGE,NSX,BEX,BATS,EDGEA,CSFBALGO,JEFFALGO,BYX,IEX,TPLUS2,PSX</v>
      </c>
      <c r="N181" s="6">
        <f>[9]!id39?conid</f>
        <v>5840</v>
      </c>
      <c r="O181" s="6">
        <f>[9]!id39?minTick</f>
        <v>0.01</v>
      </c>
      <c r="P181" s="6">
        <f>[9]!id39?multiplier</f>
        <v>0</v>
      </c>
      <c r="Q181" s="6" t="str">
        <f>[9]!id39?marketName</f>
        <v>CMS</v>
      </c>
      <c r="R181" s="6" t="str">
        <f>[9]!id39?tradingClass</f>
        <v>CMS</v>
      </c>
    </row>
    <row r="182" spans="1:18" customFormat="1" hidden="1" x14ac:dyDescent="0.2">
      <c r="A182" s="176" t="s">
        <v>903</v>
      </c>
      <c r="B182" s="13" t="s">
        <v>12</v>
      </c>
      <c r="C182" s="13" t="b">
        <f t="shared" si="1"/>
        <v>1</v>
      </c>
      <c r="D182" s="13"/>
      <c r="E182" s="63"/>
      <c r="F182" s="13"/>
      <c r="G182" s="13"/>
      <c r="H182" s="13" t="s">
        <v>68</v>
      </c>
      <c r="I182" s="101" t="s">
        <v>44</v>
      </c>
      <c r="J182" s="101"/>
      <c r="K182" s="6">
        <f>[9]!'id40?req?GLW_STK_SMART_USD_~/'</f>
        <v>0</v>
      </c>
      <c r="L182" s="6" t="str">
        <f>[9]!id40?orderTypes</f>
        <v>ACTIVETIM,ADJUST,ALERT,ALGO,ALLOC,AON,AVGCOST,BASKET,COND,CONDORDER,DARKONLY,DARKPOLL,DAY,DEACT,DEACTDIS,DEACTEOD,DIS,GAT,GTC,GTD,GTT,HID,IBKRATS,ICE,IMB,IOC,LIT,LMT,LOC,MIT,MKT,MOC,MTL,NGCOMB,NODARK,NONALGO,OCA,OPG,OPGREROUT,PEGBENCH,POSTONLY,PREOPGRTH,R</v>
      </c>
      <c r="M182" s="6" t="str">
        <f>[9]!id40?validExchanges</f>
        <v>SMART,NYSE,CBOE,ISE,CHX,ARCA,ISLAND,VWAP,DRCTEDGE,NSX,BEX,BATS,EDGEA,CSFBALGO,JEFFALGO,BYX,IEX,TPLUS2,PSX</v>
      </c>
      <c r="N182" s="6">
        <f>[9]!id40?conid</f>
        <v>7655</v>
      </c>
      <c r="O182" s="6">
        <f>[9]!id40?minTick</f>
        <v>0.01</v>
      </c>
      <c r="P182" s="6">
        <f>[9]!id40?multiplier</f>
        <v>0</v>
      </c>
      <c r="Q182" s="6" t="str">
        <f>[9]!id40?marketName</f>
        <v>GLW</v>
      </c>
      <c r="R182" s="6" t="str">
        <f>[9]!id40?tradingClass</f>
        <v>GLW</v>
      </c>
    </row>
    <row r="183" spans="1:18" customFormat="1" hidden="1" x14ac:dyDescent="0.2">
      <c r="A183" s="176" t="s">
        <v>904</v>
      </c>
      <c r="B183" s="13" t="s">
        <v>12</v>
      </c>
      <c r="C183" s="13" t="b">
        <f t="shared" si="1"/>
        <v>1</v>
      </c>
      <c r="D183" s="13"/>
      <c r="E183" s="63"/>
      <c r="F183" s="13"/>
      <c r="G183" s="13"/>
      <c r="H183" s="13" t="s">
        <v>68</v>
      </c>
      <c r="I183" s="101" t="s">
        <v>44</v>
      </c>
      <c r="J183" s="101"/>
      <c r="K183" s="6">
        <f>[9]!'id41?req?SEE_STK_SMART_USD_~/'</f>
        <v>0</v>
      </c>
      <c r="L183" s="6" t="str">
        <f>[9]!id41?orderTypes</f>
        <v>ACTIVETIM,ADJUST,ALERT,ALGO,ALLOC,AON,AVGCOST,BASKET,COND,CONDORDER,DARKONLY,DARKPOLL,DAY,DEACT,DEACTDIS,DEACTEOD,DIS,GAT,GTC,GTD,GTT,HID,IBKRATS,ICE,IMB,IOC,LIT,LMT,LOC,MIT,MKT,MOC,MTL,NGCOMB,NODARK,NONALGO,OCA,OPG,OPGREROUT,PEGBENCH,POSTONLY,PREOPGRTH,R</v>
      </c>
      <c r="M183" s="6" t="str">
        <f>[9]!id41?validExchanges</f>
        <v>SMART,NYSE,CBOE,ISE,CHX,ARCA,ISLAND,VWAP,DRCTEDGE,NSX,BEX,BATS,EDGEA,CSFBALGO,JEFFALGO,BYX,IEX,TPLUS2,PSX</v>
      </c>
      <c r="N183" s="6">
        <f>[9]!id41?conid</f>
        <v>4082282</v>
      </c>
      <c r="O183" s="6">
        <f>[9]!id41?minTick</f>
        <v>0.01</v>
      </c>
      <c r="P183" s="6">
        <f>[9]!id41?multiplier</f>
        <v>0</v>
      </c>
      <c r="Q183" s="6" t="str">
        <f>[9]!id41?marketName</f>
        <v>SEE</v>
      </c>
      <c r="R183" s="6" t="str">
        <f>[9]!id41?tradingClass</f>
        <v>SEE</v>
      </c>
    </row>
    <row r="184" spans="1:18" customFormat="1" hidden="1" x14ac:dyDescent="0.2">
      <c r="A184" s="176" t="s">
        <v>905</v>
      </c>
      <c r="B184" s="13" t="s">
        <v>12</v>
      </c>
      <c r="C184" s="13" t="b">
        <f t="shared" si="1"/>
        <v>1</v>
      </c>
      <c r="D184" s="13"/>
      <c r="E184" s="63"/>
      <c r="F184" s="13"/>
      <c r="G184" s="13"/>
      <c r="H184" s="13" t="s">
        <v>68</v>
      </c>
      <c r="I184" s="101" t="s">
        <v>44</v>
      </c>
      <c r="J184" s="101"/>
      <c r="K184" s="6">
        <f>[9]!'id42?req?CMI_STK_SMART_USD_~/'</f>
        <v>0</v>
      </c>
      <c r="L184" s="6" t="str">
        <f>[9]!id42?orderTypes</f>
        <v>ACTIVETIM,ADJUST,ALERT,ALGO,ALLOC,AON,AVGCOST,BASKET,COND,CONDORDER,DARKONLY,DARKPOLL,DAY,DEACT,DEACTDIS,DEACTEOD,DIS,GAT,GTC,GTD,GTT,HID,IBKRATS,ICE,IMB,IOC,LIT,LMT,LOC,MIT,MKT,MOC,MTL,NGCOMB,NODARK,NONALGO,OCA,OPG,OPGREROUT,PEGBENCH,POSTONLY,PREOPGRTH,R</v>
      </c>
      <c r="M184" s="6" t="str">
        <f>[9]!id42?validExchanges</f>
        <v>SMART,NYSE,CBOE,ISE,CHX,ARCA,ISLAND,VWAP,DRCTEDGE,NSX,BEX,BATS,EDGEA,CSFBALGO,JEFFALGO,BYX,IEX,TPLUS2,PSX</v>
      </c>
      <c r="N184" s="6">
        <f>[9]!id42?conid</f>
        <v>6207</v>
      </c>
      <c r="O184" s="6">
        <f>[9]!id42?minTick</f>
        <v>0.01</v>
      </c>
      <c r="P184" s="6">
        <f>[9]!id42?multiplier</f>
        <v>0</v>
      </c>
      <c r="Q184" s="6" t="str">
        <f>[9]!id42?marketName</f>
        <v>CMI</v>
      </c>
      <c r="R184" s="6" t="str">
        <f>[9]!id42?tradingClass</f>
        <v>CMI</v>
      </c>
    </row>
    <row r="185" spans="1:18" customFormat="1" hidden="1" x14ac:dyDescent="0.2">
      <c r="A185" s="176" t="s">
        <v>906</v>
      </c>
      <c r="B185" s="13" t="s">
        <v>12</v>
      </c>
      <c r="C185" s="13" t="b">
        <f t="shared" si="1"/>
        <v>1</v>
      </c>
      <c r="D185" s="13"/>
      <c r="E185" s="63"/>
      <c r="F185" s="13"/>
      <c r="G185" s="13"/>
      <c r="H185" s="13" t="s">
        <v>68</v>
      </c>
      <c r="I185" s="101" t="s">
        <v>44</v>
      </c>
      <c r="J185" s="101"/>
      <c r="K185" s="6">
        <f>[9]!'id43?req?LLL_STK_SMART_USD_~/'</f>
        <v>0</v>
      </c>
      <c r="L185" s="6" t="str">
        <f>[9]!id43?orderTypes</f>
        <v>ACTIVETIM,ADJUST,ALERT,ALGO,ALLOC,AON,AVGCOST,BASKET,COND,CONDORDER,DARKONLY,DARKPOLL,DAY,DEACT,DEACTDIS,DEACTEOD,DIS,GAT,GTC,GTD,GTT,HID,IBKRATS,ICE,IMB,IOC,LIT,LMT,LOC,MIT,MKT,MOC,MTL,NGCOMB,NODARK,NONALGO,OCA,OPG,OPGREROUT,PEGBENCH,POSTONLY,PREOPGRTH,R</v>
      </c>
      <c r="M185" s="6" t="str">
        <f>[9]!id43?validExchanges</f>
        <v>SMART,NYSE,CBOE,ISE,CHX,ARCA,ISLAND,VWAP,DRCTEDGE,NSX,BEX,BATS,EDGEA,CSFBALGO,JEFFALGO,BYX,IEX,TPLUS2,PSX</v>
      </c>
      <c r="N185" s="6">
        <f>[9]!id43?conid</f>
        <v>6477855</v>
      </c>
      <c r="O185" s="6">
        <f>[9]!id43?minTick</f>
        <v>0.01</v>
      </c>
      <c r="P185" s="6">
        <f>[9]!id43?multiplier</f>
        <v>0</v>
      </c>
      <c r="Q185" s="6" t="str">
        <f>[9]!id43?marketName</f>
        <v>LLL</v>
      </c>
      <c r="R185" s="6" t="str">
        <f>[9]!id43?tradingClass</f>
        <v>LLL</v>
      </c>
    </row>
    <row r="186" spans="1:18" customFormat="1" hidden="1" x14ac:dyDescent="0.2">
      <c r="A186" s="176" t="s">
        <v>907</v>
      </c>
      <c r="B186" s="13" t="s">
        <v>12</v>
      </c>
      <c r="C186" s="13" t="b">
        <f t="shared" si="1"/>
        <v>1</v>
      </c>
      <c r="D186" s="13"/>
      <c r="E186" s="63"/>
      <c r="F186" s="13"/>
      <c r="G186" s="13"/>
      <c r="H186" s="13" t="s">
        <v>68</v>
      </c>
      <c r="I186" s="101" t="s">
        <v>44</v>
      </c>
      <c r="J186" s="101"/>
      <c r="K186" s="6">
        <f>[9]!'id44?req?DHI_STK_SMART_USD_~/'</f>
        <v>0</v>
      </c>
      <c r="L186" s="6" t="str">
        <f>[9]!id44?orderTypes</f>
        <v>ACTIVETIM,ADJUST,ALERT,ALGO,ALLOC,AON,AVGCOST,BASKET,COND,CONDORDER,DARKONLY,DARKPOLL,DAY,DEACT,DEACTDIS,DEACTEOD,DIS,GAT,GTC,GTD,GTT,HID,IBKRATS,ICE,IMB,IOC,LIT,LMT,LOC,MIT,MKT,MOC,MTL,NGCOMB,NODARK,NONALGO,OCA,OPG,OPGREROUT,PEGBENCH,POSTONLY,PREOPGRTH,R</v>
      </c>
      <c r="M186" s="6" t="str">
        <f>[9]!id44?validExchanges</f>
        <v>SMART,NYSE,CBOE,ISE,CHX,ARCA,ISLAND,VWAP,DRCTEDGE,NSX,BEX,BATS,EDGEA,CSFBALGO,JEFFALGO,BYX,IEX,TPLUS2,PSX</v>
      </c>
      <c r="N186" s="6">
        <f>[9]!id44?conid</f>
        <v>268627</v>
      </c>
      <c r="O186" s="6">
        <f>[9]!id44?minTick</f>
        <v>0.01</v>
      </c>
      <c r="P186" s="6">
        <f>[9]!id44?multiplier</f>
        <v>0</v>
      </c>
      <c r="Q186" s="6" t="str">
        <f>[9]!id44?marketName</f>
        <v>DHI</v>
      </c>
      <c r="R186" s="6" t="str">
        <f>[9]!id44?tradingClass</f>
        <v>DHI</v>
      </c>
    </row>
    <row r="187" spans="1:18" customFormat="1" hidden="1" x14ac:dyDescent="0.2">
      <c r="A187" s="176" t="s">
        <v>908</v>
      </c>
      <c r="B187" s="13" t="s">
        <v>12</v>
      </c>
      <c r="C187" s="13" t="b">
        <f t="shared" si="1"/>
        <v>1</v>
      </c>
      <c r="D187" s="13"/>
      <c r="E187" s="63"/>
      <c r="F187" s="13"/>
      <c r="G187" s="13"/>
      <c r="H187" s="13" t="s">
        <v>68</v>
      </c>
      <c r="I187" s="101" t="s">
        <v>44</v>
      </c>
      <c r="J187" s="101"/>
      <c r="K187" s="6">
        <f>[9]!'id45?req?DHR_STK_SMART_USD_~/'</f>
        <v>0</v>
      </c>
      <c r="L187" s="6" t="str">
        <f>[9]!id45?orderTypes</f>
        <v>ACTIVETIM,ADJUST,ALERT,ALGO,ALLOC,AON,AVGCOST,BASKET,COND,CONDORDER,DARKONLY,DARKPOLL,DAY,DEACT,DEACTDIS,DEACTEOD,DIS,GAT,GTC,GTD,GTT,HID,IBKRATS,ICE,IMB,IOC,LIT,LMT,LOC,MIT,MKT,MOC,MTL,NGCOMB,NODARK,NONALGO,OCA,OPG,OPGREROUT,PEGBENCH,POSTONLY,PREOPGRTH,R</v>
      </c>
      <c r="M187" s="6" t="str">
        <f>[9]!id45?validExchanges</f>
        <v>SMART,NYSE,CBOE,ISE,CHX,ARCA,ISLAND,VWAP,DRCTEDGE,NSX,BEX,BATS,EDGEA,CSFBALGO,JEFFALGO,BYX,IEX,TPLUS2,PSX</v>
      </c>
      <c r="N187" s="6">
        <f>[9]!id45?conid</f>
        <v>6442</v>
      </c>
      <c r="O187" s="6">
        <f>[9]!id45?minTick</f>
        <v>0.01</v>
      </c>
      <c r="P187" s="6">
        <f>[9]!id45?multiplier</f>
        <v>0</v>
      </c>
      <c r="Q187" s="6" t="str">
        <f>[9]!id45?marketName</f>
        <v>DHR</v>
      </c>
      <c r="R187" s="6" t="str">
        <f>[9]!id45?tradingClass</f>
        <v>DHR</v>
      </c>
    </row>
    <row r="188" spans="1:18" customFormat="1" hidden="1" x14ac:dyDescent="0.2">
      <c r="A188" s="176" t="s">
        <v>909</v>
      </c>
      <c r="B188" s="13" t="s">
        <v>12</v>
      </c>
      <c r="C188" s="13" t="b">
        <f t="shared" si="1"/>
        <v>1</v>
      </c>
      <c r="D188" s="13"/>
      <c r="E188" s="63"/>
      <c r="F188" s="13"/>
      <c r="G188" s="13"/>
      <c r="H188" s="13" t="s">
        <v>68</v>
      </c>
      <c r="I188" s="101" t="s">
        <v>44</v>
      </c>
      <c r="J188" s="101"/>
      <c r="K188" s="6">
        <f>[9]!'id46?req?MCO_STK_SMART_USD_~/'</f>
        <v>0</v>
      </c>
      <c r="L188" s="6" t="str">
        <f>[9]!id46?orderTypes</f>
        <v>ACTIVETIM,ADJUST,ALERT,ALGO,ALLOC,AON,AVGCOST,BASKET,COND,CONDORDER,DARKONLY,DARKPOLL,DAY,DEACT,DEACTDIS,DEACTEOD,DIS,GAT,GTC,GTD,GTT,HID,IBKRATS,ICE,IMB,IOC,LIT,LMT,LOC,MIT,MKT,MOC,MTL,NGCOMB,NODARK,NONALGO,OCA,OPG,OPGREROUT,PEGBENCH,POSTONLY,PREOPGRTH,R</v>
      </c>
      <c r="M188" s="6" t="str">
        <f>[9]!id46?validExchanges</f>
        <v>SMART,NYSE,CBOE,ISE,CHX,ARCA,ISLAND,VWAP,DRCTEDGE,NSX,BEX,BATS,EDGEA,CSFBALGO,JEFFALGO,BYX,IEX,TPLUS2,PSX</v>
      </c>
      <c r="N188" s="6">
        <f>[9]!id46?conid</f>
        <v>6497</v>
      </c>
      <c r="O188" s="6">
        <f>[9]!id46?minTick</f>
        <v>0.01</v>
      </c>
      <c r="P188" s="6">
        <f>[9]!id46?multiplier</f>
        <v>0</v>
      </c>
      <c r="Q188" s="6" t="str">
        <f>[9]!id46?marketName</f>
        <v>MCO</v>
      </c>
      <c r="R188" s="6" t="str">
        <f>[9]!id46?tradingClass</f>
        <v>MCO</v>
      </c>
    </row>
    <row r="189" spans="1:18" customFormat="1" hidden="1" x14ac:dyDescent="0.2">
      <c r="A189" s="176" t="s">
        <v>910</v>
      </c>
      <c r="B189" s="13" t="s">
        <v>12</v>
      </c>
      <c r="C189" s="13" t="b">
        <f t="shared" si="1"/>
        <v>0</v>
      </c>
      <c r="D189" s="13"/>
      <c r="E189" s="63"/>
      <c r="F189" s="13"/>
      <c r="G189" s="13"/>
      <c r="H189" s="13" t="s">
        <v>68</v>
      </c>
      <c r="I189" s="101" t="s">
        <v>44</v>
      </c>
      <c r="J189" s="101"/>
      <c r="K189" s="6">
        <f>[9]!'id47?req?CTSH_STK_SMART_USD_~/'</f>
        <v>0</v>
      </c>
      <c r="L189" s="6" t="str">
        <f>[9]!id47?orderTypes</f>
        <v>ACTIVETIM,ADJUST,ALERT,ALGO,ALLOC,AON,AVGCOST,BASKET,COND,CONDORDER,DARKONLY,DARKPOLL,DAY,DEACT,DEACTDIS,DEACTEOD,DIS,GAT,GTC,GTD,GTT,HID,IBKRATS,ICE,IMB,IOC,LIT,LMT,LOC,MIT,MKT,MOC,MTL,NGCOMB,NODARK,NONALGO,OCA,OPG,OPGREROUT,PEGBENCH,POSTONLY,PREOPGRTH,R</v>
      </c>
      <c r="M189" s="6" t="str">
        <f>[9]!id47?validExchanges</f>
        <v>SMART,CBOE,ISE,CHX,ARCA,ISLAND,VWAP,DRCTEDGE,NSX,BEX,BATS,EDGEA,CSFBALGO,JEFFALGO,BYX,IEX,TPLUS2,PSX</v>
      </c>
      <c r="N189" s="6">
        <f>[9]!id47?conid</f>
        <v>4728759</v>
      </c>
      <c r="O189" s="6">
        <f>[9]!id47?minTick</f>
        <v>0.01</v>
      </c>
      <c r="P189" s="6">
        <f>[9]!id47?multiplier</f>
        <v>0</v>
      </c>
      <c r="Q189" s="6" t="str">
        <f>[9]!id47?marketName</f>
        <v>NMS</v>
      </c>
      <c r="R189" s="6" t="str">
        <f>[9]!id47?tradingClass</f>
        <v>NMS</v>
      </c>
    </row>
    <row r="190" spans="1:18" customFormat="1" hidden="1" x14ac:dyDescent="0.2">
      <c r="A190" s="176" t="s">
        <v>911</v>
      </c>
      <c r="B190" s="13" t="s">
        <v>12</v>
      </c>
      <c r="C190" s="13" t="b">
        <f t="shared" si="1"/>
        <v>1</v>
      </c>
      <c r="D190" s="13"/>
      <c r="E190" s="63"/>
      <c r="F190" s="13"/>
      <c r="G190" s="13"/>
      <c r="H190" s="13" t="s">
        <v>68</v>
      </c>
      <c r="I190" s="101" t="s">
        <v>44</v>
      </c>
      <c r="J190" s="101"/>
      <c r="K190" s="6">
        <f>[9]!'id48?req?TGT_STK_SMART_USD_~/'</f>
        <v>0</v>
      </c>
      <c r="L190" s="6" t="str">
        <f>[9]!id48?orderTypes</f>
        <v>ACTIVETIM,ADJUST,ALERT,ALGO,ALLOC,AON,AVGCOST,BASKET,COND,CONDORDER,DARKONLY,DARKPOLL,DAY,DEACT,DEACTDIS,DEACTEOD,DIS,GAT,GTC,GTD,GTT,HID,IBKRATS,ICE,IMB,IOC,LIT,LMT,LOC,MIT,MKT,MOC,MTL,NGCOMB,NODARK,NONALGO,OCA,OPG,OPGREROUT,PEGBENCH,POSTONLY,PREOPGRTH,R</v>
      </c>
      <c r="M190" s="6" t="str">
        <f>[9]!id48?validExchanges</f>
        <v>SMART,NYSE,CBOE,ISE,CHX,ARCA,ISLAND,VWAP,DRCTEDGE,NSX,BEX,BATS,EDGEA,CSFBALGO,JEFFALGO,BYX,IEX,TPLUS2,PSX</v>
      </c>
      <c r="N190" s="6">
        <f>[9]!id48?conid</f>
        <v>6437</v>
      </c>
      <c r="O190" s="6">
        <f>[9]!id48?minTick</f>
        <v>0.01</v>
      </c>
      <c r="P190" s="6">
        <f>[9]!id48?multiplier</f>
        <v>0</v>
      </c>
      <c r="Q190" s="6" t="str">
        <f>[9]!id48?marketName</f>
        <v>TGT</v>
      </c>
      <c r="R190" s="6" t="str">
        <f>[9]!id48?tradingClass</f>
        <v>TGT</v>
      </c>
    </row>
    <row r="191" spans="1:18" customFormat="1" hidden="1" x14ac:dyDescent="0.2">
      <c r="A191" s="176" t="s">
        <v>912</v>
      </c>
      <c r="B191" s="13" t="s">
        <v>12</v>
      </c>
      <c r="C191" s="13" t="b">
        <f t="shared" si="1"/>
        <v>1</v>
      </c>
      <c r="D191" s="13"/>
      <c r="E191" s="63"/>
      <c r="F191" s="13"/>
      <c r="G191" s="13"/>
      <c r="H191" s="13" t="s">
        <v>68</v>
      </c>
      <c r="I191" s="101" t="s">
        <v>44</v>
      </c>
      <c r="J191" s="101"/>
      <c r="K191" s="6">
        <f>[9]!'id49?req?DO_STK_SMART_USD_~/'</f>
        <v>0</v>
      </c>
      <c r="L191" s="6" t="str">
        <f>[9]!id49?orderTypes</f>
        <v>ACTIVETIM,ADJUST,ALERT,ALGO,ALLOC,AON,AVGCOST,BASKET,COND,CONDORDER,DARKONLY,DARKPOLL,DAY,DEACT,DEACTDIS,DEACTEOD,DIS,GAT,GTC,GTD,GTT,HID,IBKRATS,ICE,IMB,IOC,LIT,LMT,LOC,MIT,MKT,MOC,MTL,NGCOMB,NODARK,NONALGO,OCA,OPG,OPGREROUT,PEGBENCH,POSTONLY,PREOPGRTH,R</v>
      </c>
      <c r="M191" s="6" t="str">
        <f>[9]!id49?validExchanges</f>
        <v>SMART,NYSE,CBOE,ISE,CHX,ARCA,ISLAND,VWAP,DRCTEDGE,NSX,BEX,BATS,EDGEA,CSFBALGO,JEFFALGO,BYX,IEX,TPLUS2,PSX</v>
      </c>
      <c r="N191" s="6">
        <f>[9]!id49?conid</f>
        <v>1311127</v>
      </c>
      <c r="O191" s="6">
        <f>[9]!id49?minTick</f>
        <v>0.01</v>
      </c>
      <c r="P191" s="6">
        <f>[9]!id49?multiplier</f>
        <v>0</v>
      </c>
      <c r="Q191" s="6" t="str">
        <f>[9]!id49?marketName</f>
        <v>DO</v>
      </c>
      <c r="R191" s="6" t="str">
        <f>[9]!id49?tradingClass</f>
        <v>DO</v>
      </c>
    </row>
    <row r="192" spans="1:18" customFormat="1" hidden="1" x14ac:dyDescent="0.2">
      <c r="A192" s="176" t="s">
        <v>913</v>
      </c>
      <c r="B192" s="13" t="s">
        <v>12</v>
      </c>
      <c r="C192" s="13" t="b">
        <f t="shared" si="1"/>
        <v>1</v>
      </c>
      <c r="D192" s="13"/>
      <c r="E192" s="63"/>
      <c r="F192" s="13"/>
      <c r="G192" s="13"/>
      <c r="H192" s="13" t="s">
        <v>68</v>
      </c>
      <c r="I192" s="101" t="s">
        <v>44</v>
      </c>
      <c r="J192" s="101"/>
      <c r="K192" s="6">
        <f>[9]!'id50?req?DE_STK_SMART_USD_~/'</f>
        <v>0</v>
      </c>
      <c r="L192" s="6" t="str">
        <f>[9]!id50?orderTypes</f>
        <v>ACTIVETIM,ADJUST,ALERT,ALGO,ALLOC,AON,AVGCOST,BASKET,COND,CONDORDER,DARKONLY,DARKPOLL,DAY,DEACT,DEACTDIS,DEACTEOD,DIS,GAT,GTC,GTD,GTT,HID,IBKRATS,ICE,IMB,IOC,LIT,LMT,LOC,MIT,MKT,MOC,MTL,NGCOMB,NODARK,NONALGO,OCA,OPG,OPGREROUT,PEGBENCH,POSTONLY,PREOPGRTH,R</v>
      </c>
      <c r="M192" s="6" t="str">
        <f>[9]!id50?validExchanges</f>
        <v>SMART,NYSE,CBOE,ISE,CHX,ARCA,ISLAND,VWAP,DRCTEDGE,NSX,BEX,BATS,EDGEA,CSFBALGO,JEFFALGO,BYX,IEX,TPLUS2,PSX</v>
      </c>
      <c r="N192" s="6">
        <f>[9]!id50?conid</f>
        <v>6393</v>
      </c>
      <c r="O192" s="6">
        <f>[9]!id50?minTick</f>
        <v>0.01</v>
      </c>
      <c r="P192" s="6">
        <f>[9]!id50?multiplier</f>
        <v>0</v>
      </c>
      <c r="Q192" s="6" t="str">
        <f>[9]!id50?marketName</f>
        <v>DE</v>
      </c>
      <c r="R192" s="6" t="str">
        <f>[9]!id50?tradingClass</f>
        <v>DE</v>
      </c>
    </row>
    <row r="193" spans="1:18" customFormat="1" hidden="1" x14ac:dyDescent="0.2">
      <c r="A193" s="176" t="s">
        <v>914</v>
      </c>
      <c r="B193" s="13" t="s">
        <v>12</v>
      </c>
      <c r="C193" s="13" t="b">
        <f t="shared" si="1"/>
        <v>1</v>
      </c>
      <c r="D193" s="13"/>
      <c r="E193" s="63"/>
      <c r="F193" s="13"/>
      <c r="G193" s="13"/>
      <c r="H193" s="13" t="s">
        <v>68</v>
      </c>
      <c r="I193" s="101" t="s">
        <v>44</v>
      </c>
      <c r="J193" s="101"/>
      <c r="K193" s="6">
        <f>[9]!'id51?req?MS_STK_SMART_USD_~/'</f>
        <v>0</v>
      </c>
      <c r="L193" s="6" t="str">
        <f>[9]!id51?orderTypes</f>
        <v>ACTIVETIM,ADJUST,ALERT,ALGO,ALLOC,AON,AVGCOST,BASKET,COND,CONDORDER,DARKONLY,DARKPOLL,DAY,DEACT,DEACTDIS,DEACTEOD,DIS,GAT,GTC,GTD,GTT,HID,IBKRATS,ICE,IMB,IOC,LIT,LMT,LOC,MIT,MKT,MOC,MTL,NGCOMB,NODARK,NONALGO,OCA,OPG,OPGREROUT,PEGBENCH,POSTONLY,PREOPGRTH,R</v>
      </c>
      <c r="M193" s="6" t="str">
        <f>[9]!id51?validExchanges</f>
        <v>SMART,NYSE,CBOE,ISE,CHX,ARCA,ISLAND,VWAP,DRCTEDGE,NSX,BEX,BATS,EDGEA,CSFBALGO,JEFFALGO,BYX,IEX,TPLUS2,PSX</v>
      </c>
      <c r="N193" s="6">
        <f>[9]!id51?conid</f>
        <v>2841574</v>
      </c>
      <c r="O193" s="6">
        <f>[9]!id51?minTick</f>
        <v>0.01</v>
      </c>
      <c r="P193" s="6">
        <f>[9]!id51?multiplier</f>
        <v>0</v>
      </c>
      <c r="Q193" s="6" t="str">
        <f>[9]!id51?marketName</f>
        <v>MS</v>
      </c>
      <c r="R193" s="6" t="str">
        <f>[9]!id51?tradingClass</f>
        <v>MS</v>
      </c>
    </row>
    <row r="194" spans="1:18" customFormat="1" hidden="1" x14ac:dyDescent="0.2">
      <c r="A194" s="176" t="s">
        <v>915</v>
      </c>
      <c r="B194" s="13" t="s">
        <v>12</v>
      </c>
      <c r="C194" s="13" t="b">
        <f t="shared" ref="C194:C257" si="2">A194=Q194</f>
        <v>1</v>
      </c>
      <c r="D194" s="13"/>
      <c r="E194" s="63"/>
      <c r="F194" s="13"/>
      <c r="G194" s="13"/>
      <c r="H194" s="13" t="s">
        <v>68</v>
      </c>
      <c r="I194" s="101" t="s">
        <v>44</v>
      </c>
      <c r="J194" s="101"/>
      <c r="K194" s="6">
        <f>[9]!'id52?req?RSG_STK_SMART_USD_~/'</f>
        <v>0</v>
      </c>
      <c r="L194" s="6" t="str">
        <f>[9]!id52?orderTypes</f>
        <v>ACTIVETIM,ADJUST,ALERT,ALGO,ALLOC,AON,AVGCOST,BASKET,COND,CONDORDER,DARKONLY,DARKPOLL,DAY,DEACT,DEACTDIS,DEACTEOD,DIS,GAT,GTC,GTD,GTT,HID,IBKRATS,ICE,IMB,IOC,LIT,LMT,LOC,MIT,MKT,MOC,MTL,NGCOMB,NODARK,NONALGO,OCA,OPG,OPGREROUT,PEGBENCH,POSTONLY,PREOPGRTH,R</v>
      </c>
      <c r="M194" s="6" t="str">
        <f>[9]!id52?validExchanges</f>
        <v>SMART,NYSE,CBOE,ISE,CHX,ARCA,ISLAND,DRCTEDGE,NSX,BEX,BATS,EDGEA,CSFBALGO,JEFFALGO,BYX,IEX,TPLUS2,PSX</v>
      </c>
      <c r="N194" s="6">
        <f>[9]!id52?conid</f>
        <v>6478024</v>
      </c>
      <c r="O194" s="6">
        <f>[9]!id52?minTick</f>
        <v>0.01</v>
      </c>
      <c r="P194" s="6">
        <f>[9]!id52?multiplier</f>
        <v>0</v>
      </c>
      <c r="Q194" s="6" t="str">
        <f>[9]!id52?marketName</f>
        <v>RSG</v>
      </c>
      <c r="R194" s="6" t="str">
        <f>[9]!id52?tradingClass</f>
        <v>RSG</v>
      </c>
    </row>
    <row r="195" spans="1:18" hidden="1" x14ac:dyDescent="0.2">
      <c r="A195" s="176" t="s">
        <v>916</v>
      </c>
      <c r="B195" s="13" t="s">
        <v>12</v>
      </c>
      <c r="C195" s="13" t="b">
        <f t="shared" si="2"/>
        <v>1</v>
      </c>
      <c r="D195" s="13"/>
      <c r="E195" s="63"/>
      <c r="F195" s="13"/>
      <c r="G195" s="13"/>
      <c r="H195" s="13" t="s">
        <v>68</v>
      </c>
      <c r="I195" s="101" t="s">
        <v>44</v>
      </c>
      <c r="J195" s="101"/>
      <c r="K195" s="6">
        <f>[9]!'id53?req?DIS_STK_SMART_USD_~/'</f>
        <v>0</v>
      </c>
      <c r="L195" s="6" t="str">
        <f>[9]!id53?orderTypes</f>
        <v>ACTIVETIM,ADJUST,ALERT,ALGO,ALLOC,AON,AVGCOST,BASKET,COND,CONDORDER,DARKONLY,DARKPOLL,DAY,DEACT,DEACTDIS,DEACTEOD,DIS,GAT,GTC,GTD,GTT,HID,IBKRATS,ICE,IMB,IOC,LIT,LMT,LOC,MIT,MKT,MOC,MTL,NGCOMB,NODARK,NONALGO,OCA,OPG,OPGREROUT,PEGBENCH,POSTONLY,PREOPGRTH,R</v>
      </c>
      <c r="M195" s="6" t="str">
        <f>[9]!id53?validExchanges</f>
        <v>SMART,NYSE,CBOE,ISE,CHX,ARCA,ISLAND,VWAP,DRCTEDGE,NSX,BEX,BATS,EDGEA,CSFBALGO,JEFFALGO,BYX,IEX,TPLUS2,PSX</v>
      </c>
      <c r="N195" s="6">
        <f>[9]!id53?conid</f>
        <v>6459</v>
      </c>
      <c r="O195" s="6">
        <f>[9]!id53?minTick</f>
        <v>0.01</v>
      </c>
      <c r="P195" s="6">
        <f>[9]!id53?multiplier</f>
        <v>0</v>
      </c>
      <c r="Q195" s="6" t="str">
        <f>[9]!id53?marketName</f>
        <v>DIS</v>
      </c>
      <c r="R195" s="6" t="str">
        <f>[9]!id53?tradingClass</f>
        <v>DIS</v>
      </c>
    </row>
    <row r="196" spans="1:18" hidden="1" x14ac:dyDescent="0.2">
      <c r="A196" s="176" t="s">
        <v>917</v>
      </c>
      <c r="B196" s="13" t="s">
        <v>12</v>
      </c>
      <c r="C196" s="13" t="b">
        <f t="shared" si="2"/>
        <v>0</v>
      </c>
      <c r="D196" s="13"/>
      <c r="E196" s="63"/>
      <c r="F196" s="13"/>
      <c r="G196" s="13"/>
      <c r="H196" s="13" t="s">
        <v>68</v>
      </c>
      <c r="I196" s="101" t="s">
        <v>44</v>
      </c>
      <c r="J196" s="101"/>
      <c r="K196" s="6">
        <f>[9]!'id54?req?DLTR_STK_SMART_USD_~/'</f>
        <v>0</v>
      </c>
      <c r="L196" s="6" t="str">
        <f>[9]!id54?orderTypes</f>
        <v>ACTIVETIM,ADJUST,ALERT,ALGO,ALLOC,AON,AVGCOST,BASKET,COND,CONDORDER,DARKONLY,DARKPOLL,DAY,DEACT,DEACTDIS,DEACTEOD,DIS,GAT,GTC,GTD,GTT,HID,IBKRATS,ICE,IMB,IOC,LIT,LMT,LOC,MIT,MKT,MOC,MTL,NGCOMB,NODARK,NONALGO,OCA,OPG,OPGREROUT,PEGBENCH,POSTONLY,PREOPGRTH,R</v>
      </c>
      <c r="M196" s="6" t="str">
        <f>[9]!id54?validExchanges</f>
        <v>SMART,CBOE,ISE,CHX,ARCA,ISLAND,VWAP,DRCTEDGE,NSX,BEX,BATS,EDGEA,CSFBALGO,JEFFALGO,BYX,IEX,TPLUS2,PSX</v>
      </c>
      <c r="N196" s="6">
        <f>[9]!id54?conid</f>
        <v>49388062</v>
      </c>
      <c r="O196" s="6">
        <f>[9]!id54?minTick</f>
        <v>0.01</v>
      </c>
      <c r="P196" s="6">
        <f>[9]!id54?multiplier</f>
        <v>0</v>
      </c>
      <c r="Q196" s="6" t="str">
        <f>[9]!id54?marketName</f>
        <v>NMS</v>
      </c>
      <c r="R196" s="6" t="str">
        <f>[9]!id54?tradingClass</f>
        <v>NMS</v>
      </c>
    </row>
    <row r="197" spans="1:18" hidden="1" x14ac:dyDescent="0.2">
      <c r="A197" s="176" t="s">
        <v>918</v>
      </c>
      <c r="B197" s="13" t="s">
        <v>12</v>
      </c>
      <c r="C197" s="13" t="b">
        <f t="shared" si="2"/>
        <v>1</v>
      </c>
      <c r="D197" s="13"/>
      <c r="E197" s="63"/>
      <c r="F197" s="13"/>
      <c r="G197" s="13"/>
      <c r="H197" s="13" t="s">
        <v>68</v>
      </c>
      <c r="I197" s="101" t="s">
        <v>44</v>
      </c>
      <c r="J197" s="101"/>
      <c r="K197" s="6">
        <f>[9]!'id55?req?DOV_STK_SMART_USD_~/'</f>
        <v>0</v>
      </c>
      <c r="L197" s="6" t="str">
        <f>[9]!id55?orderTypes</f>
        <v>ACTIVETIM,ADJUST,ALERT,ALGO,ALLOC,AON,AVGCOST,BASKET,COND,CONDORDER,DARKONLY,DARKPOLL,DAY,DEACT,DEACTDIS,DEACTEOD,DIS,GAT,GTC,GTD,GTT,HID,IBKRATS,ICE,IMB,IOC,LIT,LMT,LOC,MIT,MKT,MOC,MTL,NGCOMB,NODARK,NONALGO,OCA,OPG,OPGREROUT,PEGBENCH,POSTONLY,PREOPGRTH,R</v>
      </c>
      <c r="M197" s="6" t="str">
        <f>[9]!id55?validExchanges</f>
        <v>SMART,NYSE,CBOE,ISE,CHX,ARCA,ISLAND,VWAP,DRCTEDGE,NSX,BEX,BATS,EDGEA,CSFBALGO,JEFFALGO,BYX,IEX,TPLUS2,PSX</v>
      </c>
      <c r="N197" s="6">
        <f>[9]!id55?conid</f>
        <v>6517</v>
      </c>
      <c r="O197" s="6">
        <f>[9]!id55?minTick</f>
        <v>0.01</v>
      </c>
      <c r="P197" s="6">
        <f>[9]!id55?multiplier</f>
        <v>0</v>
      </c>
      <c r="Q197" s="6" t="str">
        <f>[9]!id55?marketName</f>
        <v>DOV</v>
      </c>
      <c r="R197" s="6" t="str">
        <f>[9]!id55?tradingClass</f>
        <v>DOV</v>
      </c>
    </row>
    <row r="198" spans="1:18" hidden="1" x14ac:dyDescent="0.2">
      <c r="A198" s="176" t="s">
        <v>919</v>
      </c>
      <c r="B198" s="13" t="s">
        <v>12</v>
      </c>
      <c r="C198" s="13" t="b">
        <f t="shared" si="2"/>
        <v>1</v>
      </c>
      <c r="D198" s="13"/>
      <c r="E198" s="63"/>
      <c r="F198" s="13"/>
      <c r="G198" s="13"/>
      <c r="H198" s="13" t="s">
        <v>68</v>
      </c>
      <c r="I198" s="101" t="s">
        <v>44</v>
      </c>
      <c r="J198" s="101"/>
      <c r="K198" s="6">
        <f>[9]!'id56?req?DOW_STK_SMART_USD_~/'</f>
        <v>0</v>
      </c>
      <c r="L198" s="6" t="str">
        <f>[9]!id56?orderTypes</f>
        <v>ACTIVETIM,ADJUST,ALERT,ALGO,ALLOC,AON,AVGCOST,BASKET,COND,CONDORDER,DARKONLY,DARKPOLL,DAY,DEACT,DEACTDIS,DEACTEOD,DIS,GAT,GTC,GTD,GTT,HID,IBKRATS,ICE,IMB,IOC,LIT,LMT,LOC,MIT,MKT,MOC,MTL,NGCOMB,NODARK,NONALGO,OCA,OPG,OPGREROUT,PEGBENCH,POSTONLY,PREOPGRTH,R</v>
      </c>
      <c r="M198" s="6" t="str">
        <f>[9]!id56?validExchanges</f>
        <v>SMART,NYSE,CBOE,ISE,CHX,ARCA,ISLAND,VWAP,DRCTEDGE,NSX,BEX,BATS,EDGEA,CSFBALGO,JEFFALGO,BYX,IEX,TPLUS2,PSX</v>
      </c>
      <c r="N198" s="6">
        <f>[9]!id56?conid</f>
        <v>6522</v>
      </c>
      <c r="O198" s="6">
        <f>[9]!id56?minTick</f>
        <v>0.01</v>
      </c>
      <c r="P198" s="6">
        <f>[9]!id56?multiplier</f>
        <v>0</v>
      </c>
      <c r="Q198" s="6" t="str">
        <f>[9]!id56?marketName</f>
        <v>DOW</v>
      </c>
      <c r="R198" s="6" t="str">
        <f>[9]!id56?tradingClass</f>
        <v>DOW</v>
      </c>
    </row>
    <row r="199" spans="1:18" hidden="1" x14ac:dyDescent="0.2">
      <c r="A199" s="176" t="s">
        <v>920</v>
      </c>
      <c r="B199" s="13" t="s">
        <v>12</v>
      </c>
      <c r="C199" s="13" t="b">
        <f t="shared" si="2"/>
        <v>1</v>
      </c>
      <c r="D199" s="13"/>
      <c r="E199" s="63"/>
      <c r="F199" s="13"/>
      <c r="G199" s="13"/>
      <c r="H199" s="13" t="s">
        <v>68</v>
      </c>
      <c r="I199" s="101" t="s">
        <v>44</v>
      </c>
      <c r="J199" s="101"/>
      <c r="K199" s="6">
        <f>[9]!'id57?req?OMC_STK_SMART_USD_~/'</f>
        <v>0</v>
      </c>
      <c r="L199" s="6" t="str">
        <f>[9]!id57?orderTypes</f>
        <v>ACTIVETIM,ADJUST,ALERT,ALGO,ALLOC,AON,AVGCOST,BASKET,COND,CONDORDER,DARKONLY,DARKPOLL,DAY,DEACT,DEACTDIS,DEACTEOD,DIS,GAT,GTC,GTD,GTT,HID,IBKRATS,ICE,IMB,IOC,LIT,LMT,LOC,MIT,MKT,MOC,MTL,NGCOMB,NODARK,NONALGO,OCA,OPG,OPGREROUT,PEGBENCH,POSTONLY,PREOPGRTH,R</v>
      </c>
      <c r="M199" s="6" t="str">
        <f>[9]!id57?validExchanges</f>
        <v>SMART,NYSE,CBOE,ISE,CHX,ARCA,ISLAND,VWAP,DRCTEDGE,NSX,BEX,BATS,EDGEA,CSFBALGO,JEFFALGO,BYX,IEX,TPLUS2,PSX</v>
      </c>
      <c r="N199" s="6">
        <f>[9]!id57?conid</f>
        <v>10811</v>
      </c>
      <c r="O199" s="6">
        <f>[9]!id57?minTick</f>
        <v>0.01</v>
      </c>
      <c r="P199" s="6">
        <f>[9]!id57?multiplier</f>
        <v>0</v>
      </c>
      <c r="Q199" s="6" t="str">
        <f>[9]!id57?marketName</f>
        <v>OMC</v>
      </c>
      <c r="R199" s="6" t="str">
        <f>[9]!id57?tradingClass</f>
        <v>OMC</v>
      </c>
    </row>
    <row r="200" spans="1:18" hidden="1" x14ac:dyDescent="0.2">
      <c r="A200" s="176" t="s">
        <v>921</v>
      </c>
      <c r="B200" s="13" t="s">
        <v>12</v>
      </c>
      <c r="C200" s="13" t="b">
        <f t="shared" si="2"/>
        <v>1</v>
      </c>
      <c r="D200" s="13"/>
      <c r="E200" s="63"/>
      <c r="F200" s="13"/>
      <c r="G200" s="13"/>
      <c r="H200" s="13" t="s">
        <v>68</v>
      </c>
      <c r="I200" s="101" t="s">
        <v>44</v>
      </c>
      <c r="J200" s="101"/>
      <c r="K200" s="6">
        <f>[9]!'id58?req?DTE_STK_SMART_USD_~/'</f>
        <v>0</v>
      </c>
      <c r="L200" s="6" t="str">
        <f>[9]!id58?orderTypes</f>
        <v>ACTIVETIM,ADJUST,ALERT,ALGO,ALLOC,AON,AVGCOST,BASKET,COND,CONDORDER,DARKONLY,DARKPOLL,DAY,DEACT,DEACTDIS,DEACTEOD,DIS,GAT,GTC,GTD,GTT,HID,IBKRATS,ICE,IMB,IOC,LIT,LMT,LOC,MIT,MKT,MOC,MTL,NGCOMB,NODARK,NONALGO,OCA,OPG,OPGREROUT,PEGBENCH,POSTONLY,PREOPGRTH,R</v>
      </c>
      <c r="M200" s="6" t="str">
        <f>[9]!id58?validExchanges</f>
        <v>SMART,NYSE,CBOE,ISE,CHX,ARCA,ISLAND,VWAP,DRCTEDGE,NSX,BEX,BATS,EDGEA,CSFBALGO,JEFFALGO,BYX,IEX,TPLUS2,PSX</v>
      </c>
      <c r="N200" s="6">
        <f>[9]!id58?conid</f>
        <v>6585</v>
      </c>
      <c r="O200" s="6">
        <f>[9]!id58?minTick</f>
        <v>0.01</v>
      </c>
      <c r="P200" s="6">
        <f>[9]!id58?multiplier</f>
        <v>0</v>
      </c>
      <c r="Q200" s="6" t="str">
        <f>[9]!id58?marketName</f>
        <v>DTE</v>
      </c>
      <c r="R200" s="6" t="str">
        <f>[9]!id58?tradingClass</f>
        <v>DTE</v>
      </c>
    </row>
    <row r="201" spans="1:18" hidden="1" x14ac:dyDescent="0.2">
      <c r="A201" s="176" t="s">
        <v>922</v>
      </c>
      <c r="B201" s="13" t="s">
        <v>12</v>
      </c>
      <c r="C201" s="13" t="b">
        <f t="shared" si="2"/>
        <v>1</v>
      </c>
      <c r="D201" s="13"/>
      <c r="E201" s="63"/>
      <c r="F201" s="13"/>
      <c r="G201" s="13"/>
      <c r="H201" s="13" t="s">
        <v>68</v>
      </c>
      <c r="I201" s="101" t="s">
        <v>44</v>
      </c>
      <c r="J201" s="101"/>
      <c r="K201" s="6">
        <f>[9]!'id59?req?FLS_STK_SMART_USD_~/'</f>
        <v>0</v>
      </c>
      <c r="L201" s="6" t="str">
        <f>[9]!id59?orderTypes</f>
        <v>ACTIVETIM,ADJUST,ALERT,ALGO,ALLOC,AON,AVGCOST,BASKET,COND,CONDORDER,DARKONLY,DARKPOLL,DAY,DEACT,DEACTDIS,DEACTEOD,DIS,GAT,GTC,GTD,GTT,HID,IBKRATS,ICE,IMB,IOC,LIT,LMT,LOC,MIT,MKT,MOC,MTL,NGCOMB,NODARK,NONALGO,OCA,OPG,OPGREROUT,PEGBENCH,POSTONLY,PREOPGRTH,R</v>
      </c>
      <c r="M201" s="6" t="str">
        <f>[9]!id59?validExchanges</f>
        <v>SMART,NYSE,CBOE,ISE,CHX,ARCA,ISLAND,DRCTEDGE,NSX,BEX,BATS,EDGEA,CSFBALGO,JEFFALGO,BYX,IEX,TPLUS2,PSX</v>
      </c>
      <c r="N201" s="6">
        <f>[9]!id59?conid</f>
        <v>6477749</v>
      </c>
      <c r="O201" s="6">
        <f>[9]!id59?minTick</f>
        <v>0.01</v>
      </c>
      <c r="P201" s="6">
        <f>[9]!id59?multiplier</f>
        <v>0</v>
      </c>
      <c r="Q201" s="6" t="str">
        <f>[9]!id59?marketName</f>
        <v>FLS</v>
      </c>
      <c r="R201" s="6" t="str">
        <f>[9]!id59?tradingClass</f>
        <v>FLS</v>
      </c>
    </row>
    <row r="202" spans="1:18" hidden="1" x14ac:dyDescent="0.2">
      <c r="A202" s="176" t="s">
        <v>923</v>
      </c>
      <c r="B202" s="13" t="s">
        <v>12</v>
      </c>
      <c r="C202" s="13" t="b">
        <f t="shared" si="2"/>
        <v>1</v>
      </c>
      <c r="D202" s="13"/>
      <c r="E202" s="63"/>
      <c r="F202" s="13"/>
      <c r="G202" s="13"/>
      <c r="H202" s="13" t="s">
        <v>68</v>
      </c>
      <c r="I202" s="101" t="s">
        <v>44</v>
      </c>
      <c r="J202" s="101"/>
      <c r="K202" s="6">
        <f>[9]!'id60?req?DRI_STK_SMART_USD_~/'</f>
        <v>0</v>
      </c>
      <c r="L202" s="6" t="str">
        <f>[9]!id60?orderTypes</f>
        <v>ACTIVETIM,ADJUST,ALERT,ALGO,ALLOC,AON,AVGCOST,BASKET,COND,CONDORDER,DARKONLY,DARKPOLL,DAY,DEACT,DEACTDIS,DEACTEOD,DIS,GAT,GTC,GTD,GTT,HID,IBKRATS,ICE,IMB,IOC,LIT,LMT,LOC,MIT,MKT,MOC,MTL,NGCOMB,NODARK,NONALGO,OCA,OPG,OPGREROUT,PEGBENCH,POSTONLY,PREOPGRTH,R</v>
      </c>
      <c r="M202" s="6" t="str">
        <f>[9]!id60?validExchanges</f>
        <v>SMART,NYSE,CBOE,ISE,CHX,ARCA,ISLAND,VWAP,DRCTEDGE,NSX,BEX,BATS,EDGEA,CSFBALGO,JEFFALGO,BYX,IEX,TPLUS2,PSX</v>
      </c>
      <c r="N202" s="6">
        <f>[9]!id60?conid</f>
        <v>661440</v>
      </c>
      <c r="O202" s="6">
        <f>[9]!id60?minTick</f>
        <v>0.01</v>
      </c>
      <c r="P202" s="6">
        <f>[9]!id60?multiplier</f>
        <v>0</v>
      </c>
      <c r="Q202" s="6" t="str">
        <f>[9]!id60?marketName</f>
        <v>DRI</v>
      </c>
      <c r="R202" s="6" t="str">
        <f>[9]!id60?tradingClass</f>
        <v>DRI</v>
      </c>
    </row>
    <row r="203" spans="1:18" hidden="1" x14ac:dyDescent="0.2">
      <c r="A203" s="176" t="s">
        <v>924</v>
      </c>
      <c r="B203" s="13" t="s">
        <v>12</v>
      </c>
      <c r="C203" s="13" t="b">
        <f t="shared" si="2"/>
        <v>0</v>
      </c>
      <c r="D203" s="13"/>
      <c r="E203" s="63"/>
      <c r="F203" s="13"/>
      <c r="G203" s="13"/>
      <c r="H203" s="13" t="s">
        <v>68</v>
      </c>
      <c r="I203" s="101" t="s">
        <v>44</v>
      </c>
      <c r="J203" s="101"/>
      <c r="K203" s="6">
        <f>[9]!'id61?req?EBAY_STK_SMART_USD_~/'</f>
        <v>0</v>
      </c>
      <c r="L203" s="6" t="str">
        <f>[9]!id61?orderTypes</f>
        <v>ACTIVETIM,ADJUST,ALERT,ALGO,ALLOC,AON,AVGCOST,BASKET,COND,CONDORDER,DARKONLY,DARKPOLL,DAY,DEACT,DEACTDIS,DEACTEOD,DIS,GAT,GTC,GTD,GTT,HID,IBKRATS,ICE,IMB,IOC,LIT,LMT,LOC,MIT,MKT,MOC,MTL,NGCOMB,NODARK,NONALGO,OCA,OPG,OPGREROUT,PEGBENCH,POSTONLY,PREOPGRTH,R</v>
      </c>
      <c r="M203" s="6" t="str">
        <f>[9]!id61?validExchanges</f>
        <v>SMART,CBOE,ISE,CHX,ARCA,ISLAND,VWAP,DRCTEDGE,NSX,BEX,BATS,EDGEA,CSFBALGO,JEFFALGO,BYX,IEX,TPLUS2,PSX</v>
      </c>
      <c r="N203" s="6">
        <f>[9]!id61?conid</f>
        <v>4347086</v>
      </c>
      <c r="O203" s="6">
        <f>[9]!id61?minTick</f>
        <v>0.01</v>
      </c>
      <c r="P203" s="6">
        <f>[9]!id61?multiplier</f>
        <v>0</v>
      </c>
      <c r="Q203" s="6" t="str">
        <f>[9]!id61?marketName</f>
        <v>NMS</v>
      </c>
      <c r="R203" s="6" t="str">
        <f>[9]!id61?tradingClass</f>
        <v>NMS</v>
      </c>
    </row>
    <row r="204" spans="1:18" hidden="1" x14ac:dyDescent="0.2">
      <c r="A204" s="176" t="s">
        <v>925</v>
      </c>
      <c r="B204" s="13" t="s">
        <v>12</v>
      </c>
      <c r="C204" s="13" t="b">
        <f t="shared" si="2"/>
        <v>1</v>
      </c>
      <c r="D204" s="13"/>
      <c r="E204" s="63"/>
      <c r="F204" s="13"/>
      <c r="G204" s="13"/>
      <c r="H204" s="13" t="s">
        <v>68</v>
      </c>
      <c r="I204" s="101" t="s">
        <v>44</v>
      </c>
      <c r="J204" s="101"/>
      <c r="K204" s="6">
        <f>[9]!'id62?req?EMC_STK_SMART_USD_~/'</f>
        <v>0</v>
      </c>
      <c r="L204" s="6" t="str">
        <f>[9]!id62?orderTypes</f>
        <v>ACTIVETIM,ADJUST,ALERT,ALGO,ALLOC,AON,AVGCOST,BASKET,COND,CONDORDER,DARKONLY,DARKPOLL,DAY,DEACT,DEACTDIS,DEACTEOD,DIS,GAT,GTC,GTD,GTT,HID,IBKRATS,ICE,IMB,IOC,LIT,LMT,LOC,MIT,MKT,MOC,MTL,NGCOMB,NODARK,NONALGO,OCA,OPG,OPGREROUT,PEGBENCH,POSTONLY,PREOPGRTH,R</v>
      </c>
      <c r="M204" s="6" t="str">
        <f>[9]!id62?validExchanges</f>
        <v>SMART,NYSE,CBOE,ISE,CHX,ARCA,ISLAND,VWAP,DRCTEDGE,NSX,BEX,BATS,EDGEA,CSFBALGO,JEFFALGO,BYX,IEX,TPLUS2,PSX</v>
      </c>
      <c r="N204" s="6">
        <f>[9]!id62?conid</f>
        <v>6813</v>
      </c>
      <c r="O204" s="6">
        <f>[9]!id62?minTick</f>
        <v>0.01</v>
      </c>
      <c r="P204" s="6">
        <f>[9]!id62?multiplier</f>
        <v>0</v>
      </c>
      <c r="Q204" s="6" t="str">
        <f>[9]!id62?marketName</f>
        <v>EMC</v>
      </c>
      <c r="R204" s="6" t="str">
        <f>[9]!id62?tradingClass</f>
        <v>EMC</v>
      </c>
    </row>
    <row r="205" spans="1:18" hidden="1" x14ac:dyDescent="0.2">
      <c r="A205" s="176" t="s">
        <v>926</v>
      </c>
      <c r="B205" s="13" t="s">
        <v>12</v>
      </c>
      <c r="C205" s="13" t="b">
        <f t="shared" si="2"/>
        <v>1</v>
      </c>
      <c r="D205" s="13"/>
      <c r="E205" s="63"/>
      <c r="F205" s="13"/>
      <c r="G205" s="13"/>
      <c r="H205" s="13" t="s">
        <v>68</v>
      </c>
      <c r="I205" s="101" t="s">
        <v>44</v>
      </c>
      <c r="J205" s="101"/>
      <c r="K205" s="6">
        <f>[9]!'id63?req?BAC_STK_SMART_USD_~/'</f>
        <v>0</v>
      </c>
      <c r="L205" s="6" t="str">
        <f>[9]!id63?orderTypes</f>
        <v>ACTIVETIM,ADJUST,ALERT,ALGO,ALLOC,AON,AVGCOST,BASKET,COND,CONDORDER,DARKONLY,DARKPOLL,DAY,DEACT,DEACTDIS,DEACTEOD,DIS,GAT,GTC,GTD,GTT,HID,IBKRATS,ICE,IMB,IOC,LIT,LMT,LOC,MIT,MKT,MOC,MTL,NGCOMB,NODARK,NONALGO,OCA,OPG,OPGREROUT,PEGBENCH,POSTONLY,PREOPGRTH,R</v>
      </c>
      <c r="M205" s="6" t="str">
        <f>[9]!id63?validExchanges</f>
        <v>SMART,NYSE,CBOE,ISE,CHX,ARCA,ISLAND,VWAP,DRCTEDGE,NSX,BEX,BATS,EDGEA,CSFBALGO,JEFFALGO,BYX,IEX,TPLUS2,PSX</v>
      </c>
      <c r="N205" s="6">
        <f>[9]!id63?conid</f>
        <v>10098</v>
      </c>
      <c r="O205" s="6">
        <f>[9]!id63?minTick</f>
        <v>0.01</v>
      </c>
      <c r="P205" s="6">
        <f>[9]!id63?multiplier</f>
        <v>0</v>
      </c>
      <c r="Q205" s="6" t="str">
        <f>[9]!id63?marketName</f>
        <v>BAC</v>
      </c>
      <c r="R205" s="6" t="str">
        <f>[9]!id63?tradingClass</f>
        <v>BAC</v>
      </c>
    </row>
    <row r="206" spans="1:18" hidden="1" x14ac:dyDescent="0.2">
      <c r="A206" s="176" t="s">
        <v>36</v>
      </c>
      <c r="B206" s="13" t="s">
        <v>12</v>
      </c>
      <c r="C206" s="13" t="b">
        <f t="shared" si="2"/>
        <v>1</v>
      </c>
      <c r="D206" s="13"/>
      <c r="E206" s="63"/>
      <c r="F206" s="13"/>
      <c r="G206" s="13"/>
      <c r="H206" s="13" t="s">
        <v>68</v>
      </c>
      <c r="I206" s="101" t="s">
        <v>44</v>
      </c>
      <c r="J206" s="101"/>
      <c r="K206" s="6">
        <f>[9]!'id64?req?C_STK_SMART_USD_~/'</f>
        <v>0</v>
      </c>
      <c r="L206" s="6" t="str">
        <f>[9]!id64?orderTypes</f>
        <v>ACTIVETIM,ADJUST,ALERT,ALGO,ALLOC,AON,AVGCOST,BASKET,COND,CONDORDER,DARKONLY,DARKPOLL,DAY,DEACT,DEACTDIS,DEACTEOD,DIS,GAT,GTC,GTD,GTT,HID,IBKRATS,ICE,IMB,IOC,LIT,LMT,LOC,MIT,MKT,MOC,MTL,NGCOMB,NODARK,NONALGO,OCA,OPG,OPGREROUT,PEGBENCH,POSTONLY,PREOPGRTH,R</v>
      </c>
      <c r="M206" s="6" t="str">
        <f>[9]!id64?validExchanges</f>
        <v>SMART,NYSE,CBOE,ISE,CHX,ARCA,ISLAND,VWAP,DRCTEDGE,NSX,BEX,BATS,EDGEA,CSFBALGO,JEFFALGO,BYX,IEX,TPLUS2,PSX</v>
      </c>
      <c r="N206" s="6">
        <f>[9]!id64?conid</f>
        <v>87335484</v>
      </c>
      <c r="O206" s="6">
        <f>[9]!id64?minTick</f>
        <v>0.01</v>
      </c>
      <c r="P206" s="6">
        <f>[9]!id64?multiplier</f>
        <v>0</v>
      </c>
      <c r="Q206" s="6" t="str">
        <f>[9]!id64?marketName</f>
        <v>C</v>
      </c>
      <c r="R206" s="6" t="str">
        <f>[9]!id64?tradingClass</f>
        <v>C</v>
      </c>
    </row>
    <row r="207" spans="1:18" hidden="1" x14ac:dyDescent="0.2">
      <c r="A207" s="176" t="s">
        <v>927</v>
      </c>
      <c r="B207" s="13" t="s">
        <v>12</v>
      </c>
      <c r="C207" s="13" t="b">
        <f t="shared" si="2"/>
        <v>1</v>
      </c>
      <c r="D207" s="13"/>
      <c r="E207" s="63"/>
      <c r="F207" s="13"/>
      <c r="G207" s="13"/>
      <c r="H207" s="13" t="s">
        <v>68</v>
      </c>
      <c r="I207" s="101" t="s">
        <v>44</v>
      </c>
      <c r="J207" s="101"/>
      <c r="K207" s="6">
        <f>[9]!'id65?req?EMN_STK_SMART_USD_~/'</f>
        <v>0</v>
      </c>
      <c r="L207" s="6" t="str">
        <f>[9]!id65?orderTypes</f>
        <v>ACTIVETIM,ADJUST,ALERT,ALGO,ALLOC,AON,AVGCOST,BASKET,COND,CONDORDER,DARKONLY,DARKPOLL,DAY,DEACT,DEACTDIS,DEACTEOD,DIS,GAT,GTC,GTD,GTT,HID,IBKRATS,ICE,IMB,IOC,LIT,LMT,LOC,MIT,MKT,MOC,MTL,NGCOMB,NODARK,NONALGO,OCA,OPG,OPGREROUT,PEGBENCH,POSTONLY,PREOPGRTH,R</v>
      </c>
      <c r="M207" s="6" t="str">
        <f>[9]!id65?validExchanges</f>
        <v>SMART,NYSE,CBOE,ISE,CHX,ARCA,ISLAND,VWAP,DRCTEDGE,NSX,BEX,BATS,EDGEA,CSFBALGO,JEFFALGO,BYX,IEX,TPLUS2,PSX</v>
      </c>
      <c r="N207" s="6">
        <f>[9]!id65?conid</f>
        <v>6832</v>
      </c>
      <c r="O207" s="6">
        <f>[9]!id65?minTick</f>
        <v>0.01</v>
      </c>
      <c r="P207" s="6">
        <f>[9]!id65?multiplier</f>
        <v>0</v>
      </c>
      <c r="Q207" s="6" t="str">
        <f>[9]!id65?marketName</f>
        <v>EMN</v>
      </c>
      <c r="R207" s="6" t="str">
        <f>[9]!id65?tradingClass</f>
        <v>EMN</v>
      </c>
    </row>
    <row r="208" spans="1:18" hidden="1" x14ac:dyDescent="0.2">
      <c r="A208" s="176" t="s">
        <v>928</v>
      </c>
      <c r="B208" s="13" t="s">
        <v>12</v>
      </c>
      <c r="C208" s="13" t="b">
        <f t="shared" si="2"/>
        <v>0</v>
      </c>
      <c r="D208" s="13"/>
      <c r="E208" s="63"/>
      <c r="F208" s="13"/>
      <c r="G208" s="13"/>
      <c r="H208" s="13" t="s">
        <v>68</v>
      </c>
      <c r="I208" s="101" t="s">
        <v>44</v>
      </c>
      <c r="J208" s="101"/>
      <c r="K208" s="6">
        <f>[9]!'id66?req?ETFC_STK_SMART_USD_~/'</f>
        <v>0</v>
      </c>
      <c r="L208" s="6" t="str">
        <f>[9]!id66?orderTypes</f>
        <v>ACTIVETIM,ADJUST,ALERT,ALGO,ALLOC,AON,AVGCOST,BASKET,COND,CONDORDER,DARKONLY,DARKPOLL,DAY,DEACT,DEACTDIS,DEACTEOD,DIS,GAT,GTC,GTD,GTT,HID,IBKRATS,ICE,IMB,IOC,LIT,LMT,LOC,MIT,MKT,MOC,MTL,NGCOMB,NODARK,NONALGO,OCA,OPG,OPGREROUT,PEGBENCH,POSTONLY,PREOPGRTH,R</v>
      </c>
      <c r="M208" s="6" t="str">
        <f>[9]!id66?validExchanges</f>
        <v>SMART,CBOE,ISE,CHX,ARCA,ISLAND,VWAP,DRCTEDGE,NSX,BEX,BATS,EDGEA,CSFBALGO,JEFFALGO,BYX,IEX,TPLUS2,PSX</v>
      </c>
      <c r="N208" s="6">
        <f>[9]!id66?conid</f>
        <v>75961319</v>
      </c>
      <c r="O208" s="6">
        <f>[9]!id66?minTick</f>
        <v>0.01</v>
      </c>
      <c r="P208" s="6">
        <f>[9]!id66?multiplier</f>
        <v>0</v>
      </c>
      <c r="Q208" s="6" t="str">
        <f>[9]!id66?marketName</f>
        <v>NMS</v>
      </c>
      <c r="R208" s="6" t="str">
        <f>[9]!id66?tradingClass</f>
        <v>NMS</v>
      </c>
    </row>
    <row r="209" spans="1:18" hidden="1" x14ac:dyDescent="0.2">
      <c r="A209" s="176" t="s">
        <v>929</v>
      </c>
      <c r="B209" s="13" t="s">
        <v>12</v>
      </c>
      <c r="C209" s="13" t="b">
        <f t="shared" si="2"/>
        <v>1</v>
      </c>
      <c r="D209" s="13"/>
      <c r="E209" s="63"/>
      <c r="F209" s="13"/>
      <c r="G209" s="13"/>
      <c r="H209" s="13" t="s">
        <v>68</v>
      </c>
      <c r="I209" s="101" t="s">
        <v>44</v>
      </c>
      <c r="J209" s="101"/>
      <c r="K209" s="6">
        <f>[9]!'id67?req?ECL_STK_SMART_USD_~/'</f>
        <v>0</v>
      </c>
      <c r="L209" s="6" t="str">
        <f>[9]!id67?orderTypes</f>
        <v>ACTIVETIM,ADJUST,ALERT,ALGO,ALLOC,AON,AVGCOST,BASKET,COND,CONDORDER,DARKONLY,DARKPOLL,DAY,DEACT,DEACTDIS,DEACTEOD,DIS,GAT,GTC,GTD,GTT,HID,IBKRATS,ICE,IMB,IOC,LIT,LMT,LOC,MIT,MKT,MOC,MTL,NGCOMB,NODARK,NONALGO,OCA,OPG,OPGREROUT,PEGBENCH,POSTONLY,PREOPGRTH,R</v>
      </c>
      <c r="M209" s="6" t="str">
        <f>[9]!id67?validExchanges</f>
        <v>SMART,NYSE,CBOE,ISE,CHX,ARCA,ISLAND,VWAP,DRCTEDGE,NSX,BEX,BATS,EDGEA,CSFBALGO,JEFFALGO,BYX,IEX,TPLUS2,PSX</v>
      </c>
      <c r="N209" s="6">
        <f>[9]!id67?conid</f>
        <v>6682</v>
      </c>
      <c r="O209" s="6">
        <f>[9]!id67?minTick</f>
        <v>0.01</v>
      </c>
      <c r="P209" s="6">
        <f>[9]!id67?multiplier</f>
        <v>0</v>
      </c>
      <c r="Q209" s="6" t="str">
        <f>[9]!id67?marketName</f>
        <v>ECL</v>
      </c>
      <c r="R209" s="6" t="str">
        <f>[9]!id67?tradingClass</f>
        <v>ECL</v>
      </c>
    </row>
    <row r="210" spans="1:18" hidden="1" x14ac:dyDescent="0.2">
      <c r="A210" s="176" t="s">
        <v>930</v>
      </c>
      <c r="B210" s="13" t="s">
        <v>12</v>
      </c>
      <c r="C210" s="13" t="b">
        <f t="shared" si="2"/>
        <v>1</v>
      </c>
      <c r="D210" s="13"/>
      <c r="E210" s="63"/>
      <c r="F210" s="13"/>
      <c r="G210" s="13"/>
      <c r="H210" s="13" t="s">
        <v>68</v>
      </c>
      <c r="I210" s="101" t="s">
        <v>44</v>
      </c>
      <c r="J210" s="101"/>
      <c r="K210" s="6">
        <f>[9]!'id68?req?PKI_STK_SMART_USD_~/'</f>
        <v>0</v>
      </c>
      <c r="L210" s="6" t="str">
        <f>[9]!id68?orderTypes</f>
        <v>ACTIVETIM,ADJUST,ALERT,ALGO,ALLOC,AON,AVGCOST,BASKET,COND,CONDORDER,DARKONLY,DARKPOLL,DAY,DEACT,DEACTDIS,DEACTEOD,DIS,GAT,GTC,GTD,GTT,HID,IBKRATS,ICE,IMB,IOC,LIT,LMT,LOC,MIT,MKT,MOC,MTL,NGCOMB,NODARK,NONALGO,OCA,OPG,OPGREROUT,PEGBENCH,POSTONLY,PREOPGRTH,R</v>
      </c>
      <c r="M210" s="6" t="str">
        <f>[9]!id68?validExchanges</f>
        <v>SMART,NYSE,CBOE,ISE,CHX,ARCA,ISLAND,VWAP,DRCTEDGE,NSX,BEX,BATS,EDGEA,CSFBALGO,JEFFALGO,BYX,IEX,TPLUS2,PSX</v>
      </c>
      <c r="N210" s="6">
        <f>[9]!id68?conid</f>
        <v>6737</v>
      </c>
      <c r="O210" s="6">
        <f>[9]!id68?minTick</f>
        <v>0.01</v>
      </c>
      <c r="P210" s="6">
        <f>[9]!id68?multiplier</f>
        <v>0</v>
      </c>
      <c r="Q210" s="6" t="str">
        <f>[9]!id68?marketName</f>
        <v>PKI</v>
      </c>
      <c r="R210" s="6" t="str">
        <f>[9]!id68?tradingClass</f>
        <v>PKI</v>
      </c>
    </row>
    <row r="211" spans="1:18" hidden="1" x14ac:dyDescent="0.2">
      <c r="A211" s="176" t="s">
        <v>931</v>
      </c>
      <c r="B211" s="13" t="s">
        <v>12</v>
      </c>
      <c r="C211" s="13" t="b">
        <f t="shared" si="2"/>
        <v>0</v>
      </c>
      <c r="D211" s="13"/>
      <c r="E211" s="63"/>
      <c r="F211" s="13"/>
      <c r="G211" s="13"/>
      <c r="H211" s="13" t="s">
        <v>68</v>
      </c>
      <c r="I211" s="101" t="s">
        <v>44</v>
      </c>
      <c r="J211" s="101"/>
      <c r="K211" s="6">
        <f>[9]!'id69?req?EA_STK_SMART_USD_~/'</f>
        <v>0</v>
      </c>
      <c r="L211" s="6" t="str">
        <f>[9]!id69?orderTypes</f>
        <v>ACTIVETIM,ADJUST,ALERT,ALGO,ALLOC,AON,AVGCOST,BASKET,COND,CONDORDER,DARKONLY,DARKPOLL,DAY,DEACT,DEACTDIS,DEACTEOD,DIS,GAT,GTC,GTD,GTT,HID,IBKRATS,ICE,IMB,IOC,LIT,LMT,LOC,MIT,MKT,MOC,MTL,NGCOMB,NODARK,NONALGO,OCA,OPG,OPGREROUT,PEGBENCH,POSTONLY,PREOPGRTH,R</v>
      </c>
      <c r="M211" s="6" t="str">
        <f>[9]!id69?validExchanges</f>
        <v>SMART,CBOE,ISE,CHX,ARCA,ISLAND,VWAP,DRCTEDGE,NSX,BEX,BATS,EDGEA,CSFBALGO,JEFFALGO,BYX,IEX,TPLUS2,PSX</v>
      </c>
      <c r="N211" s="6">
        <f>[9]!id69?conid</f>
        <v>268995</v>
      </c>
      <c r="O211" s="6">
        <f>[9]!id69?minTick</f>
        <v>0.01</v>
      </c>
      <c r="P211" s="6">
        <f>[9]!id69?multiplier</f>
        <v>0</v>
      </c>
      <c r="Q211" s="6" t="str">
        <f>[9]!id69?marketName</f>
        <v>NMS</v>
      </c>
      <c r="R211" s="6" t="str">
        <f>[9]!id69?tradingClass</f>
        <v>NMS</v>
      </c>
    </row>
    <row r="212" spans="1:18" hidden="1" x14ac:dyDescent="0.2">
      <c r="A212" s="176" t="s">
        <v>932</v>
      </c>
      <c r="B212" s="13" t="s">
        <v>12</v>
      </c>
      <c r="C212" s="13" t="b">
        <f t="shared" si="2"/>
        <v>1</v>
      </c>
      <c r="D212" s="13"/>
      <c r="E212" s="63"/>
      <c r="F212" s="13"/>
      <c r="G212" s="13"/>
      <c r="H212" s="13" t="s">
        <v>68</v>
      </c>
      <c r="I212" s="101" t="s">
        <v>44</v>
      </c>
      <c r="J212" s="101"/>
      <c r="K212" s="6">
        <f>[9]!'id70?req?CRM_STK_SMART_USD_~/'</f>
        <v>0</v>
      </c>
      <c r="L212" s="6" t="str">
        <f>[9]!id70?orderTypes</f>
        <v>ACTIVETIM,ADJUST,ALERT,ALGO,ALLOC,AON,AVGCOST,BASKET,COND,CONDORDER,DARKONLY,DARKPOLL,DAY,DEACT,DEACTDIS,DEACTEOD,DIS,GAT,GTC,GTD,GTT,HID,IBKRATS,ICE,IMB,IOC,LIT,LMT,LOC,MIT,MKT,MOC,MTL,NGCOMB,NODARK,NONALGO,OCA,OPG,OPGREROUT,PEGBENCH,POSTONLY,PREOPGRTH,R</v>
      </c>
      <c r="M212" s="6" t="str">
        <f>[9]!id70?validExchanges</f>
        <v>SMART,NYSE,CBOE,ISE,CHX,ARCA,ISLAND,DRCTEDGE,NSX,BEX,BATS,EDGEA,CSFBALGO,JEFFALGO,BYX,IEX,TPLUS2,PSX</v>
      </c>
      <c r="N212" s="6">
        <f>[9]!id70?conid</f>
        <v>29624264</v>
      </c>
      <c r="O212" s="6">
        <f>[9]!id70?minTick</f>
        <v>0.01</v>
      </c>
      <c r="P212" s="6">
        <f>[9]!id70?multiplier</f>
        <v>0</v>
      </c>
      <c r="Q212" s="6" t="str">
        <f>[9]!id70?marketName</f>
        <v>CRM</v>
      </c>
      <c r="R212" s="6" t="str">
        <f>[9]!id70?tradingClass</f>
        <v>CRM</v>
      </c>
    </row>
    <row r="213" spans="1:18" hidden="1" x14ac:dyDescent="0.2">
      <c r="A213" s="176" t="s">
        <v>933</v>
      </c>
      <c r="B213" s="13" t="s">
        <v>12</v>
      </c>
      <c r="C213" s="13" t="b">
        <f t="shared" si="2"/>
        <v>1</v>
      </c>
      <c r="D213" s="13"/>
      <c r="E213" s="63"/>
      <c r="F213" s="13"/>
      <c r="G213" s="13"/>
      <c r="H213" s="13" t="s">
        <v>68</v>
      </c>
      <c r="I213" s="101" t="s">
        <v>44</v>
      </c>
      <c r="J213" s="101"/>
      <c r="K213" s="6">
        <f>[9]!'id71?req?EMR_STK_SMART_USD_~/'</f>
        <v>0</v>
      </c>
      <c r="L213" s="6" t="str">
        <f>[9]!id71?orderTypes</f>
        <v>ACTIVETIM,ADJUST,ALERT,ALGO,ALLOC,AON,AVGCOST,BASKET,COND,CONDORDER,DARKONLY,DARKPOLL,DAY,DEACT,DEACTDIS,DEACTEOD,DIS,GAT,GTC,GTD,GTT,HID,IBKRATS,ICE,IMB,IOC,LIT,LMT,LOC,MIT,MKT,MOC,MTL,NGCOMB,NODARK,NONALGO,OCA,OPG,OPGREROUT,PEGBENCH,POSTONLY,PREOPGRTH,R</v>
      </c>
      <c r="M213" s="6" t="str">
        <f>[9]!id71?validExchanges</f>
        <v>SMART,NYSE,CBOE,ISE,CHX,ARCA,ISLAND,VWAP,DRCTEDGE,NSX,BEX,BATS,EDGEA,CSFBALGO,JEFFALGO,BYX,IEX,TPLUS2,PSX</v>
      </c>
      <c r="N213" s="6">
        <f>[9]!id71?conid</f>
        <v>6842</v>
      </c>
      <c r="O213" s="6">
        <f>[9]!id71?minTick</f>
        <v>0.01</v>
      </c>
      <c r="P213" s="6">
        <f>[9]!id71?multiplier</f>
        <v>0</v>
      </c>
      <c r="Q213" s="6" t="str">
        <f>[9]!id71?marketName</f>
        <v>EMR</v>
      </c>
      <c r="R213" s="6" t="str">
        <f>[9]!id71?tradingClass</f>
        <v>EMR</v>
      </c>
    </row>
    <row r="214" spans="1:18" hidden="1" x14ac:dyDescent="0.2">
      <c r="A214" s="176" t="s">
        <v>934</v>
      </c>
      <c r="B214" s="13" t="s">
        <v>12</v>
      </c>
      <c r="C214" s="13" t="b">
        <f t="shared" si="2"/>
        <v>1</v>
      </c>
      <c r="D214" s="13"/>
      <c r="E214" s="63"/>
      <c r="F214" s="13"/>
      <c r="G214" s="13"/>
      <c r="H214" s="13" t="s">
        <v>68</v>
      </c>
      <c r="I214" s="101" t="s">
        <v>44</v>
      </c>
      <c r="J214" s="101"/>
      <c r="K214" s="6">
        <f>[9]!'id72?req?ESS_STK_SMART_USD_~/'</f>
        <v>0</v>
      </c>
      <c r="L214" s="6" t="str">
        <f>[9]!id72?orderTypes</f>
        <v>ACTIVETIM,ADJUST,ALERT,ALGO,ALLOC,AON,AVGCOST,BASKET,COND,CONDORDER,DARKONLY,DARKPOLL,DAY,DEACT,DEACTDIS,DEACTEOD,DIS,GAT,GTC,GTD,GTT,HID,IBKRATS,ICE,IMB,IOC,LIT,LMT,LOC,MIT,MKT,MOC,MTL,NGCOMB,NODARK,NONALGO,OCA,OPG,OPGREROUT,PEGBENCH,POSTONLY,PREOPGRTH,R</v>
      </c>
      <c r="M214" s="6" t="str">
        <f>[9]!id72?validExchanges</f>
        <v>SMART,NYSE,CBOE,ISE,CHX,ARCA,ISLAND,DRCTEDGE,NSX,BEX,BATS,EDGEA,CSFBALGO,JEFFALGO,BYX,IEX,TPLUS2,PSX</v>
      </c>
      <c r="N214" s="6">
        <f>[9]!id72?conid</f>
        <v>6946</v>
      </c>
      <c r="O214" s="6">
        <f>[9]!id72?minTick</f>
        <v>0.01</v>
      </c>
      <c r="P214" s="6">
        <f>[9]!id72?multiplier</f>
        <v>0</v>
      </c>
      <c r="Q214" s="6" t="str">
        <f>[9]!id72?marketName</f>
        <v>ESS</v>
      </c>
      <c r="R214" s="6" t="str">
        <f>[9]!id72?tradingClass</f>
        <v>ESS</v>
      </c>
    </row>
    <row r="215" spans="1:18" hidden="1" x14ac:dyDescent="0.2">
      <c r="A215" s="176" t="s">
        <v>935</v>
      </c>
      <c r="B215" s="13" t="s">
        <v>12</v>
      </c>
      <c r="C215" s="13" t="b">
        <f t="shared" si="2"/>
        <v>1</v>
      </c>
      <c r="D215" s="13"/>
      <c r="E215" s="63"/>
      <c r="F215" s="13"/>
      <c r="G215" s="13"/>
      <c r="H215" s="13" t="s">
        <v>68</v>
      </c>
      <c r="I215" s="101" t="s">
        <v>44</v>
      </c>
      <c r="J215" s="101"/>
      <c r="K215" s="6">
        <f>[9]!'id73?req?ETR_STK_SMART_USD_~/'</f>
        <v>0</v>
      </c>
      <c r="L215" s="6" t="str">
        <f>[9]!id73?orderTypes</f>
        <v>ACTIVETIM,ADJUST,ALERT,ALGO,ALLOC,AON,AVGCOST,BASKET,COND,CONDORDER,DARKONLY,DARKPOLL,DAY,DEACT,DEACTDIS,DEACTEOD,DIS,GAT,GTC,GTD,GTT,HID,IBKRATS,ICE,IMB,IOC,LIT,LMT,LOC,MIT,MKT,MOC,MTL,NGCOMB,NODARK,NONALGO,OCA,OPG,OPGREROUT,PEGBENCH,POSTONLY,PREOPGRTH,R</v>
      </c>
      <c r="M215" s="6" t="str">
        <f>[9]!id73?validExchanges</f>
        <v>SMART,NYSE,CBOE,ISE,CHX,ARCA,ISLAND,VWAP,DRCTEDGE,NSX,BEX,BATS,EDGEA,CSFBALGO,JEFFALGO,BYX,IEX,TPLUS2,PSX</v>
      </c>
      <c r="N215" s="6">
        <f>[9]!id73?conid</f>
        <v>6969</v>
      </c>
      <c r="O215" s="6">
        <f>[9]!id73?minTick</f>
        <v>0.01</v>
      </c>
      <c r="P215" s="6">
        <f>[9]!id73?multiplier</f>
        <v>0</v>
      </c>
      <c r="Q215" s="6" t="str">
        <f>[9]!id73?marketName</f>
        <v>ETR</v>
      </c>
      <c r="R215" s="6" t="str">
        <f>[9]!id73?tradingClass</f>
        <v>ETR</v>
      </c>
    </row>
    <row r="216" spans="1:18" hidden="1" x14ac:dyDescent="0.2">
      <c r="A216" s="176" t="s">
        <v>936</v>
      </c>
      <c r="B216" s="13" t="s">
        <v>12</v>
      </c>
      <c r="C216" s="13" t="b">
        <f t="shared" si="2"/>
        <v>1</v>
      </c>
      <c r="D216" s="13"/>
      <c r="E216" s="63"/>
      <c r="F216" s="13"/>
      <c r="G216" s="13"/>
      <c r="H216" s="13" t="s">
        <v>68</v>
      </c>
      <c r="I216" s="101" t="s">
        <v>44</v>
      </c>
      <c r="J216" s="101"/>
      <c r="K216" s="6">
        <f>[9]!'id74?req?EOG_STK_SMART_USD_~/'</f>
        <v>0</v>
      </c>
      <c r="L216" s="6" t="str">
        <f>[9]!id74?orderTypes</f>
        <v>ACTIVETIM,ADJUST,ALERT,ALGO,ALLOC,AON,AVGCOST,BASKET,COND,CONDORDER,DARKONLY,DARKPOLL,DAY,DEACT,DEACTDIS,DEACTEOD,DIS,GAT,GTC,GTD,GTT,HID,IBKRATS,ICE,IMB,IOC,LIT,LMT,LOC,MIT,MKT,MOC,MTL,NGCOMB,NODARK,NONALGO,OCA,OPG,OPGREROUT,PEGBENCH,POSTONLY,PREOPGRTH,R</v>
      </c>
      <c r="M216" s="6" t="str">
        <f>[9]!id74?validExchanges</f>
        <v>SMART,NYSE,CBOE,ISE,CHX,ARCA,ISLAND,VWAP,DRCTEDGE,NSX,BEX,BATS,EDGEA,CSFBALGO,JEFFALGO,BYX,IEX,TPLUS2,PSX</v>
      </c>
      <c r="N216" s="6">
        <f>[9]!id74?conid</f>
        <v>6890</v>
      </c>
      <c r="O216" s="6">
        <f>[9]!id74?minTick</f>
        <v>0.01</v>
      </c>
      <c r="P216" s="6">
        <f>[9]!id74?multiplier</f>
        <v>0</v>
      </c>
      <c r="Q216" s="6" t="str">
        <f>[9]!id74?marketName</f>
        <v>EOG</v>
      </c>
      <c r="R216" s="6" t="str">
        <f>[9]!id74?tradingClass</f>
        <v>EOG</v>
      </c>
    </row>
    <row r="217" spans="1:18" hidden="1" x14ac:dyDescent="0.2">
      <c r="A217" s="176" t="s">
        <v>937</v>
      </c>
      <c r="B217" s="13" t="s">
        <v>12</v>
      </c>
      <c r="C217" s="13" t="b">
        <f t="shared" si="2"/>
        <v>1</v>
      </c>
      <c r="D217" s="13"/>
      <c r="E217" s="63"/>
      <c r="F217" s="13"/>
      <c r="G217" s="13"/>
      <c r="H217" s="13" t="s">
        <v>68</v>
      </c>
      <c r="I217" s="101" t="s">
        <v>44</v>
      </c>
      <c r="J217" s="101"/>
      <c r="K217" s="6">
        <f>[9]!'id75?req?EFX_STK_SMART_USD_~/'</f>
        <v>0</v>
      </c>
      <c r="L217" s="6" t="str">
        <f>[9]!id75?orderTypes</f>
        <v>ACTIVETIM,ADJUST,ALERT,ALGO,ALLOC,AON,AVGCOST,BASKET,COND,CONDORDER,DARKONLY,DARKPOLL,DAY,DEACT,DEACTDIS,DEACTEOD,DIS,GAT,GTC,GTD,GTT,HID,IBKRATS,ICE,IMB,IOC,LIT,LMT,LOC,MIT,MKT,MOC,MTL,NGCOMB,NODARK,NONALGO,OCA,OPG,OPGREROUT,PEGBENCH,POSTONLY,PREOPGRTH,R</v>
      </c>
      <c r="M217" s="6" t="str">
        <f>[9]!id75?validExchanges</f>
        <v>SMART,NYSE,ISE,CHX,ARCA,ISLAND,VWAP,DRCTEDGE,NSX,BEX,BATS,EDGEA,CSFBALGO,JEFFALGO,BYX,IEX,TPLUS2,PSX</v>
      </c>
      <c r="N217" s="6">
        <f>[9]!id75?conid</f>
        <v>6735</v>
      </c>
      <c r="O217" s="6">
        <f>[9]!id75?minTick</f>
        <v>0.01</v>
      </c>
      <c r="P217" s="6">
        <f>[9]!id75?multiplier</f>
        <v>0</v>
      </c>
      <c r="Q217" s="6" t="str">
        <f>[9]!id75?marketName</f>
        <v>EFX</v>
      </c>
      <c r="R217" s="6" t="str">
        <f>[9]!id75?tradingClass</f>
        <v>EFX</v>
      </c>
    </row>
    <row r="218" spans="1:18" hidden="1" x14ac:dyDescent="0.2">
      <c r="A218" s="176" t="s">
        <v>938</v>
      </c>
      <c r="B218" s="13" t="s">
        <v>12</v>
      </c>
      <c r="C218" s="13" t="b">
        <f t="shared" si="2"/>
        <v>1</v>
      </c>
      <c r="D218" s="13"/>
      <c r="E218" s="63"/>
      <c r="F218" s="13"/>
      <c r="G218" s="13"/>
      <c r="H218" s="13" t="s">
        <v>68</v>
      </c>
      <c r="I218" s="101" t="s">
        <v>44</v>
      </c>
      <c r="J218" s="101"/>
      <c r="K218" s="6">
        <f>[9]!'id76?req?EQR_STK_SMART_USD_~/'</f>
        <v>0</v>
      </c>
      <c r="L218" s="6" t="str">
        <f>[9]!id76?orderTypes</f>
        <v>ACTIVETIM,ADJUST,ALERT,ALGO,ALLOC,AON,AVGCOST,BASKET,COND,CONDORDER,DARKONLY,DARKPOLL,DAY,DEACT,DEACTDIS,DEACTEOD,DIS,GAT,GTC,GTD,GTT,HID,IBKRATS,ICE,IMB,IOC,LIT,LMT,LOC,MIT,MKT,MOC,MTL,NGCOMB,NODARK,NONALGO,OCA,OPG,OPGREROUT,PEGBENCH,POSTONLY,PREOPGRTH,R</v>
      </c>
      <c r="M218" s="6" t="str">
        <f>[9]!id76?validExchanges</f>
        <v>SMART,NYSE,CBOE,ISE,CHX,ARCA,ISLAND,VWAP,DRCTEDGE,NSX,BEX,BATS,EDGEA,CSFBALGO,JEFFALGO,BYX,IEX,TPLUS2,PSX</v>
      </c>
      <c r="N218" s="6">
        <f>[9]!id76?conid</f>
        <v>6917</v>
      </c>
      <c r="O218" s="6">
        <f>[9]!id76?minTick</f>
        <v>0.01</v>
      </c>
      <c r="P218" s="6">
        <f>[9]!id76?multiplier</f>
        <v>0</v>
      </c>
      <c r="Q218" s="6" t="str">
        <f>[9]!id76?marketName</f>
        <v>EQR</v>
      </c>
      <c r="R218" s="6" t="str">
        <f>[9]!id76?tradingClass</f>
        <v>EQR</v>
      </c>
    </row>
    <row r="219" spans="1:18" hidden="1" x14ac:dyDescent="0.2">
      <c r="A219" s="176" t="s">
        <v>939</v>
      </c>
      <c r="B219" s="13" t="s">
        <v>12</v>
      </c>
      <c r="C219" s="13" t="b">
        <f t="shared" si="2"/>
        <v>1</v>
      </c>
      <c r="D219" s="13"/>
      <c r="E219" s="63"/>
      <c r="F219" s="13"/>
      <c r="G219" s="13"/>
      <c r="H219" s="13" t="s">
        <v>68</v>
      </c>
      <c r="I219" s="101" t="s">
        <v>44</v>
      </c>
      <c r="J219" s="101"/>
      <c r="K219" s="6">
        <f>[9]!'id77?req?EQT_STK_SMART_USD_~/'</f>
        <v>0</v>
      </c>
      <c r="L219" s="6" t="str">
        <f>[9]!id77?orderTypes</f>
        <v>ACTIVETIM,ADJUST,ALERT,ALGO,ALLOC,AON,AVGCOST,BASKET,COND,CONDORDER,DARKONLY,DARKPOLL,DAY,DEACT,DEACTDIS,DEACTEOD,DIS,GAT,GTC,GTD,GTT,HID,IBKRATS,ICE,IMB,IOC,LIT,LMT,LOC,MIT,MKT,MOC,MTL,NGCOMB,NODARK,NONALGO,OCA,OPG,OPGREROUT,PEGBENCH,POSTONLY,PREOPGRTH,R</v>
      </c>
      <c r="M219" s="6" t="str">
        <f>[9]!id77?validExchanges</f>
        <v>SMART,NYSE,CBOE,ISE,CHX,ARCA,ISLAND,DRCTEDGE,NSX,BEX,BATS,EDGEA,CSFBALGO,JEFFALGO,BYX,IEX,TPLUS2,PSX</v>
      </c>
      <c r="N219" s="6">
        <f>[9]!id77?conid</f>
        <v>57698865</v>
      </c>
      <c r="O219" s="6">
        <f>[9]!id77?minTick</f>
        <v>0.01</v>
      </c>
      <c r="P219" s="6">
        <f>[9]!id77?multiplier</f>
        <v>0</v>
      </c>
      <c r="Q219" s="6" t="str">
        <f>[9]!id77?marketName</f>
        <v>EQT</v>
      </c>
      <c r="R219" s="6" t="str">
        <f>[9]!id77?tradingClass</f>
        <v>EQT</v>
      </c>
    </row>
    <row r="220" spans="1:18" hidden="1" x14ac:dyDescent="0.2">
      <c r="A220" s="176" t="s">
        <v>940</v>
      </c>
      <c r="B220" s="13" t="s">
        <v>12</v>
      </c>
      <c r="C220" s="13" t="b">
        <f t="shared" si="2"/>
        <v>1</v>
      </c>
      <c r="D220" s="13"/>
      <c r="E220" s="63"/>
      <c r="F220" s="13"/>
      <c r="G220" s="13"/>
      <c r="H220" s="13" t="s">
        <v>68</v>
      </c>
      <c r="I220" s="101" t="s">
        <v>44</v>
      </c>
      <c r="J220" s="101"/>
      <c r="K220" s="6">
        <f>[9]!'id78?req?EL_STK_SMART_USD_~/'</f>
        <v>0</v>
      </c>
      <c r="L220" s="6" t="str">
        <f>[9]!id78?orderTypes</f>
        <v>ACTIVETIM,ADJUST,ALERT,ALGO,ALLOC,AON,AVGCOST,BASKET,COND,CONDORDER,DARKONLY,DARKPOLL,DAY,DEACT,DEACTDIS,DEACTEOD,DIS,GAT,GTC,GTD,GTT,HID,IBKRATS,ICE,IMB,IOC,LIT,LMT,LOC,MIT,MKT,MOC,MTL,NGCOMB,NODARK,NONALGO,OCA,OPG,OPGREROUT,PEGBENCH,POSTONLY,PREOPGRTH,R</v>
      </c>
      <c r="M220" s="6" t="str">
        <f>[9]!id78?validExchanges</f>
        <v>SMART,NYSE,CBOE,ISE,CHX,ARCA,ISLAND,VWAP,DRCTEDGE,NSX,BEX,BATS,EDGEA,CSFBALGO,JEFFALGO,BYX,IEX,TPLUS2,PSX</v>
      </c>
      <c r="N220" s="6">
        <f>[9]!id78?conid</f>
        <v>1448477</v>
      </c>
      <c r="O220" s="6">
        <f>[9]!id78?minTick</f>
        <v>0.01</v>
      </c>
      <c r="P220" s="6">
        <f>[9]!id78?multiplier</f>
        <v>0</v>
      </c>
      <c r="Q220" s="6" t="str">
        <f>[9]!id78?marketName</f>
        <v>EL</v>
      </c>
      <c r="R220" s="6" t="str">
        <f>[9]!id78?tradingClass</f>
        <v>EL</v>
      </c>
    </row>
    <row r="221" spans="1:18" hidden="1" x14ac:dyDescent="0.2">
      <c r="A221" s="176" t="s">
        <v>941</v>
      </c>
      <c r="B221" s="13" t="s">
        <v>12</v>
      </c>
      <c r="C221" s="13" t="b">
        <f t="shared" si="2"/>
        <v>0</v>
      </c>
      <c r="D221" s="13"/>
      <c r="E221" s="63"/>
      <c r="F221" s="13"/>
      <c r="G221" s="13"/>
      <c r="H221" s="13" t="s">
        <v>68</v>
      </c>
      <c r="I221" s="101" t="s">
        <v>44</v>
      </c>
      <c r="J221" s="101"/>
      <c r="K221" s="6">
        <f>[9]!'id79?req?EXPD_STK_SMART_USD_~/'</f>
        <v>0</v>
      </c>
      <c r="L221" s="6" t="str">
        <f>[9]!id79?orderTypes</f>
        <v>ACTIVETIM,ADJUST,ALERT,ALGO,ALLOC,AON,AVGCOST,BASKET,COND,CONDORDER,DARKONLY,DARKPOLL,DAY,DEACT,DEACTDIS,DEACTEOD,DIS,GAT,GTC,GTD,GTT,HID,IBKRATS,ICE,IMB,IOC,LIT,LMT,LOC,MIT,MKT,MOC,MTL,NGCOMB,NODARK,NONALGO,OCA,OPG,OPGREROUT,PEGBENCH,POSTONLY,PREOPGRTH,R</v>
      </c>
      <c r="M221" s="6" t="str">
        <f>[9]!id79?validExchanges</f>
        <v>SMART,CBOE,ISE,CHX,ARCA,ISLAND,DRCTEDGE,NSX,BEX,BATS,EDGEA,CSFBALGO,JEFFALGO,BYX,IEX,TPLUS2,PSX</v>
      </c>
      <c r="N221" s="6">
        <f>[9]!id79?conid</f>
        <v>269082</v>
      </c>
      <c r="O221" s="6">
        <f>[9]!id79?minTick</f>
        <v>0.01</v>
      </c>
      <c r="P221" s="6">
        <f>[9]!id79?multiplier</f>
        <v>0</v>
      </c>
      <c r="Q221" s="6" t="str">
        <f>[9]!id79?marketName</f>
        <v>NMS</v>
      </c>
      <c r="R221" s="6" t="str">
        <f>[9]!id79?tradingClass</f>
        <v>NMS</v>
      </c>
    </row>
    <row r="222" spans="1:18" hidden="1" x14ac:dyDescent="0.2">
      <c r="A222" s="176" t="s">
        <v>942</v>
      </c>
      <c r="B222" s="13" t="s">
        <v>12</v>
      </c>
      <c r="C222" s="13" t="b">
        <f t="shared" si="2"/>
        <v>1</v>
      </c>
      <c r="D222" s="13"/>
      <c r="E222" s="63"/>
      <c r="F222" s="13"/>
      <c r="G222" s="13"/>
      <c r="H222" s="13" t="s">
        <v>68</v>
      </c>
      <c r="I222" s="101" t="s">
        <v>44</v>
      </c>
      <c r="J222" s="101"/>
      <c r="K222" s="6">
        <f>[9]!'id80?req?XOM_STK_SMART_USD_~/'</f>
        <v>0</v>
      </c>
      <c r="L222" s="6" t="str">
        <f>[9]!id80?orderTypes</f>
        <v>ACTIVETIM,ADJUST,ALERT,ALGO,ALLOC,AON,AVGCOST,BASKET,COND,CONDORDER,DARKONLY,DARKPOLL,DAY,DEACT,DEACTDIS,DEACTEOD,DIS,GAT,GTC,GTD,GTT,HID,IBKRATS,ICE,IMB,IOC,LIT,LMT,LOC,MIT,MKT,MOC,MTL,NGCOMB,NODARK,NONALGO,OCA,OPG,OPGREROUT,PEGBENCH,POSTONLY,PREOPGRTH,R</v>
      </c>
      <c r="M222" s="6" t="str">
        <f>[9]!id80?validExchanges</f>
        <v>SMART,NYSE,CBOE,ISE,CHX,ARCA,ISLAND,VWAP,DRCTEDGE,NSX,BEX,BATS,EDGEA,CSFBALGO,JEFFALGO,BYX,IEX,TPLUS2,PSX</v>
      </c>
      <c r="N222" s="6">
        <f>[9]!id80?conid</f>
        <v>13977</v>
      </c>
      <c r="O222" s="6">
        <f>[9]!id80?minTick</f>
        <v>0.01</v>
      </c>
      <c r="P222" s="6">
        <f>[9]!id80?multiplier</f>
        <v>0</v>
      </c>
      <c r="Q222" s="6" t="str">
        <f>[9]!id80?marketName</f>
        <v>XOM</v>
      </c>
      <c r="R222" s="6" t="str">
        <f>[9]!id80?tradingClass</f>
        <v>XOM</v>
      </c>
    </row>
    <row r="223" spans="1:18" hidden="1" x14ac:dyDescent="0.2">
      <c r="A223" s="176" t="s">
        <v>943</v>
      </c>
      <c r="B223" s="13" t="s">
        <v>12</v>
      </c>
      <c r="C223" s="13" t="b">
        <f t="shared" si="2"/>
        <v>1</v>
      </c>
      <c r="D223" s="13"/>
      <c r="E223" s="63"/>
      <c r="F223" s="13"/>
      <c r="G223" s="13"/>
      <c r="H223" s="13" t="s">
        <v>68</v>
      </c>
      <c r="I223" s="101" t="s">
        <v>44</v>
      </c>
      <c r="J223" s="101"/>
      <c r="K223" s="6">
        <f>[9]!'id81?req?FMC_STK_SMART_USD_~/'</f>
        <v>0</v>
      </c>
      <c r="L223" s="6" t="str">
        <f>[9]!id81?orderTypes</f>
        <v>ACTIVETIM,ADJUST,ALERT,ALGO,ALLOC,AON,AVGCOST,BASKET,COND,CONDORDER,DARKONLY,DARKPOLL,DAY,DEACT,DEACTDIS,DEACTEOD,DIS,GAT,GTC,GTD,GTT,HID,IBKRATS,ICE,IMB,IOC,LIT,LMT,LOC,MIT,MKT,MOC,MTL,NGCOMB,NODARK,NONALGO,OCA,OPG,OPGREROUT,PEGBENCH,POSTONLY,PREOPGRTH,R</v>
      </c>
      <c r="M223" s="6" t="str">
        <f>[9]!id81?validExchanges</f>
        <v>SMART,NYSE,CBOE,ISE,CHX,ARCA,ISLAND,VWAP,DRCTEDGE,NSX,BEX,BATS,EDGEA,CSFBALGO,JEFFALGO,BYX,IEX,TPLUS2,PSX</v>
      </c>
      <c r="N223" s="6">
        <f>[9]!id81?conid</f>
        <v>7238</v>
      </c>
      <c r="O223" s="6">
        <f>[9]!id81?minTick</f>
        <v>0.01</v>
      </c>
      <c r="P223" s="6">
        <f>[9]!id81?multiplier</f>
        <v>0</v>
      </c>
      <c r="Q223" s="6" t="str">
        <f>[9]!id81?marketName</f>
        <v>FMC</v>
      </c>
      <c r="R223" s="6" t="str">
        <f>[9]!id81?tradingClass</f>
        <v>FMC</v>
      </c>
    </row>
    <row r="224" spans="1:18" hidden="1" x14ac:dyDescent="0.2">
      <c r="A224" s="176" t="s">
        <v>944</v>
      </c>
      <c r="B224" s="13" t="s">
        <v>12</v>
      </c>
      <c r="C224" s="13" t="b">
        <f t="shared" si="2"/>
        <v>1</v>
      </c>
      <c r="D224" s="13"/>
      <c r="E224" s="63"/>
      <c r="F224" s="13"/>
      <c r="G224" s="13"/>
      <c r="H224" s="13" t="s">
        <v>68</v>
      </c>
      <c r="I224" s="101" t="s">
        <v>44</v>
      </c>
      <c r="J224" s="101"/>
      <c r="K224" s="6">
        <f>[9]!'id82?req?NEE_STK_SMART_USD_~/'</f>
        <v>0</v>
      </c>
      <c r="L224" s="6" t="str">
        <f>[9]!id82?orderTypes</f>
        <v>ACTIVETIM,ADJUST,ALERT,ALGO,ALLOC,AON,AVGCOST,BASKET,COND,CONDORDER,DARKONLY,DARKPOLL,DAY,DEACT,DEACTDIS,DEACTEOD,DIS,GAT,GTC,GTD,GTT,HID,IBKRATS,ICE,IMB,IOC,LIT,LMT,LOC,MIT,MKT,MOC,MTL,NGCOMB,NODARK,NONALGO,OCA,OPG,OPGREROUT,PEGBENCH,POSTONLY,PREOPGRTH,R</v>
      </c>
      <c r="M224" s="6" t="str">
        <f>[9]!id82?validExchanges</f>
        <v>SMART,NYSE,CBOE,ISE,CHX,ARCA,ISLAND,VWAP,DRCTEDGE,NSX,BEX,BATS,EDGEA,CSFBALGO,JEFFALGO,BYX,IEX,TPLUS2,PSX</v>
      </c>
      <c r="N224" s="6">
        <f>[9]!id82?conid</f>
        <v>75960201</v>
      </c>
      <c r="O224" s="6">
        <f>[9]!id82?minTick</f>
        <v>0.01</v>
      </c>
      <c r="P224" s="6">
        <f>[9]!id82?multiplier</f>
        <v>0</v>
      </c>
      <c r="Q224" s="6" t="str">
        <f>[9]!id82?marketName</f>
        <v>NEE</v>
      </c>
      <c r="R224" s="6" t="str">
        <f>[9]!id82?tradingClass</f>
        <v>NEE</v>
      </c>
    </row>
    <row r="225" spans="1:18" hidden="1" x14ac:dyDescent="0.2">
      <c r="A225" s="176" t="s">
        <v>945</v>
      </c>
      <c r="B225" s="13" t="s">
        <v>12</v>
      </c>
      <c r="C225" s="13" t="b">
        <f t="shared" si="2"/>
        <v>1</v>
      </c>
      <c r="D225" s="13"/>
      <c r="E225" s="63"/>
      <c r="F225" s="13"/>
      <c r="G225" s="13"/>
      <c r="H225" s="13" t="s">
        <v>68</v>
      </c>
      <c r="I225" s="101" t="s">
        <v>44</v>
      </c>
      <c r="J225" s="101"/>
      <c r="K225" s="6">
        <f>[9]!'id83?req?AIZ_STK_SMART_USD_~/'</f>
        <v>0</v>
      </c>
      <c r="L225" s="6" t="str">
        <f>[9]!id83?orderTypes</f>
        <v>ACTIVETIM,ADJUST,ALERT,ALGO,ALLOC,AON,AVGCOST,BASKET,COND,CONDORDER,DARKONLY,DARKPOLL,DAY,DEACT,DEACTDIS,DEACTEOD,DIS,GAT,GTC,GTD,GTT,HID,IBKRATS,ICE,IMB,IOC,LIT,LMT,LOC,MIT,MKT,MOC,MTL,NGCOMB,NODARK,NONALGO,OCA,OPG,OPGREROUT,PEGBENCH,POSTONLY,PREOPGRTH,R</v>
      </c>
      <c r="M225" s="6" t="str">
        <f>[9]!id83?validExchanges</f>
        <v>SMART,NYSE,CBOE,ISE,CHX,ARCA,ISLAND,DRCTEDGE,NSX,BEX,BATS,EDGEA,CSFBALGO,JEFFALGO,BYX,IEX,TPLUS2,PSX</v>
      </c>
      <c r="N225" s="6">
        <f>[9]!id83?conid</f>
        <v>27727424</v>
      </c>
      <c r="O225" s="6">
        <f>[9]!id83?minTick</f>
        <v>0.01</v>
      </c>
      <c r="P225" s="6">
        <f>[9]!id83?multiplier</f>
        <v>0</v>
      </c>
      <c r="Q225" s="6" t="str">
        <f>[9]!id83?marketName</f>
        <v>AIZ</v>
      </c>
      <c r="R225" s="6" t="str">
        <f>[9]!id83?tradingClass</f>
        <v>AIZ</v>
      </c>
    </row>
    <row r="226" spans="1:18" hidden="1" x14ac:dyDescent="0.2">
      <c r="A226" s="176" t="s">
        <v>946</v>
      </c>
      <c r="B226" s="13" t="s">
        <v>12</v>
      </c>
      <c r="C226" s="13" t="b">
        <f t="shared" si="2"/>
        <v>0</v>
      </c>
      <c r="D226" s="13"/>
      <c r="E226" s="63"/>
      <c r="F226" s="13"/>
      <c r="G226" s="13"/>
      <c r="H226" s="13" t="s">
        <v>68</v>
      </c>
      <c r="I226" s="101" t="s">
        <v>44</v>
      </c>
      <c r="J226" s="101"/>
      <c r="K226" s="6">
        <f>[9]!'id84?req?FAST_STK_SMART_USD_~/'</f>
        <v>0</v>
      </c>
      <c r="L226" s="6" t="str">
        <f>[9]!id84?orderTypes</f>
        <v>ACTIVETIM,ADJUST,ALERT,ALGO,ALLOC,AON,AVGCOST,BASKET,COND,CONDORDER,DARKONLY,DARKPOLL,DAY,DEACT,DEACTDIS,DEACTEOD,DIS,GAT,GTC,GTD,GTT,HID,IBKRATS,ICE,IMB,IOC,LIT,LMT,LOC,MIT,MKT,MOC,MTL,NGCOMB,NODARK,NONALGO,OCA,OPG,OPGREROUT,PEGBENCH,POSTONLY,PREOPGRTH,R</v>
      </c>
      <c r="M226" s="6" t="str">
        <f>[9]!id84?validExchanges</f>
        <v>SMART,CBOE,ISE,CHX,ARCA,ISLAND,DRCTEDGE,NSX,BEX,BATS,EDGEA,CSFBALGO,JEFFALGO,BYX,IEX,TPLUS2,PSX</v>
      </c>
      <c r="N226" s="6">
        <f>[9]!id84?conid</f>
        <v>269120</v>
      </c>
      <c r="O226" s="6">
        <f>[9]!id84?minTick</f>
        <v>0.01</v>
      </c>
      <c r="P226" s="6">
        <f>[9]!id84?multiplier</f>
        <v>0</v>
      </c>
      <c r="Q226" s="6" t="str">
        <f>[9]!id84?marketName</f>
        <v>NMS</v>
      </c>
      <c r="R226" s="6" t="str">
        <f>[9]!id84?tradingClass</f>
        <v>NMS</v>
      </c>
    </row>
    <row r="227" spans="1:18" hidden="1" x14ac:dyDescent="0.2">
      <c r="A227" s="176" t="s">
        <v>947</v>
      </c>
      <c r="B227" s="13" t="s">
        <v>12</v>
      </c>
      <c r="C227" s="13" t="b">
        <f t="shared" si="2"/>
        <v>0</v>
      </c>
      <c r="D227" s="13"/>
      <c r="E227" s="63"/>
      <c r="F227" s="13"/>
      <c r="G227" s="13"/>
      <c r="H227" s="13" t="s">
        <v>68</v>
      </c>
      <c r="I227" s="101" t="s">
        <v>44</v>
      </c>
      <c r="J227" s="101"/>
      <c r="K227" s="6">
        <f>[9]!'id85?req?FITB_STK_SMART_USD_~/'</f>
        <v>0</v>
      </c>
      <c r="L227" s="6" t="str">
        <f>[9]!id85?orderTypes</f>
        <v>ACTIVETIM,ADJUST,ALERT,ALGO,ALLOC,AON,AVGCOST,BASKET,COND,CONDORDER,DARKONLY,DARKPOLL,DAY,DEACT,DEACTDIS,DEACTEOD,DIS,GAT,GTC,GTD,GTT,HID,IBKRATS,ICE,IMB,IOC,LIT,LMT,LOC,MIT,MKT,MOC,MTL,NGCOMB,NODARK,NONALGO,OCA,OPG,OPGREROUT,PEGBENCH,POSTONLY,PREOPGRTH,R</v>
      </c>
      <c r="M227" s="6" t="str">
        <f>[9]!id85?validExchanges</f>
        <v>SMART,CBOE,ISE,CHX,ARCA,ISLAND,VWAP,DRCTEDGE,NSX,BEX,BATS,EDGEA,CSFBALGO,JEFFALGO,BYX,IEX,TPLUS2,PSX</v>
      </c>
      <c r="N227" s="6">
        <f>[9]!id85?conid</f>
        <v>269318</v>
      </c>
      <c r="O227" s="6">
        <f>[9]!id85?minTick</f>
        <v>0.01</v>
      </c>
      <c r="P227" s="6">
        <f>[9]!id85?multiplier</f>
        <v>0</v>
      </c>
      <c r="Q227" s="6" t="str">
        <f>[9]!id85?marketName</f>
        <v>NMS</v>
      </c>
      <c r="R227" s="6" t="str">
        <f>[9]!id85?tradingClass</f>
        <v>NMS</v>
      </c>
    </row>
    <row r="228" spans="1:18" hidden="1" x14ac:dyDescent="0.2">
      <c r="A228" s="176" t="s">
        <v>948</v>
      </c>
      <c r="B228" s="13" t="s">
        <v>12</v>
      </c>
      <c r="C228" s="13" t="b">
        <f t="shared" si="2"/>
        <v>1</v>
      </c>
      <c r="D228" s="13"/>
      <c r="E228" s="63"/>
      <c r="F228" s="13"/>
      <c r="G228" s="13"/>
      <c r="H228" s="13" t="s">
        <v>68</v>
      </c>
      <c r="I228" s="101" t="s">
        <v>44</v>
      </c>
      <c r="J228" s="101"/>
      <c r="K228" s="6">
        <f>[9]!'id86?req?MTB_STK_SMART_USD_~/'</f>
        <v>0</v>
      </c>
      <c r="L228" s="6" t="str">
        <f>[9]!id86?orderTypes</f>
        <v>ACTIVETIM,ADJUST,ALERT,ALGO,ALLOC,AON,AVGCOST,BASKET,COND,CONDORDER,DARKONLY,DARKPOLL,DAY,DEACT,DEACTDIS,DEACTEOD,DIS,GAT,GTC,GTD,GTT,HID,IBKRATS,ICE,IMB,IOC,LIT,LMT,LOC,MIT,MKT,MOC,MTL,NGCOMB,NODARK,NONALGO,OCA,OPG,OPGREROUT,PEGBENCH,POSTONLY,PREOPGRTH,R</v>
      </c>
      <c r="M228" s="6" t="str">
        <f>[9]!id86?validExchanges</f>
        <v>SMART,NYSE,CBOE,ISE,CHX,ARCA,ISLAND,VWAP,DRCTEDGE,NSX,BEX,BATS,EDGEA,CSFBALGO,JEFFALGO,BYX,IEX,TPLUS2,PSX</v>
      </c>
      <c r="N228" s="6">
        <f>[9]!id86?conid</f>
        <v>2585323</v>
      </c>
      <c r="O228" s="6">
        <f>[9]!id86?minTick</f>
        <v>0.01</v>
      </c>
      <c r="P228" s="6">
        <f>[9]!id86?multiplier</f>
        <v>0</v>
      </c>
      <c r="Q228" s="6" t="str">
        <f>[9]!id86?marketName</f>
        <v>MTB</v>
      </c>
      <c r="R228" s="6" t="str">
        <f>[9]!id86?tradingClass</f>
        <v>MTB</v>
      </c>
    </row>
    <row r="229" spans="1:18" hidden="1" x14ac:dyDescent="0.2">
      <c r="A229" s="176" t="s">
        <v>949</v>
      </c>
      <c r="B229" s="13" t="s">
        <v>12</v>
      </c>
      <c r="C229" s="13" t="b">
        <f t="shared" si="2"/>
        <v>0</v>
      </c>
      <c r="D229" s="13"/>
      <c r="E229" s="63"/>
      <c r="F229" s="13"/>
      <c r="G229" s="13"/>
      <c r="H229" s="13" t="s">
        <v>68</v>
      </c>
      <c r="I229" s="101" t="s">
        <v>44</v>
      </c>
      <c r="J229" s="101"/>
      <c r="K229" s="6">
        <f>[9]!'id87?req?FISV_STK_SMART_USD_~/'</f>
        <v>0</v>
      </c>
      <c r="L229" s="6" t="str">
        <f>[9]!id87?orderTypes</f>
        <v>ACTIVETIM,ADJUST,ALERT,ALGO,ALLOC,AON,AVGCOST,BASKET,COND,CONDORDER,DARKONLY,DARKPOLL,DAY,DEACT,DEACTDIS,DEACTEOD,DIS,GAT,GTC,GTD,GTT,HID,IBKRATS,ICE,IMB,IOC,LIT,LMT,LOC,MIT,MKT,MOC,MTL,NGCOMB,NODARK,NONALGO,OCA,OPG,OPGREROUT,PEGBENCH,POSTONLY,PREOPGRTH,R</v>
      </c>
      <c r="M229" s="6" t="str">
        <f>[9]!id87?validExchanges</f>
        <v>SMART,CBOE,ISE,CHX,ARCA,ISLAND,VWAP,DRCTEDGE,NSX,BEX,BATS,EDGEA,CSFBALGO,JEFFALGO,BYX,IEX,TPLUS2,PSX</v>
      </c>
      <c r="N229" s="6">
        <f>[9]!id87?conid</f>
        <v>269315</v>
      </c>
      <c r="O229" s="6">
        <f>[9]!id87?minTick</f>
        <v>0.01</v>
      </c>
      <c r="P229" s="6">
        <f>[9]!id87?multiplier</f>
        <v>0</v>
      </c>
      <c r="Q229" s="6" t="str">
        <f>[9]!id87?marketName</f>
        <v>NMS</v>
      </c>
      <c r="R229" s="6" t="str">
        <f>[9]!id87?tradingClass</f>
        <v>NMS</v>
      </c>
    </row>
    <row r="230" spans="1:18" hidden="1" x14ac:dyDescent="0.2">
      <c r="A230" s="176" t="s">
        <v>950</v>
      </c>
      <c r="B230" s="13" t="s">
        <v>12</v>
      </c>
      <c r="C230" s="13" t="b">
        <f t="shared" si="2"/>
        <v>0</v>
      </c>
      <c r="D230" s="13"/>
      <c r="E230" s="63"/>
      <c r="F230" s="13"/>
      <c r="G230" s="13"/>
      <c r="H230" s="13" t="s">
        <v>68</v>
      </c>
      <c r="I230" s="101" t="s">
        <v>44</v>
      </c>
      <c r="J230" s="101"/>
      <c r="K230" s="6">
        <f>[9]!'id88?req?FLIR_STK_SMART_USD_~/'</f>
        <v>0</v>
      </c>
      <c r="L230" s="6" t="str">
        <f>[9]!id88?orderTypes</f>
        <v>ACTIVETIM,ADJUST,ALERT,ALGO,ALLOC,AON,AVGCOST,BASKET,COND,CONDORDER,DARKONLY,DARKPOLL,DAY,DEACT,DEACTDIS,DEACTEOD,DIS,GAT,GTC,GTD,GTT,HID,IBKRATS,ICE,IMB,IOC,LIT,LMT,LOC,MIT,MKT,MOC,MTL,NGCOMB,NODARK,NONALGO,OCA,OPG,OPGREROUT,PEGBENCH,POSTONLY,PREOPGRTH,R</v>
      </c>
      <c r="M230" s="6" t="str">
        <f>[9]!id88?validExchanges</f>
        <v>SMART,CBOE,ISE,CHX,ARCA,ISLAND,DRCTEDGE,NSX,BEX,BATS,EDGEA,CSFBALGO,JEFFALGO,BYX,IEX,TPLUS2,PSX</v>
      </c>
      <c r="N230" s="6">
        <f>[9]!id88?conid</f>
        <v>269345</v>
      </c>
      <c r="O230" s="6">
        <f>[9]!id88?minTick</f>
        <v>0.01</v>
      </c>
      <c r="P230" s="6">
        <f>[9]!id88?multiplier</f>
        <v>0</v>
      </c>
      <c r="Q230" s="6" t="str">
        <f>[9]!id88?marketName</f>
        <v>NMS</v>
      </c>
      <c r="R230" s="6" t="str">
        <f>[9]!id88?tradingClass</f>
        <v>NMS</v>
      </c>
    </row>
    <row r="231" spans="1:18" hidden="1" x14ac:dyDescent="0.2">
      <c r="A231" s="176" t="s">
        <v>951</v>
      </c>
      <c r="B231" s="13" t="s">
        <v>12</v>
      </c>
      <c r="C231" s="13" t="b">
        <f t="shared" si="2"/>
        <v>1</v>
      </c>
      <c r="D231" s="13"/>
      <c r="E231" s="63"/>
      <c r="F231" s="13"/>
      <c r="G231" s="13"/>
      <c r="H231" s="13" t="s">
        <v>68</v>
      </c>
      <c r="I231" s="101" t="s">
        <v>44</v>
      </c>
      <c r="J231" s="101"/>
      <c r="K231" s="6">
        <f>[9]!'id89?req?M_STK_SMART_USD_~/'</f>
        <v>0</v>
      </c>
      <c r="L231" s="6" t="str">
        <f>[9]!id89?orderTypes</f>
        <v>ACTIVETIM,ADJUST,ALERT,ALGO,ALLOC,AON,AVGCOST,BASKET,COND,CONDORDER,DARKONLY,DARKPOLL,DAY,DEACT,DEACTDIS,DEACTEOD,DIS,GAT,GTC,GTD,GTT,HID,IBKRATS,ICE,IMB,IOC,LIT,LMT,LOC,MIT,MKT,MOC,MTL,NGCOMB,NODARK,NONALGO,OCA,OPG,OPGREROUT,PEGBENCH,POSTONLY,PREOPGRTH,R</v>
      </c>
      <c r="M231" s="6" t="str">
        <f>[9]!id89?validExchanges</f>
        <v>SMART,NYSE,CBOE,ISE,CHX,ARCA,ISLAND,DRCTEDGE,NSX,BEX,BATS,EDGEA,CSFBALGO,JEFFALGO,BYX,IEX,TPLUS2,PSX</v>
      </c>
      <c r="N231" s="6">
        <f>[9]!id89?conid</f>
        <v>44475946</v>
      </c>
      <c r="O231" s="6">
        <f>[9]!id89?minTick</f>
        <v>0.01</v>
      </c>
      <c r="P231" s="6">
        <f>[9]!id89?multiplier</f>
        <v>0</v>
      </c>
      <c r="Q231" s="6" t="str">
        <f>[9]!id89?marketName</f>
        <v>M</v>
      </c>
      <c r="R231" s="6" t="str">
        <f>[9]!id89?tradingClass</f>
        <v>M</v>
      </c>
    </row>
    <row r="232" spans="1:18" hidden="1" x14ac:dyDescent="0.2">
      <c r="A232" s="176" t="s">
        <v>952</v>
      </c>
      <c r="B232" s="13" t="s">
        <v>12</v>
      </c>
      <c r="C232" s="13" t="b">
        <f t="shared" si="2"/>
        <v>1</v>
      </c>
      <c r="D232" s="13"/>
      <c r="E232" s="63"/>
      <c r="F232" s="13"/>
      <c r="G232" s="13"/>
      <c r="H232" s="13" t="s">
        <v>68</v>
      </c>
      <c r="I232" s="101" t="s">
        <v>44</v>
      </c>
      <c r="J232" s="101"/>
      <c r="K232" s="6">
        <f>[9]!'id90?req?BEN_STK_SMART_USD_~/'</f>
        <v>0</v>
      </c>
      <c r="L232" s="6" t="str">
        <f>[9]!id90?orderTypes</f>
        <v>ACTIVETIM,ADJUST,ALERT,ALGO,ALLOC,AON,AVGCOST,BASKET,COND,CONDORDER,DARKONLY,DARKPOLL,DAY,DEACT,DEACTDIS,DEACTEOD,DIS,GAT,GTC,GTD,GTT,HID,IBKRATS,ICE,IMB,IOC,LIT,LMT,LOC,MIT,MKT,MOC,MTL,NGCOMB,NODARK,NONALGO,OCA,OPG,OPGREROUT,PEGBENCH,POSTONLY,PREOPGRTH,R</v>
      </c>
      <c r="M232" s="6" t="str">
        <f>[9]!id90?validExchanges</f>
        <v>SMART,NYSE,CBOE,ISE,CHX,ARCA,ISLAND,VWAP,DRCTEDGE,NSX,BEX,BATS,EDGEA,CSFBALGO,JEFFALGO,BYX,IEX,TPLUS2,PSX</v>
      </c>
      <c r="N232" s="6">
        <f>[9]!id90?conid</f>
        <v>4906</v>
      </c>
      <c r="O232" s="6">
        <f>[9]!id90?minTick</f>
        <v>0.01</v>
      </c>
      <c r="P232" s="6">
        <f>[9]!id90?multiplier</f>
        <v>0</v>
      </c>
      <c r="Q232" s="6" t="str">
        <f>[9]!id90?marketName</f>
        <v>BEN</v>
      </c>
      <c r="R232" s="6" t="str">
        <f>[9]!id90?tradingClass</f>
        <v>BEN</v>
      </c>
    </row>
    <row r="233" spans="1:18" hidden="1" x14ac:dyDescent="0.2">
      <c r="A233" s="176" t="s">
        <v>953</v>
      </c>
      <c r="B233" s="13" t="s">
        <v>12</v>
      </c>
      <c r="C233" s="13" t="b">
        <f t="shared" si="2"/>
        <v>1</v>
      </c>
      <c r="D233" s="13"/>
      <c r="E233" s="63"/>
      <c r="F233" s="13"/>
      <c r="G233" s="13"/>
      <c r="H233" s="13" t="s">
        <v>68</v>
      </c>
      <c r="I233" s="101" t="s">
        <v>44</v>
      </c>
      <c r="J233" s="101"/>
      <c r="K233" s="6">
        <f>[9]!'id91?req?FCX_STK_SMART_USD_~/'</f>
        <v>0</v>
      </c>
      <c r="L233" s="6" t="str">
        <f>[9]!id91?orderTypes</f>
        <v>ACTIVETIM,ADJUST,ALERT,ALGO,ALLOC,AON,AVGCOST,BASKET,COND,CONDORDER,DARKONLY,DARKPOLL,DAY,DEACT,DEACTDIS,DEACTEOD,DIS,GAT,GTC,GTD,GTT,HID,IBKRATS,ICE,IMB,IOC,LIT,LMT,LOC,MIT,MKT,MOC,MTL,NGCOMB,NODARK,NONALGO,OCA,OPG,OPGREROUT,PEGBENCH,POSTONLY,PREOPGRTH,R</v>
      </c>
      <c r="M233" s="6" t="str">
        <f>[9]!id91?validExchanges</f>
        <v>SMART,NYSE,CBOE,ISE,CHX,ARCA,ISLAND,VWAP,DRCTEDGE,NSX,BEX,BATS,EDGEA,CSFBALGO,JEFFALGO,BYX,IEX,TPLUS2,PSX</v>
      </c>
      <c r="N233" s="6">
        <f>[9]!id91?conid</f>
        <v>7089</v>
      </c>
      <c r="O233" s="6">
        <f>[9]!id91?minTick</f>
        <v>0.01</v>
      </c>
      <c r="P233" s="6">
        <f>[9]!id91?multiplier</f>
        <v>0</v>
      </c>
      <c r="Q233" s="6" t="str">
        <f>[9]!id91?marketName</f>
        <v>FCX</v>
      </c>
      <c r="R233" s="6" t="str">
        <f>[9]!id91?tradingClass</f>
        <v>FCX</v>
      </c>
    </row>
    <row r="234" spans="1:18" hidden="1" x14ac:dyDescent="0.2">
      <c r="A234" s="176" t="s">
        <v>954</v>
      </c>
      <c r="B234" s="13" t="s">
        <v>12</v>
      </c>
      <c r="C234" s="13" t="b">
        <f t="shared" si="2"/>
        <v>1</v>
      </c>
      <c r="D234" s="13"/>
      <c r="E234" s="63"/>
      <c r="F234" s="13"/>
      <c r="G234" s="13"/>
      <c r="H234" s="13" t="s">
        <v>68</v>
      </c>
      <c r="I234" s="101" t="s">
        <v>44</v>
      </c>
      <c r="J234" s="101"/>
      <c r="K234" s="6">
        <f>[9]!'id92?req?GPS_STK_SMART_USD_~/'</f>
        <v>0</v>
      </c>
      <c r="L234" s="6" t="str">
        <f>[9]!id92?orderTypes</f>
        <v>ACTIVETIM,ADJUST,ALERT,ALGO,ALLOC,AON,AVGCOST,BASKET,COND,CONDORDER,DARKONLY,DARKPOLL,DAY,DEACT,DEACTDIS,DEACTEOD,DIS,GAT,GTC,GTD,GTT,HID,IBKRATS,ICE,IMB,IOC,LIT,LMT,LOC,MIT,MKT,MOC,MTL,NGCOMB,NODARK,NONALGO,OCA,OPG,OPGREROUT,PEGBENCH,POSTONLY,PREOPGRTH,R</v>
      </c>
      <c r="M234" s="6" t="str">
        <f>[9]!id92?validExchanges</f>
        <v>SMART,NYSE,CBOE,ISE,CHX,ARCA,ISLAND,VWAP,DRCTEDGE,NSX,BEX,BATS,EDGEA,CSFBALGO,JEFFALGO,BYX,IEX,TPLUS2,PSX</v>
      </c>
      <c r="N234" s="6">
        <f>[9]!id92?conid</f>
        <v>7765</v>
      </c>
      <c r="O234" s="6">
        <f>[9]!id92?minTick</f>
        <v>0.01</v>
      </c>
      <c r="P234" s="6">
        <f>[9]!id92?multiplier</f>
        <v>0</v>
      </c>
      <c r="Q234" s="6" t="str">
        <f>[9]!id92?marketName</f>
        <v>GPS</v>
      </c>
      <c r="R234" s="6" t="str">
        <f>[9]!id92?tradingClass</f>
        <v>GPS</v>
      </c>
    </row>
    <row r="235" spans="1:18" hidden="1" x14ac:dyDescent="0.2">
      <c r="A235" s="176" t="s">
        <v>955</v>
      </c>
      <c r="B235" s="13" t="s">
        <v>12</v>
      </c>
      <c r="C235" s="13" t="b">
        <f t="shared" si="2"/>
        <v>0</v>
      </c>
      <c r="D235" s="13"/>
      <c r="E235" s="63"/>
      <c r="F235" s="13"/>
      <c r="G235" s="13"/>
      <c r="H235" s="13" t="s">
        <v>68</v>
      </c>
      <c r="I235" s="101" t="s">
        <v>44</v>
      </c>
      <c r="J235" s="101"/>
      <c r="K235" s="6">
        <f>[9]!'id93?req?XRAY_STK_SMART_USD_~/'</f>
        <v>0</v>
      </c>
      <c r="L235" s="6" t="str">
        <f>[9]!id93?orderTypes</f>
        <v>ACTIVETIM,ADJUST,ALERT,ALGO,ALLOC,AON,AVGCOST,BASKET,COND,CONDORDER,DARKONLY,DARKPOLL,DAY,DEACT,DEACTDIS,DEACTEOD,DIS,GAT,GTC,GTD,GTT,HID,IBKRATS,ICE,IMB,IOC,LIT,LMT,LOC,MIT,MKT,MOC,MTL,NGCOMB,NODARK,NONALGO,OCA,OPG,OPGREROUT,PEGBENCH,POSTONLY,PREOPGRTH,R</v>
      </c>
      <c r="M235" s="6" t="str">
        <f>[9]!id93?validExchanges</f>
        <v>SMART,CBOE,ISE,CHX,ARCA,ISLAND,VWAP,DRCTEDGE,NSX,BEX,BATS,EDGEA,CSFBALGO,JEFFALGO,BYX,IEX,TPLUS2,PSX</v>
      </c>
      <c r="N235" s="6">
        <f>[9]!id93?conid</f>
        <v>224225737</v>
      </c>
      <c r="O235" s="6">
        <f>[9]!id93?minTick</f>
        <v>0.01</v>
      </c>
      <c r="P235" s="6">
        <f>[9]!id93?multiplier</f>
        <v>0</v>
      </c>
      <c r="Q235" s="6" t="str">
        <f>[9]!id93?marketName</f>
        <v>NMS</v>
      </c>
      <c r="R235" s="6" t="str">
        <f>[9]!id93?tradingClass</f>
        <v>NMS</v>
      </c>
    </row>
    <row r="236" spans="1:18" hidden="1" x14ac:dyDescent="0.2">
      <c r="A236" s="176" t="s">
        <v>956</v>
      </c>
      <c r="B236" s="13" t="s">
        <v>12</v>
      </c>
      <c r="C236" s="13" t="b">
        <f t="shared" si="2"/>
        <v>1</v>
      </c>
      <c r="D236" s="13"/>
      <c r="E236" s="63"/>
      <c r="F236" s="13"/>
      <c r="G236" s="13"/>
      <c r="H236" s="13" t="s">
        <v>68</v>
      </c>
      <c r="I236" s="101" t="s">
        <v>44</v>
      </c>
      <c r="J236" s="101"/>
      <c r="K236" s="6">
        <f>[9]!'id94?req?GD_STK_SMART_USD_~/'</f>
        <v>0</v>
      </c>
      <c r="L236" s="6" t="str">
        <f>[9]!id94?orderTypes</f>
        <v>ACTIVETIM,ADJUST,ALERT,ALGO,ALLOC,AON,AVGCOST,BASKET,COND,CONDORDER,DARKONLY,DARKPOLL,DAY,DEACT,DEACTDIS,DEACTEOD,DIS,GAT,GTC,GTD,GTT,HID,IBKRATS,ICE,IMB,IOC,LIT,LMT,LOC,MIT,MKT,MOC,MTL,NGCOMB,NODARK,NONALGO,OCA,OPG,OPGREROUT,PEGBENCH,POSTONLY,PREOPGRTH,R</v>
      </c>
      <c r="M236" s="6" t="str">
        <f>[9]!id94?validExchanges</f>
        <v>SMART,NYSE,CBOE,ISE,CHX,ARCA,ISLAND,VWAP,DRCTEDGE,NSX,BEX,BATS,EDGEA,CSFBALGO,JEFFALGO,BYX,IEX,TPLUS2,PSX</v>
      </c>
      <c r="N236" s="6">
        <f>[9]!id94?conid</f>
        <v>7496</v>
      </c>
      <c r="O236" s="6">
        <f>[9]!id94?minTick</f>
        <v>0.01</v>
      </c>
      <c r="P236" s="6">
        <f>[9]!id94?multiplier</f>
        <v>0</v>
      </c>
      <c r="Q236" s="6" t="str">
        <f>[9]!id94?marketName</f>
        <v>GD</v>
      </c>
      <c r="R236" s="6" t="str">
        <f>[9]!id94?tradingClass</f>
        <v>GD</v>
      </c>
    </row>
    <row r="237" spans="1:18" hidden="1" x14ac:dyDescent="0.2">
      <c r="A237" s="176" t="s">
        <v>957</v>
      </c>
      <c r="B237" s="13" t="s">
        <v>12</v>
      </c>
      <c r="C237" s="13" t="b">
        <f t="shared" si="2"/>
        <v>1</v>
      </c>
      <c r="D237" s="13"/>
      <c r="E237" s="63"/>
      <c r="F237" s="13"/>
      <c r="G237" s="13"/>
      <c r="H237" s="13" t="s">
        <v>68</v>
      </c>
      <c r="I237" s="101" t="s">
        <v>44</v>
      </c>
      <c r="J237" s="101"/>
      <c r="K237" s="6">
        <f>[9]!'id95?req?GIS_STK_SMART_USD_~/'</f>
        <v>0</v>
      </c>
      <c r="L237" s="6" t="str">
        <f>[9]!id95?orderTypes</f>
        <v>ACTIVETIM,ADJUST,ALERT,ALGO,ALLOC,AON,AVGCOST,BASKET,COND,CONDORDER,DARKONLY,DARKPOLL,DAY,DEACT,DEACTDIS,DEACTEOD,DIS,GAT,GTC,GTD,GTT,HID,IBKRATS,ICE,IMB,IOC,LIT,LMT,LOC,MIT,MKT,MOC,MTL,NGCOMB,NODARK,NONALGO,OCA,OPG,OPGREROUT,PEGBENCH,POSTONLY,PREOPGRTH,R</v>
      </c>
      <c r="M237" s="6" t="str">
        <f>[9]!id95?validExchanges</f>
        <v>SMART,NYSE,CBOE,ISE,CHX,ARCA,ISLAND,VWAP,DRCTEDGE,NSX,BEX,BATS,EDGEA,CSFBALGO,JEFFALGO,BYX,IEX,TPLUS2,PSX</v>
      </c>
      <c r="N237" s="6">
        <f>[9]!id95?conid</f>
        <v>7616</v>
      </c>
      <c r="O237" s="6">
        <f>[9]!id95?minTick</f>
        <v>0.01</v>
      </c>
      <c r="P237" s="6">
        <f>[9]!id95?multiplier</f>
        <v>0</v>
      </c>
      <c r="Q237" s="6" t="str">
        <f>[9]!id95?marketName</f>
        <v>GIS</v>
      </c>
      <c r="R237" s="6" t="str">
        <f>[9]!id95?tradingClass</f>
        <v>GIS</v>
      </c>
    </row>
    <row r="238" spans="1:18" hidden="1" x14ac:dyDescent="0.2">
      <c r="A238" s="176" t="s">
        <v>958</v>
      </c>
      <c r="B238" s="13" t="s">
        <v>12</v>
      </c>
      <c r="C238" s="13" t="b">
        <f t="shared" si="2"/>
        <v>1</v>
      </c>
      <c r="D238" s="13"/>
      <c r="E238" s="63"/>
      <c r="F238" s="13"/>
      <c r="G238" s="13"/>
      <c r="H238" s="13" t="s">
        <v>68</v>
      </c>
      <c r="I238" s="101" t="s">
        <v>44</v>
      </c>
      <c r="J238" s="101"/>
      <c r="K238" s="6">
        <f>[9]!'id96?req?GPC_STK_SMART_USD_~/'</f>
        <v>0</v>
      </c>
      <c r="L238" s="6" t="str">
        <f>[9]!id96?orderTypes</f>
        <v>ACTIVETIM,ADJUST,ALERT,ALGO,ALLOC,AON,AVGCOST,BASKET,COND,CONDORDER,DARKONLY,DARKPOLL,DAY,DEACT,DEACTDIS,DEACTEOD,DIS,GAT,GTC,GTD,GTT,HID,IBKRATS,ICE,IMB,IOC,LIT,LMT,LOC,MIT,MKT,MOC,MTL,NGCOMB,NODARK,NONALGO,OCA,OPG,OPGREROUT,PEGBENCH,POSTONLY,PREOPGRTH,R</v>
      </c>
      <c r="M238" s="6" t="str">
        <f>[9]!id96?validExchanges</f>
        <v>SMART,NYSE,CBOE,ISE,CHX,ARCA,ISLAND,VWAP,DRCTEDGE,NSX,BEX,BATS,EDGEA,CSFBALGO,JEFFALGO,BYX,IEX,TPLUS2,PSX</v>
      </c>
      <c r="N238" s="6">
        <f>[9]!id96?conid</f>
        <v>7745</v>
      </c>
      <c r="O238" s="6">
        <f>[9]!id96?minTick</f>
        <v>0.01</v>
      </c>
      <c r="P238" s="6">
        <f>[9]!id96?multiplier</f>
        <v>0</v>
      </c>
      <c r="Q238" s="6" t="str">
        <f>[9]!id96?marketName</f>
        <v>GPC</v>
      </c>
      <c r="R238" s="6" t="str">
        <f>[9]!id96?tradingClass</f>
        <v>GPC</v>
      </c>
    </row>
    <row r="239" spans="1:18" hidden="1" x14ac:dyDescent="0.2">
      <c r="A239" s="176" t="s">
        <v>959</v>
      </c>
      <c r="B239" s="13" t="s">
        <v>12</v>
      </c>
      <c r="C239" s="13" t="b">
        <f t="shared" si="2"/>
        <v>0</v>
      </c>
      <c r="D239" s="13"/>
      <c r="E239" s="63"/>
      <c r="F239" s="13"/>
      <c r="G239" s="13"/>
      <c r="H239" s="13" t="s">
        <v>68</v>
      </c>
      <c r="I239" s="101" t="s">
        <v>44</v>
      </c>
      <c r="J239" s="101"/>
      <c r="K239" s="6">
        <f>[9]!'id97?req?GILD_STK_SMART_USD_~/'</f>
        <v>0</v>
      </c>
      <c r="L239" s="6" t="str">
        <f>[9]!id97?orderTypes</f>
        <v>ACTIVETIM,ADJUST,ALERT,ALGO,ALLOC,AON,AVGCOST,BASKET,COND,CONDORDER,DARKONLY,DARKPOLL,DAY,DEACT,DEACTDIS,DEACTEOD,DIS,GAT,GTC,GTD,GTT,HID,IBKRATS,ICE,IMB,IOC,LIT,LMT,LOC,MIT,MKT,MOC,MTL,NGCOMB,NODARK,NONALGO,OCA,OPG,OPGREROUT,PEGBENCH,POSTONLY,PREOPGRTH,R</v>
      </c>
      <c r="M239" s="6" t="str">
        <f>[9]!id97?validExchanges</f>
        <v>SMART,CBOE,ISE,CHX,ARCA,ISLAND,VWAP,DRCTEDGE,NSX,BEX,BATS,EDGEA,CSFBALGO,JEFFALGO,BYX,IEX,TPLUS2,PSX</v>
      </c>
      <c r="N239" s="6">
        <f>[9]!id97?conid</f>
        <v>269753</v>
      </c>
      <c r="O239" s="6">
        <f>[9]!id97?minTick</f>
        <v>0.01</v>
      </c>
      <c r="P239" s="6">
        <f>[9]!id97?multiplier</f>
        <v>0</v>
      </c>
      <c r="Q239" s="6" t="str">
        <f>[9]!id97?marketName</f>
        <v>NMS</v>
      </c>
      <c r="R239" s="6" t="str">
        <f>[9]!id97?tradingClass</f>
        <v>NMS</v>
      </c>
    </row>
    <row r="240" spans="1:18" hidden="1" x14ac:dyDescent="0.2">
      <c r="A240" s="176" t="s">
        <v>960</v>
      </c>
      <c r="B240" s="13" t="s">
        <v>12</v>
      </c>
      <c r="C240" s="13" t="b">
        <f t="shared" si="2"/>
        <v>0</v>
      </c>
      <c r="D240" s="13"/>
      <c r="E240" s="63"/>
      <c r="F240" s="13"/>
      <c r="G240" s="13"/>
      <c r="H240" s="13" t="s">
        <v>68</v>
      </c>
      <c r="I240" s="101" t="s">
        <v>44</v>
      </c>
      <c r="J240" s="101"/>
      <c r="K240" s="6">
        <f>[9]!'id98?req?GT_STK_SMART_USD_~/'</f>
        <v>0</v>
      </c>
      <c r="L240" s="6" t="str">
        <f>[9]!id98?orderTypes</f>
        <v>ACTIVETIM,ADJUST,ALERT,ALGO,ALLOC,AON,AVGCOST,BASKET,COND,CONDORDER,DARKONLY,DARKPOLL,DAY,DEACT,DEACTDIS,DEACTEOD,DIS,GAT,GTC,GTD,GTT,HID,IBKRATS,ICE,IMB,IOC,LIT,LMT,LOC,MIT,MKT,MOC,MTL,NGCOMB,NODARK,NONALGO,OCA,OPG,OPGREROUT,PEGBENCH,POSTONLY,PREOPGRTH,R</v>
      </c>
      <c r="M240" s="6" t="str">
        <f>[9]!id98?validExchanges</f>
        <v>SMART,CBOE,ISE,CHX,ARCA,ISLAND,VWAP,DRCTEDGE,NSX,BEX,BATS,EDGEA,CSFBALGO,JEFFALGO,BYX,IEX,TPLUS2,PSX</v>
      </c>
      <c r="N240" s="6">
        <f>[9]!id98?conid</f>
        <v>7830</v>
      </c>
      <c r="O240" s="6">
        <f>[9]!id98?minTick</f>
        <v>0.01</v>
      </c>
      <c r="P240" s="6">
        <f>[9]!id98?multiplier</f>
        <v>0</v>
      </c>
      <c r="Q240" s="6" t="str">
        <f>[9]!id98?marketName</f>
        <v>NMS</v>
      </c>
      <c r="R240" s="6" t="str">
        <f>[9]!id98?tradingClass</f>
        <v>NMS</v>
      </c>
    </row>
    <row r="241" spans="1:18" hidden="1" x14ac:dyDescent="0.2">
      <c r="A241" s="176" t="s">
        <v>961</v>
      </c>
      <c r="B241" s="13" t="s">
        <v>12</v>
      </c>
      <c r="C241" s="13" t="b">
        <f t="shared" si="2"/>
        <v>1</v>
      </c>
      <c r="D241" s="13"/>
      <c r="E241" s="63"/>
      <c r="F241" s="13"/>
      <c r="G241" s="13"/>
      <c r="H241" s="13" t="s">
        <v>68</v>
      </c>
      <c r="I241" s="101" t="s">
        <v>44</v>
      </c>
      <c r="J241" s="101"/>
      <c r="K241" s="6">
        <f>[9]!'id99?req?MCK_STK_SMART_USD_~/'</f>
        <v>0</v>
      </c>
      <c r="L241" s="6" t="str">
        <f>[9]!id99?orderTypes</f>
        <v>ACTIVETIM,ADJUST,ALERT,ALGO,ALLOC,AON,AVGCOST,BASKET,COND,CONDORDER,DARKONLY,DARKPOLL,DAY,DEACT,DEACTDIS,DEACTEOD,DIS,GAT,GTC,GTD,GTT,HID,IBKRATS,ICE,IMB,IOC,LIT,LMT,LOC,MIT,MKT,MOC,MTL,NGCOMB,NODARK,NONALGO,OCA,OPG,OPGREROUT,PEGBENCH,POSTONLY,PREOPGRTH,R</v>
      </c>
      <c r="M241" s="6" t="str">
        <f>[9]!id99?validExchanges</f>
        <v>SMART,NYSE,CBOE,ISE,CHX,ARCA,ISLAND,VWAP,DRCTEDGE,NSX,BEX,BATS,EDGEA,CSFBALGO,JEFFALGO,BYX,IEX,TPLUS2,PSX</v>
      </c>
      <c r="N241" s="6">
        <f>[9]!id99?conid</f>
        <v>9657</v>
      </c>
      <c r="O241" s="6">
        <f>[9]!id99?minTick</f>
        <v>0.01</v>
      </c>
      <c r="P241" s="6">
        <f>[9]!id99?multiplier</f>
        <v>0</v>
      </c>
      <c r="Q241" s="6" t="str">
        <f>[9]!id99?marketName</f>
        <v>MCK</v>
      </c>
      <c r="R241" s="6" t="str">
        <f>[9]!id99?tradingClass</f>
        <v>MCK</v>
      </c>
    </row>
    <row r="242" spans="1:18" hidden="1" x14ac:dyDescent="0.2">
      <c r="A242" s="176" t="s">
        <v>962</v>
      </c>
      <c r="B242" s="13" t="s">
        <v>12</v>
      </c>
      <c r="C242" s="13" t="b">
        <f t="shared" si="2"/>
        <v>0</v>
      </c>
      <c r="D242" s="13"/>
      <c r="E242" s="63"/>
      <c r="F242" s="13"/>
      <c r="G242" s="13"/>
      <c r="H242" s="13" t="s">
        <v>68</v>
      </c>
      <c r="I242" s="101" t="s">
        <v>44</v>
      </c>
      <c r="J242" s="101"/>
      <c r="K242" s="6">
        <f>[9]!'id100?req?NVDA_STK_SMART_USD_~/'</f>
        <v>0</v>
      </c>
      <c r="L242" s="6" t="str">
        <f>[9]!id100?orderTypes</f>
        <v>ACTIVETIM,ADJUST,ALERT,ALGO,ALLOC,AON,AVGCOST,BASKET,COND,CONDORDER,DARKONLY,DARKPOLL,DAY,DEACT,DEACTDIS,DEACTEOD,DIS,GAT,GTC,GTD,GTT,HID,IBKRATS,ICE,IMB,IOC,LIT,LMT,LOC,MIT,MKT,MOC,MTL,NGCOMB,NODARK,NONALGO,OCA,OPG,OPGREROUT,PEGBENCH,POSTONLY,PREOPGRTH,R</v>
      </c>
      <c r="M242" s="6" t="str">
        <f>[9]!id100?validExchanges</f>
        <v>SMART,CBOE,ISE,CHX,ARCA,ISLAND,VWAP,DRCTEDGE,NSX,BEX,BATS,EDGEA,CSFBALGO,JEFFALGO,BYX,IEX,TPLUS2,PSX</v>
      </c>
      <c r="N242" s="6">
        <f>[9]!id100?conid</f>
        <v>4815747</v>
      </c>
      <c r="O242" s="6">
        <f>[9]!id100?minTick</f>
        <v>0.01</v>
      </c>
      <c r="P242" s="6">
        <f>[9]!id100?multiplier</f>
        <v>0</v>
      </c>
      <c r="Q242" s="6" t="str">
        <f>[9]!id100?marketName</f>
        <v>NMS</v>
      </c>
      <c r="R242" s="6" t="str">
        <f>[9]!id100?tradingClass</f>
        <v>NMS</v>
      </c>
    </row>
    <row r="243" spans="1:18" hidden="1" x14ac:dyDescent="0.2">
      <c r="A243" s="176" t="s">
        <v>89</v>
      </c>
      <c r="B243" s="13" t="s">
        <v>12</v>
      </c>
      <c r="C243" s="13" t="b">
        <f t="shared" si="2"/>
        <v>1</v>
      </c>
      <c r="D243" s="13"/>
      <c r="E243" s="63"/>
      <c r="F243" s="13"/>
      <c r="G243" s="13"/>
      <c r="H243" s="13" t="s">
        <v>68</v>
      </c>
      <c r="I243" s="101" t="s">
        <v>44</v>
      </c>
      <c r="J243" s="101"/>
      <c r="K243" s="6">
        <f>[9]!'id101?req?GE_STK_SMART_USD_~/'</f>
        <v>0</v>
      </c>
      <c r="L243" s="6" t="str">
        <f>[9]!id101?orderTypes</f>
        <v>ACTIVETIM,ADJUST,ALERT,ALGO,ALLOC,AON,AVGCOST,BASKET,COND,CONDORDER,DARKONLY,DARKPOLL,DAY,DEACT,DEACTDIS,DEACTEOD,DIS,GAT,GTC,GTD,GTT,HID,IBKRATS,ICE,IMB,IOC,LIT,LMT,LOC,MIT,MKT,MOC,MTL,NGCOMB,NODARK,NONALGO,OCA,OPG,OPGREROUT,PEGBENCH,POSTONLY,PREOPGRTH,R</v>
      </c>
      <c r="M243" s="6" t="str">
        <f>[9]!id101?validExchanges</f>
        <v>SMART,NYSE,CBOE,ISE,CHX,ARCA,ISLAND,VWAP,DRCTEDGE,NSX,BEX,BATS,EDGEA,CSFBALGO,JEFFALGO,BYX,IEX,TPLUS2,PSX</v>
      </c>
      <c r="N243" s="6">
        <f>[9]!id101?conid</f>
        <v>7516</v>
      </c>
      <c r="O243" s="6">
        <f>[9]!id101?minTick</f>
        <v>0.01</v>
      </c>
      <c r="P243" s="6">
        <f>[9]!id101?multiplier</f>
        <v>0</v>
      </c>
      <c r="Q243" s="6" t="str">
        <f>[9]!id101?marketName</f>
        <v>GE</v>
      </c>
      <c r="R243" s="6" t="str">
        <f>[9]!id101?tradingClass</f>
        <v>GE</v>
      </c>
    </row>
    <row r="244" spans="1:18" hidden="1" x14ac:dyDescent="0.2">
      <c r="A244" s="176" t="s">
        <v>963</v>
      </c>
      <c r="B244" s="13" t="s">
        <v>12</v>
      </c>
      <c r="C244" s="13" t="b">
        <f t="shared" si="2"/>
        <v>1</v>
      </c>
      <c r="D244" s="13"/>
      <c r="E244" s="63"/>
      <c r="F244" s="13"/>
      <c r="G244" s="13"/>
      <c r="H244" s="13" t="s">
        <v>68</v>
      </c>
      <c r="I244" s="101" t="s">
        <v>44</v>
      </c>
      <c r="J244" s="101"/>
      <c r="K244" s="6">
        <f>[9]!'id102?req?GWW_STK_SMART_USD_~/'</f>
        <v>0</v>
      </c>
      <c r="L244" s="6" t="str">
        <f>[9]!id102?orderTypes</f>
        <v>ACTIVETIM,ADJUST,ALERT,ALGO,ALLOC,AON,AVGCOST,BASKET,COND,CONDORDER,DARKONLY,DARKPOLL,DAY,DEACT,DEACTDIS,DEACTEOD,DIS,GAT,GTC,GTD,GTT,HID,IBKRATS,ICE,IMB,IOC,LIT,LMT,LOC,MIT,MKT,MOC,MTL,NGCOMB,NODARK,NONALGO,OCA,OPG,OPGREROUT,PEGBENCH,POSTONLY,PREOPGRTH,R</v>
      </c>
      <c r="M244" s="6" t="str">
        <f>[9]!id102?validExchanges</f>
        <v>SMART,NYSE,CBOE,ISE,CHX,ARCA,ISLAND,VWAP,DRCTEDGE,NSX,BEX,BATS,EDGEA,CSFBALGO,JEFFALGO,BYX,IEX,TPLUS2,PSX</v>
      </c>
      <c r="N244" s="6">
        <f>[9]!id102?conid</f>
        <v>7867</v>
      </c>
      <c r="O244" s="6">
        <f>[9]!id102?minTick</f>
        <v>0.01</v>
      </c>
      <c r="P244" s="6">
        <f>[9]!id102?multiplier</f>
        <v>0</v>
      </c>
      <c r="Q244" s="6" t="str">
        <f>[9]!id102?marketName</f>
        <v>GWW</v>
      </c>
      <c r="R244" s="6" t="str">
        <f>[9]!id102?tradingClass</f>
        <v>GWW</v>
      </c>
    </row>
    <row r="245" spans="1:18" hidden="1" x14ac:dyDescent="0.2">
      <c r="A245" s="176" t="s">
        <v>964</v>
      </c>
      <c r="B245" s="13" t="s">
        <v>12</v>
      </c>
      <c r="C245" s="13" t="b">
        <f t="shared" si="2"/>
        <v>1</v>
      </c>
      <c r="D245" s="13"/>
      <c r="E245" s="63"/>
      <c r="F245" s="13"/>
      <c r="G245" s="13"/>
      <c r="H245" s="13" t="s">
        <v>68</v>
      </c>
      <c r="I245" s="101" t="s">
        <v>44</v>
      </c>
      <c r="J245" s="101"/>
      <c r="K245" s="6">
        <f>[9]!'id103?req?HAL_STK_SMART_USD_~/'</f>
        <v>0</v>
      </c>
      <c r="L245" s="6" t="str">
        <f>[9]!id103?orderTypes</f>
        <v>ACTIVETIM,ADJUST,ALERT,ALGO,ALLOC,AON,AVGCOST,BASKET,COND,CONDORDER,DARKONLY,DARKPOLL,DAY,DEACT,DEACTDIS,DEACTEOD,DIS,GAT,GTC,GTD,GTT,HID,IBKRATS,ICE,IMB,IOC,LIT,LMT,LOC,MIT,MKT,MOC,MTL,NGCOMB,NODARK,NONALGO,OCA,OPG,OPGREROUT,PEGBENCH,POSTONLY,PREOPGRTH,R</v>
      </c>
      <c r="M245" s="6" t="str">
        <f>[9]!id103?validExchanges</f>
        <v>SMART,NYSE,CBOE,ISE,CHX,ARCA,ISLAND,VWAP,DRCTEDGE,NSX,BEX,BATS,EDGEA,CSFBALGO,JEFFALGO,BYX,IEX,TPLUS2,PSX</v>
      </c>
      <c r="N245" s="6">
        <f>[9]!id103?conid</f>
        <v>7890</v>
      </c>
      <c r="O245" s="6">
        <f>[9]!id103?minTick</f>
        <v>0.01</v>
      </c>
      <c r="P245" s="6">
        <f>[9]!id103?multiplier</f>
        <v>0</v>
      </c>
      <c r="Q245" s="6" t="str">
        <f>[9]!id103?marketName</f>
        <v>HAL</v>
      </c>
      <c r="R245" s="6" t="str">
        <f>[9]!id103?tradingClass</f>
        <v>HAL</v>
      </c>
    </row>
    <row r="246" spans="1:18" hidden="1" x14ac:dyDescent="0.2">
      <c r="A246" s="176" t="s">
        <v>965</v>
      </c>
      <c r="B246" s="13" t="s">
        <v>12</v>
      </c>
      <c r="C246" s="13" t="b">
        <f t="shared" si="2"/>
        <v>1</v>
      </c>
      <c r="D246" s="13"/>
      <c r="E246" s="63"/>
      <c r="F246" s="13"/>
      <c r="G246" s="13"/>
      <c r="H246" s="13" t="s">
        <v>68</v>
      </c>
      <c r="I246" s="101" t="s">
        <v>44</v>
      </c>
      <c r="J246" s="101"/>
      <c r="K246" s="6">
        <f>[9]!'id104?req?GS_STK_SMART_USD_~/'</f>
        <v>0</v>
      </c>
      <c r="L246" s="6" t="str">
        <f>[9]!id104?orderTypes</f>
        <v>ACTIVETIM,ADJUST,ALERT,ALGO,ALLOC,AON,AVGCOST,BASKET,COND,CONDORDER,DARKONLY,DARKPOLL,DAY,DEACT,DEACTDIS,DEACTEOD,DIS,GAT,GTC,GTD,GTT,HID,IBKRATS,ICE,IMB,IOC,LIT,LMT,LOC,MIT,MKT,MOC,MTL,NGCOMB,NODARK,NONALGO,OCA,OPG,OPGREROUT,PEGBENCH,POSTONLY,PREOPGRTH,R</v>
      </c>
      <c r="M246" s="6" t="str">
        <f>[9]!id104?validExchanges</f>
        <v>SMART,NYSE,CBOE,ISE,CHX,ARCA,ISLAND,VWAP,DRCTEDGE,NSX,BEX,BATS,EDGEA,CSFBALGO,JEFFALGO,BYX,IEX,TPLUS2,PSX</v>
      </c>
      <c r="N246" s="6">
        <f>[9]!id104?conid</f>
        <v>4627828</v>
      </c>
      <c r="O246" s="6">
        <f>[9]!id104?minTick</f>
        <v>0.01</v>
      </c>
      <c r="P246" s="6">
        <f>[9]!id104?multiplier</f>
        <v>0</v>
      </c>
      <c r="Q246" s="6" t="str">
        <f>[9]!id104?marketName</f>
        <v>GS</v>
      </c>
      <c r="R246" s="6" t="str">
        <f>[9]!id104?tradingClass</f>
        <v>GS</v>
      </c>
    </row>
    <row r="247" spans="1:18" hidden="1" x14ac:dyDescent="0.2">
      <c r="A247" s="176" t="s">
        <v>966</v>
      </c>
      <c r="B247" s="13" t="s">
        <v>12</v>
      </c>
      <c r="C247" s="13" t="b">
        <f t="shared" si="2"/>
        <v>1</v>
      </c>
      <c r="D247" s="13"/>
      <c r="E247" s="63"/>
      <c r="F247" s="13"/>
      <c r="G247" s="13"/>
      <c r="H247" s="13" t="s">
        <v>68</v>
      </c>
      <c r="I247" s="101" t="s">
        <v>44</v>
      </c>
      <c r="J247" s="101"/>
      <c r="K247" s="6">
        <f>[9]!'id105?req?HOG_STK_SMART_USD_~/'</f>
        <v>0</v>
      </c>
      <c r="L247" s="6" t="str">
        <f>[9]!id105?orderTypes</f>
        <v>ACTIVETIM,ADJUST,ALERT,ALGO,ALLOC,AON,AVGCOST,BASKET,COND,CONDORDER,DARKONLY,DARKPOLL,DAY,DEACT,DEACTDIS,DEACTEOD,DIS,GAT,GTC,GTD,GTT,HID,IBKRATS,ICE,IMB,IOC,LIT,LMT,LOC,MIT,MKT,MOC,MTL,NGCOMB,NODARK,NONALGO,OCA,OPG,OPGREROUT,PEGBENCH,POSTONLY,PREOPGRTH,R</v>
      </c>
      <c r="M247" s="6" t="str">
        <f>[9]!id105?validExchanges</f>
        <v>SMART,NYSE,CBOE,ISE,CHX,ARCA,ISLAND,VWAP,DRCTEDGE,NSX,BEX,BATS,EDGEA,CSFBALGO,JEFFALGO,BYX,IEX,TPLUS2,PSX</v>
      </c>
      <c r="N247" s="6">
        <f>[9]!id105?conid</f>
        <v>7935</v>
      </c>
      <c r="O247" s="6">
        <f>[9]!id105?minTick</f>
        <v>0.01</v>
      </c>
      <c r="P247" s="6">
        <f>[9]!id105?multiplier</f>
        <v>0</v>
      </c>
      <c r="Q247" s="6" t="str">
        <f>[9]!id105?marketName</f>
        <v>HOG</v>
      </c>
      <c r="R247" s="6" t="str">
        <f>[9]!id105?tradingClass</f>
        <v>HOG</v>
      </c>
    </row>
    <row r="248" spans="1:18" hidden="1" x14ac:dyDescent="0.2">
      <c r="A248" s="176" t="s">
        <v>967</v>
      </c>
      <c r="B248" s="13" t="s">
        <v>12</v>
      </c>
      <c r="C248" s="13" t="b">
        <f t="shared" si="2"/>
        <v>1</v>
      </c>
      <c r="D248" s="13"/>
      <c r="E248" s="63"/>
      <c r="F248" s="13"/>
      <c r="G248" s="13"/>
      <c r="H248" s="13" t="s">
        <v>68</v>
      </c>
      <c r="I248" s="101" t="s">
        <v>44</v>
      </c>
      <c r="J248" s="101"/>
      <c r="K248" s="6">
        <f>[9]!'id106?req?HAR_STK_SMART_USD_~/'</f>
        <v>0</v>
      </c>
      <c r="L248" s="6" t="str">
        <f>[9]!id106?orderTypes</f>
        <v>ACTIVETIM,ADJUST,ALERT,ALGO,ALLOC,AON,AVGCOST,BASKET,COND,CONDORDER,DARKONLY,DARKPOLL,DAY,DEACT,DEACTDIS,DEACTEOD,DIS,GAT,GTC,GTD,GTT,HID,IBKRATS,ICE,IMB,IOC,LIT,LMT,LOC,MIT,MKT,MOC,MTL,NGCOMB,NODARK,NONALGO,OCA,OPG,OPGREROUT,PEGBENCH,POSTONLY,PREOPGRTH,R</v>
      </c>
      <c r="M248" s="6" t="str">
        <f>[9]!id106?validExchanges</f>
        <v>SMART,NYSE,CBOE,ISE,CHX,ARCA,ISLAND,VWAP,DRCTEDGE,NSX,BEX,BATS,EDGEA,CSFBALGO,JEFFALGO,BYX,IEX,TPLUS2,PSX</v>
      </c>
      <c r="N248" s="6">
        <f>[9]!id106?conid</f>
        <v>7896</v>
      </c>
      <c r="O248" s="6">
        <f>[9]!id106?minTick</f>
        <v>0.01</v>
      </c>
      <c r="P248" s="6">
        <f>[9]!id106?multiplier</f>
        <v>0</v>
      </c>
      <c r="Q248" s="6" t="str">
        <f>[9]!id106?marketName</f>
        <v>HAR</v>
      </c>
      <c r="R248" s="6" t="str">
        <f>[9]!id106?tradingClass</f>
        <v>HAR</v>
      </c>
    </row>
    <row r="249" spans="1:18" hidden="1" x14ac:dyDescent="0.2">
      <c r="A249" s="176" t="s">
        <v>968</v>
      </c>
      <c r="B249" s="13" t="s">
        <v>12</v>
      </c>
      <c r="C249" s="13" t="b">
        <f t="shared" si="2"/>
        <v>1</v>
      </c>
      <c r="D249" s="13"/>
      <c r="E249" s="63"/>
      <c r="F249" s="13"/>
      <c r="G249" s="13"/>
      <c r="H249" s="13" t="s">
        <v>68</v>
      </c>
      <c r="I249" s="101" t="s">
        <v>44</v>
      </c>
      <c r="J249" s="101"/>
      <c r="K249" s="6">
        <f>[9]!'id107?req?HRS_STK_SMART_USD_~/'</f>
        <v>0</v>
      </c>
      <c r="L249" s="6" t="str">
        <f>[9]!id107?orderTypes</f>
        <v>ACTIVETIM,ADJUST,ALERT,ALGO,ALLOC,AON,AVGCOST,BASKET,COND,CONDORDER,DARKONLY,DARKPOLL,DAY,DEACT,DEACTDIS,DEACTEOD,DIS,GAT,GTC,GTD,GTT,HID,IBKRATS,ICE,IMB,IOC,LIT,LMT,LOC,MIT,MKT,MOC,MTL,NGCOMB,NODARK,NONALGO,OCA,OPG,OPGREROUT,PEGBENCH,POSTONLY,PREOPGRTH,R</v>
      </c>
      <c r="M249" s="6" t="str">
        <f>[9]!id107?validExchanges</f>
        <v>SMART,NYSE,CBOE,ISE,CHX,ARCA,ISLAND,VWAP,DRCTEDGE,NSX,BEX,BATS,EDGEA,CSFBALGO,JEFFALGO,BYX,IEX,TPLUS2,PSX</v>
      </c>
      <c r="N249" s="6">
        <f>[9]!id107?conid</f>
        <v>8160</v>
      </c>
      <c r="O249" s="6">
        <f>[9]!id107?minTick</f>
        <v>0.01</v>
      </c>
      <c r="P249" s="6">
        <f>[9]!id107?multiplier</f>
        <v>0</v>
      </c>
      <c r="Q249" s="6" t="str">
        <f>[9]!id107?marketName</f>
        <v>HRS</v>
      </c>
      <c r="R249" s="6" t="str">
        <f>[9]!id107?tradingClass</f>
        <v>HRS</v>
      </c>
    </row>
    <row r="250" spans="1:18" hidden="1" x14ac:dyDescent="0.2">
      <c r="A250" s="176" t="s">
        <v>969</v>
      </c>
      <c r="B250" s="13" t="s">
        <v>12</v>
      </c>
      <c r="C250" s="13" t="b">
        <f t="shared" si="2"/>
        <v>0</v>
      </c>
      <c r="D250" s="13"/>
      <c r="E250" s="63"/>
      <c r="F250" s="13"/>
      <c r="G250" s="13"/>
      <c r="H250" s="13" t="s">
        <v>68</v>
      </c>
      <c r="I250" s="101" t="s">
        <v>44</v>
      </c>
      <c r="J250" s="101"/>
      <c r="K250" s="6">
        <f>[9]!'id108?req?HAS_STK_SMART_USD_~/'</f>
        <v>0</v>
      </c>
      <c r="L250" s="6" t="str">
        <f>[9]!id108?orderTypes</f>
        <v>ACTIVETIM,ADJUST,ALERT,ALGO,ALLOC,AON,AVGCOST,BASKET,COND,CONDORDER,DARKONLY,DARKPOLL,DAY,DEACT,DEACTDIS,DEACTEOD,DIS,GAT,GTC,GTD,GTT,HID,IBKRATS,ICE,IMB,IOC,LIT,LMT,LOC,MIT,MKT,MOC,MTL,NGCOMB,NODARK,NONALGO,OCA,OPG,OPGREROUT,PEGBENCH,POSTONLY,PREOPGRTH,R</v>
      </c>
      <c r="M250" s="6" t="str">
        <f>[9]!id108?validExchanges</f>
        <v>SMART,CBOE,ISE,CHX,ARCA,ISLAND,VWAP,DRCTEDGE,NSX,BEX,BATS,EDGEA,CSFBALGO,JEFFALGO,BYX,IEX,TPLUS2,PSX</v>
      </c>
      <c r="N250" s="6">
        <f>[9]!id108?conid</f>
        <v>754956</v>
      </c>
      <c r="O250" s="6">
        <f>[9]!id108?minTick</f>
        <v>0.01</v>
      </c>
      <c r="P250" s="6">
        <f>[9]!id108?multiplier</f>
        <v>0</v>
      </c>
      <c r="Q250" s="6" t="str">
        <f>[9]!id108?marketName</f>
        <v>NMS</v>
      </c>
      <c r="R250" s="6" t="str">
        <f>[9]!id108?tradingClass</f>
        <v>NMS</v>
      </c>
    </row>
    <row r="251" spans="1:18" hidden="1" x14ac:dyDescent="0.2">
      <c r="A251" s="176" t="s">
        <v>970</v>
      </c>
      <c r="B251" s="13" t="s">
        <v>12</v>
      </c>
      <c r="C251" s="13" t="b">
        <f t="shared" si="2"/>
        <v>0</v>
      </c>
      <c r="D251" s="13"/>
      <c r="E251" s="63"/>
      <c r="F251" s="13"/>
      <c r="G251" s="13"/>
      <c r="H251" s="13" t="s">
        <v>68</v>
      </c>
      <c r="I251" s="101" t="s">
        <v>44</v>
      </c>
      <c r="J251" s="101"/>
      <c r="K251" s="6">
        <f>[9]!'id109?req?HSIC_STK_SMART_USD_~/'</f>
        <v>0</v>
      </c>
      <c r="L251" s="6" t="str">
        <f>[9]!id109?orderTypes</f>
        <v>ACTIVETIM,ADJUST,ALERT,ALGO,ALLOC,AON,AVGCOST,BASKET,COND,CONDORDER,DARKONLY,DARKPOLL,DAY,DEACT,DEACTDIS,DEACTEOD,DIS,GAT,GTC,GTD,GTT,HID,IBKRATS,ICE,IMB,IOC,LIT,LMT,LOC,MIT,MKT,MOC,MTL,NGCOMB,NODARK,NONALGO,OCA,OPG,OPGREROUT,PEGBENCH,POSTONLY,PREOPGRTH,R</v>
      </c>
      <c r="M251" s="6" t="str">
        <f>[9]!id109?validExchanges</f>
        <v>SMART,CBOE,ISE,CHX,ARCA,ISLAND,VWAP,DRCTEDGE,NSX,BEX,BATS,EDGEA,CSFBALGO,JEFFALGO,BYX,IEX,TPLUS2,PSX</v>
      </c>
      <c r="N251" s="6">
        <f>[9]!id109?conid</f>
        <v>3655640</v>
      </c>
      <c r="O251" s="6">
        <f>[9]!id109?minTick</f>
        <v>0.01</v>
      </c>
      <c r="P251" s="6">
        <f>[9]!id109?multiplier</f>
        <v>0</v>
      </c>
      <c r="Q251" s="6" t="str">
        <f>[9]!id109?marketName</f>
        <v>NMS</v>
      </c>
      <c r="R251" s="6" t="str">
        <f>[9]!id109?tradingClass</f>
        <v>NMS</v>
      </c>
    </row>
    <row r="252" spans="1:18" hidden="1" x14ac:dyDescent="0.2">
      <c r="A252" s="176" t="s">
        <v>971</v>
      </c>
      <c r="B252" s="13" t="s">
        <v>12</v>
      </c>
      <c r="C252" s="13" t="b">
        <f t="shared" si="2"/>
        <v>1</v>
      </c>
      <c r="D252" s="13"/>
      <c r="E252" s="63"/>
      <c r="F252" s="13"/>
      <c r="G252" s="13"/>
      <c r="H252" s="13" t="s">
        <v>68</v>
      </c>
      <c r="I252" s="101" t="s">
        <v>44</v>
      </c>
      <c r="J252" s="101"/>
      <c r="K252" s="6">
        <f>[9]!'id110?req?HCP_STK_SMART_USD_~/'</f>
        <v>0</v>
      </c>
      <c r="L252" s="6" t="str">
        <f>[9]!id110?orderTypes</f>
        <v>ACTIVETIM,ADJUST,ALERT,ALGO,ALLOC,AON,AVGCOST,BASKET,COND,CONDORDER,DARKONLY,DARKPOLL,DAY,DEACT,DEACTDIS,DEACTEOD,DIS,GAT,GTC,GTD,GTT,HID,IBKRATS,ICE,IMB,IOC,LIT,LMT,LOC,MIT,MKT,MOC,MTL,NGCOMB,NODARK,NONALGO,OCA,OPG,OPGREROUT,PEGBENCH,POSTONLY,PREOPGRTH,R</v>
      </c>
      <c r="M252" s="6" t="str">
        <f>[9]!id110?validExchanges</f>
        <v>SMART,NYSE,CBOE,ISE,CHX,ARCA,ISLAND,DRCTEDGE,NSX,BEX,BATS,EDGEA,CSFBALGO,JEFFALGO,BYX,IEX,TPLUS2,PSX</v>
      </c>
      <c r="N252" s="6">
        <f>[9]!id110?conid</f>
        <v>46126937</v>
      </c>
      <c r="O252" s="6">
        <f>[9]!id110?minTick</f>
        <v>0.01</v>
      </c>
      <c r="P252" s="6">
        <f>[9]!id110?multiplier</f>
        <v>0</v>
      </c>
      <c r="Q252" s="6" t="str">
        <f>[9]!id110?marketName</f>
        <v>HCP</v>
      </c>
      <c r="R252" s="6" t="str">
        <f>[9]!id110?tradingClass</f>
        <v>HCP</v>
      </c>
    </row>
    <row r="253" spans="1:18" hidden="1" x14ac:dyDescent="0.2">
      <c r="A253" s="176" t="s">
        <v>972</v>
      </c>
      <c r="B253" s="13" t="s">
        <v>12</v>
      </c>
      <c r="C253" s="13" t="b">
        <f t="shared" si="2"/>
        <v>1</v>
      </c>
      <c r="D253" s="13"/>
      <c r="E253" s="63"/>
      <c r="F253" s="13"/>
      <c r="G253" s="13"/>
      <c r="H253" s="13" t="s">
        <v>68</v>
      </c>
      <c r="I253" s="101" t="s">
        <v>44</v>
      </c>
      <c r="J253" s="101"/>
      <c r="K253" s="6">
        <f>[9]!'id111?req?HP_STK_SMART_USD_~/'</f>
        <v>0</v>
      </c>
      <c r="L253" s="6" t="str">
        <f>[9]!id111?orderTypes</f>
        <v>ACTIVETIM,ADJUST,ALERT,ALGO,ALLOC,AON,AVGCOST,BASKET,COND,CONDORDER,DARKONLY,DARKPOLL,DAY,DEACT,DEACTDIS,DEACTEOD,DIS,GAT,GTC,GTD,GTT,HID,IBKRATS,ICE,IMB,IOC,LIT,LMT,LOC,MIT,MKT,MOC,MTL,NGCOMB,NODARK,NONALGO,OCA,OPG,OPGREROUT,PEGBENCH,POSTONLY,PREOPGRTH,R</v>
      </c>
      <c r="M253" s="6" t="str">
        <f>[9]!id111?validExchanges</f>
        <v>SMART,NYSE,CBOE,ISE,CHX,ARCA,ISLAND,DRCTEDGE,NSX,BEX,BATS,EDGEA,CSFBALGO,JEFFALGO,BYX,IEX,TPLUS2,PSX</v>
      </c>
      <c r="N253" s="6">
        <f>[9]!id111?conid</f>
        <v>8097</v>
      </c>
      <c r="O253" s="6">
        <f>[9]!id111?minTick</f>
        <v>0.01</v>
      </c>
      <c r="P253" s="6">
        <f>[9]!id111?multiplier</f>
        <v>0</v>
      </c>
      <c r="Q253" s="6" t="str">
        <f>[9]!id111?marketName</f>
        <v>HP</v>
      </c>
      <c r="R253" s="6" t="str">
        <f>[9]!id111?tradingClass</f>
        <v>HP</v>
      </c>
    </row>
    <row r="254" spans="1:18" hidden="1" x14ac:dyDescent="0.2">
      <c r="A254" s="176" t="s">
        <v>973</v>
      </c>
      <c r="B254" s="13" t="s">
        <v>12</v>
      </c>
      <c r="C254" s="13" t="b">
        <f t="shared" si="2"/>
        <v>1</v>
      </c>
      <c r="D254" s="13"/>
      <c r="E254" s="63"/>
      <c r="F254" s="13"/>
      <c r="G254" s="13"/>
      <c r="H254" s="13" t="s">
        <v>68</v>
      </c>
      <c r="I254" s="101" t="s">
        <v>44</v>
      </c>
      <c r="J254" s="101"/>
      <c r="K254" s="6">
        <f>[9]!'id112?req?HSY_STK_SMART_USD_~/'</f>
        <v>0</v>
      </c>
      <c r="L254" s="6" t="str">
        <f>[9]!id112?orderTypes</f>
        <v>ACTIVETIM,ADJUST,ALERT,ALGO,ALLOC,AON,AVGCOST,BASKET,COND,CONDORDER,DARKONLY,DARKPOLL,DAY,DEACT,DEACTDIS,DEACTEOD,DIS,GAT,GTC,GTD,GTT,HID,IBKRATS,ICE,IMB,IOC,LIT,LMT,LOC,MIT,MKT,MOC,MTL,NGCOMB,NODARK,NONALGO,OCA,OPG,OPGREROUT,PEGBENCH,POSTONLY,PREOPGRTH,R</v>
      </c>
      <c r="M254" s="6" t="str">
        <f>[9]!id112?validExchanges</f>
        <v>SMART,NYSE,CBOE,ISE,CHX,ARCA,ISLAND,VWAP,DRCTEDGE,NSX,BEX,BATS,EDGEA,CSFBALGO,JEFFALGO,BYX,IEX,TPLUS2,PSX</v>
      </c>
      <c r="N254" s="6">
        <f>[9]!id112?conid</f>
        <v>8199</v>
      </c>
      <c r="O254" s="6">
        <f>[9]!id112?minTick</f>
        <v>0.01</v>
      </c>
      <c r="P254" s="6">
        <f>[9]!id112?multiplier</f>
        <v>0</v>
      </c>
      <c r="Q254" s="6" t="str">
        <f>[9]!id112?marketName</f>
        <v>HSY</v>
      </c>
      <c r="R254" s="6" t="str">
        <f>[9]!id112?tradingClass</f>
        <v>HSY</v>
      </c>
    </row>
    <row r="255" spans="1:18" hidden="1" x14ac:dyDescent="0.2">
      <c r="A255" s="176" t="s">
        <v>974</v>
      </c>
      <c r="B255" s="13" t="s">
        <v>12</v>
      </c>
      <c r="C255" s="13" t="b">
        <f t="shared" si="2"/>
        <v>0</v>
      </c>
      <c r="D255" s="13"/>
      <c r="E255" s="63"/>
      <c r="F255" s="13"/>
      <c r="G255" s="13"/>
      <c r="H255" s="13" t="s">
        <v>68</v>
      </c>
      <c r="I255" s="101" t="s">
        <v>44</v>
      </c>
      <c r="J255" s="101"/>
      <c r="K255" s="6">
        <f>[9]!'id113?req?FFIV_STK_SMART_USD_~/'</f>
        <v>0</v>
      </c>
      <c r="L255" s="6" t="str">
        <f>[9]!id113?orderTypes</f>
        <v>ACTIVETIM,ADJUST,ALERT,ALGO,ALLOC,AON,AVGCOST,BASKET,COND,CONDORDER,DARKONLY,DARKPOLL,DAY,DEACT,DEACTDIS,DEACTEOD,DIS,GAT,GTC,GTD,GTT,HID,IBKRATS,ICE,IMB,IOC,LIT,LMT,LOC,MIT,MKT,MOC,MTL,NGCOMB,NODARK,NONALGO,OCA,OPG,OPGREROUT,PEGBENCH,POSTONLY,PREOPGRTH,R</v>
      </c>
      <c r="M255" s="6" t="str">
        <f>[9]!id113?validExchanges</f>
        <v>SMART,CBOE,ISE,CHX,ARCA,ISLAND,VWAP,DRCTEDGE,NSX,BEX,BATS,EDGEA,CSFBALGO,JEFFALGO,BYX,IEX,TPLUS2,PSX</v>
      </c>
      <c r="N255" s="6">
        <f>[9]!id113?conid</f>
        <v>6248713</v>
      </c>
      <c r="O255" s="6">
        <f>[9]!id113?minTick</f>
        <v>0.01</v>
      </c>
      <c r="P255" s="6">
        <f>[9]!id113?multiplier</f>
        <v>0</v>
      </c>
      <c r="Q255" s="6" t="str">
        <f>[9]!id113?marketName</f>
        <v>NMS</v>
      </c>
      <c r="R255" s="6" t="str">
        <f>[9]!id113?tradingClass</f>
        <v>NMS</v>
      </c>
    </row>
    <row r="256" spans="1:18" hidden="1" x14ac:dyDescent="0.2">
      <c r="A256" s="176" t="s">
        <v>975</v>
      </c>
      <c r="B256" s="13" t="s">
        <v>12</v>
      </c>
      <c r="C256" s="13" t="b">
        <f t="shared" si="2"/>
        <v>1</v>
      </c>
      <c r="D256" s="13"/>
      <c r="E256" s="63"/>
      <c r="F256" s="13"/>
      <c r="G256" s="13"/>
      <c r="H256" s="13" t="s">
        <v>68</v>
      </c>
      <c r="I256" s="101" t="s">
        <v>44</v>
      </c>
      <c r="J256" s="101"/>
      <c r="K256" s="6">
        <f>[9]!'id114?req?RAI_STK_SMART_USD_~/'</f>
        <v>0</v>
      </c>
      <c r="L256" s="6" t="str">
        <f>[9]!id114?orderTypes</f>
        <v>ACTIVETIM,ADJUST,ALERT,ALGO,ALLOC,AON,AVGCOST,BASKET,COND,CONDORDER,DARKONLY,DARKPOLL,DAY,DEACT,DEACTDIS,DEACTEOD,DIS,GAT,GTC,GTD,GTT,HID,IBKRATS,ICE,IMB,IOC,LIT,LMT,LOC,MIT,MKT,MOC,MTL,NGCOMB,NODARK,NONALGO,OCA,OPG,OPGREROUT,PEGBENCH,POSTONLY,PREOPGRTH,R</v>
      </c>
      <c r="M256" s="6" t="str">
        <f>[9]!id114?validExchanges</f>
        <v>SMART,NYSE,CBOE,ISE,CHX,ARCA,ISLAND,VWAP,DRCTEDGE,NSX,BEX,BATS,EDGEA,CSFBALGO,JEFFALGO,BYX,IEX,TPLUS2,PSX</v>
      </c>
      <c r="N256" s="6">
        <f>[9]!id114?conid</f>
        <v>4740381</v>
      </c>
      <c r="O256" s="6">
        <f>[9]!id114?minTick</f>
        <v>0.01</v>
      </c>
      <c r="P256" s="6">
        <f>[9]!id114?multiplier</f>
        <v>0</v>
      </c>
      <c r="Q256" s="6" t="str">
        <f>[9]!id114?marketName</f>
        <v>RAI</v>
      </c>
      <c r="R256" s="6" t="str">
        <f>[9]!id114?tradingClass</f>
        <v>RAI</v>
      </c>
    </row>
    <row r="257" spans="1:18" hidden="1" x14ac:dyDescent="0.2">
      <c r="A257" s="176" t="s">
        <v>976</v>
      </c>
      <c r="B257" s="13" t="s">
        <v>12</v>
      </c>
      <c r="C257" s="13" t="b">
        <f t="shared" si="2"/>
        <v>1</v>
      </c>
      <c r="D257" s="13"/>
      <c r="E257" s="63"/>
      <c r="F257" s="13"/>
      <c r="G257" s="13"/>
      <c r="H257" s="13" t="s">
        <v>68</v>
      </c>
      <c r="I257" s="101" t="s">
        <v>44</v>
      </c>
      <c r="J257" s="101"/>
      <c r="K257" s="6">
        <f>[9]!'id115?req?JNPR_STK_SMART_USD_~/'</f>
        <v>0</v>
      </c>
      <c r="L257" s="6" t="str">
        <f>[9]!id115?orderTypes</f>
        <v>ACTIVETIM,ADJUST,ALERT,ALGO,ALLOC,AON,AVGCOST,BASKET,COND,CONDORDER,DARKONLY,DARKPOLL,DAY,DEACT,DEACTDIS,DEACTEOD,DIS,GAT,GTC,GTD,GTT,HID,IBKRATS,ICE,IMB,IOC,LIT,LMT,LOC,MIT,MKT,MOC,MTL,NGCOMB,NODARK,NONALGO,OCA,OPG,OPGREROUT,PEGBENCH,POSTONLY,PREOPGRTH,R</v>
      </c>
      <c r="M257" s="6" t="str">
        <f>[9]!id115?validExchanges</f>
        <v>SMART,NYSE,CBOE,ISE,CHX,ARCA,ISLAND,VWAP,DRCTEDGE,NSX,BEX,BATS,EDGEA,CSFBALGO,JEFFALGO,BYX,IEX,TPLUS2,PSX</v>
      </c>
      <c r="N257" s="6">
        <f>[9]!id115?conid</f>
        <v>6248722</v>
      </c>
      <c r="O257" s="6">
        <f>[9]!id115?minTick</f>
        <v>0.01</v>
      </c>
      <c r="P257" s="6">
        <f>[9]!id115?multiplier</f>
        <v>0</v>
      </c>
      <c r="Q257" s="6" t="str">
        <f>[9]!id115?marketName</f>
        <v>JNPR</v>
      </c>
      <c r="R257" s="6" t="str">
        <f>[9]!id115?tradingClass</f>
        <v>JNPR</v>
      </c>
    </row>
    <row r="258" spans="1:18" hidden="1" x14ac:dyDescent="0.2">
      <c r="A258" s="176" t="s">
        <v>977</v>
      </c>
      <c r="B258" s="13" t="s">
        <v>12</v>
      </c>
      <c r="C258" s="13" t="b">
        <f t="shared" ref="C258:C320" si="3">A258=Q258</f>
        <v>1</v>
      </c>
      <c r="D258" s="13"/>
      <c r="E258" s="63"/>
      <c r="F258" s="13"/>
      <c r="G258" s="13"/>
      <c r="H258" s="13" t="s">
        <v>68</v>
      </c>
      <c r="I258" s="101" t="s">
        <v>44</v>
      </c>
      <c r="J258" s="101"/>
      <c r="K258" s="6">
        <f>[9]!'id116?req?UNM_STK_SMART_USD_~/'</f>
        <v>0</v>
      </c>
      <c r="L258" s="6" t="str">
        <f>[9]!id116?orderTypes</f>
        <v>ACTIVETIM,ADJUST,ALERT,ALGO,ALLOC,AON,AVGCOST,BASKET,COND,CONDORDER,DARKONLY,DARKPOLL,DAY,DEACT,DEACTDIS,DEACTEOD,DIS,GAT,GTC,GTD,GTT,HID,IBKRATS,ICE,IMB,IOC,LIT,LMT,LOC,MIT,MKT,MOC,MTL,NGCOMB,NODARK,NONALGO,OCA,OPG,OPGREROUT,PEGBENCH,POSTONLY,PREOPGRTH,R</v>
      </c>
      <c r="M258" s="6" t="str">
        <f>[9]!id116?validExchanges</f>
        <v>SMART,NYSE,CBOE,ISE,CHX,ARCA,ISLAND,VWAP,DRCTEDGE,NSX,BEX,BATS,EDGEA,CSFBALGO,JEFFALGO,BYX,IEX,TPLUS2,PSX</v>
      </c>
      <c r="N258" s="6">
        <f>[9]!id116?conid</f>
        <v>13277</v>
      </c>
      <c r="O258" s="6">
        <f>[9]!id116?minTick</f>
        <v>0.01</v>
      </c>
      <c r="P258" s="6">
        <f>[9]!id116?multiplier</f>
        <v>0</v>
      </c>
      <c r="Q258" s="6" t="str">
        <f>[9]!id116?marketName</f>
        <v>UNM</v>
      </c>
      <c r="R258" s="6" t="str">
        <f>[9]!id116?tradingClass</f>
        <v>UNM</v>
      </c>
    </row>
    <row r="259" spans="1:18" hidden="1" x14ac:dyDescent="0.2">
      <c r="A259" s="176" t="s">
        <v>978</v>
      </c>
      <c r="B259" s="13" t="s">
        <v>12</v>
      </c>
      <c r="C259" s="13" t="b">
        <f t="shared" si="3"/>
        <v>1</v>
      </c>
      <c r="D259" s="13"/>
      <c r="E259" s="63"/>
      <c r="F259" s="13"/>
      <c r="G259" s="13"/>
      <c r="H259" s="13" t="s">
        <v>68</v>
      </c>
      <c r="I259" s="101" t="s">
        <v>44</v>
      </c>
      <c r="J259" s="101"/>
      <c r="K259" s="6">
        <f>[9]!'id117?req?HD_STK_SMART_USD_~/'</f>
        <v>0</v>
      </c>
      <c r="L259" s="6" t="str">
        <f>[9]!id117?orderTypes</f>
        <v>ACTIVETIM,ADJUST,ALERT,ALGO,ALLOC,AON,AVGCOST,BASKET,COND,CONDORDER,DARKONLY,DARKPOLL,DAY,DEACT,DEACTDIS,DEACTEOD,DIS,GAT,GTC,GTD,GTT,HID,IBKRATS,ICE,IMB,IOC,LIT,LMT,LOC,MIT,MKT,MOC,MTL,NGCOMB,NODARK,NONALGO,OCA,OPG,OPGREROUT,PEGBENCH,POSTONLY,PREOPGRTH,R</v>
      </c>
      <c r="M259" s="6" t="str">
        <f>[9]!id117?validExchanges</f>
        <v>SMART,NYSE,CBOE,ISE,CHX,ARCA,ISLAND,VWAP,DRCTEDGE,NSX,BEX,BATS,EDGEA,CSFBALGO,JEFFALGO,BYX,IEX,TPLUS2,PSX</v>
      </c>
      <c r="N259" s="6">
        <f>[9]!id117?conid</f>
        <v>7930</v>
      </c>
      <c r="O259" s="6">
        <f>[9]!id117?minTick</f>
        <v>0.01</v>
      </c>
      <c r="P259" s="6">
        <f>[9]!id117?multiplier</f>
        <v>0</v>
      </c>
      <c r="Q259" s="6" t="str">
        <f>[9]!id117?marketName</f>
        <v>HD</v>
      </c>
      <c r="R259" s="6" t="str">
        <f>[9]!id117?tradingClass</f>
        <v>HD</v>
      </c>
    </row>
    <row r="260" spans="1:18" hidden="1" x14ac:dyDescent="0.2">
      <c r="A260" s="176" t="s">
        <v>979</v>
      </c>
      <c r="B260" s="13" t="s">
        <v>12</v>
      </c>
      <c r="C260" s="13" t="b">
        <f t="shared" si="3"/>
        <v>1</v>
      </c>
      <c r="D260" s="13"/>
      <c r="E260" s="63"/>
      <c r="F260" s="13"/>
      <c r="G260" s="13"/>
      <c r="H260" s="13" t="s">
        <v>68</v>
      </c>
      <c r="I260" s="101" t="s">
        <v>44</v>
      </c>
      <c r="J260" s="101"/>
      <c r="K260" s="6">
        <f>[9]!'id118?req?HRL_STK_SMART_USD_~/'</f>
        <v>0</v>
      </c>
      <c r="L260" s="6" t="str">
        <f>[9]!id118?orderTypes</f>
        <v>ACTIVETIM,ADJUST,ALERT,ALGO,ALLOC,AON,AVGCOST,BASKET,COND,CONDORDER,DARKONLY,DARKPOLL,DAY,DEACT,DEACTDIS,DEACTEOD,DIS,GAT,GTC,GTD,GTT,HID,IBKRATS,ICE,IMB,IOC,LIT,LMT,LOC,MIT,MKT,MOC,MTL,NGCOMB,NODARK,NONALGO,OCA,OPG,OPGREROUT,PEGBENCH,POSTONLY,PREOPGRTH,R</v>
      </c>
      <c r="M260" s="6" t="str">
        <f>[9]!id118?validExchanges</f>
        <v>SMART,NYSE,CBOE,ISE,CHX,ARCA,ISLAND,VWAP,DRCTEDGE,NSX,BEX,BATS,EDGEA,CSFBALGO,JEFFALGO,BYX,IEX,TPLUS2,PSX</v>
      </c>
      <c r="N260" s="6">
        <f>[9]!id118?conid</f>
        <v>8153</v>
      </c>
      <c r="O260" s="6">
        <f>[9]!id118?minTick</f>
        <v>0.01</v>
      </c>
      <c r="P260" s="6">
        <f>[9]!id118?multiplier</f>
        <v>0</v>
      </c>
      <c r="Q260" s="6" t="str">
        <f>[9]!id118?marketName</f>
        <v>HRL</v>
      </c>
      <c r="R260" s="6" t="str">
        <f>[9]!id118?tradingClass</f>
        <v>HRL</v>
      </c>
    </row>
    <row r="261" spans="1:18" hidden="1" x14ac:dyDescent="0.2">
      <c r="A261" s="176" t="s">
        <v>980</v>
      </c>
      <c r="B261" s="13" t="s">
        <v>12</v>
      </c>
      <c r="C261" s="13" t="b">
        <f t="shared" si="3"/>
        <v>1</v>
      </c>
      <c r="D261" s="13"/>
      <c r="E261" s="63"/>
      <c r="F261" s="13"/>
      <c r="G261" s="13"/>
      <c r="H261" s="13" t="s">
        <v>68</v>
      </c>
      <c r="I261" s="101" t="s">
        <v>44</v>
      </c>
      <c r="J261" s="101"/>
      <c r="K261" s="6">
        <f>[9]!'id119?req?CNP_STK_SMART_USD_~/'</f>
        <v>0</v>
      </c>
      <c r="L261" s="6" t="str">
        <f>[9]!id119?orderTypes</f>
        <v>ACTIVETIM,ADJUST,ALERT,ALGO,ALLOC,AON,AVGCOST,BASKET,COND,CONDORDER,DARKONLY,DARKPOLL,DAY,DEACT,DEACTDIS,DEACTEOD,DIS,GAT,GTC,GTD,GTT,HID,IBKRATS,ICE,IMB,IOC,LIT,LMT,LOC,MIT,MKT,MOC,MTL,NGCOMB,NODARK,NONALGO,OCA,OPG,OPGREROUT,PEGBENCH,POSTONLY,PREOPGRTH,R</v>
      </c>
      <c r="M261" s="6" t="str">
        <f>[9]!id119?validExchanges</f>
        <v>SMART,NYSE,CBOE,ISE,CHX,ARCA,ISLAND,VWAP,DRCTEDGE,NSX,BEX,BATS,EDGEA,CSFBALGO,JEFFALGO,BYX,IEX,TPLUS2,PSX</v>
      </c>
      <c r="N261" s="6">
        <f>[9]!id119?conid</f>
        <v>8093</v>
      </c>
      <c r="O261" s="6">
        <f>[9]!id119?minTick</f>
        <v>0.01</v>
      </c>
      <c r="P261" s="6">
        <f>[9]!id119?multiplier</f>
        <v>0</v>
      </c>
      <c r="Q261" s="6" t="str">
        <f>[9]!id119?marketName</f>
        <v>CNP</v>
      </c>
      <c r="R261" s="6" t="str">
        <f>[9]!id119?tradingClass</f>
        <v>CNP</v>
      </c>
    </row>
    <row r="262" spans="1:18" hidden="1" x14ac:dyDescent="0.2">
      <c r="A262" s="176" t="s">
        <v>981</v>
      </c>
      <c r="B262" s="13" t="s">
        <v>12</v>
      </c>
      <c r="C262" s="13" t="b">
        <f t="shared" si="3"/>
        <v>1</v>
      </c>
      <c r="D262" s="13"/>
      <c r="E262" s="63"/>
      <c r="F262" s="13"/>
      <c r="G262" s="13"/>
      <c r="H262" s="13" t="s">
        <v>68</v>
      </c>
      <c r="I262" s="101" t="s">
        <v>44</v>
      </c>
      <c r="J262" s="101"/>
      <c r="K262" s="6">
        <f>[9]!'id120?req?HUM_STK_SMART_USD_~/'</f>
        <v>0</v>
      </c>
      <c r="L262" s="6" t="str">
        <f>[9]!id120?orderTypes</f>
        <v>ACTIVETIM,ADJUST,ALERT,ALGO,ALLOC,AON,AVGCOST,BASKET,COND,CONDORDER,DARKONLY,DARKPOLL,DAY,DEACT,DEACTDIS,DEACTEOD,DIS,GAT,GTC,GTD,GTT,HID,IBKRATS,ICE,IMB,IOC,LIT,LMT,LOC,MIT,MKT,MOC,MTL,NGCOMB,NODARK,NONALGO,OCA,OPG,OPGREROUT,PEGBENCH,POSTONLY,PREOPGRTH,R</v>
      </c>
      <c r="M262" s="6" t="str">
        <f>[9]!id120?validExchanges</f>
        <v>SMART,NYSE,CBOE,ISE,CHX,ARCA,ISLAND,VWAP,DRCTEDGE,NSX,BEX,BATS,EDGEA,CSFBALGO,JEFFALGO,BYX,IEX,TPLUS2,PSX</v>
      </c>
      <c r="N262" s="6">
        <f>[9]!id120?conid</f>
        <v>8251</v>
      </c>
      <c r="O262" s="6">
        <f>[9]!id120?minTick</f>
        <v>0.01</v>
      </c>
      <c r="P262" s="6">
        <f>[9]!id120?multiplier</f>
        <v>0</v>
      </c>
      <c r="Q262" s="6" t="str">
        <f>[9]!id120?marketName</f>
        <v>HUM</v>
      </c>
      <c r="R262" s="6" t="str">
        <f>[9]!id120?tradingClass</f>
        <v>HUM</v>
      </c>
    </row>
    <row r="263" spans="1:18" hidden="1" x14ac:dyDescent="0.2">
      <c r="A263" s="176" t="s">
        <v>982</v>
      </c>
      <c r="B263" s="13" t="s">
        <v>12</v>
      </c>
      <c r="C263" s="13" t="b">
        <f t="shared" si="3"/>
        <v>0</v>
      </c>
      <c r="D263" s="13"/>
      <c r="E263" s="63"/>
      <c r="F263" s="13"/>
      <c r="G263" s="13"/>
      <c r="H263" s="13" t="s">
        <v>68</v>
      </c>
      <c r="I263" s="101" t="s">
        <v>44</v>
      </c>
      <c r="J263" s="101"/>
      <c r="K263" s="6">
        <f>[9]!'id121?req?JBHT_STK_SMART_USD_~/'</f>
        <v>0</v>
      </c>
      <c r="L263" s="6" t="str">
        <f>[9]!id121?orderTypes</f>
        <v>ACTIVETIM,ADJUST,ALERT,ALGO,ALLOC,AON,AVGCOST,BASKET,COND,CONDORDER,DARKONLY,DARKPOLL,DAY,DEACT,DEACTDIS,DEACTEOD,DIS,GAT,GTC,GTD,GTT,HID,IBKRATS,ICE,IMB,IOC,LIT,LMT,LOC,MIT,MKT,MOC,MTL,NGCOMB,NODARK,NONALGO,OCA,OPG,OPGREROUT,PEGBENCH,POSTONLY,PREOPGRTH,R</v>
      </c>
      <c r="M263" s="6" t="str">
        <f>[9]!id121?validExchanges</f>
        <v>SMART,CBOE,ISE,CHX,ARCA,ISLAND,VWAP,DRCTEDGE,NSX,BEX,BATS,EDGEA,CSFBALGO,JEFFALGO,BYX,IEX,TPLUS2,PSX</v>
      </c>
      <c r="N263" s="6">
        <f>[9]!id121?conid</f>
        <v>270825</v>
      </c>
      <c r="O263" s="6">
        <f>[9]!id121?minTick</f>
        <v>0.01</v>
      </c>
      <c r="P263" s="6">
        <f>[9]!id121?multiplier</f>
        <v>0</v>
      </c>
      <c r="Q263" s="6" t="str">
        <f>[9]!id121?marketName</f>
        <v>NMS</v>
      </c>
      <c r="R263" s="6" t="str">
        <f>[9]!id121?tradingClass</f>
        <v>NMS</v>
      </c>
    </row>
    <row r="264" spans="1:18" hidden="1" x14ac:dyDescent="0.2">
      <c r="A264" s="176" t="s">
        <v>983</v>
      </c>
      <c r="B264" s="13" t="s">
        <v>12</v>
      </c>
      <c r="C264" s="13" t="b">
        <f t="shared" si="3"/>
        <v>0</v>
      </c>
      <c r="D264" s="13"/>
      <c r="E264" s="63"/>
      <c r="F264" s="13"/>
      <c r="G264" s="13"/>
      <c r="H264" s="13" t="s">
        <v>68</v>
      </c>
      <c r="I264" s="101" t="s">
        <v>44</v>
      </c>
      <c r="J264" s="101"/>
      <c r="K264" s="6">
        <f>[9]!'id122?req?HBAN_STK_SMART_USD_~/'</f>
        <v>0</v>
      </c>
      <c r="L264" s="6" t="str">
        <f>[9]!id122?orderTypes</f>
        <v>ACTIVETIM,ADJUST,ALERT,ALGO,ALLOC,AON,AVGCOST,BASKET,COND,CONDORDER,DARKONLY,DARKPOLL,DAY,DEACT,DEACTDIS,DEACTEOD,DIS,GAT,GTC,GTD,GTT,HID,IBKRATS,ICE,IMB,IOC,LIT,LMT,LOC,MIT,MKT,MOC,MTL,NGCOMB,NODARK,NONALGO,OCA,OPG,OPGREROUT,PEGBENCH,POSTONLY,PREOPGRTH,R</v>
      </c>
      <c r="M264" s="6" t="str">
        <f>[9]!id122?validExchanges</f>
        <v>SMART,CBOE,ISE,CHX,ARCA,ISLAND,VWAP,DRCTEDGE,NSX,BEX,BATS,EDGEA,CSFBALGO,JEFFALGO,BYX,IEX,TPLUS2,PSX</v>
      </c>
      <c r="N264" s="6">
        <f>[9]!id122?conid</f>
        <v>270018</v>
      </c>
      <c r="O264" s="6">
        <f>[9]!id122?minTick</f>
        <v>0.01</v>
      </c>
      <c r="P264" s="6">
        <f>[9]!id122?multiplier</f>
        <v>0</v>
      </c>
      <c r="Q264" s="6" t="str">
        <f>[9]!id122?marketName</f>
        <v>NMS</v>
      </c>
      <c r="R264" s="6" t="str">
        <f>[9]!id122?tradingClass</f>
        <v>NMS</v>
      </c>
    </row>
    <row r="265" spans="1:18" hidden="1" x14ac:dyDescent="0.2">
      <c r="A265" s="176" t="s">
        <v>984</v>
      </c>
      <c r="B265" s="13" t="s">
        <v>12</v>
      </c>
      <c r="C265" s="13" t="b">
        <f t="shared" si="3"/>
        <v>1</v>
      </c>
      <c r="D265" s="13"/>
      <c r="E265" s="63"/>
      <c r="F265" s="13"/>
      <c r="G265" s="13"/>
      <c r="H265" s="13" t="s">
        <v>68</v>
      </c>
      <c r="I265" s="101" t="s">
        <v>44</v>
      </c>
      <c r="J265" s="101"/>
      <c r="K265" s="6">
        <f>[9]!'id123?req?RHT_STK_SMART_USD_~/'</f>
        <v>0</v>
      </c>
      <c r="L265" s="6" t="str">
        <f>[9]!id123?orderTypes</f>
        <v>ACTIVETIM,ADJUST,ALERT,ALGO,ALLOC,AON,AVGCOST,BASKET,COND,CONDORDER,DARKONLY,DARKPOLL,DAY,DEACT,DEACTDIS,DEACTEOD,DIS,GAT,GTC,GTD,GTT,HID,IBKRATS,ICE,IMB,IOC,LIT,LMT,LOC,MIT,MKT,MOC,MTL,NGCOMB,NODARK,NONALGO,OCA,OPG,OPGREROUT,PEGBENCH,POSTONLY,PREOPGRTH,R</v>
      </c>
      <c r="M265" s="6" t="str">
        <f>[9]!id123?validExchanges</f>
        <v>SMART,NYSE,CBOE,ISE,CHX,ARCA,ISLAND,VWAP,DRCTEDGE,NSX,BEX,BATS,EDGEA,CSFBALGO,JEFFALGO,BYX,IEX,TPLUS2,PSX</v>
      </c>
      <c r="N265" s="6">
        <f>[9]!id123?conid</f>
        <v>5090107</v>
      </c>
      <c r="O265" s="6">
        <f>[9]!id123?minTick</f>
        <v>0.01</v>
      </c>
      <c r="P265" s="6">
        <f>[9]!id123?multiplier</f>
        <v>0</v>
      </c>
      <c r="Q265" s="6" t="str">
        <f>[9]!id123?marketName</f>
        <v>RHT</v>
      </c>
      <c r="R265" s="6" t="str">
        <f>[9]!id123?tradingClass</f>
        <v>RHT</v>
      </c>
    </row>
    <row r="266" spans="1:18" hidden="1" x14ac:dyDescent="0.2">
      <c r="A266" s="176" t="s">
        <v>985</v>
      </c>
      <c r="B266" s="13" t="s">
        <v>12</v>
      </c>
      <c r="C266" s="13" t="b">
        <f t="shared" si="3"/>
        <v>0</v>
      </c>
      <c r="D266" s="13"/>
      <c r="E266" s="63"/>
      <c r="F266" s="13"/>
      <c r="G266" s="13"/>
      <c r="H266" s="13" t="s">
        <v>68</v>
      </c>
      <c r="I266" s="101" t="s">
        <v>44</v>
      </c>
      <c r="J266" s="101"/>
      <c r="K266" s="6">
        <f>[9]!'id124?req?BIIB_STK_SMART_USD_~/'</f>
        <v>0</v>
      </c>
      <c r="L266" s="6" t="str">
        <f>[9]!id124?orderTypes</f>
        <v>ACTIVETIM,ADJUST,ALERT,ALGO,ALLOC,AON,AVGCOST,BASKET,COND,CONDORDER,DARKONLY,DARKPOLL,DAY,DEACT,DEACTDIS,DEACTEOD,DIS,GAT,GTC,GTD,GTT,HID,IBKRATS,ICE,IMB,IOC,LIT,LMT,LOC,MIT,MKT,MOC,MTL,NGCOMB,NODARK,NONALGO,OCA,OPG,OPGREROUT,PEGBENCH,POSTONLY,PREOPGRTH,R</v>
      </c>
      <c r="M266" s="6" t="str">
        <f>[9]!id124?validExchanges</f>
        <v>SMART,CBOE,ISE,CHX,ARCA,ISLAND,VWAP,DRCTEDGE,NSX,BEX,BATS,EDGEA,CSFBALGO,JEFFALGO,BYX,IEX,TPLUS2,PSX</v>
      </c>
      <c r="N266" s="6">
        <f>[9]!id124?conid</f>
        <v>26734397</v>
      </c>
      <c r="O266" s="6">
        <f>[9]!id124?minTick</f>
        <v>0.01</v>
      </c>
      <c r="P266" s="6">
        <f>[9]!id124?multiplier</f>
        <v>0</v>
      </c>
      <c r="Q266" s="6" t="str">
        <f>[9]!id124?marketName</f>
        <v>NMS</v>
      </c>
      <c r="R266" s="6" t="str">
        <f>[9]!id124?tradingClass</f>
        <v>NMS</v>
      </c>
    </row>
    <row r="267" spans="1:18" hidden="1" x14ac:dyDescent="0.2">
      <c r="A267" s="176" t="s">
        <v>986</v>
      </c>
      <c r="B267" s="13" t="s">
        <v>12</v>
      </c>
      <c r="C267" s="13" t="b">
        <f t="shared" si="3"/>
        <v>1</v>
      </c>
      <c r="D267" s="13"/>
      <c r="E267" s="63"/>
      <c r="F267" s="13"/>
      <c r="G267" s="13"/>
      <c r="H267" s="13" t="s">
        <v>68</v>
      </c>
      <c r="I267" s="101" t="s">
        <v>44</v>
      </c>
      <c r="J267" s="101"/>
      <c r="K267" s="6">
        <f>[9]!'id125?req?ITW_STK_SMART_USD_~/'</f>
        <v>0</v>
      </c>
      <c r="L267" s="6" t="str">
        <f>[9]!id125?orderTypes</f>
        <v>ACTIVETIM,ADJUST,ALERT,ALGO,ALLOC,AON,AVGCOST,BASKET,COND,CONDORDER,DARKONLY,DARKPOLL,DAY,DEACT,DEACTDIS,DEACTEOD,DIS,GAT,GTC,GTD,GTT,HID,IBKRATS,ICE,IMB,IOC,LIT,LMT,LOC,MIT,MKT,MOC,MTL,NGCOMB,NODARK,NONALGO,OCA,OPG,OPGREROUT,PEGBENCH,POSTONLY,PREOPGRTH,R</v>
      </c>
      <c r="M267" s="6" t="str">
        <f>[9]!id125?validExchanges</f>
        <v>SMART,NYSE,CBOE,ISE,CHX,ARCA,ISLAND,VWAP,DRCTEDGE,NSX,BEX,BATS,EDGEA,CSFBALGO,JEFFALGO,BYX,IEX,TPLUS2,PSX</v>
      </c>
      <c r="N267" s="6">
        <f>[9]!id125?conid</f>
        <v>8620</v>
      </c>
      <c r="O267" s="6">
        <f>[9]!id125?minTick</f>
        <v>0.01</v>
      </c>
      <c r="P267" s="6">
        <f>[9]!id125?multiplier</f>
        <v>0</v>
      </c>
      <c r="Q267" s="6" t="str">
        <f>[9]!id125?marketName</f>
        <v>ITW</v>
      </c>
      <c r="R267" s="6" t="str">
        <f>[9]!id125?tradingClass</f>
        <v>ITW</v>
      </c>
    </row>
    <row r="268" spans="1:18" hidden="1" x14ac:dyDescent="0.2">
      <c r="A268" s="176" t="s">
        <v>987</v>
      </c>
      <c r="B268" s="13" t="s">
        <v>12</v>
      </c>
      <c r="C268" s="13" t="b">
        <f t="shared" si="3"/>
        <v>0</v>
      </c>
      <c r="D268" s="13"/>
      <c r="E268" s="63"/>
      <c r="F268" s="13"/>
      <c r="G268" s="13"/>
      <c r="H268" s="13" t="s">
        <v>68</v>
      </c>
      <c r="I268" s="101" t="s">
        <v>44</v>
      </c>
      <c r="J268" s="101"/>
      <c r="K268" s="6">
        <f>[9]!'id126?req?INTU_STK_SMART_USD_~/'</f>
        <v>0</v>
      </c>
      <c r="L268" s="6" t="str">
        <f>[9]!id126?orderTypes</f>
        <v>ACTIVETIM,ADJUST,ALERT,ALGO,ALLOC,AON,AVGCOST,BASKET,COND,CONDORDER,DARKONLY,DARKPOLL,DAY,DEACT,DEACTDIS,DEACTEOD,DIS,GAT,GTC,GTD,GTT,HID,IBKRATS,ICE,IMB,IOC,LIT,LMT,LOC,MIT,MKT,MOC,MTL,NGCOMB,NODARK,NONALGO,OCA,OPG,OPGREROUT,PEGBENCH,POSTONLY,PREOPGRTH,R</v>
      </c>
      <c r="M268" s="6" t="str">
        <f>[9]!id126?validExchanges</f>
        <v>SMART,CBOE,ISE,CHX,ARCA,ISLAND,VWAP,DRCTEDGE,NSX,BEX,BATS,EDGEA,CSFBALGO,JEFFALGO,BYX,IEX,TPLUS2,PSX</v>
      </c>
      <c r="N268" s="6">
        <f>[9]!id126?conid</f>
        <v>270662</v>
      </c>
      <c r="O268" s="6">
        <f>[9]!id126?minTick</f>
        <v>0.01</v>
      </c>
      <c r="P268" s="6">
        <f>[9]!id126?multiplier</f>
        <v>0</v>
      </c>
      <c r="Q268" s="6" t="str">
        <f>[9]!id126?marketName</f>
        <v>NMS</v>
      </c>
      <c r="R268" s="6" t="str">
        <f>[9]!id126?tradingClass</f>
        <v>NMS</v>
      </c>
    </row>
    <row r="269" spans="1:18" hidden="1" x14ac:dyDescent="0.2">
      <c r="A269" s="176" t="s">
        <v>988</v>
      </c>
      <c r="B269" s="13" t="s">
        <v>12</v>
      </c>
      <c r="C269" s="13" t="b">
        <f t="shared" si="3"/>
        <v>0</v>
      </c>
      <c r="D269" s="13"/>
      <c r="E269" s="63"/>
      <c r="F269" s="13"/>
      <c r="G269" s="13"/>
      <c r="H269" s="13" t="s">
        <v>68</v>
      </c>
      <c r="I269" s="101" t="s">
        <v>44</v>
      </c>
      <c r="J269" s="101"/>
      <c r="K269" s="6">
        <f>[9]!'id127?req?INTC_STK_SMART_USD_~/'</f>
        <v>0</v>
      </c>
      <c r="L269" s="6" t="str">
        <f>[9]!id127?orderTypes</f>
        <v>ACTIVETIM,ADJUST,ALERT,ALGO,ALLOC,AON,AVGCOST,BASKET,COND,CONDORDER,DARKONLY,DARKPOLL,DAY,DEACT,DEACTDIS,DEACTEOD,DIS,GAT,GTC,GTD,GTT,HID,IBKRATS,ICE,IMB,IOC,LIT,LMT,LOC,MIT,MKT,MOC,MTL,NGCOMB,NODARK,NONALGO,OCA,OPG,OPGREROUT,PEGBENCH,POSTONLY,PREOPGRTH,R</v>
      </c>
      <c r="M269" s="6" t="str">
        <f>[9]!id127?validExchanges</f>
        <v>SMART,CBOE,ISE,CHX,ARCA,ISLAND,VWAP,DRCTEDGE,NSX,BEX,BATS,EDGEA,CSFBALGO,JEFFALGO,BYX,IEX,TPLUS2,PSX</v>
      </c>
      <c r="N269" s="6">
        <f>[9]!id127?conid</f>
        <v>270639</v>
      </c>
      <c r="O269" s="6">
        <f>[9]!id127?minTick</f>
        <v>0.01</v>
      </c>
      <c r="P269" s="6">
        <f>[9]!id127?multiplier</f>
        <v>0</v>
      </c>
      <c r="Q269" s="6" t="str">
        <f>[9]!id127?marketName</f>
        <v>NMS</v>
      </c>
      <c r="R269" s="6" t="str">
        <f>[9]!id127?tradingClass</f>
        <v>NMS</v>
      </c>
    </row>
    <row r="270" spans="1:18" hidden="1" x14ac:dyDescent="0.2">
      <c r="A270" s="176" t="s">
        <v>989</v>
      </c>
      <c r="B270" s="13" t="s">
        <v>12</v>
      </c>
      <c r="C270" s="13" t="b">
        <f t="shared" si="3"/>
        <v>1</v>
      </c>
      <c r="D270" s="13"/>
      <c r="E270" s="63"/>
      <c r="F270" s="13"/>
      <c r="G270" s="13"/>
      <c r="H270" s="13" t="s">
        <v>68</v>
      </c>
      <c r="I270" s="101" t="s">
        <v>44</v>
      </c>
      <c r="J270" s="101"/>
      <c r="K270" s="6">
        <f>[9]!'id128?req?IFF_STK_SMART_USD_~/'</f>
        <v>0</v>
      </c>
      <c r="L270" s="6" t="str">
        <f>[9]!id128?orderTypes</f>
        <v>ACTIVETIM,ADJUST,ALERT,ALGO,ALLOC,AON,AVGCOST,BASKET,COND,CONDORDER,DARKONLY,DARKPOLL,DAY,DEACT,DEACTDIS,DEACTEOD,DIS,GAT,GTC,GTD,GTT,HID,IBKRATS,ICE,IMB,IOC,LIT,LMT,LOC,MIT,MKT,MOC,MTL,NGCOMB,NODARK,NONALGO,OCA,OPG,OPGREROUT,PEGBENCH,POSTONLY,PREOPGRTH,R</v>
      </c>
      <c r="M270" s="6" t="str">
        <f>[9]!id128?validExchanges</f>
        <v>SMART,NYSE,CBOE,ISE,CHX,ARCA,ISLAND,VWAP,DRCTEDGE,NSX,BEX,BATS,EDGEA,CSFBALGO,JEFFALGO,BYX,IEX,TPLUS2,PSX</v>
      </c>
      <c r="N270" s="6">
        <f>[9]!id128?conid</f>
        <v>8385</v>
      </c>
      <c r="O270" s="6">
        <f>[9]!id128?minTick</f>
        <v>0.01</v>
      </c>
      <c r="P270" s="6">
        <f>[9]!id128?multiplier</f>
        <v>0</v>
      </c>
      <c r="Q270" s="6" t="str">
        <f>[9]!id128?marketName</f>
        <v>IFF</v>
      </c>
      <c r="R270" s="6" t="str">
        <f>[9]!id128?tradingClass</f>
        <v>IFF</v>
      </c>
    </row>
    <row r="271" spans="1:18" hidden="1" x14ac:dyDescent="0.2">
      <c r="A271" s="176" t="s">
        <v>990</v>
      </c>
      <c r="B271" s="13" t="s">
        <v>12</v>
      </c>
      <c r="C271" s="13" t="b">
        <f t="shared" si="3"/>
        <v>1</v>
      </c>
      <c r="D271" s="13"/>
      <c r="E271" s="63"/>
      <c r="F271" s="13"/>
      <c r="G271" s="13"/>
      <c r="H271" s="13" t="s">
        <v>68</v>
      </c>
      <c r="I271" s="101" t="s">
        <v>44</v>
      </c>
      <c r="J271" s="101"/>
      <c r="K271" s="6">
        <f>[9]!'id129?req?IP_STK_SMART_USD_~/'</f>
        <v>0</v>
      </c>
      <c r="L271" s="6" t="str">
        <f>[9]!id129?orderTypes</f>
        <v>ACTIVETIM,ADJUST,ALERT,ALGO,ALLOC,AON,AVGCOST,BASKET,COND,CONDORDER,DARKONLY,DARKPOLL,DAY,DEACT,DEACTDIS,DEACTEOD,DIS,GAT,GTC,GTD,GTT,HID,IBKRATS,ICE,IMB,IOC,LIT,LMT,LOC,MIT,MKT,MOC,MTL,NGCOMB,NODARK,NONALGO,OCA,OPG,OPGREROUT,PEGBENCH,POSTONLY,PREOPGRTH,R</v>
      </c>
      <c r="M271" s="6" t="str">
        <f>[9]!id129?validExchanges</f>
        <v>SMART,NYSE,CBOE,ISE,CHX,ARCA,ISLAND,VWAP,DRCTEDGE,NSX,BEX,BATS,EDGEA,CSFBALGO,JEFFALGO,BYX,IEX,TPLUS2,PSX</v>
      </c>
      <c r="N271" s="6">
        <f>[9]!id129?conid</f>
        <v>8511</v>
      </c>
      <c r="O271" s="6">
        <f>[9]!id129?minTick</f>
        <v>0.01</v>
      </c>
      <c r="P271" s="6">
        <f>[9]!id129?multiplier</f>
        <v>0</v>
      </c>
      <c r="Q271" s="6" t="str">
        <f>[9]!id129?marketName</f>
        <v>IP</v>
      </c>
      <c r="R271" s="6" t="str">
        <f>[9]!id129?tradingClass</f>
        <v>IP</v>
      </c>
    </row>
    <row r="272" spans="1:18" hidden="1" x14ac:dyDescent="0.2">
      <c r="A272" s="176" t="s">
        <v>991</v>
      </c>
      <c r="B272" s="13" t="s">
        <v>12</v>
      </c>
      <c r="C272" s="13" t="b">
        <f t="shared" si="3"/>
        <v>1</v>
      </c>
      <c r="D272" s="13"/>
      <c r="E272" s="63"/>
      <c r="F272" s="13"/>
      <c r="G272" s="13"/>
      <c r="H272" s="13" t="s">
        <v>68</v>
      </c>
      <c r="I272" s="101" t="s">
        <v>44</v>
      </c>
      <c r="J272" s="101"/>
      <c r="K272" s="6">
        <f>[9]!'id130?req?IPG_STK_SMART_USD_~/'</f>
        <v>0</v>
      </c>
      <c r="L272" s="6" t="str">
        <f>[9]!id130?orderTypes</f>
        <v>ACTIVETIM,ADJUST,ALERT,ALGO,ALLOC,AON,AVGCOST,BASKET,COND,CONDORDER,DARKONLY,DARKPOLL,DAY,DEACT,DEACTDIS,DEACTEOD,DIS,GAT,GTC,GTD,GTT,HID,IBKRATS,ICE,IMB,IOC,LIT,LMT,LOC,MIT,MKT,MOC,MTL,NGCOMB,NODARK,NONALGO,OCA,OPG,OPGREROUT,PEGBENCH,POSTONLY,PREOPGRTH,R</v>
      </c>
      <c r="M272" s="6" t="str">
        <f>[9]!id130?validExchanges</f>
        <v>SMART,NYSE,CBOE,ISE,CHX,ARCA,ISLAND,VWAP,DRCTEDGE,NSX,BEX,BATS,EDGEA,CSFBALGO,JEFFALGO,BYX,IEX,TPLUS2,PSX</v>
      </c>
      <c r="N272" s="6">
        <f>[9]!id130?conid</f>
        <v>8514</v>
      </c>
      <c r="O272" s="6">
        <f>[9]!id130?minTick</f>
        <v>0.01</v>
      </c>
      <c r="P272" s="6">
        <f>[9]!id130?multiplier</f>
        <v>0</v>
      </c>
      <c r="Q272" s="6" t="str">
        <f>[9]!id130?marketName</f>
        <v>IPG</v>
      </c>
      <c r="R272" s="6" t="str">
        <f>[9]!id130?tradingClass</f>
        <v>IPG</v>
      </c>
    </row>
    <row r="273" spans="1:18" hidden="1" x14ac:dyDescent="0.2">
      <c r="A273" s="176" t="s">
        <v>992</v>
      </c>
      <c r="B273" s="13" t="s">
        <v>12</v>
      </c>
      <c r="C273" s="13" t="b">
        <f t="shared" si="3"/>
        <v>1</v>
      </c>
      <c r="D273" s="13"/>
      <c r="E273" s="63"/>
      <c r="F273" s="13"/>
      <c r="G273" s="13"/>
      <c r="H273" s="13" t="s">
        <v>68</v>
      </c>
      <c r="I273" s="101" t="s">
        <v>44</v>
      </c>
      <c r="J273" s="101"/>
      <c r="K273" s="6">
        <f>[9]!'id131?req?JEC_STK_SMART_USD_~/'</f>
        <v>0</v>
      </c>
      <c r="L273" s="6" t="str">
        <f>[9]!id131?orderTypes</f>
        <v>ACTIVETIM,ADJUST,ALERT,ALGO,ALLOC,AON,AVGCOST,BASKET,COND,CONDORDER,DARKONLY,DARKPOLL,DAY,DEACT,DEACTDIS,DEACTEOD,DIS,GAT,GTC,GTD,GTT,HID,IBKRATS,ICE,IMB,IOC,LIT,LMT,LOC,MIT,MKT,MOC,MTL,NGCOMB,NODARK,NONALGO,OCA,OPG,OPGREROUT,PEGBENCH,POSTONLY,PREOPGRTH,R</v>
      </c>
      <c r="M273" s="6" t="str">
        <f>[9]!id131?validExchanges</f>
        <v>SMART,NYSE,CBOE,ISE,CHX,ARCA,ISLAND,DRCTEDGE,NSX,BEX,BATS,EDGEA,CSFBALGO,JEFFALGO,BYX,IEX,TPLUS2,PSX</v>
      </c>
      <c r="N273" s="6">
        <f>[9]!id131?conid</f>
        <v>8660</v>
      </c>
      <c r="O273" s="6">
        <f>[9]!id131?minTick</f>
        <v>0.01</v>
      </c>
      <c r="P273" s="6">
        <f>[9]!id131?multiplier</f>
        <v>0</v>
      </c>
      <c r="Q273" s="6" t="str">
        <f>[9]!id131?marketName</f>
        <v>JEC</v>
      </c>
      <c r="R273" s="6" t="str">
        <f>[9]!id131?tradingClass</f>
        <v>JEC</v>
      </c>
    </row>
    <row r="274" spans="1:18" hidden="1" x14ac:dyDescent="0.2">
      <c r="A274" s="176" t="s">
        <v>993</v>
      </c>
      <c r="B274" s="13" t="s">
        <v>12</v>
      </c>
      <c r="C274" s="13" t="b">
        <f t="shared" si="3"/>
        <v>1</v>
      </c>
      <c r="D274" s="13"/>
      <c r="E274" s="63"/>
      <c r="F274" s="13"/>
      <c r="G274" s="13"/>
      <c r="H274" s="13" t="s">
        <v>68</v>
      </c>
      <c r="I274" s="101" t="s">
        <v>44</v>
      </c>
      <c r="J274" s="101"/>
      <c r="K274" s="6">
        <f>[9]!'id132?req?JNJ_STK_SMART_USD_~/'</f>
        <v>0</v>
      </c>
      <c r="L274" s="6" t="str">
        <f>[9]!id132?orderTypes</f>
        <v>ACTIVETIM,ADJUST,ALERT,ALGO,ALLOC,AON,AVGCOST,BASKET,COND,CONDORDER,DARKONLY,DARKPOLL,DAY,DEACT,DEACTDIS,DEACTEOD,DIS,GAT,GTC,GTD,GTT,HID,IBKRATS,ICE,IMB,IOC,LIT,LMT,LOC,MIT,MKT,MOC,MTL,NGCOMB,NODARK,NONALGO,OCA,OPG,OPGREROUT,PEGBENCH,POSTONLY,PREOPGRTH,R</v>
      </c>
      <c r="M274" s="6" t="str">
        <f>[9]!id132?validExchanges</f>
        <v>SMART,NYSE,CBOE,ISE,CHX,ARCA,ISLAND,VWAP,DRCTEDGE,NSX,BEX,BATS,EDGEA,CSFBALGO,JEFFALGO,BYX,IEX,TPLUS2,PSX</v>
      </c>
      <c r="N274" s="6">
        <f>[9]!id132?conid</f>
        <v>8719</v>
      </c>
      <c r="O274" s="6">
        <f>[9]!id132?minTick</f>
        <v>0.01</v>
      </c>
      <c r="P274" s="6">
        <f>[9]!id132?multiplier</f>
        <v>0</v>
      </c>
      <c r="Q274" s="6" t="str">
        <f>[9]!id132?marketName</f>
        <v>JNJ</v>
      </c>
      <c r="R274" s="6" t="str">
        <f>[9]!id132?tradingClass</f>
        <v>JNJ</v>
      </c>
    </row>
    <row r="275" spans="1:18" hidden="1" x14ac:dyDescent="0.2">
      <c r="A275" s="176" t="s">
        <v>994</v>
      </c>
      <c r="B275" s="13" t="s">
        <v>12</v>
      </c>
      <c r="C275" s="13" t="b">
        <f t="shared" si="3"/>
        <v>1</v>
      </c>
      <c r="D275" s="13"/>
      <c r="E275" s="63"/>
      <c r="F275" s="13"/>
      <c r="G275" s="13"/>
      <c r="H275" s="13" t="s">
        <v>68</v>
      </c>
      <c r="I275" s="101" t="s">
        <v>44</v>
      </c>
      <c r="J275" s="101"/>
      <c r="K275" s="6">
        <f>[9]!'id133?req?HIG_STK_SMART_USD_~/'</f>
        <v>0</v>
      </c>
      <c r="L275" s="6" t="str">
        <f>[9]!id133?orderTypes</f>
        <v>ACTIVETIM,ADJUST,ALERT,ALGO,ALLOC,AON,AVGCOST,BASKET,COND,CONDORDER,DARKONLY,DARKPOLL,DAY,DEACT,DEACTDIS,DEACTEOD,DIS,GAT,GTC,GTD,GTT,HID,IBKRATS,ICE,IMB,IOC,LIT,LMT,LOC,MIT,MKT,MOC,MTL,NGCOMB,NODARK,NONALGO,OCA,OPG,OPGREROUT,PEGBENCH,POSTONLY,PREOPGRTH,R</v>
      </c>
      <c r="M275" s="6" t="str">
        <f>[9]!id133?validExchanges</f>
        <v>SMART,NYSE,CBOE,ISE,CHX,ARCA,ISLAND,VWAP,DRCTEDGE,NSX,BEX,BATS,EDGEA,CSFBALGO,JEFFALGO,BYX,IEX,TPLUS2,PSX</v>
      </c>
      <c r="N275" s="6">
        <f>[9]!id133?conid</f>
        <v>1217009</v>
      </c>
      <c r="O275" s="6">
        <f>[9]!id133?minTick</f>
        <v>0.01</v>
      </c>
      <c r="P275" s="6">
        <f>[9]!id133?multiplier</f>
        <v>0</v>
      </c>
      <c r="Q275" s="6" t="str">
        <f>[9]!id133?marketName</f>
        <v>HIG</v>
      </c>
      <c r="R275" s="6" t="str">
        <f>[9]!id133?tradingClass</f>
        <v>HIG</v>
      </c>
    </row>
    <row r="276" spans="1:18" hidden="1" x14ac:dyDescent="0.2">
      <c r="A276" s="176" t="s">
        <v>995</v>
      </c>
      <c r="B276" s="13" t="s">
        <v>12</v>
      </c>
      <c r="C276" s="13" t="b">
        <f t="shared" si="3"/>
        <v>1</v>
      </c>
      <c r="D276" s="13"/>
      <c r="E276" s="63"/>
      <c r="F276" s="13"/>
      <c r="G276" s="13"/>
      <c r="H276" s="13" t="s">
        <v>68</v>
      </c>
      <c r="I276" s="101" t="s">
        <v>44</v>
      </c>
      <c r="J276" s="101"/>
      <c r="K276" s="6">
        <f>[9]!'id134?req?JCI_STK_SMART_USD_~/'</f>
        <v>0</v>
      </c>
      <c r="L276" s="6" t="str">
        <f>[9]!id134?orderTypes</f>
        <v>ACTIVETIM,ADJUST,ALERT,ALGO,ALLOC,AON,AVGCOST,BASKET,COND,CONDORDER,DARKONLY,DARKPOLL,DAY,DEACT,DEACTDIS,DEACTEOD,DIS,GAT,GTC,GTD,GTT,HID,IBKRATS,ICE,IMB,IOC,LIT,LMT,LOC,MIT,MKT,MOC,MTL,NGCOMB,NODARK,NONALGO,OCA,OPG,OPGREROUT,PEGBENCH,POSTONLY,PREOPGRTH,R</v>
      </c>
      <c r="M276" s="6" t="str">
        <f>[9]!id134?validExchanges</f>
        <v>SMART,NYSE,CBOE,ISE,CHX,ARCA,ISLAND,VWAP,DRCTEDGE,NSX,BEX,BATS,EDGEA,CSFBALGO,JEFFALGO,BYX,IEX,TPLUS2,PSX</v>
      </c>
      <c r="N276" s="6">
        <f>[9]!id134?conid</f>
        <v>8650</v>
      </c>
      <c r="O276" s="6">
        <f>[9]!id134?minTick</f>
        <v>0.01</v>
      </c>
      <c r="P276" s="6">
        <f>[9]!id134?multiplier</f>
        <v>0</v>
      </c>
      <c r="Q276" s="6" t="str">
        <f>[9]!id134?marketName</f>
        <v>JCI</v>
      </c>
      <c r="R276" s="6" t="str">
        <f>[9]!id134?tradingClass</f>
        <v>JCI</v>
      </c>
    </row>
    <row r="277" spans="1:18" hidden="1" x14ac:dyDescent="0.2">
      <c r="A277" s="176" t="s">
        <v>996</v>
      </c>
      <c r="B277" s="13" t="s">
        <v>12</v>
      </c>
      <c r="C277" s="13" t="b">
        <f t="shared" si="3"/>
        <v>0</v>
      </c>
      <c r="D277" s="13"/>
      <c r="E277" s="63"/>
      <c r="F277" s="13"/>
      <c r="G277" s="13"/>
      <c r="H277" s="13" t="s">
        <v>68</v>
      </c>
      <c r="I277" s="101" t="s">
        <v>44</v>
      </c>
      <c r="J277" s="101"/>
      <c r="K277" s="6">
        <f>[9]!'id135?req?KLAC_STK_SMART_USD_~/'</f>
        <v>0</v>
      </c>
      <c r="L277" s="6" t="str">
        <f>[9]!id135?orderTypes</f>
        <v>ACTIVETIM,ADJUST,ALERT,ALGO,ALLOC,AON,AVGCOST,BASKET,COND,CONDORDER,DARKONLY,DARKPOLL,DAY,DEACT,DEACTDIS,DEACTEOD,DIS,GAT,GTC,GTD,GTT,HID,IBKRATS,ICE,IMB,IOC,LIT,LMT,LOC,MIT,MKT,MOC,MTL,NGCOMB,NODARK,NONALGO,OCA,OPG,OPGREROUT,PEGBENCH,POSTONLY,PREOPGRTH,R</v>
      </c>
      <c r="M277" s="6" t="str">
        <f>[9]!id135?validExchanges</f>
        <v>SMART,CBOE,ISE,CHX,ARCA,ISLAND,VWAP,DRCTEDGE,NSX,BEX,BATS,EDGEA,CSFBALGO,JEFFALGO,BYX,IEX,TPLUS2,PSX</v>
      </c>
      <c r="N277" s="6">
        <f>[9]!id135?conid</f>
        <v>270957</v>
      </c>
      <c r="O277" s="6">
        <f>[9]!id135?minTick</f>
        <v>0.01</v>
      </c>
      <c r="P277" s="6">
        <f>[9]!id135?multiplier</f>
        <v>0</v>
      </c>
      <c r="Q277" s="6" t="str">
        <f>[9]!id135?marketName</f>
        <v>NMS</v>
      </c>
      <c r="R277" s="6" t="str">
        <f>[9]!id135?tradingClass</f>
        <v>NMS</v>
      </c>
    </row>
    <row r="278" spans="1:18" hidden="1" x14ac:dyDescent="0.2">
      <c r="A278" s="176" t="s">
        <v>997</v>
      </c>
      <c r="B278" s="13" t="s">
        <v>12</v>
      </c>
      <c r="C278" s="13" t="b">
        <f t="shared" si="3"/>
        <v>1</v>
      </c>
      <c r="D278" s="13"/>
      <c r="E278" s="63"/>
      <c r="F278" s="13"/>
      <c r="G278" s="13"/>
      <c r="H278" s="13" t="s">
        <v>68</v>
      </c>
      <c r="I278" s="101" t="s">
        <v>44</v>
      </c>
      <c r="J278" s="101"/>
      <c r="K278" s="6">
        <f>[9]!'id136?req?DVN_STK_SMART_USD_~/'</f>
        <v>0</v>
      </c>
      <c r="L278" s="6" t="str">
        <f>[9]!id136?orderTypes</f>
        <v>ACTIVETIM,ADJUST,ALERT,ALGO,ALLOC,AON,AVGCOST,BASKET,COND,CONDORDER,DARKONLY,DARKPOLL,DAY,DEACT,DEACTDIS,DEACTEOD,DIS,GAT,GTC,GTD,GTT,HID,IBKRATS,ICE,IMB,IOC,LIT,LMT,LOC,MIT,MKT,MOC,MTL,NGCOMB,NODARK,NONALGO,OCA,OPG,OPGREROUT,PEGBENCH,POSTONLY,PREOPGRTH,R</v>
      </c>
      <c r="M278" s="6" t="str">
        <f>[9]!id136?validExchanges</f>
        <v>SMART,NYSE,CBOE,ISE,CHX,ARCA,ISLAND,VWAP,DRCTEDGE,NSX,BEX,BATS,EDGEA,CSFBALGO,JEFFALGO,BYX,IEX,TPLUS2,PSX</v>
      </c>
      <c r="N278" s="6">
        <f>[9]!id136?conid</f>
        <v>754442</v>
      </c>
      <c r="O278" s="6">
        <f>[9]!id136?minTick</f>
        <v>0.01</v>
      </c>
      <c r="P278" s="6">
        <f>[9]!id136?multiplier</f>
        <v>0</v>
      </c>
      <c r="Q278" s="6" t="str">
        <f>[9]!id136?marketName</f>
        <v>DVN</v>
      </c>
      <c r="R278" s="6" t="str">
        <f>[9]!id136?tradingClass</f>
        <v>DVN</v>
      </c>
    </row>
    <row r="279" spans="1:18" hidden="1" x14ac:dyDescent="0.2">
      <c r="A279" s="176" t="s">
        <v>998</v>
      </c>
      <c r="B279" s="13" t="s">
        <v>12</v>
      </c>
      <c r="C279" s="13" t="b">
        <f t="shared" si="3"/>
        <v>1</v>
      </c>
      <c r="D279" s="13"/>
      <c r="E279" s="63"/>
      <c r="F279" s="13"/>
      <c r="G279" s="13"/>
      <c r="H279" s="13" t="s">
        <v>68</v>
      </c>
      <c r="I279" s="101" t="s">
        <v>44</v>
      </c>
      <c r="J279" s="101"/>
      <c r="K279" s="6">
        <f>[9]!'id137?req?K_STK_SMART_USD_~/'</f>
        <v>0</v>
      </c>
      <c r="L279" s="6" t="str">
        <f>[9]!id137?orderTypes</f>
        <v>ACTIVETIM,ADJUST,ALERT,ALGO,ALLOC,AON,AVGCOST,BASKET,COND,CONDORDER,DARKONLY,DARKPOLL,DAY,DEACT,DEACTDIS,DEACTEOD,DIS,GAT,GTC,GTD,GTT,HID,IBKRATS,ICE,IMB,IOC,LIT,LMT,LOC,MIT,MKT,MOC,MTL,NGCOMB,NODARK,NONALGO,OCA,OPG,OPGREROUT,PEGBENCH,POSTONLY,PREOPGRTH,R</v>
      </c>
      <c r="M279" s="6" t="str">
        <f>[9]!id137?validExchanges</f>
        <v>SMART,NYSE,CBOE,ISE,CHX,ARCA,ISLAND,VWAP,DRCTEDGE,NSX,BEX,BATS,EDGEA,CSFBALGO,JEFFALGO,BYX,IEX,TPLUS2,PSX</v>
      </c>
      <c r="N279" s="6">
        <f>[9]!id137?conid</f>
        <v>8758</v>
      </c>
      <c r="O279" s="6">
        <f>[9]!id137?minTick</f>
        <v>0.01</v>
      </c>
      <c r="P279" s="6">
        <f>[9]!id137?multiplier</f>
        <v>0</v>
      </c>
      <c r="Q279" s="6" t="str">
        <f>[9]!id137?marketName</f>
        <v>K</v>
      </c>
      <c r="R279" s="6" t="str">
        <f>[9]!id137?tradingClass</f>
        <v>K</v>
      </c>
    </row>
    <row r="280" spans="1:18" hidden="1" x14ac:dyDescent="0.2">
      <c r="A280" s="176" t="s">
        <v>999</v>
      </c>
      <c r="B280" s="13" t="s">
        <v>12</v>
      </c>
      <c r="C280" s="13" t="b">
        <f t="shared" si="3"/>
        <v>1</v>
      </c>
      <c r="D280" s="13"/>
      <c r="E280" s="63"/>
      <c r="F280" s="13"/>
      <c r="G280" s="13"/>
      <c r="H280" s="13" t="s">
        <v>68</v>
      </c>
      <c r="I280" s="101" t="s">
        <v>44</v>
      </c>
      <c r="J280" s="101"/>
      <c r="K280" s="6">
        <f>[9]!'id138?req?KEY_STK_SMART_USD_~/'</f>
        <v>0</v>
      </c>
      <c r="L280" s="6" t="str">
        <f>[9]!id138?orderTypes</f>
        <v>ACTIVETIM,ADJUST,ALERT,ALGO,ALLOC,AON,AVGCOST,BASKET,COND,CONDORDER,DARKONLY,DARKPOLL,DAY,DEACT,DEACTDIS,DEACTEOD,DIS,GAT,GTC,GTD,GTT,HID,IBKRATS,ICE,IMB,IOC,LIT,LMT,LOC,MIT,MKT,MOC,MTL,NGCOMB,NODARK,NONALGO,OCA,OPG,OPGREROUT,PEGBENCH,POSTONLY,PREOPGRTH,R</v>
      </c>
      <c r="M280" s="6" t="str">
        <f>[9]!id138?validExchanges</f>
        <v>SMART,NYSE,CBOE,ISE,CHX,ARCA,ISLAND,VWAP,DRCTEDGE,NSX,BEX,BATS,EDGEA,CSFBALGO,JEFFALGO,BYX,IEX,TPLUS2,PSX</v>
      </c>
      <c r="N280" s="6">
        <f>[9]!id138?conid</f>
        <v>8809</v>
      </c>
      <c r="O280" s="6">
        <f>[9]!id138?minTick</f>
        <v>0.01</v>
      </c>
      <c r="P280" s="6">
        <f>[9]!id138?multiplier</f>
        <v>0</v>
      </c>
      <c r="Q280" s="6" t="str">
        <f>[9]!id138?marketName</f>
        <v>KEY</v>
      </c>
      <c r="R280" s="6" t="str">
        <f>[9]!id138?tradingClass</f>
        <v>KEY</v>
      </c>
    </row>
    <row r="281" spans="1:18" hidden="1" x14ac:dyDescent="0.2">
      <c r="A281" s="176" t="s">
        <v>1000</v>
      </c>
      <c r="B281" s="13" t="s">
        <v>12</v>
      </c>
      <c r="C281" s="13" t="b">
        <f t="shared" si="3"/>
        <v>1</v>
      </c>
      <c r="D281" s="13"/>
      <c r="E281" s="63"/>
      <c r="F281" s="13"/>
      <c r="G281" s="13"/>
      <c r="H281" s="13" t="s">
        <v>68</v>
      </c>
      <c r="I281" s="101" t="s">
        <v>44</v>
      </c>
      <c r="J281" s="101"/>
      <c r="K281" s="6">
        <f>[9]!'id139?req?KIM_STK_SMART_USD_~/'</f>
        <v>0</v>
      </c>
      <c r="L281" s="6" t="str">
        <f>[9]!id139?orderTypes</f>
        <v>ACTIVETIM,ADJUST,ALERT,ALGO,ALLOC,AON,AVGCOST,BASKET,COND,CONDORDER,DARKONLY,DARKPOLL,DAY,DEACT,DEACTDIS,DEACTEOD,DIS,GAT,GTC,GTD,GTT,HID,IBKRATS,ICE,IMB,IOC,LIT,LMT,LOC,MIT,MKT,MOC,MTL,NGCOMB,NODARK,NONALGO,OCA,OPG,OPGREROUT,PEGBENCH,POSTONLY,PREOPGRTH,R</v>
      </c>
      <c r="M281" s="6" t="str">
        <f>[9]!id139?validExchanges</f>
        <v>SMART,NYSE,CBOE,ISE,CHX,ARCA,ISLAND,VWAP,DRCTEDGE,NSX,BEX,BATS,EDGEA,CSFBALGO,JEFFALGO,BYX,IEX,TPLUS2,PSX</v>
      </c>
      <c r="N281" s="6">
        <f>[9]!id139?conid</f>
        <v>8845</v>
      </c>
      <c r="O281" s="6">
        <f>[9]!id139?minTick</f>
        <v>0.01</v>
      </c>
      <c r="P281" s="6">
        <f>[9]!id139?multiplier</f>
        <v>0</v>
      </c>
      <c r="Q281" s="6" t="str">
        <f>[9]!id139?marketName</f>
        <v>KIM</v>
      </c>
      <c r="R281" s="6" t="str">
        <f>[9]!id139?tradingClass</f>
        <v>KIM</v>
      </c>
    </row>
    <row r="282" spans="1:18" hidden="1" x14ac:dyDescent="0.2">
      <c r="A282" s="176" t="s">
        <v>1001</v>
      </c>
      <c r="B282" s="13" t="s">
        <v>12</v>
      </c>
      <c r="C282" s="13" t="b">
        <f t="shared" si="3"/>
        <v>1</v>
      </c>
      <c r="D282" s="13"/>
      <c r="E282" s="63"/>
      <c r="F282" s="13"/>
      <c r="G282" s="13"/>
      <c r="H282" s="13" t="s">
        <v>68</v>
      </c>
      <c r="I282" s="101" t="s">
        <v>44</v>
      </c>
      <c r="J282" s="101"/>
      <c r="K282" s="6">
        <f>[9]!'id140?req?KMB_STK_SMART_USD_~/'</f>
        <v>0</v>
      </c>
      <c r="L282" s="6" t="str">
        <f>[9]!id140?orderTypes</f>
        <v>ACTIVETIM,ADJUST,ALERT,ALGO,ALLOC,AON,AVGCOST,BASKET,COND,CONDORDER,DARKONLY,DARKPOLL,DAY,DEACT,DEACTDIS,DEACTEOD,DIS,GAT,GTC,GTD,GTT,HID,IBKRATS,ICE,IMB,IOC,LIT,LMT,LOC,MIT,MKT,MOC,MTL,NGCOMB,NODARK,NONALGO,OCA,OPG,OPGREROUT,PEGBENCH,POSTONLY,PREOPGRTH,R</v>
      </c>
      <c r="M282" s="6" t="str">
        <f>[9]!id140?validExchanges</f>
        <v>SMART,NYSE,CBOE,ISE,CHX,ARCA,ISLAND,VWAP,DRCTEDGE,NSX,BEX,BATS,EDGEA,CSFBALGO,JEFFALGO,BYX,IEX,TPLUS2,PSX</v>
      </c>
      <c r="N282" s="6">
        <f>[9]!id140?conid</f>
        <v>8864</v>
      </c>
      <c r="O282" s="6">
        <f>[9]!id140?minTick</f>
        <v>0.01</v>
      </c>
      <c r="P282" s="6">
        <f>[9]!id140?multiplier</f>
        <v>0</v>
      </c>
      <c r="Q282" s="6" t="str">
        <f>[9]!id140?marketName</f>
        <v>KMB</v>
      </c>
      <c r="R282" s="6" t="str">
        <f>[9]!id140?tradingClass</f>
        <v>KMB</v>
      </c>
    </row>
    <row r="283" spans="1:18" hidden="1" x14ac:dyDescent="0.2">
      <c r="A283" s="176" t="s">
        <v>1002</v>
      </c>
      <c r="B283" s="13" t="s">
        <v>12</v>
      </c>
      <c r="C283" s="13" t="b">
        <f t="shared" si="3"/>
        <v>1</v>
      </c>
      <c r="D283" s="13"/>
      <c r="E283" s="63"/>
      <c r="F283" s="13"/>
      <c r="G283" s="13"/>
      <c r="H283" s="13" t="s">
        <v>68</v>
      </c>
      <c r="I283" s="101" t="s">
        <v>44</v>
      </c>
      <c r="J283" s="101"/>
      <c r="K283" s="6">
        <f>[9]!'id141?req?BLK_STK_SMART_USD_~/'</f>
        <v>0</v>
      </c>
      <c r="L283" s="6" t="str">
        <f>[9]!id141?orderTypes</f>
        <v>ACTIVETIM,ADJUST,ALERT,ALGO,ALLOC,AON,AVGCOST,BASKET,COND,CONDORDER,DARKONLY,DARKPOLL,DAY,DEACT,DEACTDIS,DEACTEOD,DIS,GAT,GTC,GTD,GTT,HID,IBKRATS,ICE,IMB,IOC,LIT,LMT,LOC,MIT,MKT,MOC,MTL,NGCOMB,NODARK,NONALGO,OCA,OPG,OPGREROUT,PEGBENCH,POSTONLY,PREOPGRTH,R</v>
      </c>
      <c r="M283" s="6" t="str">
        <f>[9]!id141?validExchanges</f>
        <v>SMART,NYSE,CBOE,ISE,CHX,ARCA,ISLAND,DRCTEDGE,NSX,BEX,BATS,EDGEA,CSFBALGO,JEFFALGO,BYX,IEX,TPLUS2,PSX</v>
      </c>
      <c r="N283" s="6">
        <f>[9]!id141?conid</f>
        <v>5049</v>
      </c>
      <c r="O283" s="6">
        <f>[9]!id141?minTick</f>
        <v>0.01</v>
      </c>
      <c r="P283" s="6">
        <f>[9]!id141?multiplier</f>
        <v>0</v>
      </c>
      <c r="Q283" s="6" t="str">
        <f>[9]!id141?marketName</f>
        <v>BLK</v>
      </c>
      <c r="R283" s="6" t="str">
        <f>[9]!id141?tradingClass</f>
        <v>BLK</v>
      </c>
    </row>
    <row r="284" spans="1:18" hidden="1" x14ac:dyDescent="0.2">
      <c r="A284" s="176" t="s">
        <v>1003</v>
      </c>
      <c r="B284" s="13" t="s">
        <v>12</v>
      </c>
      <c r="C284" s="13" t="b">
        <f t="shared" si="3"/>
        <v>1</v>
      </c>
      <c r="D284" s="13"/>
      <c r="E284" s="63"/>
      <c r="F284" s="13"/>
      <c r="G284" s="13"/>
      <c r="H284" s="13" t="s">
        <v>68</v>
      </c>
      <c r="I284" s="101" t="s">
        <v>44</v>
      </c>
      <c r="J284" s="101"/>
      <c r="K284" s="6">
        <f>[9]!'id142?req?KSS_STK_SMART_USD_~/'</f>
        <v>0</v>
      </c>
      <c r="L284" s="6" t="str">
        <f>[9]!id142?orderTypes</f>
        <v>ACTIVETIM,ADJUST,ALERT,ALGO,ALLOC,AON,AVGCOST,BASKET,COND,CONDORDER,DARKONLY,DARKPOLL,DAY,DEACT,DEACTDIS,DEACTEOD,DIS,GAT,GTC,GTD,GTT,HID,IBKRATS,ICE,IMB,IOC,LIT,LMT,LOC,MIT,MKT,MOC,MTL,NGCOMB,NODARK,NONALGO,OCA,OPG,OPGREROUT,PEGBENCH,POSTONLY,PREOPGRTH,R</v>
      </c>
      <c r="M284" s="6" t="str">
        <f>[9]!id142?validExchanges</f>
        <v>SMART,NYSE,CBOE,ISE,CHX,ARCA,ISLAND,VWAP,DRCTEDGE,NSX,BEX,BATS,EDGEA,CSFBALGO,JEFFALGO,BYX,IEX,TPLUS2,PSX</v>
      </c>
      <c r="N284" s="6">
        <f>[9]!id142?conid</f>
        <v>8942</v>
      </c>
      <c r="O284" s="6">
        <f>[9]!id142?minTick</f>
        <v>0.01</v>
      </c>
      <c r="P284" s="6">
        <f>[9]!id142?multiplier</f>
        <v>0</v>
      </c>
      <c r="Q284" s="6" t="str">
        <f>[9]!id142?marketName</f>
        <v>KSS</v>
      </c>
      <c r="R284" s="6" t="str">
        <f>[9]!id142?tradingClass</f>
        <v>KSS</v>
      </c>
    </row>
    <row r="285" spans="1:18" hidden="1" x14ac:dyDescent="0.2">
      <c r="A285" s="176" t="s">
        <v>1004</v>
      </c>
      <c r="B285" s="13" t="s">
        <v>12</v>
      </c>
      <c r="C285" s="13" t="b">
        <f t="shared" si="3"/>
        <v>1</v>
      </c>
      <c r="D285" s="13"/>
      <c r="E285" s="63"/>
      <c r="F285" s="13"/>
      <c r="G285" s="13"/>
      <c r="H285" s="13" t="s">
        <v>68</v>
      </c>
      <c r="I285" s="101" t="s">
        <v>44</v>
      </c>
      <c r="J285" s="101"/>
      <c r="K285" s="6">
        <f>[9]!'id143?req?KR_STK_SMART_USD_~/'</f>
        <v>0</v>
      </c>
      <c r="L285" s="6" t="str">
        <f>[9]!id143?orderTypes</f>
        <v>ACTIVETIM,ADJUST,ALERT,ALGO,ALLOC,AON,AVGCOST,BASKET,COND,CONDORDER,DARKONLY,DARKPOLL,DAY,DEACT,DEACTDIS,DEACTEOD,DIS,GAT,GTC,GTD,GTT,HID,IBKRATS,ICE,IMB,IOC,LIT,LMT,LOC,MIT,MKT,MOC,MTL,NGCOMB,NODARK,NONALGO,OCA,OPG,OPGREROUT,PEGBENCH,POSTONLY,PREOPGRTH,R</v>
      </c>
      <c r="M285" s="6" t="str">
        <f>[9]!id143?validExchanges</f>
        <v>SMART,NYSE,CBOE,ISE,CHX,ARCA,ISLAND,VWAP,DRCTEDGE,NSX,BEX,BATS,EDGEA,CSFBALGO,JEFFALGO,BYX,IEX,TPLUS2,PSX</v>
      </c>
      <c r="N285" s="6">
        <f>[9]!id143?conid</f>
        <v>8908</v>
      </c>
      <c r="O285" s="6">
        <f>[9]!id143?minTick</f>
        <v>0.01</v>
      </c>
      <c r="P285" s="6">
        <f>[9]!id143?multiplier</f>
        <v>0</v>
      </c>
      <c r="Q285" s="6" t="str">
        <f>[9]!id143?marketName</f>
        <v>KR</v>
      </c>
      <c r="R285" s="6" t="str">
        <f>[9]!id143?tradingClass</f>
        <v>KR</v>
      </c>
    </row>
    <row r="286" spans="1:18" hidden="1" x14ac:dyDescent="0.2">
      <c r="A286" s="176" t="s">
        <v>1005</v>
      </c>
      <c r="B286" s="13" t="s">
        <v>12</v>
      </c>
      <c r="C286" s="13" t="b">
        <f t="shared" si="3"/>
        <v>0</v>
      </c>
      <c r="D286" s="13"/>
      <c r="E286" s="63"/>
      <c r="F286" s="13"/>
      <c r="G286" s="13"/>
      <c r="H286" s="13" t="s">
        <v>68</v>
      </c>
      <c r="I286" s="101" t="s">
        <v>44</v>
      </c>
      <c r="J286" s="101"/>
      <c r="K286" s="6">
        <f>[9]!'id144?req?LRCX_STK_SMART_USD_~/'</f>
        <v>0</v>
      </c>
      <c r="L286" s="6" t="str">
        <f>[9]!id144?orderTypes</f>
        <v>ACTIVETIM,ADJUST,ALERT,ALGO,ALLOC,AON,AVGCOST,BASKET,COND,CONDORDER,DARKONLY,DARKPOLL,DAY,DEACT,DEACTDIS,DEACTEOD,DIS,GAT,GTC,GTD,GTT,HID,IBKRATS,ICE,IMB,IOC,LIT,LMT,LOC,MIT,MKT,MOC,MTL,NGCOMB,NODARK,NONALGO,OCA,OPG,OPGREROUT,PEGBENCH,POSTONLY,PREOPGRTH,R</v>
      </c>
      <c r="M286" s="6" t="str">
        <f>[9]!id144?validExchanges</f>
        <v>SMART,CBOE,ISE,CHX,ARCA,ISLAND,VWAP,DRCTEDGE,NSX,BEX,BATS,EDGEA,CSFBALGO,JEFFALGO,BYX,IEX,TPLUS2,PSX</v>
      </c>
      <c r="N286" s="6">
        <f>[9]!id144?conid</f>
        <v>271308</v>
      </c>
      <c r="O286" s="6">
        <f>[9]!id144?minTick</f>
        <v>0.01</v>
      </c>
      <c r="P286" s="6">
        <f>[9]!id144?multiplier</f>
        <v>0</v>
      </c>
      <c r="Q286" s="6" t="str">
        <f>[9]!id144?marketName</f>
        <v>NMS</v>
      </c>
      <c r="R286" s="6" t="str">
        <f>[9]!id144?tradingClass</f>
        <v>NMS</v>
      </c>
    </row>
    <row r="287" spans="1:18" hidden="1" x14ac:dyDescent="0.2">
      <c r="A287" s="176" t="s">
        <v>1006</v>
      </c>
      <c r="B287" s="13" t="s">
        <v>12</v>
      </c>
      <c r="C287" s="13" t="b">
        <f t="shared" si="3"/>
        <v>0</v>
      </c>
      <c r="D287" s="13"/>
      <c r="E287" s="63"/>
      <c r="F287" s="13"/>
      <c r="G287" s="13"/>
      <c r="H287" s="13" t="s">
        <v>68</v>
      </c>
      <c r="I287" s="101" t="s">
        <v>44</v>
      </c>
      <c r="J287" s="101"/>
      <c r="K287" s="6">
        <f>[9]!'id145?req?AKAM_STK_SMART_USD_~/'</f>
        <v>0</v>
      </c>
      <c r="L287" s="6" t="str">
        <f>[9]!id145?orderTypes</f>
        <v>ACTIVETIM,ADJUST,ALERT,ALGO,ALLOC,AON,AVGCOST,BASKET,COND,CONDORDER,DARKONLY,DARKPOLL,DAY,DEACT,DEACTDIS,DEACTEOD,DIS,GAT,GTC,GTD,GTT,HID,IBKRATS,ICE,IMB,IOC,LIT,LMT,LOC,MIT,MKT,MOC,MTL,NGCOMB,NODARK,NONALGO,OCA,OPG,OPGREROUT,PEGBENCH,POSTONLY,PREOPGRTH,R</v>
      </c>
      <c r="M287" s="6" t="str">
        <f>[9]!id145?validExchanges</f>
        <v>SMART,CBOE,ISE,CHX,ARCA,ISLAND,VWAP,DRCTEDGE,NSX,BEX,BATS,EDGEA,CSFBALGO,JEFFALGO,BYX,IEX,TPLUS2,PSX</v>
      </c>
      <c r="N287" s="6">
        <f>[9]!id145?conid</f>
        <v>6220356</v>
      </c>
      <c r="O287" s="6">
        <f>[9]!id145?minTick</f>
        <v>0.01</v>
      </c>
      <c r="P287" s="6">
        <f>[9]!id145?multiplier</f>
        <v>0</v>
      </c>
      <c r="Q287" s="6" t="str">
        <f>[9]!id145?marketName</f>
        <v>NMS</v>
      </c>
      <c r="R287" s="6" t="str">
        <f>[9]!id145?tradingClass</f>
        <v>NMS</v>
      </c>
    </row>
    <row r="288" spans="1:18" hidden="1" x14ac:dyDescent="0.2">
      <c r="A288" s="176" t="s">
        <v>1007</v>
      </c>
      <c r="B288" s="13" t="s">
        <v>12</v>
      </c>
      <c r="C288" s="13" t="b">
        <f t="shared" si="3"/>
        <v>1</v>
      </c>
      <c r="D288" s="13"/>
      <c r="E288" s="63"/>
      <c r="F288" s="13"/>
      <c r="G288" s="13"/>
      <c r="H288" s="13" t="s">
        <v>68</v>
      </c>
      <c r="I288" s="101" t="s">
        <v>44</v>
      </c>
      <c r="J288" s="101"/>
      <c r="K288" s="6">
        <f>[9]!'id146?req?LM_STK_SMART_USD_~/'</f>
        <v>0</v>
      </c>
      <c r="L288" s="6" t="str">
        <f>[9]!id146?orderTypes</f>
        <v>ACTIVETIM,ADJUST,ALERT,ALGO,ALLOC,AON,AVGCOST,BASKET,COND,CONDORDER,DARKONLY,DARKPOLL,DAY,DEACT,DEACTDIS,DEACTEOD,DIS,GAT,GTC,GTD,GTT,HID,IBKRATS,ICE,IMB,IOC,LIT,LMT,LOC,MIT,MKT,MOC,MTL,NGCOMB,NODARK,NONALGO,OCA,OPG,OPGREROUT,PEGBENCH,POSTONLY,PREOPGRTH,R</v>
      </c>
      <c r="M288" s="6" t="str">
        <f>[9]!id146?validExchanges</f>
        <v>SMART,NYSE,CBOE,ISE,CHX,ARCA,ISLAND,VWAP,DRCTEDGE,NSX,BEX,BATS,EDGEA,CSFBALGO,JEFFALGO,BYX,IEX,TPLUS2,PSX</v>
      </c>
      <c r="N288" s="6">
        <f>[9]!id146?conid</f>
        <v>9165</v>
      </c>
      <c r="O288" s="6">
        <f>[9]!id146?minTick</f>
        <v>0.01</v>
      </c>
      <c r="P288" s="6">
        <f>[9]!id146?multiplier</f>
        <v>0</v>
      </c>
      <c r="Q288" s="6" t="str">
        <f>[9]!id146?marketName</f>
        <v>LM</v>
      </c>
      <c r="R288" s="6" t="str">
        <f>[9]!id146?tradingClass</f>
        <v>LM</v>
      </c>
    </row>
    <row r="289" spans="1:18" hidden="1" x14ac:dyDescent="0.2">
      <c r="A289" s="176" t="s">
        <v>1008</v>
      </c>
      <c r="B289" s="13" t="s">
        <v>12</v>
      </c>
      <c r="C289" s="13" t="b">
        <f t="shared" si="3"/>
        <v>1</v>
      </c>
      <c r="D289" s="13"/>
      <c r="E289" s="63"/>
      <c r="F289" s="13"/>
      <c r="G289" s="13"/>
      <c r="H289" s="13" t="s">
        <v>68</v>
      </c>
      <c r="I289" s="101" t="s">
        <v>44</v>
      </c>
      <c r="J289" s="101"/>
      <c r="K289" s="6">
        <f>[9]!'id147?req?LEG_STK_SMART_USD_~/'</f>
        <v>0</v>
      </c>
      <c r="L289" s="6" t="str">
        <f>[9]!id147?orderTypes</f>
        <v>ACTIVETIM,ADJUST,ALERT,ALGO,ALLOC,AON,AVGCOST,BASKET,COND,CONDORDER,DARKONLY,DARKPOLL,DAY,DEACT,DEACTDIS,DEACTEOD,DIS,GAT,GTC,GTD,GTT,HID,IBKRATS,ICE,IMB,IOC,LIT,LMT,LOC,MIT,MKT,MOC,MTL,NGCOMB,NODARK,NONALGO,OCA,OPG,OPGREROUT,PEGBENCH,POSTONLY,PREOPGRTH,R</v>
      </c>
      <c r="M289" s="6" t="str">
        <f>[9]!id147?validExchanges</f>
        <v>SMART,NYSE,CBOE,ISE,CHX,ARCA,ISLAND,VWAP,DRCTEDGE,NSX,BEX,BATS,EDGEA,CSFBALGO,JEFFALGO,BYX,IEX,TPLUS2,PSX</v>
      </c>
      <c r="N289" s="6">
        <f>[9]!id147?conid</f>
        <v>9081</v>
      </c>
      <c r="O289" s="6">
        <f>[9]!id147?minTick</f>
        <v>0.01</v>
      </c>
      <c r="P289" s="6">
        <f>[9]!id147?multiplier</f>
        <v>0</v>
      </c>
      <c r="Q289" s="6" t="str">
        <f>[9]!id147?marketName</f>
        <v>LEG</v>
      </c>
      <c r="R289" s="6" t="str">
        <f>[9]!id147?tradingClass</f>
        <v>LEG</v>
      </c>
    </row>
    <row r="290" spans="1:18" hidden="1" x14ac:dyDescent="0.2">
      <c r="A290" s="176" t="s">
        <v>1009</v>
      </c>
      <c r="B290" s="13" t="s">
        <v>12</v>
      </c>
      <c r="C290" s="13" t="b">
        <f t="shared" si="3"/>
        <v>1</v>
      </c>
      <c r="D290" s="13"/>
      <c r="E290" s="63"/>
      <c r="F290" s="13"/>
      <c r="G290" s="13"/>
      <c r="H290" s="13" t="s">
        <v>68</v>
      </c>
      <c r="I290" s="101" t="s">
        <v>44</v>
      </c>
      <c r="J290" s="101"/>
      <c r="K290" s="6">
        <f>[9]!'id148?req?LEN_STK_SMART_USD_~/'</f>
        <v>0</v>
      </c>
      <c r="L290" s="6" t="str">
        <f>[9]!id148?orderTypes</f>
        <v>ACTIVETIM,ADJUST,ALERT,ALGO,ALLOC,AON,AVGCOST,BASKET,COND,CONDORDER,DARKONLY,DARKPOLL,DAY,DEACT,DEACTDIS,DEACTEOD,DIS,GAT,GTC,GTD,GTT,HID,IBKRATS,ICE,IMB,IOC,LIT,LMT,LOC,MIT,MKT,MOC,MTL,NGCOMB,NODARK,NONALGO,OCA,OPG,OPGREROUT,PEGBENCH,POSTONLY,PREOPGRTH,R</v>
      </c>
      <c r="M290" s="6" t="str">
        <f>[9]!id148?validExchanges</f>
        <v>SMART,NYSE,CBOE,ISE,CHX,ARCA,ISLAND,VWAP,DRCTEDGE,NSX,BEX,BATS,EDGEA,CSFBALGO,JEFFALGO,BYX,IEX,TPLUS2,PSX</v>
      </c>
      <c r="N290" s="6">
        <f>[9]!id148?conid</f>
        <v>9091</v>
      </c>
      <c r="O290" s="6">
        <f>[9]!id148?minTick</f>
        <v>0.01</v>
      </c>
      <c r="P290" s="6">
        <f>[9]!id148?multiplier</f>
        <v>0</v>
      </c>
      <c r="Q290" s="6" t="str">
        <f>[9]!id148?marketName</f>
        <v>LEN</v>
      </c>
      <c r="R290" s="6" t="str">
        <f>[9]!id148?tradingClass</f>
        <v>LEN</v>
      </c>
    </row>
    <row r="291" spans="1:18" hidden="1" x14ac:dyDescent="0.2">
      <c r="A291" s="176" t="s">
        <v>1010</v>
      </c>
      <c r="B291" s="13" t="s">
        <v>12</v>
      </c>
      <c r="C291" s="13" t="b">
        <f t="shared" si="3"/>
        <v>1</v>
      </c>
      <c r="D291" s="13"/>
      <c r="E291" s="63"/>
      <c r="F291" s="13"/>
      <c r="G291" s="13"/>
      <c r="H291" s="13" t="s">
        <v>68</v>
      </c>
      <c r="I291" s="101" t="s">
        <v>44</v>
      </c>
      <c r="J291" s="101"/>
      <c r="K291" s="6">
        <f>[9]!'id149?req?LUK_STK_SMART_USD_~/'</f>
        <v>0</v>
      </c>
      <c r="L291" s="6" t="str">
        <f>[9]!id149?orderTypes</f>
        <v>ACTIVETIM,ADJUST,ALERT,ALGO,ALLOC,AON,AVGCOST,BASKET,COND,CONDORDER,DARKONLY,DARKPOLL,DAY,DEACT,DEACTDIS,DEACTEOD,DIS,GAT,GTC,GTD,GTT,HID,IBKRATS,ICE,IMB,IOC,LIT,LMT,LOC,MIT,MKT,MOC,MTL,NGCOMB,NODARK,NONALGO,OCA,OPG,OPGREROUT,PEGBENCH,POSTONLY,PREOPGRTH,R</v>
      </c>
      <c r="M291" s="6" t="str">
        <f>[9]!id149?validExchanges</f>
        <v>SMART,NYSE,CBOE,ISE,CHX,ARCA,ISLAND,DRCTEDGE,NSX,BEX,BATS,EDGEA,CSFBALGO,JEFFALGO,BYX,IEX,TPLUS2,PSX</v>
      </c>
      <c r="N291" s="6">
        <f>[9]!id149?conid</f>
        <v>9274</v>
      </c>
      <c r="O291" s="6">
        <f>[9]!id149?minTick</f>
        <v>0.01</v>
      </c>
      <c r="P291" s="6">
        <f>[9]!id149?multiplier</f>
        <v>0</v>
      </c>
      <c r="Q291" s="6" t="str">
        <f>[9]!id149?marketName</f>
        <v>LUK</v>
      </c>
      <c r="R291" s="6" t="str">
        <f>[9]!id149?tradingClass</f>
        <v>LUK</v>
      </c>
    </row>
    <row r="292" spans="1:18" hidden="1" x14ac:dyDescent="0.2">
      <c r="A292" s="176" t="s">
        <v>1011</v>
      </c>
      <c r="B292" s="13" t="s">
        <v>12</v>
      </c>
      <c r="C292" s="13" t="b">
        <f t="shared" si="3"/>
        <v>1</v>
      </c>
      <c r="D292" s="13"/>
      <c r="E292" s="63"/>
      <c r="F292" s="13"/>
      <c r="G292" s="13"/>
      <c r="H292" s="13" t="s">
        <v>68</v>
      </c>
      <c r="I292" s="101" t="s">
        <v>44</v>
      </c>
      <c r="J292" s="101"/>
      <c r="K292" s="6">
        <f>[9]!'id150?req?LLY_STK_SMART_USD_~/'</f>
        <v>0</v>
      </c>
      <c r="L292" s="6" t="str">
        <f>[9]!id150?orderTypes</f>
        <v>ACTIVETIM,ADJUST,ALERT,ALGO,ALLOC,AON,AVGCOST,BASKET,COND,CONDORDER,DARKONLY,DARKPOLL,DAY,DEACT,DEACTDIS,DEACTEOD,DIS,GAT,GTC,GTD,GTT,HID,IBKRATS,ICE,IMB,IOC,LIT,LMT,LOC,MIT,MKT,MOC,MTL,NGCOMB,NODARK,NONALGO,OCA,OPG,OPGREROUT,PEGBENCH,POSTONLY,PREOPGRTH,R</v>
      </c>
      <c r="M292" s="6" t="str">
        <f>[9]!id150?validExchanges</f>
        <v>SMART,NYSE,CBOE,ISE,CHX,ARCA,ISLAND,VWAP,DRCTEDGE,NSX,BEX,BATS,EDGEA,CSFBALGO,JEFFALGO,BYX,IEX,TPLUS2,PSX</v>
      </c>
      <c r="N292" s="6">
        <f>[9]!id150?conid</f>
        <v>9160</v>
      </c>
      <c r="O292" s="6">
        <f>[9]!id150?minTick</f>
        <v>0.01</v>
      </c>
      <c r="P292" s="6">
        <f>[9]!id150?multiplier</f>
        <v>0</v>
      </c>
      <c r="Q292" s="6" t="str">
        <f>[9]!id150?marketName</f>
        <v>LLY</v>
      </c>
      <c r="R292" s="6" t="str">
        <f>[9]!id150?tradingClass</f>
        <v>LLY</v>
      </c>
    </row>
    <row r="293" spans="1:18" hidden="1" x14ac:dyDescent="0.2">
      <c r="A293" s="176" t="s">
        <v>1012</v>
      </c>
      <c r="B293" s="13" t="s">
        <v>12</v>
      </c>
      <c r="C293" s="13" t="b">
        <f t="shared" si="3"/>
        <v>1</v>
      </c>
      <c r="D293" s="13"/>
      <c r="E293" s="63"/>
      <c r="F293" s="13"/>
      <c r="G293" s="13"/>
      <c r="H293" s="13" t="s">
        <v>68</v>
      </c>
      <c r="I293" s="101" t="s">
        <v>44</v>
      </c>
      <c r="J293" s="101"/>
      <c r="K293" s="6">
        <f>[9]!'id151?req?LNC_STK_SMART_USD_~/'</f>
        <v>0</v>
      </c>
      <c r="L293" s="6" t="str">
        <f>[9]!id151?orderTypes</f>
        <v>ACTIVETIM,ADJUST,ALERT,ALGO,ALLOC,AON,AVGCOST,BASKET,COND,CONDORDER,DARKONLY,DARKPOLL,DAY,DEACT,DEACTDIS,DEACTEOD,DIS,GAT,GTC,GTD,GTT,HID,IBKRATS,ICE,IMB,IOC,LIT,LMT,LOC,MIT,MKT,MOC,MTL,NGCOMB,NODARK,NONALGO,OCA,OPG,OPGREROUT,PEGBENCH,POSTONLY,PREOPGRTH,R</v>
      </c>
      <c r="M293" s="6" t="str">
        <f>[9]!id151?validExchanges</f>
        <v>SMART,NYSE,CBOE,ISE,CHX,ARCA,ISLAND,VWAP,DRCTEDGE,NSX,BEX,BATS,EDGEA,CSFBALGO,JEFFALGO,BYX,IEX,TPLUS2,PSX</v>
      </c>
      <c r="N293" s="6">
        <f>[9]!id151?conid</f>
        <v>9174</v>
      </c>
      <c r="O293" s="6">
        <f>[9]!id151?minTick</f>
        <v>0.01</v>
      </c>
      <c r="P293" s="6">
        <f>[9]!id151?multiplier</f>
        <v>0</v>
      </c>
      <c r="Q293" s="6" t="str">
        <f>[9]!id151?marketName</f>
        <v>LNC</v>
      </c>
      <c r="R293" s="6" t="str">
        <f>[9]!id151?tradingClass</f>
        <v>LNC</v>
      </c>
    </row>
    <row r="294" spans="1:18" hidden="1" x14ac:dyDescent="0.2">
      <c r="A294" s="176" t="s">
        <v>1013</v>
      </c>
      <c r="B294" s="13" t="s">
        <v>12</v>
      </c>
      <c r="C294" s="13" t="b">
        <f t="shared" si="3"/>
        <v>0</v>
      </c>
      <c r="D294" s="13"/>
      <c r="E294" s="63"/>
      <c r="F294" s="13"/>
      <c r="G294" s="13"/>
      <c r="H294" s="13" t="s">
        <v>68</v>
      </c>
      <c r="I294" s="101" t="s">
        <v>44</v>
      </c>
      <c r="J294" s="101"/>
      <c r="K294" s="6">
        <f>[9]!'id152?req?LLTC_STK_SMART_USD_~/'</f>
        <v>0</v>
      </c>
      <c r="L294" s="6" t="str">
        <f>[9]!id152?orderTypes</f>
        <v>ACTIVETIM,ADJUST,ALERT,ALGO,ALLOC,AON,AVGCOST,BASKET,COND,CONDORDER,DARKONLY,DARKPOLL,DAY,DEACT,DEACTDIS,DEACTEOD,DIS,GAT,GTC,GTD,GTT,HID,IBKRATS,ICE,IMB,IOC,LIT,LMT,LOC,MIT,MKT,MOC,MTL,NGCOMB,NODARK,NONALGO,OCA,OPG,OPGREROUT,PEGBENCH,POSTONLY,PREOPGRTH,R</v>
      </c>
      <c r="M294" s="6" t="str">
        <f>[9]!id152?validExchanges</f>
        <v>SMART,CBOE,ISE,CHX,ARCA,ISLAND,VWAP,DRCTEDGE,NSX,BEX,BATS,EDGEA,CSFBALGO,JEFFALGO,BYX,IEX,TPLUS2,PSX</v>
      </c>
      <c r="N294" s="6">
        <f>[9]!id152?conid</f>
        <v>271245</v>
      </c>
      <c r="O294" s="6">
        <f>[9]!id152?minTick</f>
        <v>0.01</v>
      </c>
      <c r="P294" s="6">
        <f>[9]!id152?multiplier</f>
        <v>0</v>
      </c>
      <c r="Q294" s="6" t="str">
        <f>[9]!id152?marketName</f>
        <v>NMS</v>
      </c>
      <c r="R294" s="6" t="str">
        <f>[9]!id152?tradingClass</f>
        <v>NMS</v>
      </c>
    </row>
    <row r="295" spans="1:18" hidden="1" x14ac:dyDescent="0.2">
      <c r="A295" s="176" t="s">
        <v>1014</v>
      </c>
      <c r="B295" s="13" t="s">
        <v>12</v>
      </c>
      <c r="C295" s="13" t="b">
        <f t="shared" si="3"/>
        <v>1</v>
      </c>
      <c r="D295" s="13"/>
      <c r="E295" s="63"/>
      <c r="F295" s="13"/>
      <c r="G295" s="13"/>
      <c r="H295" s="13" t="s">
        <v>68</v>
      </c>
      <c r="I295" s="101" t="s">
        <v>44</v>
      </c>
      <c r="J295" s="101"/>
      <c r="K295" s="6">
        <f>[9]!'id153?req?UPS_STK_SMART_USD_~/'</f>
        <v>0</v>
      </c>
      <c r="L295" s="6" t="str">
        <f>[9]!id153?orderTypes</f>
        <v>ACTIVETIM,ADJUST,ALERT,ALGO,ALLOC,AON,AVGCOST,BASKET,COND,CONDORDER,DARKONLY,DARKPOLL,DAY,DEACT,DEACTDIS,DEACTEOD,DIS,GAT,GTC,GTD,GTT,HID,IBKRATS,ICE,IMB,IOC,LIT,LMT,LOC,MIT,MKT,MOC,MTL,NGCOMB,NODARK,NONALGO,OCA,OPG,OPGREROUT,PEGBENCH,POSTONLY,PREOPGRTH,R</v>
      </c>
      <c r="M295" s="6" t="str">
        <f>[9]!id153?validExchanges</f>
        <v>SMART,NYSE,CBOE,ISE,CHX,ARCA,ISLAND,VWAP,DRCTEDGE,NSX,BEX,BATS,EDGEA,CSFBALGO,JEFFALGO,BYX,IEX,TPLUS2,PSX</v>
      </c>
      <c r="N295" s="6">
        <f>[9]!id153?conid</f>
        <v>6231002</v>
      </c>
      <c r="O295" s="6">
        <f>[9]!id153?minTick</f>
        <v>0.01</v>
      </c>
      <c r="P295" s="6">
        <f>[9]!id153?multiplier</f>
        <v>0</v>
      </c>
      <c r="Q295" s="6" t="str">
        <f>[9]!id153?marketName</f>
        <v>UPS</v>
      </c>
      <c r="R295" s="6" t="str">
        <f>[9]!id153?tradingClass</f>
        <v>UPS</v>
      </c>
    </row>
    <row r="296" spans="1:18" hidden="1" x14ac:dyDescent="0.2">
      <c r="A296" s="176" t="s">
        <v>316</v>
      </c>
      <c r="B296" s="13" t="s">
        <v>12</v>
      </c>
      <c r="C296" s="13" t="b">
        <f t="shared" si="3"/>
        <v>1</v>
      </c>
      <c r="D296" s="13"/>
      <c r="E296" s="63"/>
      <c r="F296" s="13"/>
      <c r="G296" s="13"/>
      <c r="H296" s="13" t="s">
        <v>68</v>
      </c>
      <c r="I296" s="101" t="s">
        <v>44</v>
      </c>
      <c r="J296" s="101"/>
      <c r="K296" s="6">
        <f>[9]!'id154?req?A_STK_SMART_USD_~/'</f>
        <v>0</v>
      </c>
      <c r="L296" s="6" t="str">
        <f>[9]!id154?orderTypes</f>
        <v>ACTIVETIM,ADJUST,ALERT,ALGO,ALLOC,AON,AVGCOST,BASKET,COND,CONDORDER,DARKONLY,DARKPOLL,DAY,DEACT,DEACTDIS,DEACTEOD,DIS,GAT,GTC,GTD,GTT,HID,IBKRATS,ICE,IMB,IOC,LIT,LMT,LOC,MIT,MKT,MOC,MTL,NGCOMB,NODARK,NONALGO,OCA,OPG,OPGREROUT,PEGBENCH,POSTONLY,PREOPGRTH,R</v>
      </c>
      <c r="M296" s="6" t="str">
        <f>[9]!id154?validExchanges</f>
        <v>SMART,NYSE,CBOE,ISE,CHX,ARCA,ISLAND,VWAP,DRCTEDGE,NSX,BEX,BATS,EDGEA,CSFBALGO,JEFFALGO,BYX,IEX,TPLUS2,PSX</v>
      </c>
      <c r="N296" s="6">
        <f>[9]!id154?conid</f>
        <v>1715006</v>
      </c>
      <c r="O296" s="6">
        <f>[9]!id154?minTick</f>
        <v>0.01</v>
      </c>
      <c r="P296" s="6">
        <f>[9]!id154?multiplier</f>
        <v>0</v>
      </c>
      <c r="Q296" s="6" t="str">
        <f>[9]!id154?marketName</f>
        <v>A</v>
      </c>
      <c r="R296" s="6" t="str">
        <f>[9]!id154?tradingClass</f>
        <v>A</v>
      </c>
    </row>
    <row r="297" spans="1:18" hidden="1" x14ac:dyDescent="0.2">
      <c r="A297" s="176" t="s">
        <v>393</v>
      </c>
      <c r="B297" s="13" t="s">
        <v>12</v>
      </c>
      <c r="C297" s="13" t="b">
        <f t="shared" si="3"/>
        <v>1</v>
      </c>
      <c r="D297" s="13"/>
      <c r="E297" s="63"/>
      <c r="F297" s="13"/>
      <c r="G297" s="13"/>
      <c r="H297" s="13" t="s">
        <v>68</v>
      </c>
      <c r="I297" s="101" t="s">
        <v>44</v>
      </c>
      <c r="J297" s="101"/>
      <c r="K297" s="6">
        <f>[9]!'id155?req?LMT_STK_SMART_USD_~/'</f>
        <v>0</v>
      </c>
      <c r="L297" s="6" t="str">
        <f>[9]!id155?orderTypes</f>
        <v>ACTIVETIM,ADJUST,ALERT,ALGO,ALLOC,AON,AVGCOST,BASKET,COND,CONDORDER,DARKONLY,DARKPOLL,DAY,DEACT,DEACTDIS,DEACTEOD,DIS,GAT,GTC,GTD,GTT,HID,IBKRATS,ICE,IMB,IOC,LIT,LMT,LOC,MIT,MKT,MOC,MTL,NGCOMB,NODARK,NONALGO,OCA,OPG,OPGREROUT,PEGBENCH,POSTONLY,PREOPGRTH,R</v>
      </c>
      <c r="M297" s="6" t="str">
        <f>[9]!id155?validExchanges</f>
        <v>SMART,NYSE,CBOE,ISE,CHX,ARCA,ISLAND,VWAP,DRCTEDGE,NSX,BEX,BATS,EDGEA,CSFBALGO,JEFFALGO,BYX,IEX,TPLUS2,PSX</v>
      </c>
      <c r="N297" s="6">
        <f>[9]!id155?conid</f>
        <v>611191</v>
      </c>
      <c r="O297" s="6">
        <f>[9]!id155?minTick</f>
        <v>0.01</v>
      </c>
      <c r="P297" s="6">
        <f>[9]!id155?multiplier</f>
        <v>0</v>
      </c>
      <c r="Q297" s="6" t="str">
        <f>[9]!id155?marketName</f>
        <v>LMT</v>
      </c>
      <c r="R297" s="6" t="str">
        <f>[9]!id155?tradingClass</f>
        <v>LMT</v>
      </c>
    </row>
    <row r="298" spans="1:18" hidden="1" x14ac:dyDescent="0.2">
      <c r="A298" s="176" t="s">
        <v>1015</v>
      </c>
      <c r="B298" s="13" t="s">
        <v>12</v>
      </c>
      <c r="C298" s="13" t="b">
        <f t="shared" si="3"/>
        <v>1</v>
      </c>
      <c r="D298" s="13"/>
      <c r="E298" s="63"/>
      <c r="F298" s="13"/>
      <c r="G298" s="13"/>
      <c r="H298" s="13" t="s">
        <v>68</v>
      </c>
      <c r="I298" s="101" t="s">
        <v>44</v>
      </c>
      <c r="J298" s="101"/>
      <c r="K298" s="6">
        <f>[9]!'id156?req?L_STK_SMART_USD_~/'</f>
        <v>0</v>
      </c>
      <c r="L298" s="6" t="str">
        <f>[9]!id156?orderTypes</f>
        <v>ACTIVETIM,ADJUST,ALERT,ALGO,ALLOC,AON,AVGCOST,BASKET,COND,CONDORDER,DARKONLY,DARKPOLL,DAY,DEACT,DEACTDIS,DEACTEOD,DIS,GAT,GTC,GTD,GTT,HID,IBKRATS,ICE,IMB,IOC,LIT,LMT,LOC,MIT,MKT,MOC,MTL,NGCOMB,NODARK,NONALGO,OCA,OPG,OPGREROUT,PEGBENCH,POSTONLY,PREOPGRTH,R</v>
      </c>
      <c r="M298" s="6" t="str">
        <f>[9]!id156?validExchanges</f>
        <v>SMART,NYSE,CBOE,ISE,CHX,ARCA,ISLAND,VWAP,DRCTEDGE,NSX,BEX,BATS,EDGEA,CSFBALGO,JEFFALGO,BYX,IEX,TPLUS2,PSX</v>
      </c>
      <c r="N298" s="6">
        <f>[9]!id156?conid</f>
        <v>9252</v>
      </c>
      <c r="O298" s="6">
        <f>[9]!id156?minTick</f>
        <v>0.01</v>
      </c>
      <c r="P298" s="6">
        <f>[9]!id156?multiplier</f>
        <v>0</v>
      </c>
      <c r="Q298" s="6" t="str">
        <f>[9]!id156?marketName</f>
        <v>L</v>
      </c>
      <c r="R298" s="6" t="str">
        <f>[9]!id156?tradingClass</f>
        <v>L</v>
      </c>
    </row>
    <row r="299" spans="1:18" hidden="1" x14ac:dyDescent="0.2">
      <c r="A299" s="176" t="s">
        <v>1016</v>
      </c>
      <c r="B299" s="13" t="s">
        <v>12</v>
      </c>
      <c r="C299" s="13" t="b">
        <f t="shared" si="3"/>
        <v>1</v>
      </c>
      <c r="D299" s="13"/>
      <c r="E299" s="63"/>
      <c r="F299" s="13"/>
      <c r="G299" s="13"/>
      <c r="H299" s="13" t="s">
        <v>68</v>
      </c>
      <c r="I299" s="101" t="s">
        <v>44</v>
      </c>
      <c r="J299" s="101"/>
      <c r="K299" s="6">
        <f>[9]!'id157?req?CCL_STK_SMART_USD_~/'</f>
        <v>0</v>
      </c>
      <c r="L299" s="6" t="str">
        <f>[9]!id157?orderTypes</f>
        <v>ACTIVETIM,ADJUST,ALERT,ALGO,ALLOC,AON,AVGCOST,BASKET,COND,CONDORDER,DARKONLY,DARKPOLL,DAY,DEACT,DEACTDIS,DEACTEOD,DIS,GAT,GTC,GTD,GTT,HID,IBKRATS,ICE,IMB,IOC,LIT,LMT,LOC,MIT,MKT,MOC,MTL,NGCOMB,NODARK,NONALGO,OCA,OPG,OPGREROUT,PEGBENCH,POSTONLY,PREOPGRTH,R</v>
      </c>
      <c r="M299" s="6" t="str">
        <f>[9]!id157?validExchanges</f>
        <v>SMART,NYSE,CBOE,ISE,CHX,ARCA,ISLAND,VWAP,DRCTEDGE,NSX,BEX,BATS,EDGEA,CSFBALGO,JEFFALGO,BYX,IEX,TPLUS2,PSX</v>
      </c>
      <c r="N299" s="6">
        <f>[9]!id157?conid</f>
        <v>5516</v>
      </c>
      <c r="O299" s="6">
        <f>[9]!id157?minTick</f>
        <v>0.01</v>
      </c>
      <c r="P299" s="6">
        <f>[9]!id157?multiplier</f>
        <v>0</v>
      </c>
      <c r="Q299" s="6" t="str">
        <f>[9]!id157?marketName</f>
        <v>CCL</v>
      </c>
      <c r="R299" s="6" t="str">
        <f>[9]!id157?tradingClass</f>
        <v>CCL</v>
      </c>
    </row>
    <row r="300" spans="1:18" hidden="1" x14ac:dyDescent="0.2">
      <c r="A300" s="176" t="s">
        <v>1017</v>
      </c>
      <c r="B300" s="13" t="s">
        <v>12</v>
      </c>
      <c r="C300" s="13" t="b">
        <f t="shared" si="3"/>
        <v>1</v>
      </c>
      <c r="D300" s="13"/>
      <c r="E300" s="63"/>
      <c r="F300" s="13"/>
      <c r="G300" s="13"/>
      <c r="H300" s="13" t="s">
        <v>68</v>
      </c>
      <c r="I300" s="101" t="s">
        <v>44</v>
      </c>
      <c r="J300" s="101"/>
      <c r="K300" s="6">
        <f>[9]!'id158?req?RRC_STK_SMART_USD_~/'</f>
        <v>0</v>
      </c>
      <c r="L300" s="6" t="str">
        <f>[9]!id158?orderTypes</f>
        <v>ACTIVETIM,ADJUST,ALERT,ALGO,ALLOC,AON,AVGCOST,BASKET,COND,CONDORDER,DARKONLY,DARKPOLL,DAY,DEACT,DEACTDIS,DEACTEOD,DIS,GAT,GTC,GTD,GTT,HID,IBKRATS,ICE,IMB,IOC,LIT,LMT,LOC,MIT,MKT,MOC,MTL,NGCOMB,NODARK,NONALGO,OCA,OPG,OPGREROUT,PEGBENCH,POSTONLY,PREOPGRTH,R</v>
      </c>
      <c r="M300" s="6" t="str">
        <f>[9]!id158?validExchanges</f>
        <v>SMART,NYSE,CBOE,ISE,CHX,ARCA,ISLAND,DRCTEDGE,NSX,BEX,BATS,EDGEA,CSFBALGO,JEFFALGO,BYX,IEX,TPLUS2,PSX</v>
      </c>
      <c r="N300" s="6">
        <f>[9]!id158?conid</f>
        <v>6608450</v>
      </c>
      <c r="O300" s="6">
        <f>[9]!id158?minTick</f>
        <v>0.01</v>
      </c>
      <c r="P300" s="6">
        <f>[9]!id158?multiplier</f>
        <v>0</v>
      </c>
      <c r="Q300" s="6" t="str">
        <f>[9]!id158?marketName</f>
        <v>RRC</v>
      </c>
      <c r="R300" s="6" t="str">
        <f>[9]!id158?tradingClass</f>
        <v>RRC</v>
      </c>
    </row>
    <row r="301" spans="1:18" hidden="1" x14ac:dyDescent="0.2">
      <c r="A301" s="176" t="s">
        <v>793</v>
      </c>
      <c r="B301" s="13" t="s">
        <v>12</v>
      </c>
      <c r="C301" s="13" t="b">
        <f t="shared" si="3"/>
        <v>1</v>
      </c>
      <c r="D301" s="13"/>
      <c r="E301" s="63"/>
      <c r="F301" s="13"/>
      <c r="G301" s="13"/>
      <c r="H301" s="13" t="s">
        <v>68</v>
      </c>
      <c r="I301" s="101" t="s">
        <v>44</v>
      </c>
      <c r="J301" s="101"/>
      <c r="K301" s="6">
        <f>[9]!'id159?req?LOW_STK_SMART_USD_~/'</f>
        <v>0</v>
      </c>
      <c r="L301" s="6" t="str">
        <f>[9]!id159?orderTypes</f>
        <v>ACTIVETIM,ADJUST,ALERT,ALGO,ALLOC,AON,AVGCOST,BASKET,COND,CONDORDER,DARKONLY,DARKPOLL,DAY,DEACT,DEACTDIS,DEACTEOD,DIS,GAT,GTC,GTD,GTT,HID,IBKRATS,ICE,IMB,IOC,LIT,LMT,LOC,MIT,MKT,MOC,MTL,NGCOMB,NODARK,NONALGO,OCA,OPG,OPGREROUT,PEGBENCH,POSTONLY,PREOPGRTH,R</v>
      </c>
      <c r="M301" s="6" t="str">
        <f>[9]!id159?validExchanges</f>
        <v>SMART,NYSE,CBOE,ISE,CHX,ARCA,ISLAND,VWAP,DRCTEDGE,NSX,BEX,BATS,EDGEA,CSFBALGO,JEFFALGO,BYX,IEX,TPLUS2,PSX</v>
      </c>
      <c r="N301" s="6">
        <f>[9]!id159?conid</f>
        <v>9199</v>
      </c>
      <c r="O301" s="6">
        <f>[9]!id159?minTick</f>
        <v>0.01</v>
      </c>
      <c r="P301" s="6">
        <f>[9]!id159?multiplier</f>
        <v>0</v>
      </c>
      <c r="Q301" s="6" t="str">
        <f>[9]!id159?marketName</f>
        <v>LOW</v>
      </c>
      <c r="R301" s="6" t="str">
        <f>[9]!id159?tradingClass</f>
        <v>LOW</v>
      </c>
    </row>
    <row r="302" spans="1:18" hidden="1" x14ac:dyDescent="0.2">
      <c r="A302" s="176" t="s">
        <v>1018</v>
      </c>
      <c r="B302" s="13" t="s">
        <v>12</v>
      </c>
      <c r="C302" s="13" t="b">
        <f t="shared" si="3"/>
        <v>1</v>
      </c>
      <c r="D302" s="13"/>
      <c r="E302" s="63"/>
      <c r="F302" s="13"/>
      <c r="G302" s="13"/>
      <c r="H302" s="13" t="s">
        <v>68</v>
      </c>
      <c r="I302" s="101" t="s">
        <v>44</v>
      </c>
      <c r="J302" s="101"/>
      <c r="K302" s="6">
        <f>[9]!'id160?req?D_STK_SMART_USD_~/'</f>
        <v>0</v>
      </c>
      <c r="L302" s="6" t="str">
        <f>[9]!id160?orderTypes</f>
        <v>ACTIVETIM,ADJUST,ALERT,ALGO,ALLOC,AON,AVGCOST,BASKET,COND,CONDORDER,DARKONLY,DARKPOLL,DAY,DEACT,DEACTDIS,DEACTEOD,DIS,GAT,GTC,GTD,GTT,HID,IBKRATS,ICE,IMB,IOC,LIT,LMT,LOC,MIT,MKT,MOC,MTL,NGCOMB,NODARK,NONALGO,OCA,OPG,OPGREROUT,PEGBENCH,POSTONLY,PREOPGRTH,R</v>
      </c>
      <c r="M302" s="6" t="str">
        <f>[9]!id160?validExchanges</f>
        <v>SMART,NYSE,CBOE,ISE,CHX,ARCA,ISLAND,VWAP,DRCTEDGE,NSX,BEX,BATS,EDGEA,CSFBALGO,JEFFALGO,BYX,IEX,TPLUS2,PSX</v>
      </c>
      <c r="N302" s="6">
        <f>[9]!id160?conid</f>
        <v>6327</v>
      </c>
      <c r="O302" s="6">
        <f>[9]!id160?minTick</f>
        <v>0.01</v>
      </c>
      <c r="P302" s="6">
        <f>[9]!id160?multiplier</f>
        <v>0</v>
      </c>
      <c r="Q302" s="6" t="str">
        <f>[9]!id160?marketName</f>
        <v>D</v>
      </c>
      <c r="R302" s="6" t="str">
        <f>[9]!id160?tradingClass</f>
        <v>D</v>
      </c>
    </row>
    <row r="303" spans="1:18" hidden="1" x14ac:dyDescent="0.2">
      <c r="A303" s="176" t="s">
        <v>1019</v>
      </c>
      <c r="B303" s="13" t="s">
        <v>12</v>
      </c>
      <c r="C303" s="13" t="b">
        <f t="shared" si="3"/>
        <v>1</v>
      </c>
      <c r="D303" s="13"/>
      <c r="E303" s="63"/>
      <c r="F303" s="13"/>
      <c r="G303" s="13"/>
      <c r="H303" s="13" t="s">
        <v>68</v>
      </c>
      <c r="I303" s="101" t="s">
        <v>44</v>
      </c>
      <c r="J303" s="101"/>
      <c r="K303" s="6">
        <f>[9]!'id161?req?MAC_STK_SMART_USD_~/'</f>
        <v>0</v>
      </c>
      <c r="L303" s="6" t="str">
        <f>[9]!id161?orderTypes</f>
        <v>ACTIVETIM,ADJUST,ALERT,ALGO,ALLOC,AON,AVGCOST,BASKET,COND,CONDORDER,DARKONLY,DARKPOLL,DAY,DEACT,DEACTDIS,DEACTEOD,DIS,GAT,GTC,GTD,GTT,HID,IBKRATS,ICE,IMB,IOC,LIT,LMT,LOC,MIT,MKT,MOC,MTL,NGCOMB,NODARK,NONALGO,OCA,OPG,OPGREROUT,PEGBENCH,POSTONLY,PREOPGRTH,R</v>
      </c>
      <c r="M303" s="6" t="str">
        <f>[9]!id161?validExchanges</f>
        <v>SMART,NYSE,CBOE,ISE,CHX,ARCA,ISLAND,DRCTEDGE,NSX,BEX,BATS,EDGEA,CSFBALGO,JEFFALGO,BYX,IEX,TPLUS2,PSX</v>
      </c>
      <c r="N303" s="6">
        <f>[9]!id161?conid</f>
        <v>9322</v>
      </c>
      <c r="O303" s="6">
        <f>[9]!id161?minTick</f>
        <v>0.01</v>
      </c>
      <c r="P303" s="6">
        <f>[9]!id161?multiplier</f>
        <v>0</v>
      </c>
      <c r="Q303" s="6" t="str">
        <f>[9]!id161?marketName</f>
        <v>MAC</v>
      </c>
      <c r="R303" s="6" t="str">
        <f>[9]!id161?tradingClass</f>
        <v>MAC</v>
      </c>
    </row>
    <row r="304" spans="1:18" hidden="1" x14ac:dyDescent="0.2">
      <c r="A304" s="176" t="s">
        <v>1020</v>
      </c>
      <c r="B304" s="13" t="s">
        <v>12</v>
      </c>
      <c r="C304" s="13" t="b">
        <f t="shared" si="3"/>
        <v>1</v>
      </c>
      <c r="D304" s="13"/>
      <c r="E304" s="63"/>
      <c r="F304" s="13"/>
      <c r="G304" s="13"/>
      <c r="H304" s="13" t="s">
        <v>68</v>
      </c>
      <c r="I304" s="101" t="s">
        <v>44</v>
      </c>
      <c r="J304" s="101"/>
      <c r="K304" s="6">
        <f>[9]!'id162?req?SCG_STK_SMART_USD_~/'</f>
        <v>0</v>
      </c>
      <c r="L304" s="6" t="str">
        <f>[9]!id162?orderTypes</f>
        <v>ACTIVETIM,ADJUST,ALERT,ALGO,ALLOC,AON,AVGCOST,BASKET,COND,CONDORDER,DARKONLY,DARKPOLL,DAY,DEACT,DEACTDIS,DEACTEOD,DIS,GAT,GTC,GTD,GTT,HID,IBKRATS,ICE,IMB,IOC,LIT,LMT,LOC,MIT,MKT,MOC,MTL,NGCOMB,NODARK,NONALGO,OCA,OPG,OPGREROUT,PEGBENCH,POSTONLY,PREOPGRTH,R</v>
      </c>
      <c r="M304" s="6" t="str">
        <f>[9]!id162?validExchanges</f>
        <v>SMART,NYSE,CBOE,ISE,CHX,ARCA,ISLAND,DRCTEDGE,NSX,BEX,BATS,EDGEA,CSFBALGO,JEFFALGO,BYX,IEX,TPLUS2,PSX</v>
      </c>
      <c r="N304" s="6">
        <f>[9]!id162?conid</f>
        <v>11902</v>
      </c>
      <c r="O304" s="6">
        <f>[9]!id162?minTick</f>
        <v>0.01</v>
      </c>
      <c r="P304" s="6">
        <f>[9]!id162?multiplier</f>
        <v>0</v>
      </c>
      <c r="Q304" s="6" t="str">
        <f>[9]!id162?marketName</f>
        <v>SCG</v>
      </c>
      <c r="R304" s="6" t="str">
        <f>[9]!id162?tradingClass</f>
        <v>SCG</v>
      </c>
    </row>
    <row r="305" spans="1:18" hidden="1" x14ac:dyDescent="0.2">
      <c r="A305" s="176" t="s">
        <v>1021</v>
      </c>
      <c r="B305" s="13" t="s">
        <v>12</v>
      </c>
      <c r="C305" s="13" t="b">
        <f t="shared" si="3"/>
        <v>1</v>
      </c>
      <c r="D305" s="13"/>
      <c r="E305" s="63"/>
      <c r="F305" s="13"/>
      <c r="G305" s="13"/>
      <c r="H305" s="13" t="s">
        <v>68</v>
      </c>
      <c r="I305" s="101" t="s">
        <v>44</v>
      </c>
      <c r="J305" s="101"/>
      <c r="K305" s="6">
        <f>[9]!'id163?req?MKC_STK_SMART_USD_~/'</f>
        <v>0</v>
      </c>
      <c r="L305" s="6" t="str">
        <f>[9]!id163?orderTypes</f>
        <v>ACTIVETIM,ADJUST,ALERT,ALGO,ALLOC,AON,AVGCOST,BASKET,COND,CONDORDER,DARKONLY,DARKPOLL,DAY,DEACT,DEACTDIS,DEACTEOD,DIS,GAT,GTC,GTD,GTT,HID,IBKRATS,ICE,IMB,IOC,LIT,LMT,LOC,MIT,MKT,MOC,MTL,NGCOMB,NODARK,NONALGO,OCA,OPG,OPGREROUT,PEGBENCH,POSTONLY,PREOPGRTH,R</v>
      </c>
      <c r="M305" s="6" t="str">
        <f>[9]!id163?validExchanges</f>
        <v>SMART,NYSE,CBOE,ISE,CHX,ARCA,ISLAND,VWAP,DRCTEDGE,NSX,BEX,BATS,EDGEA,CSFBALGO,JEFFALGO,BYX,IEX,TPLUS2,PSX</v>
      </c>
      <c r="N305" s="6">
        <f>[9]!id163?conid</f>
        <v>271556</v>
      </c>
      <c r="O305" s="6">
        <f>[9]!id163?minTick</f>
        <v>0.01</v>
      </c>
      <c r="P305" s="6">
        <f>[9]!id163?multiplier</f>
        <v>0</v>
      </c>
      <c r="Q305" s="6" t="str">
        <f>[9]!id163?marketName</f>
        <v>MKC</v>
      </c>
      <c r="R305" s="6" t="str">
        <f>[9]!id163?tradingClass</f>
        <v>MKC</v>
      </c>
    </row>
    <row r="306" spans="1:18" hidden="1" x14ac:dyDescent="0.2">
      <c r="A306" s="176" t="s">
        <v>1022</v>
      </c>
      <c r="B306" s="13" t="s">
        <v>12</v>
      </c>
      <c r="C306" s="13" t="b">
        <f t="shared" si="3"/>
        <v>1</v>
      </c>
      <c r="D306" s="13"/>
      <c r="E306" s="63"/>
      <c r="F306" s="13"/>
      <c r="G306" s="13"/>
      <c r="H306" s="13" t="s">
        <v>68</v>
      </c>
      <c r="I306" s="101" t="s">
        <v>44</v>
      </c>
      <c r="J306" s="101"/>
      <c r="K306" s="6">
        <f>[9]!'id164?req?MCD_STK_SMART_USD_~/'</f>
        <v>0</v>
      </c>
      <c r="L306" s="6" t="str">
        <f>[9]!id164?orderTypes</f>
        <v>ACTIVETIM,ADJUST,ALERT,ALGO,ALLOC,AON,AVGCOST,BASKET,COND,CONDORDER,DARKONLY,DARKPOLL,DAY,DEACT,DEACTDIS,DEACTEOD,DIS,GAT,GTC,GTD,GTT,HID,IBKRATS,ICE,IMB,IOC,LIT,LMT,LOC,MIT,MKT,MOC,MTL,NGCOMB,NODARK,NONALGO,OCA,OPG,OPGREROUT,PEGBENCH,POSTONLY,PREOPGRTH,R</v>
      </c>
      <c r="M306" s="6" t="str">
        <f>[9]!id164?validExchanges</f>
        <v>SMART,NYSE,CBOE,ISE,CHX,ARCA,ISLAND,VWAP,DRCTEDGE,NSX,BEX,BATS,EDGEA,CSFBALGO,JEFFALGO,BYX,IEX,TPLUS2,PSX</v>
      </c>
      <c r="N306" s="6">
        <f>[9]!id164?conid</f>
        <v>9408</v>
      </c>
      <c r="O306" s="6">
        <f>[9]!id164?minTick</f>
        <v>0.01</v>
      </c>
      <c r="P306" s="6">
        <f>[9]!id164?multiplier</f>
        <v>0</v>
      </c>
      <c r="Q306" s="6" t="str">
        <f>[9]!id164?marketName</f>
        <v>MCD</v>
      </c>
      <c r="R306" s="6" t="str">
        <f>[9]!id164?tradingClass</f>
        <v>MCD</v>
      </c>
    </row>
    <row r="307" spans="1:18" hidden="1" x14ac:dyDescent="0.2">
      <c r="A307" s="176" t="s">
        <v>1023</v>
      </c>
      <c r="B307" s="13" t="s">
        <v>12</v>
      </c>
      <c r="C307" s="13" t="b">
        <f t="shared" si="3"/>
        <v>1</v>
      </c>
      <c r="D307" s="13"/>
      <c r="E307" s="63"/>
      <c r="F307" s="13"/>
      <c r="G307" s="13"/>
      <c r="H307" s="13" t="s">
        <v>68</v>
      </c>
      <c r="I307" s="101" t="s">
        <v>44</v>
      </c>
      <c r="J307" s="101"/>
      <c r="K307" s="6">
        <f>[9]!'id166?req?EW_STK_SMART_USD_~/'</f>
        <v>0</v>
      </c>
      <c r="L307" s="6" t="str">
        <f>[9]!id166?orderTypes</f>
        <v>ACTIVETIM,ADJUST,ALERT,ALGO,ALLOC,AON,AVGCOST,BASKET,COND,CONDORDER,DARKONLY,DARKPOLL,DAY,DEACT,DEACTDIS,DEACTEOD,DIS,GAT,GTC,GTD,GTT,HID,IBKRATS,ICE,IMB,IOC,LIT,LMT,LOC,MIT,MKT,MOC,MTL,NGCOMB,NODARK,NONALGO,OCA,OPG,OPGREROUT,PEGBENCH,POSTONLY,PREOPGRTH,R</v>
      </c>
      <c r="M307" s="6" t="str">
        <f>[9]!id166?validExchanges</f>
        <v>SMART,NYSE,CBOE,ISE,CHX,ARCA,ISLAND,DRCTEDGE,NSX,BEX,BATS,EDGEA,CSFBALGO,JEFFALGO,BYX,IEX,TPLUS2,PSX</v>
      </c>
      <c r="N307" s="6">
        <f>[9]!id166?conid</f>
        <v>8101142</v>
      </c>
      <c r="O307" s="6">
        <f>[9]!id166?minTick</f>
        <v>0.01</v>
      </c>
      <c r="P307" s="6">
        <f>[9]!id166?multiplier</f>
        <v>0</v>
      </c>
      <c r="Q307" s="6" t="str">
        <f>[9]!id166?marketName</f>
        <v>EW</v>
      </c>
      <c r="R307" s="6" t="str">
        <f>[9]!id166?tradingClass</f>
        <v>EW</v>
      </c>
    </row>
    <row r="308" spans="1:18" hidden="1" x14ac:dyDescent="0.2">
      <c r="A308" s="176" t="s">
        <v>1024</v>
      </c>
      <c r="B308" s="13" t="s">
        <v>12</v>
      </c>
      <c r="C308" s="13" t="b">
        <f t="shared" si="3"/>
        <v>1</v>
      </c>
      <c r="D308" s="13"/>
      <c r="E308" s="63"/>
      <c r="F308" s="13"/>
      <c r="G308" s="13"/>
      <c r="H308" s="13" t="s">
        <v>68</v>
      </c>
      <c r="I308" s="101" t="s">
        <v>44</v>
      </c>
      <c r="J308" s="101"/>
      <c r="K308" s="6">
        <f>[9]!'id167?req?HST_STK_SMART_USD_~/'</f>
        <v>0</v>
      </c>
      <c r="L308" s="6" t="str">
        <f>[9]!id167?orderTypes</f>
        <v>ACTIVETIM,ADJUST,ALERT,ALGO,ALLOC,AON,AVGCOST,BASKET,COND,CONDORDER,DARKONLY,DARKPOLL,DAY,DEACT,DEACTDIS,DEACTEOD,DIS,GAT,GTC,GTD,GTT,HID,IBKRATS,ICE,IMB,IOC,LIT,LMT,LOC,MIT,MKT,MOC,MTL,NGCOMB,NODARK,NONALGO,OCA,OPG,OPGREROUT,PEGBENCH,POSTONLY,PREOPGRTH,R</v>
      </c>
      <c r="M308" s="6" t="str">
        <f>[9]!id167?validExchanges</f>
        <v>SMART,NYSE,CBOE,ISE,CHX,ARCA,ISLAND,VWAP,DRCTEDGE,NSX,BEX,BATS,EDGEA,CSFBALGO,JEFFALGO,BYX,IEX,TPLUS2,PSX</v>
      </c>
      <c r="N308" s="6">
        <f>[9]!id167?conid</f>
        <v>8057</v>
      </c>
      <c r="O308" s="6">
        <f>[9]!id167?minTick</f>
        <v>0.01</v>
      </c>
      <c r="P308" s="6">
        <f>[9]!id167?multiplier</f>
        <v>0</v>
      </c>
      <c r="Q308" s="6" t="str">
        <f>[9]!id167?marketName</f>
        <v>HST</v>
      </c>
      <c r="R308" s="6" t="str">
        <f>[9]!id167?tradingClass</f>
        <v>HST</v>
      </c>
    </row>
    <row r="309" spans="1:18" hidden="1" x14ac:dyDescent="0.2">
      <c r="A309" s="176" t="s">
        <v>1025</v>
      </c>
      <c r="B309" s="13" t="s">
        <v>12</v>
      </c>
      <c r="C309" s="13" t="b">
        <f t="shared" si="3"/>
        <v>1</v>
      </c>
      <c r="D309" s="13"/>
      <c r="E309" s="63"/>
      <c r="F309" s="13"/>
      <c r="G309" s="13"/>
      <c r="H309" s="13" t="s">
        <v>68</v>
      </c>
      <c r="I309" s="101" t="s">
        <v>44</v>
      </c>
      <c r="J309" s="101"/>
      <c r="K309" s="6">
        <f>[9]!'id168?req?MMC_STK_SMART_USD_~/'</f>
        <v>0</v>
      </c>
      <c r="L309" s="6" t="str">
        <f>[9]!id168?orderTypes</f>
        <v>ACTIVETIM,ADJUST,ALERT,ALGO,ALLOC,AON,AVGCOST,BASKET,COND,CONDORDER,DARKONLY,DARKPOLL,DAY,DEACT,DEACTDIS,DEACTEOD,DIS,GAT,GTC,GTD,GTT,HID,IBKRATS,ICE,IMB,IOC,LIT,LMT,LOC,MIT,MKT,MOC,MTL,NGCOMB,NODARK,NONALGO,OCA,OPG,OPGREROUT,PEGBENCH,POSTONLY,PREOPGRTH,R</v>
      </c>
      <c r="M309" s="6" t="str">
        <f>[9]!id168?validExchanges</f>
        <v>SMART,NYSE,CBOE,ISE,CHX,ARCA,ISLAND,VWAP,DRCTEDGE,NSX,BEX,BATS,EDGEA,CSFBALGO,JEFFALGO,BYX,IEX,TPLUS2,PSX</v>
      </c>
      <c r="N309" s="6">
        <f>[9]!id168?conid</f>
        <v>9705</v>
      </c>
      <c r="O309" s="6">
        <f>[9]!id168?minTick</f>
        <v>0.01</v>
      </c>
      <c r="P309" s="6">
        <f>[9]!id168?multiplier</f>
        <v>0</v>
      </c>
      <c r="Q309" s="6" t="str">
        <f>[9]!id168?marketName</f>
        <v>MMC</v>
      </c>
      <c r="R309" s="6" t="str">
        <f>[9]!id168?tradingClass</f>
        <v>MMC</v>
      </c>
    </row>
    <row r="310" spans="1:18" hidden="1" x14ac:dyDescent="0.2">
      <c r="A310" s="176" t="s">
        <v>1026</v>
      </c>
      <c r="B310" s="13" t="s">
        <v>12</v>
      </c>
      <c r="C310" s="13" t="b">
        <f t="shared" si="3"/>
        <v>1</v>
      </c>
      <c r="D310" s="13"/>
      <c r="E310" s="63"/>
      <c r="F310" s="13"/>
      <c r="G310" s="13"/>
      <c r="H310" s="13" t="s">
        <v>68</v>
      </c>
      <c r="I310" s="101" t="s">
        <v>44</v>
      </c>
      <c r="J310" s="101"/>
      <c r="K310" s="6">
        <f>[9]!'id169?req?MAS_STK_SMART_USD_~/'</f>
        <v>0</v>
      </c>
      <c r="L310" s="6" t="str">
        <f>[9]!id169?orderTypes</f>
        <v>ACTIVETIM,ADJUST,ALERT,ALGO,ALLOC,AON,AVGCOST,BASKET,COND,CONDORDER,DARKONLY,DARKPOLL,DAY,DEACT,DEACTDIS,DEACTEOD,DIS,GAT,GTC,GTD,GTT,HID,IBKRATS,ICE,IMB,IOC,LIT,LMT,LOC,MIT,MKT,MOC,MTL,NGCOMB,NODARK,NONALGO,OCA,OPG,OPGREROUT,PEGBENCH,POSTONLY,PREOPGRTH,R</v>
      </c>
      <c r="M310" s="6" t="str">
        <f>[9]!id169?validExchanges</f>
        <v>SMART,NYSE,CBOE,ISE,CHX,ARCA,ISLAND,VWAP,DRCTEDGE,NSX,BEX,BATS,EDGEA,CSFBALGO,JEFFALGO,BYX,IEX,TPLUS2,PSX</v>
      </c>
      <c r="N310" s="6">
        <f>[9]!id169?conid</f>
        <v>9360</v>
      </c>
      <c r="O310" s="6">
        <f>[9]!id169?minTick</f>
        <v>0.01</v>
      </c>
      <c r="P310" s="6">
        <f>[9]!id169?multiplier</f>
        <v>0</v>
      </c>
      <c r="Q310" s="6" t="str">
        <f>[9]!id169?marketName</f>
        <v>MAS</v>
      </c>
      <c r="R310" s="6" t="str">
        <f>[9]!id169?tradingClass</f>
        <v>MAS</v>
      </c>
    </row>
    <row r="311" spans="1:18" hidden="1" x14ac:dyDescent="0.2">
      <c r="A311" s="176" t="s">
        <v>1027</v>
      </c>
      <c r="B311" s="13" t="s">
        <v>12</v>
      </c>
      <c r="C311" s="13" t="b">
        <f t="shared" si="3"/>
        <v>1</v>
      </c>
      <c r="D311" s="13"/>
      <c r="E311" s="63"/>
      <c r="F311" s="13"/>
      <c r="G311" s="13"/>
      <c r="H311" s="13" t="s">
        <v>68</v>
      </c>
      <c r="I311" s="101" t="s">
        <v>44</v>
      </c>
      <c r="J311" s="101"/>
      <c r="K311" s="6">
        <f>[9]!'id170?req?JWN_STK_SMART_USD_~/'</f>
        <v>0</v>
      </c>
      <c r="L311" s="6" t="str">
        <f>[9]!id170?orderTypes</f>
        <v>ACTIVETIM,ADJUST,ALERT,ALGO,ALLOC,AON,AVGCOST,BASKET,COND,CONDORDER,DARKONLY,DARKPOLL,DAY,DEACT,DEACTDIS,DEACTEOD,DIS,GAT,GTC,GTD,GTT,HID,IBKRATS,ICE,IMB,IOC,LIT,LMT,LOC,MIT,MKT,MOC,MTL,NGCOMB,NODARK,NONALGO,OCA,OPG,OPGREROUT,PEGBENCH,POSTONLY,PREOPGRTH,R</v>
      </c>
      <c r="M311" s="6" t="str">
        <f>[9]!id170?validExchanges</f>
        <v>SMART,NYSE,CBOE,ISE,CHX,ARCA,ISLAND,VWAP,DRCTEDGE,NSX,BEX,BATS,EDGEA,CSFBALGO,JEFFALGO,BYX,IEX,TPLUS2,PSX</v>
      </c>
      <c r="N311" s="6">
        <f>[9]!id170?conid</f>
        <v>272428</v>
      </c>
      <c r="O311" s="6">
        <f>[9]!id170?minTick</f>
        <v>0.01</v>
      </c>
      <c r="P311" s="6">
        <f>[9]!id170?multiplier</f>
        <v>0</v>
      </c>
      <c r="Q311" s="6" t="str">
        <f>[9]!id170?marketName</f>
        <v>JWN</v>
      </c>
      <c r="R311" s="6" t="str">
        <f>[9]!id170?tradingClass</f>
        <v>JWN</v>
      </c>
    </row>
    <row r="312" spans="1:18" hidden="1" x14ac:dyDescent="0.2">
      <c r="A312" s="176" t="s">
        <v>1028</v>
      </c>
      <c r="B312" s="13" t="s">
        <v>12</v>
      </c>
      <c r="C312" s="13" t="b">
        <f t="shared" si="3"/>
        <v>1</v>
      </c>
      <c r="D312" s="13"/>
      <c r="E312" s="63"/>
      <c r="F312" s="13"/>
      <c r="G312" s="13"/>
      <c r="H312" s="13" t="s">
        <v>68</v>
      </c>
      <c r="I312" s="101" t="s">
        <v>44</v>
      </c>
      <c r="J312" s="101"/>
      <c r="K312" s="6">
        <f>[9]!'id171?req?NSC_STK_SMART_USD_~/'</f>
        <v>0</v>
      </c>
      <c r="L312" s="6" t="str">
        <f>[9]!id171?orderTypes</f>
        <v>ACTIVETIM,ADJUST,ALERT,ALGO,ALLOC,AON,AVGCOST,BASKET,COND,CONDORDER,DARKONLY,DARKPOLL,DAY,DEACT,DEACTDIS,DEACTEOD,DIS,GAT,GTC,GTD,GTT,HID,IBKRATS,ICE,IMB,IOC,LIT,LMT,LOC,MIT,MKT,MOC,MTL,NGCOMB,NODARK,NONALGO,OCA,OPG,OPGREROUT,PEGBENCH,POSTONLY,PREOPGRTH,R</v>
      </c>
      <c r="M312" s="6" t="str">
        <f>[9]!id171?validExchanges</f>
        <v>SMART,NYSE,CBOE,ISE,CHX,ARCA,ISLAND,VWAP,DRCTEDGE,NSX,BEX,BATS,EDGEA,CSFBALGO,JEFFALGO,BYX,IEX,TPLUS2,PSX</v>
      </c>
      <c r="N312" s="6">
        <f>[9]!id171?conid</f>
        <v>10497</v>
      </c>
      <c r="O312" s="6">
        <f>[9]!id171?minTick</f>
        <v>0.01</v>
      </c>
      <c r="P312" s="6">
        <f>[9]!id171?multiplier</f>
        <v>0</v>
      </c>
      <c r="Q312" s="6" t="str">
        <f>[9]!id171?marketName</f>
        <v>NSC</v>
      </c>
      <c r="R312" s="6" t="str">
        <f>[9]!id171?tradingClass</f>
        <v>NSC</v>
      </c>
    </row>
    <row r="313" spans="1:18" hidden="1" x14ac:dyDescent="0.2">
      <c r="A313" s="176" t="s">
        <v>1029</v>
      </c>
      <c r="B313" s="13" t="s">
        <v>12</v>
      </c>
      <c r="C313" s="13" t="b">
        <f t="shared" si="3"/>
        <v>1</v>
      </c>
      <c r="D313" s="13"/>
      <c r="E313" s="63"/>
      <c r="F313" s="13"/>
      <c r="G313" s="13"/>
      <c r="H313" s="13" t="s">
        <v>68</v>
      </c>
      <c r="I313" s="101" t="s">
        <v>44</v>
      </c>
      <c r="J313" s="101"/>
      <c r="K313" s="6">
        <f>[9]!'id172?req?NI_STK_SMART_USD_~/'</f>
        <v>0</v>
      </c>
      <c r="L313" s="6" t="str">
        <f>[9]!id172?orderTypes</f>
        <v>ACTIVETIM,ADJUST,ALERT,ALGO,ALLOC,AON,AVGCOST,BASKET,COND,CONDORDER,DARKONLY,DARKPOLL,DAY,DEACT,DEACTDIS,DEACTEOD,DIS,GAT,GTC,GTD,GTT,HID,IBKRATS,ICE,IMB,IOC,LIT,LMT,LOC,MIT,MKT,MOC,MTL,NGCOMB,NODARK,NONALGO,OCA,OPG,OPGREROUT,PEGBENCH,POSTONLY,PREOPGRTH,R</v>
      </c>
      <c r="M313" s="6" t="str">
        <f>[9]!id172?validExchanges</f>
        <v>SMART,NYSE,CBOE,ISE,CHX,ARCA,ISLAND,VWAP,DRCTEDGE,NSX,BEX,BATS,EDGEA,CSFBALGO,JEFFALGO,BYX,IEX,TPLUS2,PSX</v>
      </c>
      <c r="N313" s="6">
        <f>[9]!id172?conid</f>
        <v>10260</v>
      </c>
      <c r="O313" s="6">
        <f>[9]!id172?minTick</f>
        <v>0.01</v>
      </c>
      <c r="P313" s="6">
        <f>[9]!id172?multiplier</f>
        <v>0</v>
      </c>
      <c r="Q313" s="6" t="str">
        <f>[9]!id172?marketName</f>
        <v>NI</v>
      </c>
      <c r="R313" s="6" t="str">
        <f>[9]!id172?tradingClass</f>
        <v>NI</v>
      </c>
    </row>
    <row r="314" spans="1:18" hidden="1" x14ac:dyDescent="0.2">
      <c r="A314" s="176" t="s">
        <v>1030</v>
      </c>
      <c r="B314" s="13" t="s">
        <v>12</v>
      </c>
      <c r="C314" s="13" t="b">
        <f t="shared" si="3"/>
        <v>1</v>
      </c>
      <c r="D314" s="13"/>
      <c r="E314" s="63"/>
      <c r="F314" s="13"/>
      <c r="G314" s="13"/>
      <c r="H314" s="13" t="s">
        <v>68</v>
      </c>
      <c r="I314" s="101" t="s">
        <v>44</v>
      </c>
      <c r="J314" s="101"/>
      <c r="K314" s="6">
        <f>[9]!'id173?req?COH_STK_SMART_USD_~/'</f>
        <v>0</v>
      </c>
      <c r="L314" s="6" t="str">
        <f>[9]!id173?orderTypes</f>
        <v>ACTIVETIM,ADJUST,ALERT,ALGO,ALLOC,AON,AVGCOST,BASKET,COND,CONDORDER,DARKONLY,DARKPOLL,DAY,DEACT,DEACTDIS,DEACTEOD,DIS,GAT,GTC,GTD,GTT,HID,IBKRATS,ICE,IMB,IOC,LIT,LMT,LOC,MIT,MKT,MOC,MTL,NGCOMB,NODARK,NONALGO,OCA,OPG,OPGREROUT,PEGBENCH,POSTONLY,PREOPGRTH,R</v>
      </c>
      <c r="M314" s="6" t="str">
        <f>[9]!id173?validExchanges</f>
        <v>SMART,NYSE,CBOE,ISE,CHX,ARCA,ISLAND,VWAP,DRCTEDGE,NSX,BEX,BATS,EDGEA,CSFBALGO,JEFFALGO,BYX,IEX,TPLUS2,PSX</v>
      </c>
      <c r="N314" s="6">
        <f>[9]!id173?conid</f>
        <v>10413985</v>
      </c>
      <c r="O314" s="6">
        <f>[9]!id173?minTick</f>
        <v>0.01</v>
      </c>
      <c r="P314" s="6">
        <f>[9]!id173?multiplier</f>
        <v>0</v>
      </c>
      <c r="Q314" s="6" t="str">
        <f>[9]!id173?marketName</f>
        <v>COH</v>
      </c>
      <c r="R314" s="6" t="str">
        <f>[9]!id173?tradingClass</f>
        <v>COH</v>
      </c>
    </row>
    <row r="315" spans="1:18" hidden="1" x14ac:dyDescent="0.2">
      <c r="A315" s="176" t="s">
        <v>1031</v>
      </c>
      <c r="B315" s="13" t="s">
        <v>12</v>
      </c>
      <c r="C315" s="13" t="b">
        <f t="shared" si="3"/>
        <v>0</v>
      </c>
      <c r="D315" s="13"/>
      <c r="E315" s="63"/>
      <c r="F315" s="13"/>
      <c r="G315" s="13"/>
      <c r="H315" s="13" t="s">
        <v>68</v>
      </c>
      <c r="I315" s="101" t="s">
        <v>44</v>
      </c>
      <c r="J315" s="101"/>
      <c r="K315" s="6">
        <f>[9]!'id174?req?NTRS_STK_SMART_USD_~/'</f>
        <v>0</v>
      </c>
      <c r="L315" s="6" t="str">
        <f>[9]!id174?orderTypes</f>
        <v>ACTIVETIM,ADJUST,ALERT,ALGO,ALLOC,AON,AVGCOST,BASKET,COND,CONDORDER,DARKONLY,DARKPOLL,DAY,DEACT,DEACTDIS,DEACTEOD,DIS,GAT,GTC,GTD,GTT,HID,IBKRATS,ICE,IMB,IOC,LIT,LMT,LOC,MIT,MKT,MOC,MTL,NGCOMB,NODARK,NONALGO,OCA,OPG,OPGREROUT,PEGBENCH,POSTONLY,PREOPGRTH,R</v>
      </c>
      <c r="M315" s="6" t="str">
        <f>[9]!id174?validExchanges</f>
        <v>SMART,CBOE,ISE,CHX,ARCA,ISLAND,VWAP,DRCTEDGE,NSX,BEX,BATS,EDGEA,CSFBALGO,JEFFALGO,BYX,IEX,TPLUS2,PSX</v>
      </c>
      <c r="N315" s="6">
        <f>[9]!id174?conid</f>
        <v>272565</v>
      </c>
      <c r="O315" s="6">
        <f>[9]!id174?minTick</f>
        <v>0.01</v>
      </c>
      <c r="P315" s="6">
        <f>[9]!id174?multiplier</f>
        <v>0</v>
      </c>
      <c r="Q315" s="6" t="str">
        <f>[9]!id174?marketName</f>
        <v>NMS</v>
      </c>
      <c r="R315" s="6" t="str">
        <f>[9]!id174?tradingClass</f>
        <v>NMS</v>
      </c>
    </row>
    <row r="316" spans="1:18" hidden="1" x14ac:dyDescent="0.2">
      <c r="A316" s="176" t="s">
        <v>1032</v>
      </c>
      <c r="B316" s="13" t="s">
        <v>12</v>
      </c>
      <c r="C316" s="13" t="b">
        <f t="shared" si="3"/>
        <v>1</v>
      </c>
      <c r="D316" s="13"/>
      <c r="E316" s="63"/>
      <c r="F316" s="13"/>
      <c r="G316" s="13"/>
      <c r="H316" s="13" t="s">
        <v>68</v>
      </c>
      <c r="I316" s="101" t="s">
        <v>44</v>
      </c>
      <c r="J316" s="101"/>
      <c r="K316" s="6">
        <f>[9]!'id175?req?NOC_STK_SMART_USD_~/'</f>
        <v>0</v>
      </c>
      <c r="L316" s="6" t="str">
        <f>[9]!id175?orderTypes</f>
        <v>ACTIVETIM,ADJUST,ALERT,ALGO,ALLOC,AON,AVGCOST,BASKET,COND,CONDORDER,DARKONLY,DARKPOLL,DAY,DEACT,DEACTDIS,DEACTEOD,DIS,GAT,GTC,GTD,GTT,HID,IBKRATS,ICE,IMB,IOC,LIT,LMT,LOC,MIT,MKT,MOC,MTL,NGCOMB,NODARK,NONALGO,OCA,OPG,OPGREROUT,PEGBENCH,POSTONLY,PREOPGRTH,R</v>
      </c>
      <c r="M316" s="6" t="str">
        <f>[9]!id175?validExchanges</f>
        <v>SMART,NYSE,CBOE,ISE,CHX,ARCA,ISLAND,VWAP,DRCTEDGE,NSX,BEX,BATS,EDGEA,CSFBALGO,JEFFALGO,BYX,IEX,TPLUS2,PSX</v>
      </c>
      <c r="N316" s="6">
        <f>[9]!id175?conid</f>
        <v>10376</v>
      </c>
      <c r="O316" s="6">
        <f>[9]!id175?minTick</f>
        <v>0.01</v>
      </c>
      <c r="P316" s="6">
        <f>[9]!id175?multiplier</f>
        <v>0</v>
      </c>
      <c r="Q316" s="6" t="str">
        <f>[9]!id175?marketName</f>
        <v>NOC</v>
      </c>
      <c r="R316" s="6" t="str">
        <f>[9]!id175?tradingClass</f>
        <v>NOC</v>
      </c>
    </row>
    <row r="317" spans="1:18" hidden="1" x14ac:dyDescent="0.2">
      <c r="A317" s="176" t="s">
        <v>1033</v>
      </c>
      <c r="B317" s="13" t="s">
        <v>12</v>
      </c>
      <c r="C317" s="13" t="b">
        <f t="shared" si="3"/>
        <v>1</v>
      </c>
      <c r="D317" s="13"/>
      <c r="E317" s="63"/>
      <c r="F317" s="13"/>
      <c r="G317" s="13"/>
      <c r="H317" s="13" t="s">
        <v>68</v>
      </c>
      <c r="I317" s="101" t="s">
        <v>44</v>
      </c>
      <c r="J317" s="101"/>
      <c r="K317" s="6">
        <f>[9]!'id176?req?WFC_STK_SMART_USD_~/'</f>
        <v>0</v>
      </c>
      <c r="L317" s="6" t="str">
        <f>[9]!id176?orderTypes</f>
        <v>ACTIVETIM,ADJUST,ALERT,ALGO,ALLOC,AON,AVGCOST,BASKET,COND,CONDORDER,DARKONLY,DARKPOLL,DAY,DEACT,DEACTDIS,DEACTEOD,DIS,GAT,GTC,GTD,GTT,HID,IBKRATS,ICE,IMB,IOC,LIT,LMT,LOC,MIT,MKT,MOC,MTL,NGCOMB,NODARK,NONALGO,OCA,OPG,OPGREROUT,PEGBENCH,POSTONLY,PREOPGRTH,R</v>
      </c>
      <c r="M317" s="6" t="str">
        <f>[9]!id176?validExchanges</f>
        <v>SMART,NYSE,CBOE,ISE,CHX,ARCA,ISLAND,VWAP,DRCTEDGE,NSX,BEX,BATS,EDGEA,CSFBALGO,JEFFALGO,BYX,IEX,TPLUS2,PSX</v>
      </c>
      <c r="N317" s="6">
        <f>[9]!id176?conid</f>
        <v>10375</v>
      </c>
      <c r="O317" s="6">
        <f>[9]!id176?minTick</f>
        <v>0.01</v>
      </c>
      <c r="P317" s="6">
        <f>[9]!id176?multiplier</f>
        <v>0</v>
      </c>
      <c r="Q317" s="6" t="str">
        <f>[9]!id176?marketName</f>
        <v>WFC</v>
      </c>
      <c r="R317" s="6" t="str">
        <f>[9]!id176?tradingClass</f>
        <v>WFC</v>
      </c>
    </row>
    <row r="318" spans="1:18" hidden="1" x14ac:dyDescent="0.2">
      <c r="A318" s="176" t="s">
        <v>1034</v>
      </c>
      <c r="B318" s="13" t="s">
        <v>12</v>
      </c>
      <c r="C318" s="13" t="b">
        <f t="shared" si="3"/>
        <v>1</v>
      </c>
      <c r="D318" s="13"/>
      <c r="E318" s="63"/>
      <c r="F318" s="13"/>
      <c r="G318" s="13"/>
      <c r="H318" s="13" t="s">
        <v>68</v>
      </c>
      <c r="I318" s="101" t="s">
        <v>44</v>
      </c>
      <c r="J318" s="101"/>
      <c r="K318" s="6">
        <f>[9]!'id177?req?NUE_STK_SMART_USD_~/'</f>
        <v>0</v>
      </c>
      <c r="L318" s="6" t="str">
        <f>[9]!id177?orderTypes</f>
        <v>ACTIVETIM,ADJUST,ALERT,ALGO,ALLOC,AON,AVGCOST,BASKET,COND,CONDORDER,DARKONLY,DARKPOLL,DAY,DEACT,DEACTDIS,DEACTEOD,DIS,GAT,GTC,GTD,GTT,HID,IBKRATS,ICE,IMB,IOC,LIT,LMT,LOC,MIT,MKT,MOC,MTL,NGCOMB,NODARK,NONALGO,OCA,OPG,OPGREROUT,PEGBENCH,POSTONLY,PREOPGRTH,R</v>
      </c>
      <c r="M318" s="6" t="str">
        <f>[9]!id177?validExchanges</f>
        <v>SMART,NYSE,CBOE,ISE,CHX,ARCA,ISLAND,VWAP,DRCTEDGE,NSX,BEX,BATS,EDGEA,CSFBALGO,JEFFALGO,BYX,IEX,TPLUS2,PSX</v>
      </c>
      <c r="N318" s="6">
        <f>[9]!id177?conid</f>
        <v>10557</v>
      </c>
      <c r="O318" s="6">
        <f>[9]!id177?minTick</f>
        <v>0.01</v>
      </c>
      <c r="P318" s="6">
        <f>[9]!id177?multiplier</f>
        <v>0</v>
      </c>
      <c r="Q318" s="6" t="str">
        <f>[9]!id177?marketName</f>
        <v>NUE</v>
      </c>
      <c r="R318" s="6" t="str">
        <f>[9]!id177?tradingClass</f>
        <v>NUE</v>
      </c>
    </row>
    <row r="319" spans="1:18" hidden="1" x14ac:dyDescent="0.2">
      <c r="A319" s="176" t="s">
        <v>1035</v>
      </c>
      <c r="B319" s="13" t="s">
        <v>12</v>
      </c>
      <c r="C319" s="13" t="b">
        <f t="shared" si="3"/>
        <v>1</v>
      </c>
      <c r="D319" s="13"/>
      <c r="E319" s="63"/>
      <c r="F319" s="13"/>
      <c r="G319" s="13"/>
      <c r="H319" s="13" t="s">
        <v>68</v>
      </c>
      <c r="I319" s="101" t="s">
        <v>44</v>
      </c>
      <c r="J319" s="101"/>
      <c r="K319" s="6">
        <f>[9]!'id178?req?MON_STK_SMART_USD_~/'</f>
        <v>0</v>
      </c>
      <c r="L319" s="6" t="str">
        <f>[9]!id178?orderTypes</f>
        <v>ACTIVETIM,ADJUST,ALERT,ALGO,ALLOC,AON,AVGCOST,BASKET,COND,CONDORDER,DARKONLY,DARKPOLL,DAY,DEACT,DEACTDIS,DEACTEOD,DIS,GAT,GTC,GTD,GTT,HID,IBKRATS,ICE,IMB,IOC,LIT,LMT,LOC,MIT,MKT,MOC,MTL,NGCOMB,NODARK,NONALGO,OCA,OPG,OPGREROUT,PEGBENCH,POSTONLY,PREOPGRTH,R</v>
      </c>
      <c r="M319" s="6" t="str">
        <f>[9]!id178?validExchanges</f>
        <v>SMART,NYSE,CBOE,ISE,CHX,ARCA,ISLAND,VWAP,DRCTEDGE,NSX,BEX,BATS,EDGEA,CSFBALGO,JEFFALGO,BYX,IEX,TPLUS2,PSX</v>
      </c>
      <c r="N319" s="6">
        <f>[9]!id178?conid</f>
        <v>10523297</v>
      </c>
      <c r="O319" s="6">
        <f>[9]!id178?minTick</f>
        <v>0.01</v>
      </c>
      <c r="P319" s="6">
        <f>[9]!id178?multiplier</f>
        <v>0</v>
      </c>
      <c r="Q319" s="6" t="str">
        <f>[9]!id178?marketName</f>
        <v>MON</v>
      </c>
      <c r="R319" s="6" t="str">
        <f>[9]!id178?tradingClass</f>
        <v>MON</v>
      </c>
    </row>
    <row r="320" spans="1:18" hidden="1" x14ac:dyDescent="0.2">
      <c r="A320" s="176" t="s">
        <v>1036</v>
      </c>
      <c r="B320" s="13" t="s">
        <v>12</v>
      </c>
      <c r="C320" s="13" t="b">
        <f t="shared" si="3"/>
        <v>1</v>
      </c>
      <c r="D320" s="13"/>
      <c r="E320" s="63"/>
      <c r="F320" s="13"/>
      <c r="G320" s="13"/>
      <c r="H320" s="13" t="s">
        <v>68</v>
      </c>
      <c r="I320" s="101" t="s">
        <v>44</v>
      </c>
      <c r="J320" s="101"/>
      <c r="K320" s="6">
        <f>[9]!'id179?req?COF_STK_SMART_USD_~/'</f>
        <v>0</v>
      </c>
      <c r="L320" s="6" t="str">
        <f>[9]!id179?orderTypes</f>
        <v>ACTIVETIM,ADJUST,ALERT,ALGO,ALLOC,AON,AVGCOST,BASKET,COND,CONDORDER,DARKONLY,DARKPOLL,DAY,DEACT,DEACTDIS,DEACTEOD,DIS,GAT,GTC,GTD,GTT,HID,IBKRATS,ICE,IMB,IOC,LIT,LMT,LOC,MIT,MKT,MOC,MTL,NGCOMB,NODARK,NONALGO,OCA,OPG,OPGREROUT,PEGBENCH,POSTONLY,PREOPGRTH,R</v>
      </c>
      <c r="M320" s="6" t="str">
        <f>[9]!id179?validExchanges</f>
        <v>SMART,NYSE,CBOE,ISE,CHX,ARCA,ISLAND,VWAP,DRCTEDGE,NSX,BEX,BATS,EDGEA,CSFBALGO,JEFFALGO,BYX,IEX,TPLUS2,PSX</v>
      </c>
      <c r="N320" s="6">
        <f>[9]!id179?conid</f>
        <v>5941</v>
      </c>
      <c r="O320" s="6">
        <f>[9]!id179?minTick</f>
        <v>0.01</v>
      </c>
      <c r="P320" s="6">
        <f>[9]!id179?multiplier</f>
        <v>0</v>
      </c>
      <c r="Q320" s="6" t="str">
        <f>[9]!id179?marketName</f>
        <v>COF</v>
      </c>
      <c r="R320" s="6" t="str">
        <f>[9]!id179?tradingClass</f>
        <v>COF</v>
      </c>
    </row>
    <row r="321" spans="1:18" hidden="1" x14ac:dyDescent="0.2">
      <c r="A321" s="176" t="s">
        <v>1037</v>
      </c>
      <c r="B321" s="13" t="s">
        <v>12</v>
      </c>
      <c r="C321" s="13" t="b">
        <f t="shared" ref="C321:C384" si="4">A321=Q321</f>
        <v>1</v>
      </c>
      <c r="D321" s="13"/>
      <c r="E321" s="63"/>
      <c r="F321" s="13"/>
      <c r="G321" s="13"/>
      <c r="H321" s="13" t="s">
        <v>68</v>
      </c>
      <c r="I321" s="101" t="s">
        <v>44</v>
      </c>
      <c r="J321" s="101"/>
      <c r="K321" s="6">
        <f>[9]!'id180?req?OXY_STK_SMART_USD_~/'</f>
        <v>0</v>
      </c>
      <c r="L321" s="6" t="str">
        <f>[9]!id180?orderTypes</f>
        <v>ACTIVETIM,ADJUST,ALERT,ALGO,ALLOC,AON,AVGCOST,BASKET,COND,CONDORDER,DARKONLY,DARKPOLL,DAY,DEACT,DEACTDIS,DEACTEOD,DIS,GAT,GTC,GTD,GTT,HID,IBKRATS,ICE,IMB,IOC,LIT,LMT,LOC,MIT,MKT,MOC,MTL,NGCOMB,NODARK,NONALGO,OCA,OPG,OPGREROUT,PEGBENCH,POSTONLY,PREOPGRTH,R</v>
      </c>
      <c r="M321" s="6" t="str">
        <f>[9]!id180?validExchanges</f>
        <v>SMART,NYSE,CBOE,ISE,CHX,ARCA,ISLAND,VWAP,DRCTEDGE,NSX,BEX,BATS,EDGEA,CSFBALGO,JEFFALGO,BYX,IEX,TPLUS2,PSX</v>
      </c>
      <c r="N321" s="6">
        <f>[9]!id180?conid</f>
        <v>10880</v>
      </c>
      <c r="O321" s="6">
        <f>[9]!id180?minTick</f>
        <v>0.01</v>
      </c>
      <c r="P321" s="6">
        <f>[9]!id180?multiplier</f>
        <v>0</v>
      </c>
      <c r="Q321" s="6" t="str">
        <f>[9]!id180?marketName</f>
        <v>OXY</v>
      </c>
      <c r="R321" s="6" t="str">
        <f>[9]!id180?tradingClass</f>
        <v>OXY</v>
      </c>
    </row>
    <row r="322" spans="1:18" hidden="1" x14ac:dyDescent="0.2">
      <c r="A322" s="176" t="s">
        <v>1038</v>
      </c>
      <c r="B322" s="13" t="s">
        <v>12</v>
      </c>
      <c r="C322" s="13" t="b">
        <f t="shared" si="4"/>
        <v>1</v>
      </c>
      <c r="D322" s="13"/>
      <c r="E322" s="63"/>
      <c r="F322" s="13"/>
      <c r="G322" s="13"/>
      <c r="H322" s="13" t="s">
        <v>68</v>
      </c>
      <c r="I322" s="101" t="s">
        <v>44</v>
      </c>
      <c r="J322" s="101"/>
      <c r="K322" s="6">
        <f>[9]!'id181?req?ORCL_STK_SMART_USD_~/'</f>
        <v>0</v>
      </c>
      <c r="L322" s="6" t="str">
        <f>[9]!id181?orderTypes</f>
        <v>ACTIVETIM,ADJUST,ALERT,ALGO,ALLOC,AON,AVGCOST,BASKET,COND,CONDORDER,DARKONLY,DARKPOLL,DAY,DEACT,DEACTDIS,DEACTEOD,DIS,GAT,GTC,GTD,GTT,HID,IBKRATS,ICE,IMB,IOC,LIT,LMT,LOC,MIT,MKT,MOC,MTL,NGCOMB,NODARK,NONALGO,OCA,OPG,OPGREROUT,PEGBENCH,POSTONLY,PREOPGRTH,R</v>
      </c>
      <c r="M322" s="6" t="str">
        <f>[9]!id181?validExchanges</f>
        <v>SMART,NYSE,CBOE,ISE,CHX,ARCA,ISLAND,VWAP,DRCTEDGE,NSX,BEX,BATS,EDGEA,CSFBALGO,JEFFALGO,BYX,IEX,TPLUS2,PSX</v>
      </c>
      <c r="N322" s="6">
        <f>[9]!id181?conid</f>
        <v>272800</v>
      </c>
      <c r="O322" s="6">
        <f>[9]!id181?minTick</f>
        <v>0.01</v>
      </c>
      <c r="P322" s="6">
        <f>[9]!id181?multiplier</f>
        <v>0</v>
      </c>
      <c r="Q322" s="6" t="str">
        <f>[9]!id181?marketName</f>
        <v>ORCL</v>
      </c>
      <c r="R322" s="6" t="str">
        <f>[9]!id181?tradingClass</f>
        <v>ORCL</v>
      </c>
    </row>
    <row r="323" spans="1:18" hidden="1" x14ac:dyDescent="0.2">
      <c r="A323" s="176" t="s">
        <v>1039</v>
      </c>
      <c r="B323" s="13" t="s">
        <v>12</v>
      </c>
      <c r="C323" s="13" t="b">
        <f t="shared" si="4"/>
        <v>1</v>
      </c>
      <c r="D323" s="13"/>
      <c r="E323" s="63"/>
      <c r="F323" s="13"/>
      <c r="G323" s="13"/>
      <c r="H323" s="13" t="s">
        <v>68</v>
      </c>
      <c r="I323" s="101" t="s">
        <v>44</v>
      </c>
      <c r="J323" s="101"/>
      <c r="K323" s="6">
        <f>[9]!'id182?req?OI_STK_SMART_USD_~/'</f>
        <v>0</v>
      </c>
      <c r="L323" s="6" t="str">
        <f>[9]!id182?orderTypes</f>
        <v>ACTIVETIM,ADJUST,ALERT,ALGO,ALLOC,AON,AVGCOST,BASKET,COND,CONDORDER,DARKONLY,DARKPOLL,DAY,DEACT,DEACTDIS,DEACTEOD,DIS,GAT,GTC,GTD,GTT,HID,IBKRATS,ICE,IMB,IOC,LIT,LMT,LOC,MIT,MKT,MOC,MTL,NGCOMB,NODARK,NONALGO,OCA,OPG,OPGREROUT,PEGBENCH,POSTONLY,PREOPGRTH,R</v>
      </c>
      <c r="M323" s="6" t="str">
        <f>[9]!id182?validExchanges</f>
        <v>SMART,NYSE,CBOE,ISE,CHX,ARCA,ISLAND,DRCTEDGE,NSX,BEX,BATS,EDGEA,CSFBALGO,JEFFALGO,BYX,IEX,TPLUS2,PSX</v>
      </c>
      <c r="N323" s="6">
        <f>[9]!id182?conid</f>
        <v>10760</v>
      </c>
      <c r="O323" s="6">
        <f>[9]!id182?minTick</f>
        <v>0.01</v>
      </c>
      <c r="P323" s="6">
        <f>[9]!id182?multiplier</f>
        <v>0</v>
      </c>
      <c r="Q323" s="6" t="str">
        <f>[9]!id182?marketName</f>
        <v>OI</v>
      </c>
      <c r="R323" s="6" t="str">
        <f>[9]!id182?tradingClass</f>
        <v>OI</v>
      </c>
    </row>
    <row r="324" spans="1:18" hidden="1" x14ac:dyDescent="0.2">
      <c r="A324" s="176" t="s">
        <v>1040</v>
      </c>
      <c r="B324" s="13" t="s">
        <v>12</v>
      </c>
      <c r="C324" s="13" t="b">
        <f t="shared" si="4"/>
        <v>0</v>
      </c>
      <c r="D324" s="13"/>
      <c r="E324" s="63"/>
      <c r="F324" s="13"/>
      <c r="G324" s="13"/>
      <c r="H324" s="13" t="s">
        <v>68</v>
      </c>
      <c r="I324" s="101" t="s">
        <v>44</v>
      </c>
      <c r="J324" s="101"/>
      <c r="K324" s="6">
        <f>[9]!'id183?req?PCAR_STK_SMART_USD_~/'</f>
        <v>0</v>
      </c>
      <c r="L324" s="6" t="str">
        <f>[9]!id183?orderTypes</f>
        <v>ACTIVETIM,ADJUST,ALERT,ALGO,ALLOC,AON,AVGCOST,BASKET,COND,CONDORDER,DARKONLY,DARKPOLL,DAY,DEACT,DEACTDIS,DEACTEOD,DIS,GAT,GTC,GTD,GTT,HID,IBKRATS,ICE,IMB,IOC,LIT,LMT,LOC,MIT,MKT,MOC,MTL,NGCOMB,NODARK,NONALGO,OCA,OPG,OPGREROUT,PEGBENCH,POSTONLY,PREOPGRTH,R</v>
      </c>
      <c r="M324" s="6" t="str">
        <f>[9]!id183?validExchanges</f>
        <v>SMART,CBOE,ISE,CHX,ARCA,ISLAND,VWAP,DRCTEDGE,NSX,BEX,BATS,EDGEA,CSFBALGO,JEFFALGO,BYX,IEX,TPLUS2,PSX</v>
      </c>
      <c r="N324" s="6">
        <f>[9]!id183?conid</f>
        <v>272992</v>
      </c>
      <c r="O324" s="6">
        <f>[9]!id183?minTick</f>
        <v>0.01</v>
      </c>
      <c r="P324" s="6">
        <f>[9]!id183?multiplier</f>
        <v>0</v>
      </c>
      <c r="Q324" s="6" t="str">
        <f>[9]!id183?marketName</f>
        <v>NMS</v>
      </c>
      <c r="R324" s="6" t="str">
        <f>[9]!id183?tradingClass</f>
        <v>NMS</v>
      </c>
    </row>
    <row r="325" spans="1:18" hidden="1" x14ac:dyDescent="0.2">
      <c r="A325" s="176" t="s">
        <v>1041</v>
      </c>
      <c r="B325" s="13" t="s">
        <v>12</v>
      </c>
      <c r="C325" s="13" t="b">
        <f t="shared" si="4"/>
        <v>1</v>
      </c>
      <c r="D325" s="13"/>
      <c r="E325" s="63"/>
      <c r="F325" s="13"/>
      <c r="G325" s="13"/>
      <c r="H325" s="13" t="s">
        <v>68</v>
      </c>
      <c r="I325" s="101" t="s">
        <v>44</v>
      </c>
      <c r="J325" s="101"/>
      <c r="K325" s="6">
        <f>[9]!'id184?req?EXC_STK_SMART_USD_~/'</f>
        <v>0</v>
      </c>
      <c r="L325" s="6" t="str">
        <f>[9]!id184?orderTypes</f>
        <v>ACTIVETIM,ADJUST,ALERT,ALGO,ALLOC,AON,AVGCOST,BASKET,COND,CONDORDER,DARKONLY,DARKPOLL,DAY,DEACT,DEACTDIS,DEACTEOD,DIS,GAT,GTC,GTD,GTT,HID,IBKRATS,ICE,IMB,IOC,LIT,LMT,LOC,MIT,MKT,MOC,MTL,NGCOMB,NODARK,NONALGO,OCA,OPG,OPGREROUT,PEGBENCH,POSTONLY,PREOPGRTH,R</v>
      </c>
      <c r="M325" s="6" t="str">
        <f>[9]!id184?validExchanges</f>
        <v>SMART,NYSE,CBOE,ISE,CHX,ARCA,ISLAND,VWAP,DRCTEDGE,NSX,BEX,BATS,EDGEA,CSFBALGO,JEFFALGO,BYX,IEX,TPLUS2,PSX</v>
      </c>
      <c r="N325" s="6">
        <f>[9]!id184?conid</f>
        <v>11000</v>
      </c>
      <c r="O325" s="6">
        <f>[9]!id184?minTick</f>
        <v>0.01</v>
      </c>
      <c r="P325" s="6">
        <f>[9]!id184?multiplier</f>
        <v>0</v>
      </c>
      <c r="Q325" s="6" t="str">
        <f>[9]!id184?marketName</f>
        <v>EXC</v>
      </c>
      <c r="R325" s="6" t="str">
        <f>[9]!id184?tradingClass</f>
        <v>EXC</v>
      </c>
    </row>
    <row r="326" spans="1:18" hidden="1" x14ac:dyDescent="0.2">
      <c r="A326" s="176" t="s">
        <v>1042</v>
      </c>
      <c r="B326" s="13" t="s">
        <v>12</v>
      </c>
      <c r="C326" s="13" t="b">
        <f t="shared" si="4"/>
        <v>1</v>
      </c>
      <c r="D326" s="13"/>
      <c r="E326" s="63"/>
      <c r="F326" s="13"/>
      <c r="G326" s="13"/>
      <c r="H326" s="13" t="s">
        <v>68</v>
      </c>
      <c r="I326" s="101" t="s">
        <v>44</v>
      </c>
      <c r="J326" s="101"/>
      <c r="K326" s="6">
        <f>[9]!'id185?req?PH_STK_SMART_USD_~/'</f>
        <v>0</v>
      </c>
      <c r="L326" s="6" t="str">
        <f>[9]!id185?orderTypes</f>
        <v>ACTIVETIM,ADJUST,ALERT,ALGO,ALLOC,AON,AVGCOST,BASKET,COND,CONDORDER,DARKONLY,DARKPOLL,DAY,DEACT,DEACTDIS,DEACTEOD,DIS,GAT,GTC,GTD,GTT,HID,IBKRATS,ICE,IMB,IOC,LIT,LMT,LOC,MIT,MKT,MOC,MTL,NGCOMB,NODARK,NONALGO,OCA,OPG,OPGREROUT,PEGBENCH,POSTONLY,PREOPGRTH,R</v>
      </c>
      <c r="M326" s="6" t="str">
        <f>[9]!id185?validExchanges</f>
        <v>SMART,NYSE,CBOE,ISE,CHX,ARCA,ISLAND,VWAP,DRCTEDGE,NSX,BEX,BATS,EDGEA,CSFBALGO,JEFFALGO,BYX,IEX,TPLUS2,PSX</v>
      </c>
      <c r="N326" s="6">
        <f>[9]!id185?conid</f>
        <v>11094</v>
      </c>
      <c r="O326" s="6">
        <f>[9]!id185?minTick</f>
        <v>0.01</v>
      </c>
      <c r="P326" s="6">
        <f>[9]!id185?multiplier</f>
        <v>0</v>
      </c>
      <c r="Q326" s="6" t="str">
        <f>[9]!id185?marketName</f>
        <v>PH</v>
      </c>
      <c r="R326" s="6" t="str">
        <f>[9]!id185?tradingClass</f>
        <v>PH</v>
      </c>
    </row>
    <row r="327" spans="1:18" hidden="1" x14ac:dyDescent="0.2">
      <c r="A327" s="176" t="s">
        <v>1043</v>
      </c>
      <c r="B327" s="13" t="s">
        <v>12</v>
      </c>
      <c r="C327" s="13" t="b">
        <f t="shared" si="4"/>
        <v>0</v>
      </c>
      <c r="D327" s="13"/>
      <c r="E327" s="63"/>
      <c r="F327" s="13"/>
      <c r="G327" s="13"/>
      <c r="H327" s="13" t="s">
        <v>68</v>
      </c>
      <c r="I327" s="101" t="s">
        <v>44</v>
      </c>
      <c r="J327" s="101"/>
      <c r="K327" s="6">
        <f>[9]!'id186?req?PDCO_STK_SMART_USD_~/'</f>
        <v>0</v>
      </c>
      <c r="L327" s="6" t="str">
        <f>[9]!id186?orderTypes</f>
        <v>ACTIVETIM,ADJUST,ALERT,ALGO,ALLOC,AON,AVGCOST,BASKET,COND,CONDORDER,DARKONLY,DARKPOLL,DAY,DEACT,DEACTDIS,DEACTEOD,DIS,GAT,GTC,GTD,GTT,HID,IBKRATS,ICE,IMB,IOC,LIT,LMT,LOC,MIT,MKT,MOC,MTL,NGCOMB,NODARK,NONALGO,OCA,OPG,OPGREROUT,PEGBENCH,POSTONLY,PREOPGRTH,R</v>
      </c>
      <c r="M327" s="6" t="str">
        <f>[9]!id186?validExchanges</f>
        <v>SMART,CBOE,ISE,CHX,ARCA,ISLAND,VWAP,DRCTEDGE,NSX,BEX,BATS,EDGEA,CSFBALGO,JEFFALGO,BYX,IEX,TPLUS2,PSX</v>
      </c>
      <c r="N327" s="6">
        <f>[9]!id186?conid</f>
        <v>273035</v>
      </c>
      <c r="O327" s="6">
        <f>[9]!id186?minTick</f>
        <v>0.01</v>
      </c>
      <c r="P327" s="6">
        <f>[9]!id186?multiplier</f>
        <v>0</v>
      </c>
      <c r="Q327" s="6" t="str">
        <f>[9]!id186?marketName</f>
        <v>NMS</v>
      </c>
      <c r="R327" s="6" t="str">
        <f>[9]!id186?tradingClass</f>
        <v>NMS</v>
      </c>
    </row>
    <row r="328" spans="1:18" hidden="1" x14ac:dyDescent="0.2">
      <c r="A328" s="176" t="s">
        <v>1044</v>
      </c>
      <c r="B328" s="13" t="s">
        <v>12</v>
      </c>
      <c r="C328" s="13" t="b">
        <f t="shared" si="4"/>
        <v>0</v>
      </c>
      <c r="D328" s="13"/>
      <c r="E328" s="63"/>
      <c r="F328" s="13"/>
      <c r="G328" s="13"/>
      <c r="H328" s="13" t="s">
        <v>68</v>
      </c>
      <c r="I328" s="101" t="s">
        <v>44</v>
      </c>
      <c r="J328" s="101"/>
      <c r="K328" s="6">
        <f>[9]!'id187?req?PAYX_STK_SMART_USD_~/'</f>
        <v>0</v>
      </c>
      <c r="L328" s="6" t="str">
        <f>[9]!id187?orderTypes</f>
        <v>ACTIVETIM,ADJUST,ALERT,ALGO,ALLOC,AON,AVGCOST,BASKET,COND,CONDORDER,DARKONLY,DARKPOLL,DAY,DEACT,DEACTDIS,DEACTEOD,DIS,GAT,GTC,GTD,GTT,HID,IBKRATS,ICE,IMB,IOC,LIT,LMT,LOC,MIT,MKT,MOC,MTL,NGCOMB,NODARK,NONALGO,OCA,OPG,OPGREROUT,PEGBENCH,POSTONLY,PREOPGRTH,R</v>
      </c>
      <c r="M328" s="6" t="str">
        <f>[9]!id187?validExchanges</f>
        <v>SMART,CBOE,ISE,CHX,ARCA,ISLAND,VWAP,DRCTEDGE,NSX,BEX,BATS,EDGEA,CSFBALGO,JEFFALGO,BYX,IEX,TPLUS2,PSX</v>
      </c>
      <c r="N328" s="6">
        <f>[9]!id187?conid</f>
        <v>272942</v>
      </c>
      <c r="O328" s="6">
        <f>[9]!id187?minTick</f>
        <v>0.01</v>
      </c>
      <c r="P328" s="6">
        <f>[9]!id187?multiplier</f>
        <v>0</v>
      </c>
      <c r="Q328" s="6" t="str">
        <f>[9]!id187?marketName</f>
        <v>NMS</v>
      </c>
      <c r="R328" s="6" t="str">
        <f>[9]!id187?tradingClass</f>
        <v>NMS</v>
      </c>
    </row>
    <row r="329" spans="1:18" hidden="1" x14ac:dyDescent="0.2">
      <c r="A329" s="176" t="s">
        <v>1045</v>
      </c>
      <c r="B329" s="13" t="s">
        <v>12</v>
      </c>
      <c r="C329" s="13" t="b">
        <f t="shared" si="4"/>
        <v>1</v>
      </c>
      <c r="D329" s="13"/>
      <c r="E329" s="63"/>
      <c r="F329" s="13"/>
      <c r="G329" s="13"/>
      <c r="H329" s="13" t="s">
        <v>68</v>
      </c>
      <c r="I329" s="101" t="s">
        <v>44</v>
      </c>
      <c r="J329" s="101"/>
      <c r="K329" s="6">
        <f>[9]!'id188?req?PPL_STK_SMART_USD_~/'</f>
        <v>0</v>
      </c>
      <c r="L329" s="6" t="str">
        <f>[9]!id188?orderTypes</f>
        <v>ACTIVETIM,ADJUST,ALERT,ALGO,ALLOC,AON,AVGCOST,BASKET,COND,CONDORDER,DARKONLY,DARKPOLL,DAY,DEACT,DEACTDIS,DEACTEOD,DIS,GAT,GTC,GTD,GTT,HID,IBKRATS,ICE,IMB,IOC,LIT,LMT,LOC,MIT,MKT,MOC,MTL,NGCOMB,NODARK,NONALGO,OCA,OPG,OPGREROUT,PEGBENCH,POSTONLY,PREOPGRTH,R</v>
      </c>
      <c r="M329" s="6" t="str">
        <f>[9]!id188?validExchanges</f>
        <v>SMART,NYSE,CBOE,ISE,CHX,ARCA,ISLAND,VWAP,DRCTEDGE,NSX,BEX,BATS,EDGEA,CSFBALGO,JEFFALGO,BYX,IEX,TPLUS2,PSX</v>
      </c>
      <c r="N329" s="6">
        <f>[9]!id188?conid</f>
        <v>661547</v>
      </c>
      <c r="O329" s="6">
        <f>[9]!id188?minTick</f>
        <v>0.01</v>
      </c>
      <c r="P329" s="6">
        <f>[9]!id188?multiplier</f>
        <v>0</v>
      </c>
      <c r="Q329" s="6" t="str">
        <f>[9]!id188?marketName</f>
        <v>PPL</v>
      </c>
      <c r="R329" s="6" t="str">
        <f>[9]!id188?tradingClass</f>
        <v>PPL</v>
      </c>
    </row>
    <row r="330" spans="1:18" hidden="1" x14ac:dyDescent="0.2">
      <c r="A330" s="176" t="s">
        <v>1046</v>
      </c>
      <c r="B330" s="13" t="s">
        <v>12</v>
      </c>
      <c r="C330" s="13" t="b">
        <f t="shared" si="4"/>
        <v>1</v>
      </c>
      <c r="D330" s="13"/>
      <c r="E330" s="63"/>
      <c r="F330" s="13"/>
      <c r="G330" s="13"/>
      <c r="H330" s="13" t="s">
        <v>68</v>
      </c>
      <c r="I330" s="101" t="s">
        <v>44</v>
      </c>
      <c r="J330" s="101"/>
      <c r="K330" s="6">
        <f>[9]!'id189?req?PEP_STK_SMART_USD_~/'</f>
        <v>0</v>
      </c>
      <c r="L330" s="6" t="str">
        <f>[9]!id189?orderTypes</f>
        <v>ACTIVETIM,ADJUST,ALERT,ALGO,ALLOC,AON,AVGCOST,BASKET,COND,CONDORDER,DARKONLY,DARKPOLL,DAY,DEACT,DEACTDIS,DEACTEOD,DIS,GAT,GTC,GTD,GTT,HID,IBKRATS,ICE,IMB,IOC,LIT,LMT,LOC,MIT,MKT,MOC,MTL,NGCOMB,NODARK,NONALGO,OCA,OPG,OPGREROUT,PEGBENCH,POSTONLY,PREOPGRTH,R</v>
      </c>
      <c r="M330" s="6" t="str">
        <f>[9]!id189?validExchanges</f>
        <v>SMART,NYSE,CBOE,ISE,CHX,ARCA,ISLAND,VWAP,DRCTEDGE,NSX,BEX,BATS,EDGEA,CSFBALGO,JEFFALGO,BYX,IEX,TPLUS2,PSX</v>
      </c>
      <c r="N330" s="6">
        <f>[9]!id189?conid</f>
        <v>11017</v>
      </c>
      <c r="O330" s="6">
        <f>[9]!id189?minTick</f>
        <v>0.01</v>
      </c>
      <c r="P330" s="6">
        <f>[9]!id189?multiplier</f>
        <v>0</v>
      </c>
      <c r="Q330" s="6" t="str">
        <f>[9]!id189?marketName</f>
        <v>PEP</v>
      </c>
      <c r="R330" s="6" t="str">
        <f>[9]!id189?tradingClass</f>
        <v>PEP</v>
      </c>
    </row>
    <row r="331" spans="1:18" hidden="1" x14ac:dyDescent="0.2">
      <c r="A331" s="176" t="s">
        <v>1047</v>
      </c>
      <c r="B331" s="13" t="s">
        <v>12</v>
      </c>
      <c r="C331" s="13" t="b">
        <f t="shared" si="4"/>
        <v>1</v>
      </c>
      <c r="D331" s="13"/>
      <c r="E331" s="63"/>
      <c r="F331" s="13"/>
      <c r="G331" s="13"/>
      <c r="H331" s="13" t="s">
        <v>68</v>
      </c>
      <c r="I331" s="101" t="s">
        <v>44</v>
      </c>
      <c r="J331" s="101"/>
      <c r="K331" s="6">
        <f>[9]!'id190?req?PFE_STK_SMART_USD_~/'</f>
        <v>0</v>
      </c>
      <c r="L331" s="6" t="str">
        <f>[9]!id190?orderTypes</f>
        <v>ACTIVETIM,ADJUST,ALERT,ALGO,ALLOC,AON,AVGCOST,BASKET,COND,CONDORDER,DARKONLY,DARKPOLL,DAY,DEACT,DEACTDIS,DEACTEOD,DIS,GAT,GTC,GTD,GTT,HID,IBKRATS,ICE,IMB,IOC,LIT,LMT,LOC,MIT,MKT,MOC,MTL,NGCOMB,NODARK,NONALGO,OCA,OPG,OPGREROUT,PEGBENCH,POSTONLY,PREOPGRTH,R</v>
      </c>
      <c r="M331" s="6" t="str">
        <f>[9]!id190?validExchanges</f>
        <v>SMART,NYSE,CBOE,ISE,CHX,ARCA,ISLAND,DRCTEDGE,NSX,BEX,BATS,EDGEA,CSFBALGO,JEFFALGO,BYX,IEX,TPLUS2,PSX</v>
      </c>
      <c r="N331" s="6">
        <f>[9]!id190?conid</f>
        <v>11031</v>
      </c>
      <c r="O331" s="6">
        <f>[9]!id190?minTick</f>
        <v>0.01</v>
      </c>
      <c r="P331" s="6">
        <f>[9]!id190?multiplier</f>
        <v>0</v>
      </c>
      <c r="Q331" s="6" t="str">
        <f>[9]!id190?marketName</f>
        <v>PFE</v>
      </c>
      <c r="R331" s="6" t="str">
        <f>[9]!id190?tradingClass</f>
        <v>PFE</v>
      </c>
    </row>
    <row r="332" spans="1:18" hidden="1" x14ac:dyDescent="0.2">
      <c r="A332" s="176" t="s">
        <v>1048</v>
      </c>
      <c r="B332" s="13" t="s">
        <v>12</v>
      </c>
      <c r="C332" s="13" t="b">
        <f t="shared" si="4"/>
        <v>1</v>
      </c>
      <c r="D332" s="13"/>
      <c r="E332" s="63"/>
      <c r="F332" s="13"/>
      <c r="G332" s="13"/>
      <c r="H332" s="13" t="s">
        <v>68</v>
      </c>
      <c r="I332" s="101" t="s">
        <v>44</v>
      </c>
      <c r="J332" s="101"/>
      <c r="K332" s="6">
        <f>[9]!'id191?req?COP_STK_SMART_USD_~/'</f>
        <v>0</v>
      </c>
      <c r="L332" s="6" t="str">
        <f>[9]!id191?orderTypes</f>
        <v>ACTIVETIM,ADJUST,ALERT,ALGO,ALLOC,AON,AVGCOST,BASKET,COND,CONDORDER,DARKONLY,DARKPOLL,DAY,DEACT,DEACTDIS,DEACTEOD,DIS,GAT,GTC,GTD,GTT,HID,IBKRATS,ICE,IMB,IOC,LIT,LMT,LOC,MIT,MKT,MOC,MTL,NGCOMB,NODARK,NONALGO,OCA,OPG,OPGREROUT,PEGBENCH,POSTONLY,PREOPGRTH,R</v>
      </c>
      <c r="M332" s="6" t="str">
        <f>[9]!id191?validExchanges</f>
        <v>SMART,NYSE,CBOE,ISE,CHX,ARCA,ISLAND,VWAP,DRCTEDGE,NSX,BEX,BATS,EDGEA,CSFBALGO,JEFFALGO,BYX,IEX,TPLUS2,PSX</v>
      </c>
      <c r="N332" s="6">
        <f>[9]!id191?conid</f>
        <v>10885</v>
      </c>
      <c r="O332" s="6">
        <f>[9]!id191?minTick</f>
        <v>0.01</v>
      </c>
      <c r="P332" s="6">
        <f>[9]!id191?multiplier</f>
        <v>0</v>
      </c>
      <c r="Q332" s="6" t="str">
        <f>[9]!id191?marketName</f>
        <v>COP</v>
      </c>
      <c r="R332" s="6" t="str">
        <f>[9]!id191?tradingClass</f>
        <v>COP</v>
      </c>
    </row>
    <row r="333" spans="1:18" hidden="1" x14ac:dyDescent="0.2">
      <c r="A333" s="176" t="s">
        <v>1049</v>
      </c>
      <c r="B333" s="13" t="s">
        <v>12</v>
      </c>
      <c r="C333" s="13" t="b">
        <f t="shared" si="4"/>
        <v>1</v>
      </c>
      <c r="D333" s="13"/>
      <c r="E333" s="63"/>
      <c r="F333" s="13"/>
      <c r="G333" s="13"/>
      <c r="H333" s="13" t="s">
        <v>68</v>
      </c>
      <c r="I333" s="101" t="s">
        <v>44</v>
      </c>
      <c r="J333" s="101"/>
      <c r="K333" s="6">
        <f>[9]!'id192?req?PCG_STK_SMART_USD_~/'</f>
        <v>0</v>
      </c>
      <c r="L333" s="6" t="str">
        <f>[9]!id192?orderTypes</f>
        <v>ACTIVETIM,ADJUST,ALERT,ALGO,ALLOC,AON,AVGCOST,BASKET,COND,CONDORDER,DARKONLY,DARKPOLL,DAY,DEACT,DEACTDIS,DEACTEOD,DIS,GAT,GTC,GTD,GTT,HID,IBKRATS,ICE,IMB,IOC,LIT,LMT,LOC,MIT,MKT,MOC,MTL,NGCOMB,NODARK,NONALGO,OCA,OPG,OPGREROUT,PEGBENCH,POSTONLY,PREOPGRTH,R</v>
      </c>
      <c r="M333" s="6" t="str">
        <f>[9]!id192?validExchanges</f>
        <v>SMART,NYSE,CBOE,ISE,CHX,ARCA,ISLAND,VWAP,DRCTEDGE,NSX,BEX,BATS,EDGEA,CSFBALGO,JEFFALGO,BYX,IEX,TPLUS2,PSX</v>
      </c>
      <c r="N333" s="6">
        <f>[9]!id192?conid</f>
        <v>2586035</v>
      </c>
      <c r="O333" s="6">
        <f>[9]!id192?minTick</f>
        <v>0.01</v>
      </c>
      <c r="P333" s="6">
        <f>[9]!id192?multiplier</f>
        <v>0</v>
      </c>
      <c r="Q333" s="6" t="str">
        <f>[9]!id192?marketName</f>
        <v>PCG</v>
      </c>
      <c r="R333" s="6" t="str">
        <f>[9]!id192?tradingClass</f>
        <v>PCG</v>
      </c>
    </row>
    <row r="334" spans="1:18" hidden="1" x14ac:dyDescent="0.2">
      <c r="A334" s="176" t="s">
        <v>1050</v>
      </c>
      <c r="B334" s="13" t="s">
        <v>12</v>
      </c>
      <c r="C334" s="13" t="b">
        <f t="shared" si="4"/>
        <v>1</v>
      </c>
      <c r="D334" s="13"/>
      <c r="E334" s="63"/>
      <c r="F334" s="13"/>
      <c r="G334" s="13"/>
      <c r="H334" s="13" t="s">
        <v>68</v>
      </c>
      <c r="I334" s="101" t="s">
        <v>44</v>
      </c>
      <c r="J334" s="101"/>
      <c r="K334" s="6">
        <f>[9]!'id193?req?PBI_STK_SMART_USD_~/'</f>
        <v>0</v>
      </c>
      <c r="L334" s="6" t="str">
        <f>[9]!id193?orderTypes</f>
        <v>ACTIVETIM,ADJUST,ALERT,ALGO,ALLOC,AON,AVGCOST,BASKET,COND,CONDORDER,DARKONLY,DARKPOLL,DAY,DEACT,DEACTDIS,DEACTEOD,DIS,GAT,GTC,GTD,GTT,HID,IBKRATS,ICE,IMB,IOC,LIT,LMT,LOC,MIT,MKT,MOC,MTL,NGCOMB,NODARK,NONALGO,OCA,OPG,OPGREROUT,PEGBENCH,POSTONLY,PREOPGRTH,R</v>
      </c>
      <c r="M334" s="6" t="str">
        <f>[9]!id193?validExchanges</f>
        <v>SMART,NYSE,CBOE,ISE,CHX,ARCA,ISLAND,VWAP,DRCTEDGE,NSX,BEX,BATS,EDGEA,CSFBALGO,JEFFALGO,BYX,IEX,TPLUS2,PSX</v>
      </c>
      <c r="N334" s="6">
        <f>[9]!id193?conid</f>
        <v>10920</v>
      </c>
      <c r="O334" s="6">
        <f>[9]!id193?minTick</f>
        <v>0.01</v>
      </c>
      <c r="P334" s="6">
        <f>[9]!id193?multiplier</f>
        <v>0</v>
      </c>
      <c r="Q334" s="6" t="str">
        <f>[9]!id193?marketName</f>
        <v>PBI</v>
      </c>
      <c r="R334" s="6" t="str">
        <f>[9]!id193?tradingClass</f>
        <v>PBI</v>
      </c>
    </row>
    <row r="335" spans="1:18" hidden="1" x14ac:dyDescent="0.2">
      <c r="A335" s="176" t="s">
        <v>1051</v>
      </c>
      <c r="B335" s="13" t="s">
        <v>12</v>
      </c>
      <c r="C335" s="13" t="b">
        <f t="shared" si="4"/>
        <v>1</v>
      </c>
      <c r="D335" s="13"/>
      <c r="E335" s="63"/>
      <c r="F335" s="13"/>
      <c r="G335" s="13"/>
      <c r="H335" s="13" t="s">
        <v>68</v>
      </c>
      <c r="I335" s="101" t="s">
        <v>44</v>
      </c>
      <c r="J335" s="101"/>
      <c r="K335" s="6">
        <f>[9]!'id194?req?PXD_STK_SMART_USD_~/'</f>
        <v>0</v>
      </c>
      <c r="L335" s="6" t="str">
        <f>[9]!id194?orderTypes</f>
        <v>ACTIVETIM,ADJUST,ALERT,ALGO,ALLOC,AON,AVGCOST,BASKET,COND,CONDORDER,DARKONLY,DARKPOLL,DAY,DEACT,DEACTDIS,DEACTEOD,DIS,GAT,GTC,GTD,GTT,HID,IBKRATS,ICE,IMB,IOC,LIT,LMT,LOC,MIT,MKT,MOC,MTL,NGCOMB,NODARK,NONALGO,OCA,OPG,OPGREROUT,PEGBENCH,POSTONLY,PREOPGRTH,R</v>
      </c>
      <c r="M335" s="6" t="str">
        <f>[9]!id194?validExchanges</f>
        <v>SMART,NYSE,CBOE,ISE,CHX,ARCA,ISLAND,DRCTEDGE,NSX,BEX,BATS,EDGEA,CSFBALGO,JEFFALGO,BYX,IEX,TPLUS2,PSX</v>
      </c>
      <c r="N335" s="6">
        <f>[9]!id194?conid</f>
        <v>3142097</v>
      </c>
      <c r="O335" s="6">
        <f>[9]!id194?minTick</f>
        <v>0.01</v>
      </c>
      <c r="P335" s="6">
        <f>[9]!id194?multiplier</f>
        <v>0</v>
      </c>
      <c r="Q335" s="6" t="str">
        <f>[9]!id194?marketName</f>
        <v>PXD</v>
      </c>
      <c r="R335" s="6" t="str">
        <f>[9]!id194?tradingClass</f>
        <v>PXD</v>
      </c>
    </row>
    <row r="336" spans="1:18" hidden="1" x14ac:dyDescent="0.2">
      <c r="A336" s="176" t="s">
        <v>1052</v>
      </c>
      <c r="B336" s="13" t="s">
        <v>12</v>
      </c>
      <c r="C336" s="13" t="b">
        <f t="shared" si="4"/>
        <v>1</v>
      </c>
      <c r="D336" s="13"/>
      <c r="E336" s="63"/>
      <c r="F336" s="13"/>
      <c r="G336" s="13"/>
      <c r="H336" s="13" t="s">
        <v>68</v>
      </c>
      <c r="I336" s="101" t="s">
        <v>44</v>
      </c>
      <c r="J336" s="101"/>
      <c r="K336" s="6">
        <f>[9]!'id195?req?MO_STK_SMART_USD_~/'</f>
        <v>0</v>
      </c>
      <c r="L336" s="6" t="str">
        <f>[9]!id195?orderTypes</f>
        <v>ACTIVETIM,ADJUST,ALERT,ALGO,ALLOC,AON,AVGCOST,BASKET,COND,CONDORDER,DARKONLY,DARKPOLL,DAY,DEACT,DEACTDIS,DEACTEOD,DIS,GAT,GTC,GTD,GTT,HID,IBKRATS,ICE,IMB,IOC,LIT,LMT,LOC,MIT,MKT,MOC,MTL,NGCOMB,NODARK,NONALGO,OCA,OPG,OPGREROUT,PEGBENCH,POSTONLY,PREOPGRTH,R</v>
      </c>
      <c r="M336" s="6" t="str">
        <f>[9]!id195?validExchanges</f>
        <v>SMART,NYSE,CBOE,ISE,CHX,ARCA,ISLAND,VWAP,DRCTEDGE,NSX,BEX,BATS,EDGEA,CSFBALGO,JEFFALGO,BYX,IEX,TPLUS2,PSX</v>
      </c>
      <c r="N336" s="6">
        <f>[9]!id195?conid</f>
        <v>9769</v>
      </c>
      <c r="O336" s="6">
        <f>[9]!id195?minTick</f>
        <v>0.01</v>
      </c>
      <c r="P336" s="6">
        <f>[9]!id195?multiplier</f>
        <v>0</v>
      </c>
      <c r="Q336" s="6" t="str">
        <f>[9]!id195?marketName</f>
        <v>MO</v>
      </c>
      <c r="R336" s="6" t="str">
        <f>[9]!id195?tradingClass</f>
        <v>MO</v>
      </c>
    </row>
    <row r="337" spans="1:18" hidden="1" x14ac:dyDescent="0.2">
      <c r="A337" s="176" t="s">
        <v>1053</v>
      </c>
      <c r="B337" s="13" t="s">
        <v>12</v>
      </c>
      <c r="C337" s="13" t="b">
        <f t="shared" si="4"/>
        <v>1</v>
      </c>
      <c r="D337" s="13"/>
      <c r="E337" s="63"/>
      <c r="F337" s="13"/>
      <c r="G337" s="13"/>
      <c r="H337" s="13" t="s">
        <v>68</v>
      </c>
      <c r="I337" s="101" t="s">
        <v>44</v>
      </c>
      <c r="J337" s="101"/>
      <c r="K337" s="6">
        <f>[9]!'id196?req?PNC_STK_SMART_USD_~/'</f>
        <v>0</v>
      </c>
      <c r="L337" s="6" t="str">
        <f>[9]!id196?orderTypes</f>
        <v>ACTIVETIM,ADJUST,ALERT,ALGO,ALLOC,AON,AVGCOST,BASKET,COND,CONDORDER,DARKONLY,DARKPOLL,DAY,DEACT,DEACTDIS,DEACTEOD,DIS,GAT,GTC,GTD,GTT,HID,IBKRATS,ICE,IMB,IOC,LIT,LMT,LOC,MIT,MKT,MOC,MTL,NGCOMB,NODARK,NONALGO,OCA,OPG,OPGREROUT,PEGBENCH,POSTONLY,PREOPGRTH,R</v>
      </c>
      <c r="M337" s="6" t="str">
        <f>[9]!id196?validExchanges</f>
        <v>SMART,NYSE,CBOE,ISE,CHX,ARCA,ISLAND,VWAP,DRCTEDGE,NSX,BEX,BATS,EDGEA,CSFBALGO,JEFFALGO,BYX,IEX,TPLUS2,PSX</v>
      </c>
      <c r="N337" s="6">
        <f>[9]!id196?conid</f>
        <v>11240</v>
      </c>
      <c r="O337" s="6">
        <f>[9]!id196?minTick</f>
        <v>0.01</v>
      </c>
      <c r="P337" s="6">
        <f>[9]!id196?multiplier</f>
        <v>0</v>
      </c>
      <c r="Q337" s="6" t="str">
        <f>[9]!id196?marketName</f>
        <v>PNC</v>
      </c>
      <c r="R337" s="6" t="str">
        <f>[9]!id196?tradingClass</f>
        <v>PNC</v>
      </c>
    </row>
    <row r="338" spans="1:18" hidden="1" x14ac:dyDescent="0.2">
      <c r="A338" s="176" t="s">
        <v>1054</v>
      </c>
      <c r="B338" s="13" t="s">
        <v>12</v>
      </c>
      <c r="C338" s="13" t="b">
        <f t="shared" si="4"/>
        <v>1</v>
      </c>
      <c r="D338" s="13"/>
      <c r="E338" s="63"/>
      <c r="F338" s="13"/>
      <c r="G338" s="13"/>
      <c r="H338" s="13" t="s">
        <v>68</v>
      </c>
      <c r="I338" s="101" t="s">
        <v>44</v>
      </c>
      <c r="J338" s="101"/>
      <c r="K338" s="6">
        <f>[9]!'id197?req?AET_STK_SMART_USD_~/'</f>
        <v>0</v>
      </c>
      <c r="L338" s="6" t="str">
        <f>[9]!id197?orderTypes</f>
        <v>ACTIVETIM,ADJUST,ALERT,ALGO,ALLOC,AON,AVGCOST,BASKET,COND,CONDORDER,DARKONLY,DARKPOLL,DAY,DEACT,DEACTDIS,DEACTEOD,DIS,GAT,GTC,GTD,GTT,HID,IBKRATS,ICE,IMB,IOC,LIT,LMT,LOC,MIT,MKT,MOC,MTL,NGCOMB,NODARK,NONALGO,OCA,OPG,OPGREROUT,PEGBENCH,POSTONLY,PREOPGRTH,R</v>
      </c>
      <c r="M338" s="6" t="str">
        <f>[9]!id197?validExchanges</f>
        <v>SMART,NYSE,CBOE,ISE,CHX,ARCA,ISLAND,VWAP,DRCTEDGE,NSX,BEX,BATS,EDGEA,CSFBALGO,JEFFALGO,BYX,IEX,TPLUS2,PSX</v>
      </c>
      <c r="N338" s="6">
        <f>[9]!id197?conid</f>
        <v>11070844</v>
      </c>
      <c r="O338" s="6">
        <f>[9]!id197?minTick</f>
        <v>0.01</v>
      </c>
      <c r="P338" s="6">
        <f>[9]!id197?multiplier</f>
        <v>0</v>
      </c>
      <c r="Q338" s="6" t="str">
        <f>[9]!id197?marketName</f>
        <v>AET</v>
      </c>
      <c r="R338" s="6" t="str">
        <f>[9]!id197?tradingClass</f>
        <v>AET</v>
      </c>
    </row>
    <row r="339" spans="1:18" hidden="1" x14ac:dyDescent="0.2">
      <c r="A339" s="176" t="s">
        <v>1055</v>
      </c>
      <c r="B339" s="13" t="s">
        <v>12</v>
      </c>
      <c r="C339" s="13" t="b">
        <f t="shared" si="4"/>
        <v>1</v>
      </c>
      <c r="D339" s="13"/>
      <c r="E339" s="63"/>
      <c r="F339" s="13"/>
      <c r="G339" s="13"/>
      <c r="H339" s="13" t="s">
        <v>68</v>
      </c>
      <c r="I339" s="101" t="s">
        <v>44</v>
      </c>
      <c r="J339" s="101"/>
      <c r="K339" s="6">
        <f>[9]!'id198?req?FLR_STK_SMART_USD_~/'</f>
        <v>0</v>
      </c>
      <c r="L339" s="6" t="str">
        <f>[9]!id198?orderTypes</f>
        <v>ACTIVETIM,ADJUST,ALERT,ALGO,ALLOC,AON,AVGCOST,BASKET,COND,CONDORDER,DARKONLY,DARKPOLL,DAY,DEACT,DEACTDIS,DEACTEOD,DIS,GAT,GTC,GTD,GTT,HID,IBKRATS,ICE,IMB,IOC,LIT,LMT,LOC,MIT,MKT,MOC,MTL,NGCOMB,NODARK,NONALGO,OCA,OPG,OPGREROUT,PEGBENCH,POSTONLY,PREOPGRTH,R</v>
      </c>
      <c r="M339" s="6" t="str">
        <f>[9]!id198?validExchanges</f>
        <v>SMART,NYSE,CBOE,ISE,CHX,ARCA,ISLAND,VWAP,DRCTEDGE,NSX,BEX,BATS,EDGEA,CSFBALGO,JEFFALGO,BYX,IEX,TPLUS2,PSX</v>
      </c>
      <c r="N339" s="6">
        <f>[9]!id198?conid</f>
        <v>11218575</v>
      </c>
      <c r="O339" s="6">
        <f>[9]!id198?minTick</f>
        <v>0.01</v>
      </c>
      <c r="P339" s="6">
        <f>[9]!id198?multiplier</f>
        <v>0</v>
      </c>
      <c r="Q339" s="6" t="str">
        <f>[9]!id198?marketName</f>
        <v>FLR</v>
      </c>
      <c r="R339" s="6" t="str">
        <f>[9]!id198?tradingClass</f>
        <v>FLR</v>
      </c>
    </row>
    <row r="340" spans="1:18" hidden="1" x14ac:dyDescent="0.2">
      <c r="A340" s="176" t="s">
        <v>1056</v>
      </c>
      <c r="B340" s="13" t="s">
        <v>12</v>
      </c>
      <c r="C340" s="13" t="b">
        <f t="shared" si="4"/>
        <v>1</v>
      </c>
      <c r="D340" s="13"/>
      <c r="E340" s="63"/>
      <c r="F340" s="13"/>
      <c r="G340" s="13"/>
      <c r="H340" s="13" t="s">
        <v>68</v>
      </c>
      <c r="I340" s="101" t="s">
        <v>44</v>
      </c>
      <c r="J340" s="101"/>
      <c r="K340" s="6">
        <f>[9]!'id199?req?PPG_STK_SMART_USD_~/'</f>
        <v>0</v>
      </c>
      <c r="L340" s="6" t="str">
        <f>[9]!id199?orderTypes</f>
        <v>ACTIVETIM,ADJUST,ALERT,ALGO,ALLOC,AON,AVGCOST,BASKET,COND,CONDORDER,DARKONLY,DARKPOLL,DAY,DEACT,DEACTDIS,DEACTEOD,DIS,GAT,GTC,GTD,GTT,HID,IBKRATS,ICE,IMB,IOC,LIT,LMT,LOC,MIT,MKT,MOC,MTL,NGCOMB,NODARK,NONALGO,OCA,OPG,OPGREROUT,PEGBENCH,POSTONLY,PREOPGRTH,R</v>
      </c>
      <c r="M340" s="6" t="str">
        <f>[9]!id199?validExchanges</f>
        <v>SMART,NYSE,CBOE,ISE,CHX,ARCA,ISLAND,VWAP,DRCTEDGE,NSX,BEX,BATS,EDGEA,CSFBALGO,JEFFALGO,BYX,IEX,TPLUS2,PSX</v>
      </c>
      <c r="N340" s="6">
        <f>[9]!id199?conid</f>
        <v>11295</v>
      </c>
      <c r="O340" s="6">
        <f>[9]!id199?minTick</f>
        <v>0.01</v>
      </c>
      <c r="P340" s="6">
        <f>[9]!id199?multiplier</f>
        <v>0</v>
      </c>
      <c r="Q340" s="6" t="str">
        <f>[9]!id199?marketName</f>
        <v>PPG</v>
      </c>
      <c r="R340" s="6" t="str">
        <f>[9]!id199?tradingClass</f>
        <v>PPG</v>
      </c>
    </row>
    <row r="341" spans="1:18" hidden="1" x14ac:dyDescent="0.2">
      <c r="A341" s="176" t="s">
        <v>1057</v>
      </c>
      <c r="B341" s="13" t="s">
        <v>12</v>
      </c>
      <c r="C341" s="13" t="b">
        <f t="shared" si="4"/>
        <v>1</v>
      </c>
      <c r="D341" s="13"/>
      <c r="E341" s="63"/>
      <c r="F341" s="13"/>
      <c r="G341" s="13"/>
      <c r="H341" s="13" t="s">
        <v>68</v>
      </c>
      <c r="I341" s="101" t="s">
        <v>44</v>
      </c>
      <c r="J341" s="101"/>
      <c r="K341" s="6">
        <f>[9]!'id200?req?PX_STK_SMART_USD_~/'</f>
        <v>0</v>
      </c>
      <c r="L341" s="6" t="str">
        <f>[9]!id200?orderTypes</f>
        <v>ACTIVETIM,ADJUST,ALERT,ALGO,ALLOC,AON,AVGCOST,BASKET,COND,CONDORDER,DARKONLY,DARKPOLL,DAY,DEACT,DEACTDIS,DEACTEOD,DIS,GAT,GTC,GTD,GTT,HID,IBKRATS,ICE,IMB,IOC,LIT,LMT,LOC,MIT,MKT,MOC,MTL,NGCOMB,NODARK,NONALGO,OCA,OPG,OPGREROUT,PEGBENCH,POSTONLY,PREOPGRTH,R</v>
      </c>
      <c r="M341" s="6" t="str">
        <f>[9]!id200?validExchanges</f>
        <v>SMART,NYSE,CBOE,ISE,CHX,ARCA,ISLAND,VWAP,DRCTEDGE,NSX,BEX,BATS,EDGEA,CSFBALGO,JEFFALGO,BYX,IEX,TPLUS2,PSX</v>
      </c>
      <c r="N341" s="6">
        <f>[9]!id200?conid</f>
        <v>11450</v>
      </c>
      <c r="O341" s="6">
        <f>[9]!id200?minTick</f>
        <v>0.01</v>
      </c>
      <c r="P341" s="6">
        <f>[9]!id200?multiplier</f>
        <v>0</v>
      </c>
      <c r="Q341" s="6" t="str">
        <f>[9]!id200?marketName</f>
        <v>PX</v>
      </c>
      <c r="R341" s="6" t="str">
        <f>[9]!id200?tradingClass</f>
        <v>PX</v>
      </c>
    </row>
    <row r="342" spans="1:18" hidden="1" x14ac:dyDescent="0.2">
      <c r="A342" s="176" t="s">
        <v>1058</v>
      </c>
      <c r="B342" s="13" t="s">
        <v>12</v>
      </c>
      <c r="C342" s="13" t="b">
        <f t="shared" si="4"/>
        <v>0</v>
      </c>
      <c r="D342" s="13"/>
      <c r="E342" s="63"/>
      <c r="F342" s="13"/>
      <c r="G342" s="13"/>
      <c r="H342" s="13" t="s">
        <v>68</v>
      </c>
      <c r="I342" s="101" t="s">
        <v>44</v>
      </c>
      <c r="J342" s="101"/>
      <c r="K342" s="6">
        <f>[9]!'id201?req?COST_STK_SMART_USD_~/'</f>
        <v>0</v>
      </c>
      <c r="L342" s="6" t="str">
        <f>[9]!id201?orderTypes</f>
        <v>ACTIVETIM,ADJUST,ALERT,ALGO,ALLOC,AON,AVGCOST,BASKET,COND,CONDORDER,DARKONLY,DARKPOLL,DAY,DEACT,DEACTDIS,DEACTEOD,DIS,GAT,GTC,GTD,GTT,HID,IBKRATS,ICE,IMB,IOC,LIT,LMT,LOC,MIT,MKT,MOC,MTL,NGCOMB,NODARK,NONALGO,OCA,OPG,OPGREROUT,PEGBENCH,POSTONLY,PREOPGRTH,R</v>
      </c>
      <c r="M342" s="6" t="str">
        <f>[9]!id201?validExchanges</f>
        <v>SMART,CBOE,ISE,CHX,ARCA,ISLAND,VWAP,DRCTEDGE,NSX,BEX,BATS,EDGEA,CSFBALGO,JEFFALGO,BYX,IEX,TPLUS2,PSX</v>
      </c>
      <c r="N342" s="6">
        <f>[9]!id201?conid</f>
        <v>272997</v>
      </c>
      <c r="O342" s="6">
        <f>[9]!id201?minTick</f>
        <v>0.01</v>
      </c>
      <c r="P342" s="6">
        <f>[9]!id201?multiplier</f>
        <v>0</v>
      </c>
      <c r="Q342" s="6" t="str">
        <f>[9]!id201?marketName</f>
        <v>NMS</v>
      </c>
      <c r="R342" s="6" t="str">
        <f>[9]!id201?tradingClass</f>
        <v>NMS</v>
      </c>
    </row>
    <row r="343" spans="1:18" hidden="1" x14ac:dyDescent="0.2">
      <c r="A343" s="176" t="s">
        <v>1059</v>
      </c>
      <c r="B343" s="13" t="s">
        <v>12</v>
      </c>
      <c r="C343" s="13" t="b">
        <f t="shared" si="4"/>
        <v>0</v>
      </c>
      <c r="D343" s="13"/>
      <c r="E343" s="63"/>
      <c r="F343" s="13"/>
      <c r="G343" s="13"/>
      <c r="H343" s="13" t="s">
        <v>68</v>
      </c>
      <c r="I343" s="101" t="s">
        <v>44</v>
      </c>
      <c r="J343" s="101"/>
      <c r="K343" s="6">
        <f>[9]!'id202?req?TROW_STK_SMART_USD_~/'</f>
        <v>0</v>
      </c>
      <c r="L343" s="6" t="str">
        <f>[9]!id202?orderTypes</f>
        <v>ACTIVETIM,ADJUST,ALERT,ALGO,ALLOC,AON,AVGCOST,BASKET,COND,CONDORDER,DARKONLY,DARKPOLL,DAY,DEACT,DEACTDIS,DEACTEOD,DIS,GAT,GTC,GTD,GTT,HID,IBKRATS,ICE,IMB,IOC,LIT,LMT,LOC,MIT,MKT,MOC,MTL,NGCOMB,NODARK,NONALGO,OCA,OPG,OPGREROUT,PEGBENCH,POSTONLY,PREOPGRTH,R</v>
      </c>
      <c r="M343" s="6" t="str">
        <f>[9]!id202?validExchanges</f>
        <v>SMART,CBOE,ISE,CHX,ARCA,ISLAND,VWAP,DRCTEDGE,NSX,BEX,BATS,EDGEA,CSFBALGO,JEFFALGO,BYX,IEX,TPLUS2,PSX</v>
      </c>
      <c r="N343" s="6">
        <f>[9]!id202?conid</f>
        <v>275321</v>
      </c>
      <c r="O343" s="6">
        <f>[9]!id202?minTick</f>
        <v>0.01</v>
      </c>
      <c r="P343" s="6">
        <f>[9]!id202?multiplier</f>
        <v>0</v>
      </c>
      <c r="Q343" s="6" t="str">
        <f>[9]!id202?marketName</f>
        <v>NMS</v>
      </c>
      <c r="R343" s="6" t="str">
        <f>[9]!id202?tradingClass</f>
        <v>NMS</v>
      </c>
    </row>
    <row r="344" spans="1:18" hidden="1" x14ac:dyDescent="0.2">
      <c r="A344" s="176" t="s">
        <v>1060</v>
      </c>
      <c r="B344" s="13" t="s">
        <v>12</v>
      </c>
      <c r="C344" s="13" t="b">
        <f t="shared" si="4"/>
        <v>1</v>
      </c>
      <c r="D344" s="13"/>
      <c r="E344" s="63"/>
      <c r="F344" s="13"/>
      <c r="G344" s="13"/>
      <c r="H344" s="13" t="s">
        <v>68</v>
      </c>
      <c r="I344" s="101" t="s">
        <v>44</v>
      </c>
      <c r="J344" s="101"/>
      <c r="K344" s="6">
        <f>[9]!'id203?req?DGX_STK_SMART_USD_~/'</f>
        <v>0</v>
      </c>
      <c r="L344" s="6" t="str">
        <f>[9]!id203?orderTypes</f>
        <v>ACTIVETIM,ADJUST,ALERT,ALGO,ALLOC,AON,AVGCOST,BASKET,COND,CONDORDER,DARKONLY,DARKPOLL,DAY,DEACT,DEACTDIS,DEACTEOD,DIS,GAT,GTC,GTD,GTT,HID,IBKRATS,ICE,IMB,IOC,LIT,LMT,LOC,MIT,MKT,MOC,MTL,NGCOMB,NODARK,NONALGO,OCA,OPG,OPGREROUT,PEGBENCH,POSTONLY,PREOPGRTH,R</v>
      </c>
      <c r="M344" s="6" t="str">
        <f>[9]!id203?validExchanges</f>
        <v>SMART,NYSE,CBOE,ISE,CHX,ARCA,ISLAND,VWAP,DRCTEDGE,NSX,BEX,BATS,EDGEA,CSFBALGO,JEFFALGO,BYX,IEX,TPLUS2,PSX</v>
      </c>
      <c r="N344" s="6">
        <f>[9]!id203?conid</f>
        <v>2459465</v>
      </c>
      <c r="O344" s="6">
        <f>[9]!id203?minTick</f>
        <v>0.01</v>
      </c>
      <c r="P344" s="6">
        <f>[9]!id203?multiplier</f>
        <v>0</v>
      </c>
      <c r="Q344" s="6" t="str">
        <f>[9]!id203?marketName</f>
        <v>DGX</v>
      </c>
      <c r="R344" s="6" t="str">
        <f>[9]!id203?tradingClass</f>
        <v>DGX</v>
      </c>
    </row>
    <row r="345" spans="1:18" hidden="1" x14ac:dyDescent="0.2">
      <c r="A345" s="176" t="s">
        <v>1061</v>
      </c>
      <c r="B345" s="13" t="s">
        <v>12</v>
      </c>
      <c r="C345" s="13" t="b">
        <f t="shared" si="4"/>
        <v>1</v>
      </c>
      <c r="D345" s="13"/>
      <c r="E345" s="63"/>
      <c r="F345" s="13"/>
      <c r="G345" s="13"/>
      <c r="H345" s="13" t="s">
        <v>68</v>
      </c>
      <c r="I345" s="101" t="s">
        <v>44</v>
      </c>
      <c r="J345" s="101"/>
      <c r="K345" s="6">
        <f>[9]!'id204?req?PG_STK_SMART_USD_~/'</f>
        <v>0</v>
      </c>
      <c r="L345" s="6" t="str">
        <f>[9]!id204?orderTypes</f>
        <v>ACTIVETIM,ADJUST,ALERT,ALGO,ALLOC,AON,AVGCOST,BASKET,COND,CONDORDER,DARKONLY,DARKPOLL,DAY,DEACT,DEACTDIS,DEACTEOD,DIS,GAT,GTC,GTD,GTT,HID,IBKRATS,ICE,IMB,IOC,LIT,LMT,LOC,MIT,MKT,MOC,MTL,NGCOMB,NODARK,NONALGO,OCA,OPG,OPGREROUT,PEGBENCH,POSTONLY,PREOPGRTH,R</v>
      </c>
      <c r="M345" s="6" t="str">
        <f>[9]!id204?validExchanges</f>
        <v>SMART,NYSE,CBOE,ISE,CHX,ARCA,ISLAND,VWAP,DRCTEDGE,NSX,BEX,BATS,EDGEA,CSFBALGO,JEFFALGO,BYX,IEX,TPLUS2,PSX</v>
      </c>
      <c r="N345" s="6">
        <f>[9]!id204?conid</f>
        <v>11054</v>
      </c>
      <c r="O345" s="6">
        <f>[9]!id204?minTick</f>
        <v>0.01</v>
      </c>
      <c r="P345" s="6">
        <f>[9]!id204?multiplier</f>
        <v>0</v>
      </c>
      <c r="Q345" s="6" t="str">
        <f>[9]!id204?marketName</f>
        <v>PG</v>
      </c>
      <c r="R345" s="6" t="str">
        <f>[9]!id204?tradingClass</f>
        <v>PG</v>
      </c>
    </row>
    <row r="346" spans="1:18" hidden="1" x14ac:dyDescent="0.2">
      <c r="A346" s="176" t="s">
        <v>1062</v>
      </c>
      <c r="B346" s="13" t="s">
        <v>12</v>
      </c>
      <c r="C346" s="13" t="b">
        <f t="shared" si="4"/>
        <v>1</v>
      </c>
      <c r="D346" s="13"/>
      <c r="E346" s="63"/>
      <c r="F346" s="13"/>
      <c r="G346" s="13"/>
      <c r="H346" s="13" t="s">
        <v>68</v>
      </c>
      <c r="I346" s="101" t="s">
        <v>44</v>
      </c>
      <c r="J346" s="101"/>
      <c r="K346" s="6">
        <f>[9]!'id205?req?PGR_STK_SMART_USD_~/'</f>
        <v>0</v>
      </c>
      <c r="L346" s="6" t="str">
        <f>[9]!id205?orderTypes</f>
        <v>ACTIVETIM,ADJUST,ALERT,ALGO,ALLOC,AON,AVGCOST,BASKET,COND,CONDORDER,DARKONLY,DARKPOLL,DAY,DEACT,DEACTDIS,DEACTEOD,DIS,GAT,GTC,GTD,GTT,HID,IBKRATS,ICE,IMB,IOC,LIT,LMT,LOC,MIT,MKT,MOC,MTL,NGCOMB,NODARK,NONALGO,OCA,OPG,OPGREROUT,PEGBENCH,POSTONLY,PREOPGRTH,R</v>
      </c>
      <c r="M346" s="6" t="str">
        <f>[9]!id205?validExchanges</f>
        <v>SMART,NYSE,CBOE,ISE,CHX,ARCA,ISLAND,VWAP,DRCTEDGE,NSX,BEX,BATS,EDGEA,CSFBALGO,JEFFALGO,BYX,IEX,TPLUS2,PSX</v>
      </c>
      <c r="N346" s="6">
        <f>[9]!id205?conid</f>
        <v>11080</v>
      </c>
      <c r="O346" s="6">
        <f>[9]!id205?minTick</f>
        <v>0.01</v>
      </c>
      <c r="P346" s="6">
        <f>[9]!id205?multiplier</f>
        <v>0</v>
      </c>
      <c r="Q346" s="6" t="str">
        <f>[9]!id205?marketName</f>
        <v>PGR</v>
      </c>
      <c r="R346" s="6" t="str">
        <f>[9]!id205?tradingClass</f>
        <v>PGR</v>
      </c>
    </row>
    <row r="347" spans="1:18" hidden="1" x14ac:dyDescent="0.2">
      <c r="A347" s="176" t="s">
        <v>1063</v>
      </c>
      <c r="B347" s="13" t="s">
        <v>12</v>
      </c>
      <c r="C347" s="13" t="b">
        <f t="shared" si="4"/>
        <v>1</v>
      </c>
      <c r="D347" s="13"/>
      <c r="E347" s="63"/>
      <c r="F347" s="13"/>
      <c r="G347" s="13"/>
      <c r="H347" s="13" t="s">
        <v>68</v>
      </c>
      <c r="I347" s="101" t="s">
        <v>44</v>
      </c>
      <c r="J347" s="101"/>
      <c r="K347" s="6">
        <f>[9]!'id206?req?PEG_STK_SMART_USD_~/'</f>
        <v>0</v>
      </c>
      <c r="L347" s="6" t="str">
        <f>[9]!id206?orderTypes</f>
        <v>ACTIVETIM,ADJUST,ALERT,ALGO,ALLOC,AON,AVGCOST,BASKET,COND,CONDORDER,DARKONLY,DARKPOLL,DAY,DEACT,DEACTDIS,DEACTEOD,DIS,GAT,GTC,GTD,GTT,HID,IBKRATS,ICE,IMB,IOC,LIT,LMT,LOC,MIT,MKT,MOC,MTL,NGCOMB,NODARK,NONALGO,OCA,OPG,OPGREROUT,PEGBENCH,POSTONLY,PREOPGRTH,R</v>
      </c>
      <c r="M347" s="6" t="str">
        <f>[9]!id206?validExchanges</f>
        <v>SMART,NYSE,CBOE,ISE,CHX,ARCA,ISLAND,VWAP,DRCTEDGE,NSX,BEX,BATS,EDGEA,CSFBALGO,JEFFALGO,BYX,IEX,TPLUS2,PSX</v>
      </c>
      <c r="N347" s="6">
        <f>[9]!id206?conid</f>
        <v>11005</v>
      </c>
      <c r="O347" s="6">
        <f>[9]!id206?minTick</f>
        <v>0.01</v>
      </c>
      <c r="P347" s="6">
        <f>[9]!id206?multiplier</f>
        <v>0</v>
      </c>
      <c r="Q347" s="6" t="str">
        <f>[9]!id206?marketName</f>
        <v>PEG</v>
      </c>
      <c r="R347" s="6" t="str">
        <f>[9]!id206?tradingClass</f>
        <v>PEG</v>
      </c>
    </row>
    <row r="348" spans="1:18" hidden="1" x14ac:dyDescent="0.2">
      <c r="A348" s="176" t="s">
        <v>1064</v>
      </c>
      <c r="B348" s="13" t="s">
        <v>12</v>
      </c>
      <c r="C348" s="13" t="b">
        <f t="shared" si="4"/>
        <v>1</v>
      </c>
      <c r="D348" s="13"/>
      <c r="E348" s="63"/>
      <c r="F348" s="13"/>
      <c r="G348" s="13"/>
      <c r="H348" s="13" t="s">
        <v>68</v>
      </c>
      <c r="I348" s="101" t="s">
        <v>44</v>
      </c>
      <c r="J348" s="101"/>
      <c r="K348" s="6">
        <f>[9]!'id207?req?PHM_STK_SMART_USD_~/'</f>
        <v>0</v>
      </c>
      <c r="L348" s="6" t="str">
        <f>[9]!id207?orderTypes</f>
        <v>ACTIVETIM,ADJUST,ALERT,ALGO,ALLOC,AON,AVGCOST,BASKET,COND,CONDORDER,DARKONLY,DARKPOLL,DAY,DEACT,DEACTDIS,DEACTEOD,DIS,GAT,GTC,GTD,GTT,HID,IBKRATS,ICE,IMB,IOC,LIT,LMT,LOC,MIT,MKT,MOC,MTL,NGCOMB,NODARK,NONALGO,OCA,OPG,OPGREROUT,PEGBENCH,POSTONLY,PREOPGRTH,R</v>
      </c>
      <c r="M348" s="6" t="str">
        <f>[9]!id207?validExchanges</f>
        <v>SMART,NYSE,CBOE,ISE,CHX,ARCA,ISLAND,VWAP,DRCTEDGE,NSX,BEX,BATS,EDGEA,CSFBALGO,JEFFALGO,BYX,IEX,TPLUS2,PSX</v>
      </c>
      <c r="N348" s="6">
        <f>[9]!id207?conid</f>
        <v>11109</v>
      </c>
      <c r="O348" s="6">
        <f>[9]!id207?minTick</f>
        <v>0.01</v>
      </c>
      <c r="P348" s="6">
        <f>[9]!id207?multiplier</f>
        <v>0</v>
      </c>
      <c r="Q348" s="6" t="str">
        <f>[9]!id207?marketName</f>
        <v>PHM</v>
      </c>
      <c r="R348" s="6" t="str">
        <f>[9]!id207?tradingClass</f>
        <v>PHM</v>
      </c>
    </row>
    <row r="349" spans="1:18" hidden="1" x14ac:dyDescent="0.2">
      <c r="A349" s="176" t="s">
        <v>1065</v>
      </c>
      <c r="B349" s="13" t="s">
        <v>12</v>
      </c>
      <c r="C349" s="13" t="b">
        <f t="shared" si="4"/>
        <v>0</v>
      </c>
      <c r="D349" s="13"/>
      <c r="E349" s="63"/>
      <c r="F349" s="13"/>
      <c r="G349" s="13"/>
      <c r="H349" s="13" t="s">
        <v>68</v>
      </c>
      <c r="I349" s="101" t="s">
        <v>44</v>
      </c>
      <c r="J349" s="101"/>
      <c r="K349" s="6">
        <f>[9]!'id208?req?QCOM_STK_SMART_USD_~/'</f>
        <v>0</v>
      </c>
      <c r="L349" s="6" t="str">
        <f>[9]!id208?orderTypes</f>
        <v>ACTIVETIM,ADJUST,ALERT,ALGO,ALLOC,AON,AVGCOST,BASKET,COND,CONDORDER,DARKONLY,DARKPOLL,DAY,DEACT,DEACTDIS,DEACTEOD,DIS,GAT,GTC,GTD,GTT,HID,IBKRATS,ICE,IMB,IOC,LIT,LMT,LOC,MIT,MKT,MOC,MTL,NGCOMB,NODARK,NONALGO,OCA,OPG,OPGREROUT,PEGBENCH,POSTONLY,PREOPGRTH,R</v>
      </c>
      <c r="M349" s="6" t="str">
        <f>[9]!id208?validExchanges</f>
        <v>SMART,CBOE,ISE,CHX,ARCA,ISLAND,VWAP,DRCTEDGE,NSX,BEX,BATS,EDGEA,CSFBALGO,JEFFALGO,BYX,IEX,TPLUS2,PSX</v>
      </c>
      <c r="N349" s="6">
        <f>[9]!id208?conid</f>
        <v>273544</v>
      </c>
      <c r="O349" s="6">
        <f>[9]!id208?minTick</f>
        <v>0.01</v>
      </c>
      <c r="P349" s="6">
        <f>[9]!id208?multiplier</f>
        <v>0</v>
      </c>
      <c r="Q349" s="6" t="str">
        <f>[9]!id208?marketName</f>
        <v>NMS</v>
      </c>
      <c r="R349" s="6" t="str">
        <f>[9]!id208?tradingClass</f>
        <v>NMS</v>
      </c>
    </row>
    <row r="350" spans="1:18" hidden="1" x14ac:dyDescent="0.2">
      <c r="A350" s="176" t="s">
        <v>116</v>
      </c>
      <c r="B350" s="13" t="s">
        <v>12</v>
      </c>
      <c r="C350" s="13" t="b">
        <f t="shared" si="4"/>
        <v>1</v>
      </c>
      <c r="D350" s="13"/>
      <c r="E350" s="63"/>
      <c r="F350" s="13"/>
      <c r="G350" s="13"/>
      <c r="H350" s="13" t="s">
        <v>68</v>
      </c>
      <c r="I350" s="101" t="s">
        <v>44</v>
      </c>
      <c r="J350" s="101"/>
      <c r="K350" s="6">
        <f>[9]!'id209?req?O_STK_SMART_USD_~/'</f>
        <v>0</v>
      </c>
      <c r="L350" s="6" t="str">
        <f>[9]!id209?orderTypes</f>
        <v>ACTIVETIM,ADJUST,ALERT,ALGO,ALLOC,AON,AVGCOST,BASKET,COND,CONDORDER,DARKONLY,DARKPOLL,DAY,DEACT,DEACTDIS,DEACTEOD,DIS,GAT,GTC,GTD,GTT,HID,IBKRATS,ICE,IMB,IOC,LIT,LMT,LOC,MIT,MKT,MOC,MTL,NGCOMB,NODARK,NONALGO,OCA,OPG,OPGREROUT,PEGBENCH,POSTONLY,PREOPGRTH,R</v>
      </c>
      <c r="M350" s="6" t="str">
        <f>[9]!id209?validExchanges</f>
        <v>SMART,NYSE,CBOE,ISE,CHX,ARCA,ISLAND,DRCTEDGE,NSX,BEX,BATS,EDGEA,CSFBALGO,JEFFALGO,BYX,IEX,TPLUS2,PSX</v>
      </c>
      <c r="N350" s="6">
        <f>[9]!id209?conid</f>
        <v>10672</v>
      </c>
      <c r="O350" s="6">
        <f>[9]!id209?minTick</f>
        <v>0.01</v>
      </c>
      <c r="P350" s="6">
        <f>[9]!id209?multiplier</f>
        <v>0</v>
      </c>
      <c r="Q350" s="6" t="str">
        <f>[9]!id209?marketName</f>
        <v>O</v>
      </c>
      <c r="R350" s="6" t="str">
        <f>[9]!id209?tradingClass</f>
        <v>O</v>
      </c>
    </row>
    <row r="351" spans="1:18" hidden="1" x14ac:dyDescent="0.2">
      <c r="A351" s="176" t="s">
        <v>1066</v>
      </c>
      <c r="B351" s="13" t="s">
        <v>12</v>
      </c>
      <c r="C351" s="13" t="b">
        <f t="shared" si="4"/>
        <v>0</v>
      </c>
      <c r="D351" s="13"/>
      <c r="E351" s="63"/>
      <c r="F351" s="13"/>
      <c r="G351" s="13"/>
      <c r="H351" s="13" t="s">
        <v>68</v>
      </c>
      <c r="I351" s="101" t="s">
        <v>44</v>
      </c>
      <c r="J351" s="101"/>
      <c r="K351" s="6">
        <f>[9]!'id210?req?REGN_STK_SMART_USD_~/'</f>
        <v>0</v>
      </c>
      <c r="L351" s="6" t="str">
        <f>[9]!id210?orderTypes</f>
        <v>ACTIVETIM,ADJUST,ALERT,ALGO,ALLOC,AON,AVGCOST,BASKET,COND,CONDORDER,DARKONLY,DARKPOLL,DAY,DEACT,DEACTDIS,DEACTEOD,DIS,GAT,GTC,GTD,GTT,HID,IBKRATS,ICE,IMB,IOC,LIT,LMT,LOC,MIT,MKT,MOC,MTL,NGCOMB,NODARK,NONALGO,OCA,OPG,OPGREROUT,PEGBENCH,POSTONLY,PREOPGRTH,R</v>
      </c>
      <c r="M351" s="6" t="str">
        <f>[9]!id210?validExchanges</f>
        <v>SMART,CBOE,ISE,CHX,ARCA,ISLAND,DRCTEDGE,NSX,BEX,BATS,EDGEA,CSFBALGO,JEFFALGO,BYX,IEX,TPLUS2,PSX</v>
      </c>
      <c r="N351" s="6">
        <f>[9]!id210?conid</f>
        <v>273733</v>
      </c>
      <c r="O351" s="6">
        <f>[9]!id210?minTick</f>
        <v>0.01</v>
      </c>
      <c r="P351" s="6">
        <f>[9]!id210?multiplier</f>
        <v>0</v>
      </c>
      <c r="Q351" s="6" t="str">
        <f>[9]!id210?marketName</f>
        <v>NMS</v>
      </c>
      <c r="R351" s="6" t="str">
        <f>[9]!id210?tradingClass</f>
        <v>NMS</v>
      </c>
    </row>
    <row r="352" spans="1:18" hidden="1" x14ac:dyDescent="0.2">
      <c r="A352" s="176" t="s">
        <v>1067</v>
      </c>
      <c r="B352" s="13" t="s">
        <v>12</v>
      </c>
      <c r="C352" s="13" t="b">
        <f t="shared" si="4"/>
        <v>1</v>
      </c>
      <c r="D352" s="13"/>
      <c r="E352" s="63"/>
      <c r="F352" s="13"/>
      <c r="G352" s="13"/>
      <c r="H352" s="13" t="s">
        <v>68</v>
      </c>
      <c r="I352" s="101" t="s">
        <v>44</v>
      </c>
      <c r="J352" s="101"/>
      <c r="K352" s="6">
        <f>[9]!'id211?req?AN_STK_SMART_USD_~/'</f>
        <v>0</v>
      </c>
      <c r="L352" s="6" t="str">
        <f>[9]!id211?orderTypes</f>
        <v>ACTIVETIM,ADJUST,ALERT,ALGO,ALLOC,AON,AVGCOST,BASKET,COND,CONDORDER,DARKONLY,DARKPOLL,DAY,DEACT,DEACTDIS,DEACTEOD,DIS,GAT,GTC,GTD,GTT,HID,IBKRATS,ICE,IMB,IOC,LIT,LMT,LOC,MIT,MKT,MOC,MTL,NGCOMB,NODARK,NONALGO,OCA,OPG,OPGREROUT,PEGBENCH,POSTONLY,PREOPGRTH,R</v>
      </c>
      <c r="M352" s="6" t="str">
        <f>[9]!id211?validExchanges</f>
        <v>SMART,NYSE,CBOE,ISE,CHX,ARCA,ISLAND,VWAP,DRCTEDGE,NSX,BEX,BATS,EDGEA,CSFBALGO,JEFFALGO,BYX,IEX,TPLUS2,PSX</v>
      </c>
      <c r="N352" s="6">
        <f>[9]!id211?conid</f>
        <v>4528615</v>
      </c>
      <c r="O352" s="6">
        <f>[9]!id211?minTick</f>
        <v>0.01</v>
      </c>
      <c r="P352" s="6">
        <f>[9]!id211?multiplier</f>
        <v>0</v>
      </c>
      <c r="Q352" s="6" t="str">
        <f>[9]!id211?marketName</f>
        <v>AN</v>
      </c>
      <c r="R352" s="6" t="str">
        <f>[9]!id211?tradingClass</f>
        <v>AN</v>
      </c>
    </row>
    <row r="353" spans="1:18" hidden="1" x14ac:dyDescent="0.2">
      <c r="A353" s="176" t="s">
        <v>1068</v>
      </c>
      <c r="B353" s="13" t="s">
        <v>12</v>
      </c>
      <c r="C353" s="13" t="b">
        <f t="shared" si="4"/>
        <v>1</v>
      </c>
      <c r="D353" s="13"/>
      <c r="E353" s="63"/>
      <c r="F353" s="13"/>
      <c r="G353" s="13"/>
      <c r="H353" s="13" t="s">
        <v>68</v>
      </c>
      <c r="I353" s="101" t="s">
        <v>44</v>
      </c>
      <c r="J353" s="101"/>
      <c r="K353" s="6">
        <f>[9]!'id212?req?USB_STK_SMART_USD_~/'</f>
        <v>0</v>
      </c>
      <c r="L353" s="6" t="str">
        <f>[9]!id212?orderTypes</f>
        <v>ACTIVETIM,ADJUST,ALERT,ALGO,ALLOC,AON,AVGCOST,BASKET,COND,CONDORDER,DARKONLY,DARKPOLL,DAY,DEACT,DEACTDIS,DEACTEOD,DIS,GAT,GTC,GTD,GTT,HID,IBKRATS,ICE,IMB,IOC,LIT,LMT,LOC,MIT,MKT,MOC,MTL,NGCOMB,NODARK,NONALGO,OCA,OPG,OPGREROUT,PEGBENCH,POSTONLY,PREOPGRTH,R</v>
      </c>
      <c r="M353" s="6" t="str">
        <f>[9]!id212?validExchanges</f>
        <v>SMART,NYSE,CBOE,ISE,CHX,ARCA,ISLAND,VWAP,DRCTEDGE,NSX,BEX,BATS,EDGEA,CSFBALGO,JEFFALGO,BYX,IEX,TPLUS2,PSX</v>
      </c>
      <c r="N353" s="6">
        <f>[9]!id212?conid</f>
        <v>11669769</v>
      </c>
      <c r="O353" s="6">
        <f>[9]!id212?minTick</f>
        <v>0.01</v>
      </c>
      <c r="P353" s="6">
        <f>[9]!id212?multiplier</f>
        <v>0</v>
      </c>
      <c r="Q353" s="6" t="str">
        <f>[9]!id212?marketName</f>
        <v>USB</v>
      </c>
      <c r="R353" s="6" t="str">
        <f>[9]!id212?tradingClass</f>
        <v>USB</v>
      </c>
    </row>
    <row r="354" spans="1:18" hidden="1" x14ac:dyDescent="0.2">
      <c r="A354" s="176" t="s">
        <v>1069</v>
      </c>
      <c r="B354" s="13" t="s">
        <v>12</v>
      </c>
      <c r="C354" s="13" t="b">
        <f t="shared" si="4"/>
        <v>0</v>
      </c>
      <c r="D354" s="13"/>
      <c r="E354" s="63"/>
      <c r="F354" s="13"/>
      <c r="G354" s="13"/>
      <c r="H354" s="13" t="s">
        <v>68</v>
      </c>
      <c r="I354" s="101" t="s">
        <v>44</v>
      </c>
      <c r="J354" s="101"/>
      <c r="K354" s="6">
        <f>[9]!'id213?req?ROST_STK_SMART_USD_~/'</f>
        <v>0</v>
      </c>
      <c r="L354" s="6" t="str">
        <f>[9]!id213?orderTypes</f>
        <v>ACTIVETIM,ADJUST,ALERT,ALGO,ALLOC,AON,AVGCOST,BASKET,COND,CONDORDER,DARKONLY,DARKPOLL,DAY,DEACT,DEACTDIS,DEACTEOD,DIS,GAT,GTC,GTD,GTT,HID,IBKRATS,ICE,IMB,IOC,LIT,LMT,LOC,MIT,MKT,MOC,MTL,NGCOMB,NODARK,NONALGO,OCA,OPG,OPGREROUT,PEGBENCH,POSTONLY,PREOPGRTH,R</v>
      </c>
      <c r="M354" s="6" t="str">
        <f>[9]!id213?validExchanges</f>
        <v>SMART,CBOE,ISE,CHX,ARCA,ISLAND,VWAP,DRCTEDGE,NSX,BEX,BATS,EDGEA,CSFBALGO,JEFFALGO,BYX,IEX,TPLUS2,PSX</v>
      </c>
      <c r="N354" s="6">
        <f>[9]!id213?conid</f>
        <v>273939</v>
      </c>
      <c r="O354" s="6">
        <f>[9]!id213?minTick</f>
        <v>0.01</v>
      </c>
      <c r="P354" s="6">
        <f>[9]!id213?multiplier</f>
        <v>0</v>
      </c>
      <c r="Q354" s="6" t="str">
        <f>[9]!id213?marketName</f>
        <v>NMS</v>
      </c>
      <c r="R354" s="6" t="str">
        <f>[9]!id213?tradingClass</f>
        <v>NMS</v>
      </c>
    </row>
    <row r="355" spans="1:18" hidden="1" x14ac:dyDescent="0.2">
      <c r="A355" s="176" t="s">
        <v>1070</v>
      </c>
      <c r="B355" s="13" t="s">
        <v>12</v>
      </c>
      <c r="C355" s="13" t="b">
        <f t="shared" si="4"/>
        <v>1</v>
      </c>
      <c r="D355" s="13"/>
      <c r="E355" s="63"/>
      <c r="F355" s="13"/>
      <c r="G355" s="13"/>
      <c r="H355" s="13" t="s">
        <v>68</v>
      </c>
      <c r="I355" s="101" t="s">
        <v>44</v>
      </c>
      <c r="J355" s="101"/>
      <c r="K355" s="6">
        <f>[9]!'id214?req?ROP_STK_SMART_USD_~/'</f>
        <v>0</v>
      </c>
      <c r="L355" s="6" t="str">
        <f>[9]!id214?orderTypes</f>
        <v>ACTIVETIM,ADJUST,ALERT,ALGO,ALLOC,AON,AVGCOST,BASKET,COND,CONDORDER,DARKONLY,DARKPOLL,DAY,DEACT,DEACTDIS,DEACTEOD,DIS,GAT,GTC,GTD,GTT,HID,IBKRATS,ICE,IMB,IOC,LIT,LMT,LOC,MIT,MKT,MOC,MTL,NGCOMB,NODARK,NONALGO,OCA,OPG,OPGREROUT,PEGBENCH,POSTONLY,PREOPGRTH,R</v>
      </c>
      <c r="M355" s="6" t="str">
        <f>[9]!id214?validExchanges</f>
        <v>SMART,NYSE,CBOE,ISE,CHX,ARCA,ISLAND,DRCTEDGE,NSX,BEX,BATS,EDGEA,CSFBALGO,JEFFALGO,BYX,IEX,TPLUS2,PSX</v>
      </c>
      <c r="N355" s="6">
        <f>[9]!id214?conid</f>
        <v>2585629</v>
      </c>
      <c r="O355" s="6">
        <f>[9]!id214?minTick</f>
        <v>0.01</v>
      </c>
      <c r="P355" s="6">
        <f>[9]!id214?multiplier</f>
        <v>0</v>
      </c>
      <c r="Q355" s="6" t="str">
        <f>[9]!id214?marketName</f>
        <v>ROP</v>
      </c>
      <c r="R355" s="6" t="str">
        <f>[9]!id214?tradingClass</f>
        <v>ROP</v>
      </c>
    </row>
    <row r="356" spans="1:18" hidden="1" x14ac:dyDescent="0.2">
      <c r="A356" s="176" t="s">
        <v>1071</v>
      </c>
      <c r="B356" s="13" t="s">
        <v>12</v>
      </c>
      <c r="C356" s="13" t="b">
        <f t="shared" si="4"/>
        <v>1</v>
      </c>
      <c r="D356" s="13"/>
      <c r="E356" s="63"/>
      <c r="F356" s="13"/>
      <c r="G356" s="13"/>
      <c r="H356" s="13" t="s">
        <v>68</v>
      </c>
      <c r="I356" s="101" t="s">
        <v>44</v>
      </c>
      <c r="J356" s="101"/>
      <c r="K356" s="6">
        <f>[9]!'id215?req?ROK_STK_SMART_USD_~/'</f>
        <v>0</v>
      </c>
      <c r="L356" s="6" t="str">
        <f>[9]!id215?orderTypes</f>
        <v>ACTIVETIM,ADJUST,ALERT,ALGO,ALLOC,AON,AVGCOST,BASKET,COND,CONDORDER,DARKONLY,DARKPOLL,DAY,DEACT,DEACTDIS,DEACTEOD,DIS,GAT,GTC,GTD,GTT,HID,IBKRATS,ICE,IMB,IOC,LIT,LMT,LOC,MIT,MKT,MOC,MTL,NGCOMB,NODARK,NONALGO,OCA,OPG,OPGREROUT,PEGBENCH,POSTONLY,PREOPGRTH,R</v>
      </c>
      <c r="M356" s="6" t="str">
        <f>[9]!id215?validExchanges</f>
        <v>SMART,NYSE,CBOE,ISE,CHX,ARCA,ISLAND,VWAP,DRCTEDGE,NSX,BEX,BATS,EDGEA,CSFBALGO,JEFFALGO,BYX,IEX,TPLUS2,PSX</v>
      </c>
      <c r="N356" s="6">
        <f>[9]!id215?conid</f>
        <v>11697</v>
      </c>
      <c r="O356" s="6">
        <f>[9]!id215?minTick</f>
        <v>0.01</v>
      </c>
      <c r="P356" s="6">
        <f>[9]!id215?multiplier</f>
        <v>0</v>
      </c>
      <c r="Q356" s="6" t="str">
        <f>[9]!id215?marketName</f>
        <v>ROK</v>
      </c>
      <c r="R356" s="6" t="str">
        <f>[9]!id215?tradingClass</f>
        <v>ROK</v>
      </c>
    </row>
    <row r="357" spans="1:18" hidden="1" x14ac:dyDescent="0.2">
      <c r="A357" s="176" t="s">
        <v>1072</v>
      </c>
      <c r="B357" s="13" t="s">
        <v>12</v>
      </c>
      <c r="C357" s="13" t="b">
        <f t="shared" si="4"/>
        <v>1</v>
      </c>
      <c r="D357" s="13"/>
      <c r="E357" s="63"/>
      <c r="F357" s="13"/>
      <c r="G357" s="13"/>
      <c r="H357" s="13" t="s">
        <v>68</v>
      </c>
      <c r="I357" s="101" t="s">
        <v>44</v>
      </c>
      <c r="J357" s="101"/>
      <c r="K357" s="6">
        <f>[9]!'id216?req?RCL_STK_SMART_USD_~/'</f>
        <v>0</v>
      </c>
      <c r="L357" s="6" t="str">
        <f>[9]!id216?orderTypes</f>
        <v>ACTIVETIM,ADJUST,ALERT,ALGO,ALLOC,AON,AVGCOST,BASKET,COND,CONDORDER,DARKONLY,DARKPOLL,DAY,DEACT,DEACTDIS,DEACTEOD,DIS,GAT,GTC,GTD,GTT,HID,IBKRATS,ICE,IMB,IOC,LIT,LMT,LOC,MIT,MKT,MOC,MTL,NGCOMB,NODARK,NONALGO,OCA,OPG,OPGREROUT,PEGBENCH,POSTONLY,PREOPGRTH,R</v>
      </c>
      <c r="M357" s="6" t="str">
        <f>[9]!id216?validExchanges</f>
        <v>SMART,NYSE,CBOE,ISE,CHX,ARCA,ISLAND,DRCTEDGE,NSX,BEX,BATS,EDGEA,CSFBALGO,JEFFALGO,BYX,IEX,TPLUS2,PSX</v>
      </c>
      <c r="N357" s="6">
        <f>[9]!id216?conid</f>
        <v>11520</v>
      </c>
      <c r="O357" s="6">
        <f>[9]!id216?minTick</f>
        <v>0.01</v>
      </c>
      <c r="P357" s="6">
        <f>[9]!id216?multiplier</f>
        <v>0</v>
      </c>
      <c r="Q357" s="6" t="str">
        <f>[9]!id216?marketName</f>
        <v>RCL</v>
      </c>
      <c r="R357" s="6" t="str">
        <f>[9]!id216?tradingClass</f>
        <v>RCL</v>
      </c>
    </row>
    <row r="358" spans="1:18" hidden="1" x14ac:dyDescent="0.2">
      <c r="A358" s="176" t="s">
        <v>1073</v>
      </c>
      <c r="B358" s="13" t="s">
        <v>12</v>
      </c>
      <c r="C358" s="13" t="b">
        <f t="shared" si="4"/>
        <v>1</v>
      </c>
      <c r="D358" s="13"/>
      <c r="E358" s="63"/>
      <c r="F358" s="13"/>
      <c r="G358" s="13"/>
      <c r="H358" s="13" t="s">
        <v>68</v>
      </c>
      <c r="I358" s="101" t="s">
        <v>44</v>
      </c>
      <c r="J358" s="101"/>
      <c r="K358" s="6">
        <f>[9]!'id217?req?RTN_STK_SMART_USD_~/'</f>
        <v>0</v>
      </c>
      <c r="L358" s="6" t="str">
        <f>[9]!id217?orderTypes</f>
        <v>ACTIVETIM,ADJUST,ALERT,ALGO,ALLOC,AON,AVGCOST,BASKET,COND,CONDORDER,DARKONLY,DARKPOLL,DAY,DEACT,DEACTDIS,DEACTEOD,DIS,GAT,GTC,GTD,GTT,HID,IBKRATS,ICE,IMB,IOC,LIT,LMT,LOC,MIT,MKT,MOC,MTL,NGCOMB,NODARK,NONALGO,OCA,OPG,OPGREROUT,PEGBENCH,POSTONLY,PREOPGRTH,R</v>
      </c>
      <c r="M358" s="6" t="str">
        <f>[9]!id217?validExchanges</f>
        <v>SMART,NYSE,CBOE,ISE,CHX,ARCA,ISLAND,VWAP,DRCTEDGE,NSX,BEX,BATS,EDGEA,CSFBALGO,JEFFALGO,BYX,IEX,TPLUS2,PSX</v>
      </c>
      <c r="N358" s="6">
        <f>[9]!id217?conid</f>
        <v>11758</v>
      </c>
      <c r="O358" s="6">
        <f>[9]!id217?minTick</f>
        <v>0.01</v>
      </c>
      <c r="P358" s="6">
        <f>[9]!id217?multiplier</f>
        <v>0</v>
      </c>
      <c r="Q358" s="6" t="str">
        <f>[9]!id217?marketName</f>
        <v>RTN</v>
      </c>
      <c r="R358" s="6" t="str">
        <f>[9]!id217?tradingClass</f>
        <v>RTN</v>
      </c>
    </row>
    <row r="359" spans="1:18" hidden="1" x14ac:dyDescent="0.2">
      <c r="A359" s="176" t="s">
        <v>1074</v>
      </c>
      <c r="B359" s="13" t="s">
        <v>12</v>
      </c>
      <c r="C359" s="13" t="b">
        <f t="shared" si="4"/>
        <v>1</v>
      </c>
      <c r="D359" s="13"/>
      <c r="E359" s="63"/>
      <c r="F359" s="13"/>
      <c r="G359" s="13"/>
      <c r="H359" s="13" t="s">
        <v>68</v>
      </c>
      <c r="I359" s="101" t="s">
        <v>44</v>
      </c>
      <c r="J359" s="101"/>
      <c r="K359" s="6">
        <f>[9]!'id218?req?R_STK_SMART_USD_~/'</f>
        <v>0</v>
      </c>
      <c r="L359" s="6" t="str">
        <f>[9]!id218?orderTypes</f>
        <v>ACTIVETIM,ADJUST,ALERT,ALGO,ALLOC,AON,AVGCOST,BASKET,COND,CONDORDER,DARKONLY,DARKPOLL,DAY,DEACT,DEACTDIS,DEACTEOD,DIS,GAT,GTC,GTD,GTT,HID,IBKRATS,ICE,IMB,IOC,LIT,LMT,LOC,MIT,MKT,MOC,MTL,NGCOMB,NODARK,NONALGO,OCA,OPG,OPGREROUT,PEGBENCH,POSTONLY,PREOPGRTH,R</v>
      </c>
      <c r="M359" s="6" t="str">
        <f>[9]!id218?validExchanges</f>
        <v>SMART,NYSE,CBOE,ISE,CHX,ARCA,ISLAND,VWAP,DRCTEDGE,NSX,BEX,BATS,EDGEA,CSFBALGO,JEFFALGO,BYX,IEX,TPLUS2,PSX</v>
      </c>
      <c r="N359" s="6">
        <f>[9]!id218?conid</f>
        <v>11478</v>
      </c>
      <c r="O359" s="6">
        <f>[9]!id218?minTick</f>
        <v>0.01</v>
      </c>
      <c r="P359" s="6">
        <f>[9]!id218?multiplier</f>
        <v>0</v>
      </c>
      <c r="Q359" s="6" t="str">
        <f>[9]!id218?marketName</f>
        <v>R</v>
      </c>
      <c r="R359" s="6" t="str">
        <f>[9]!id218?tradingClass</f>
        <v>R</v>
      </c>
    </row>
    <row r="360" spans="1:18" hidden="1" x14ac:dyDescent="0.2">
      <c r="A360" s="176" t="s">
        <v>1075</v>
      </c>
      <c r="B360" s="13" t="s">
        <v>12</v>
      </c>
      <c r="C360" s="13" t="b">
        <f t="shared" si="4"/>
        <v>1</v>
      </c>
      <c r="D360" s="13"/>
      <c r="E360" s="63"/>
      <c r="F360" s="13"/>
      <c r="G360" s="13"/>
      <c r="H360" s="13" t="s">
        <v>68</v>
      </c>
      <c r="I360" s="101" t="s">
        <v>44</v>
      </c>
      <c r="J360" s="101"/>
      <c r="K360" s="6">
        <f>[9]!'id219?req?ADS_STK_SMART_USD_~/'</f>
        <v>0</v>
      </c>
      <c r="L360" s="6" t="str">
        <f>[9]!id219?orderTypes</f>
        <v>ACTIVETIM,ADJUST,ALERT,ALGO,ALLOC,AON,AVGCOST,BASKET,COND,CONDORDER,DARKONLY,DARKPOLL,DAY,DEACT,DEACTDIS,DEACTEOD,DIS,GAT,GTC,GTD,GTT,HID,IBKRATS,ICE,IMB,IOC,LIT,LMT,LOC,MIT,MKT,MOC,MTL,NGCOMB,NODARK,NONALGO,OCA,OPG,OPGREROUT,PEGBENCH,POSTONLY,PREOPGRTH,R</v>
      </c>
      <c r="M360" s="6" t="str">
        <f>[9]!id219?validExchanges</f>
        <v>SMART,NYSE,CBOE,ISE,CHX,ARCA,ISLAND,DRCTEDGE,NSX,BEX,BATS,EDGEA,CSFBALGO,JEFFALGO,BYX,IEX,TPLUS2,PSX</v>
      </c>
      <c r="N360" s="6">
        <f>[9]!id219?conid</f>
        <v>12362013</v>
      </c>
      <c r="O360" s="6">
        <f>[9]!id219?minTick</f>
        <v>0.01</v>
      </c>
      <c r="P360" s="6">
        <f>[9]!id219?multiplier</f>
        <v>0</v>
      </c>
      <c r="Q360" s="6" t="str">
        <f>[9]!id219?marketName</f>
        <v>ADS</v>
      </c>
      <c r="R360" s="6" t="str">
        <f>[9]!id219?tradingClass</f>
        <v>ADS</v>
      </c>
    </row>
    <row r="361" spans="1:18" hidden="1" x14ac:dyDescent="0.2">
      <c r="A361" s="176" t="s">
        <v>1076</v>
      </c>
      <c r="B361" s="13" t="s">
        <v>12</v>
      </c>
      <c r="C361" s="13" t="b">
        <f t="shared" si="4"/>
        <v>1</v>
      </c>
      <c r="D361" s="13"/>
      <c r="E361" s="63"/>
      <c r="F361" s="13"/>
      <c r="G361" s="13"/>
      <c r="H361" s="13" t="s">
        <v>68</v>
      </c>
      <c r="I361" s="101" t="s">
        <v>44</v>
      </c>
      <c r="J361" s="101"/>
      <c r="K361" s="6">
        <f>[9]!'id220?req?FTI_STK_SMART_USD_~/'</f>
        <v>0</v>
      </c>
      <c r="L361" s="6" t="str">
        <f>[9]!id220?orderTypes</f>
        <v>ACTIVETIM,ADJUST,ALERT,ALGO,ALLOC,AON,AVGCOST,BASKET,COND,CONDORDER,DARKONLY,DARKPOLL,DAY,DEACT,DEACTDIS,DEACTEOD,DIS,GAT,GTC,GTD,GTT,HID,IBKRATS,ICE,IMB,IOC,LIT,LMT,LOC,MIT,MKT,MOC,MTL,NGCOMB,NODARK,NONALGO,OCA,OPG,OPGREROUT,PEGBENCH,POSTONLY,PREOPGRTH,R</v>
      </c>
      <c r="M361" s="6" t="str">
        <f>[9]!id220?validExchanges</f>
        <v>SMART,NYSE,CBOE,ISE,CHX,ARCA,ISLAND,VWAP,DRCTEDGE,NSX,BEX,BATS,EDGEA,CSFBALGO,JEFFALGO,BYX,IEX,TPLUS2,PSX</v>
      </c>
      <c r="N361" s="6">
        <f>[9]!id220?conid</f>
        <v>12379601</v>
      </c>
      <c r="O361" s="6">
        <f>[9]!id220?minTick</f>
        <v>0.01</v>
      </c>
      <c r="P361" s="6">
        <f>[9]!id220?multiplier</f>
        <v>0</v>
      </c>
      <c r="Q361" s="6" t="str">
        <f>[9]!id220?marketName</f>
        <v>FTI</v>
      </c>
      <c r="R361" s="6" t="str">
        <f>[9]!id220?tradingClass</f>
        <v>FTI</v>
      </c>
    </row>
    <row r="362" spans="1:18" hidden="1" x14ac:dyDescent="0.2">
      <c r="A362" s="176" t="s">
        <v>1077</v>
      </c>
      <c r="B362" s="13" t="s">
        <v>12</v>
      </c>
      <c r="C362" s="13" t="b">
        <f t="shared" si="4"/>
        <v>1</v>
      </c>
      <c r="D362" s="13"/>
      <c r="E362" s="63"/>
      <c r="F362" s="13"/>
      <c r="G362" s="13"/>
      <c r="H362" s="13" t="s">
        <v>68</v>
      </c>
      <c r="I362" s="101" t="s">
        <v>44</v>
      </c>
      <c r="J362" s="101"/>
      <c r="K362" s="6">
        <f>[9]!'id221?req?COL_STK_SMART_USD_~/'</f>
        <v>0</v>
      </c>
      <c r="L362" s="6" t="str">
        <f>[9]!id221?orderTypes</f>
        <v>ACTIVETIM,ADJUST,ALERT,ALGO,ALLOC,AON,AVGCOST,BASKET,COND,CONDORDER,DARKONLY,DARKPOLL,DAY,DEACT,DEACTDIS,DEACTEOD,DIS,GAT,GTC,GTD,GTT,HID,IBKRATS,ICE,IMB,IOC,LIT,LMT,LOC,MIT,MKT,MOC,MTL,NGCOMB,NODARK,NONALGO,OCA,OPG,OPGREROUT,PEGBENCH,POSTONLY,PREOPGRTH,R</v>
      </c>
      <c r="M362" s="6" t="str">
        <f>[9]!id221?validExchanges</f>
        <v>SMART,NYSE,CBOE,ISE,CHX,ARCA,ISLAND,VWAP,DRCTEDGE,NSX,BEX,BATS,EDGEA,CSFBALGO,JEFFALGO,BYX,IEX,TPLUS2,PSX</v>
      </c>
      <c r="N362" s="6">
        <f>[9]!id221?conid</f>
        <v>12588744</v>
      </c>
      <c r="O362" s="6">
        <f>[9]!id221?minTick</f>
        <v>0.01</v>
      </c>
      <c r="P362" s="6">
        <f>[9]!id221?multiplier</f>
        <v>0</v>
      </c>
      <c r="Q362" s="6" t="str">
        <f>[9]!id221?marketName</f>
        <v>COL</v>
      </c>
      <c r="R362" s="6" t="str">
        <f>[9]!id221?tradingClass</f>
        <v>COL</v>
      </c>
    </row>
    <row r="363" spans="1:18" hidden="1" x14ac:dyDescent="0.2">
      <c r="A363" s="176" t="s">
        <v>1078</v>
      </c>
      <c r="B363" s="13" t="s">
        <v>12</v>
      </c>
      <c r="C363" s="13" t="b">
        <f t="shared" si="4"/>
        <v>1</v>
      </c>
      <c r="D363" s="13"/>
      <c r="E363" s="63"/>
      <c r="F363" s="13"/>
      <c r="G363" s="13"/>
      <c r="H363" s="13" t="s">
        <v>68</v>
      </c>
      <c r="I363" s="101" t="s">
        <v>44</v>
      </c>
      <c r="J363" s="101"/>
      <c r="K363" s="6">
        <f>[9]!'id222?req?STJ_STK_SMART_USD_~/'</f>
        <v>0</v>
      </c>
      <c r="L363" s="6" t="str">
        <f>[9]!id222?orderTypes</f>
        <v>ACTIVETIM,ADJUST,ALERT,ALGO,ALLOC,AON,AVGCOST,BASKET,COND,CONDORDER,DARKONLY,DARKPOLL,DAY,DEACT,DEACTDIS,DEACTEOD,DIS,GAT,GTC,GTD,GTT,HID,IBKRATS,ICE,IMB,IOC,LIT,LMT,LOC,MIT,MKT,MOC,MTL,NGCOMB,NODARK,NONALGO,OCA,OPG,OPGREROUT,PEGBENCH,POSTONLY,PREOPGRTH,R</v>
      </c>
      <c r="M363" s="6" t="str">
        <f>[9]!id222?validExchanges</f>
        <v>SMART,NYSE,CBOE,ISE,CHX,ARCA,ISLAND,VWAP,DRCTEDGE,NSX,BEX,BATS,EDGEA,CSFBALGO,JEFFALGO,BYX,IEX,TPLUS2,PSX</v>
      </c>
      <c r="N363" s="6">
        <f>[9]!id222?conid</f>
        <v>2467215</v>
      </c>
      <c r="O363" s="6">
        <f>[9]!id222?minTick</f>
        <v>0.01</v>
      </c>
      <c r="P363" s="6">
        <f>[9]!id222?multiplier</f>
        <v>0</v>
      </c>
      <c r="Q363" s="6" t="str">
        <f>[9]!id222?marketName</f>
        <v>STJ</v>
      </c>
      <c r="R363" s="6" t="str">
        <f>[9]!id222?tradingClass</f>
        <v>STJ</v>
      </c>
    </row>
    <row r="364" spans="1:18" hidden="1" x14ac:dyDescent="0.2">
      <c r="A364" s="176" t="s">
        <v>1079</v>
      </c>
      <c r="B364" s="13" t="s">
        <v>12</v>
      </c>
      <c r="C364" s="13" t="b">
        <f t="shared" si="4"/>
        <v>1</v>
      </c>
      <c r="D364" s="13"/>
      <c r="E364" s="63"/>
      <c r="F364" s="13"/>
      <c r="G364" s="13"/>
      <c r="H364" s="13" t="s">
        <v>68</v>
      </c>
      <c r="I364" s="101" t="s">
        <v>44</v>
      </c>
      <c r="J364" s="101"/>
      <c r="K364" s="6">
        <f>[9]!'id223?req?TRV_STK_SMART_USD_~/'</f>
        <v>0</v>
      </c>
      <c r="L364" s="6" t="str">
        <f>[9]!id223?orderTypes</f>
        <v>ACTIVETIM,ADJUST,ALERT,ALGO,ALLOC,AON,AVGCOST,BASKET,COND,CONDORDER,DARKONLY,DARKPOLL,DAY,DEACT,DEACTDIS,DEACTEOD,DIS,GAT,GTC,GTD,GTT,HID,IBKRATS,ICE,IMB,IOC,LIT,LMT,LOC,MIT,MKT,MOC,MTL,NGCOMB,NODARK,NONALGO,OCA,OPG,OPGREROUT,PEGBENCH,POSTONLY,PREOPGRTH,R</v>
      </c>
      <c r="M364" s="6" t="str">
        <f>[9]!id223?validExchanges</f>
        <v>SMART,NYSE,CBOE,ISE,CHX,ARCA,ISLAND,DRCTEDGE,NSX,BEX,BATS,EDGEA,CSFBALGO,JEFFALGO,BYX,IEX,TPLUS2,PSX</v>
      </c>
      <c r="N364" s="6">
        <f>[9]!id223?conid</f>
        <v>43150617</v>
      </c>
      <c r="O364" s="6">
        <f>[9]!id223?minTick</f>
        <v>0.01</v>
      </c>
      <c r="P364" s="6">
        <f>[9]!id223?multiplier</f>
        <v>0</v>
      </c>
      <c r="Q364" s="6" t="str">
        <f>[9]!id223?marketName</f>
        <v>TRV</v>
      </c>
      <c r="R364" s="6" t="str">
        <f>[9]!id223?tradingClass</f>
        <v>TRV</v>
      </c>
    </row>
    <row r="365" spans="1:18" hidden="1" x14ac:dyDescent="0.2">
      <c r="A365" s="176" t="s">
        <v>1080</v>
      </c>
      <c r="B365" s="13" t="s">
        <v>12</v>
      </c>
      <c r="C365" s="13" t="b">
        <f t="shared" si="4"/>
        <v>1</v>
      </c>
      <c r="D365" s="13"/>
      <c r="E365" s="63"/>
      <c r="F365" s="13"/>
      <c r="G365" s="13"/>
      <c r="H365" s="13" t="s">
        <v>68</v>
      </c>
      <c r="I365" s="101" t="s">
        <v>44</v>
      </c>
      <c r="J365" s="101"/>
      <c r="K365" s="6">
        <f>[9]!'id224?req?FIS_STK_SMART_USD_~/'</f>
        <v>0</v>
      </c>
      <c r="L365" s="6" t="str">
        <f>[9]!id224?orderTypes</f>
        <v>ACTIVETIM,ADJUST,ALERT,ALGO,ALLOC,AON,AVGCOST,BASKET,COND,CONDORDER,DARKONLY,DARKPOLL,DAY,DEACT,DEACTDIS,DEACTEOD,DIS,GAT,GTC,GTD,GTT,HID,IBKRATS,ICE,IMB,IOC,LIT,LMT,LOC,MIT,MKT,MOC,MTL,NGCOMB,NODARK,NONALGO,OCA,OPG,OPGREROUT,PEGBENCH,POSTONLY,PREOPGRTH,R</v>
      </c>
      <c r="M365" s="6" t="str">
        <f>[9]!id224?validExchanges</f>
        <v>SMART,NYSE,CBOE,ISE,CHX,ARCA,ISLAND,VWAP,DRCTEDGE,NSX,BEX,BATS,EDGEA,CSFBALGO,JEFFALGO,BYX,IEX,TPLUS2,PSX</v>
      </c>
      <c r="N365" s="6">
        <f>[9]!id224?conid</f>
        <v>37866641</v>
      </c>
      <c r="O365" s="6">
        <f>[9]!id224?minTick</f>
        <v>0.01</v>
      </c>
      <c r="P365" s="6">
        <f>[9]!id224?multiplier</f>
        <v>0</v>
      </c>
      <c r="Q365" s="6" t="str">
        <f>[9]!id224?marketName</f>
        <v>FIS</v>
      </c>
      <c r="R365" s="6" t="str">
        <f>[9]!id224?tradingClass</f>
        <v>FIS</v>
      </c>
    </row>
    <row r="366" spans="1:18" hidden="1" x14ac:dyDescent="0.2">
      <c r="A366" s="176" t="s">
        <v>1081</v>
      </c>
      <c r="B366" s="13" t="s">
        <v>12</v>
      </c>
      <c r="C366" s="13" t="b">
        <f t="shared" si="4"/>
        <v>1</v>
      </c>
      <c r="D366" s="13"/>
      <c r="E366" s="63"/>
      <c r="F366" s="13"/>
      <c r="G366" s="13"/>
      <c r="H366" s="13" t="s">
        <v>68</v>
      </c>
      <c r="I366" s="101" t="s">
        <v>44</v>
      </c>
      <c r="J366" s="101"/>
      <c r="K366" s="6">
        <f>[9]!'id225?req?MRK_STK_SMART_USD_~/'</f>
        <v>0</v>
      </c>
      <c r="L366" s="6" t="str">
        <f>[9]!id225?orderTypes</f>
        <v>ACTIVETIM,ADJUST,ALERT,ALGO,ALLOC,AON,AVGCOST,BASKET,COND,CONDORDER,DARKONLY,DARKPOLL,DAY,DEACT,DEACTDIS,DEACTEOD,DIS,GAT,GTC,GTD,GTT,HID,IBKRATS,ICE,IMB,IOC,LIT,LMT,LOC,MIT,MKT,MOC,MTL,NGCOMB,NODARK,NONALGO,OCA,OPG,OPGREROUT,PEGBENCH,POSTONLY,PREOPGRTH,R</v>
      </c>
      <c r="M366" s="6" t="str">
        <f>[9]!id225?validExchanges</f>
        <v>SMART,NYSE,CBOE,ISE,CHX,ARCA,ISLAND,VWAP,DRCTEDGE,NSX,BEX,BATS,EDGEA,CSFBALGO,JEFFALGO,BYX,IEX,TPLUS2,PSX</v>
      </c>
      <c r="N366" s="6">
        <f>[9]!id225?conid</f>
        <v>70101545</v>
      </c>
      <c r="O366" s="6">
        <f>[9]!id225?minTick</f>
        <v>0.01</v>
      </c>
      <c r="P366" s="6">
        <f>[9]!id225?multiplier</f>
        <v>0</v>
      </c>
      <c r="Q366" s="6" t="str">
        <f>[9]!id225?marketName</f>
        <v>MRK</v>
      </c>
      <c r="R366" s="6" t="str">
        <f>[9]!id225?tradingClass</f>
        <v>MRK</v>
      </c>
    </row>
    <row r="367" spans="1:18" hidden="1" x14ac:dyDescent="0.2">
      <c r="A367" s="176" t="s">
        <v>1082</v>
      </c>
      <c r="B367" s="13" t="s">
        <v>12</v>
      </c>
      <c r="C367" s="13" t="b">
        <f t="shared" si="4"/>
        <v>0</v>
      </c>
      <c r="D367" s="13"/>
      <c r="E367" s="63"/>
      <c r="F367" s="13"/>
      <c r="G367" s="13"/>
      <c r="H367" s="13" t="s">
        <v>68</v>
      </c>
      <c r="I367" s="101" t="s">
        <v>44</v>
      </c>
      <c r="J367" s="101"/>
      <c r="K367" s="6">
        <f>[9]!'id226?req?PCLN_STK_SMART_USD_~/'</f>
        <v>0</v>
      </c>
      <c r="L367" s="6" t="str">
        <f>[9]!id226?orderTypes</f>
        <v>ACTIVETIM,ADJUST,ALERT,ALGO,ALLOC,AON,AVGCOST,BASKET,COND,CONDORDER,DARKONLY,DARKPOLL,DAY,DEACT,DEACTDIS,DEACTEOD,DIS,GAT,GTC,GTD,GTT,HID,IBKRATS,ICE,IMB,IOC,LIT,LMT,LOC,MIT,MKT,MOC,MTL,NGCOMB,NODARK,NONALGO,OCA,OPG,OPGREROUT,PEGBENCH,POSTONLY,PREOPGRTH,R</v>
      </c>
      <c r="M367" s="6" t="str">
        <f>[9]!id226?validExchanges</f>
        <v>SMART,CBOE,ISE,CHX,ARCA,ISLAND,DRCTEDGE,NSX,BEX,BATS,EDGEA,CSFBALGO,JEFFALGO,BYX,IEX,TPLUS2,PSX</v>
      </c>
      <c r="N367" s="6">
        <f>[9]!id226?conid</f>
        <v>4651842</v>
      </c>
      <c r="O367" s="6">
        <f>[9]!id226?minTick</f>
        <v>0.01</v>
      </c>
      <c r="P367" s="6">
        <f>[9]!id226?multiplier</f>
        <v>0</v>
      </c>
      <c r="Q367" s="6" t="str">
        <f>[9]!id226?marketName</f>
        <v>NMS</v>
      </c>
      <c r="R367" s="6" t="str">
        <f>[9]!id226?tradingClass</f>
        <v>NMS</v>
      </c>
    </row>
    <row r="368" spans="1:18" hidden="1" x14ac:dyDescent="0.2">
      <c r="A368" s="176" t="s">
        <v>1083</v>
      </c>
      <c r="B368" s="13" t="s">
        <v>12</v>
      </c>
      <c r="C368" s="13" t="b">
        <f t="shared" si="4"/>
        <v>1</v>
      </c>
      <c r="D368" s="13"/>
      <c r="E368" s="63"/>
      <c r="F368" s="13"/>
      <c r="G368" s="13"/>
      <c r="H368" s="13" t="s">
        <v>68</v>
      </c>
      <c r="I368" s="101" t="s">
        <v>44</v>
      </c>
      <c r="J368" s="101"/>
      <c r="K368" s="6">
        <f>[9]!'id227?req?SLB_STK_SMART_USD_~/'</f>
        <v>0</v>
      </c>
      <c r="L368" s="6" t="str">
        <f>[9]!id227?orderTypes</f>
        <v>ACTIVETIM,ADJUST,ALERT,ALGO,ALLOC,AON,AVGCOST,BASKET,COND,CONDORDER,DARKONLY,DARKPOLL,DAY,DEACT,DEACTDIS,DEACTEOD,DIS,GAT,GTC,GTD,GTT,HID,IBKRATS,ICE,IMB,IOC,LIT,LMT,LOC,MIT,MKT,MOC,MTL,NGCOMB,NODARK,NONALGO,OCA,OPG,OPGREROUT,PEGBENCH,POSTONLY,PREOPGRTH,R</v>
      </c>
      <c r="M368" s="6" t="str">
        <f>[9]!id227?validExchanges</f>
        <v>SMART,NYSE,CBOE,ISE,CHX,ARCA,ISLAND,VWAP,DRCTEDGE,NSX,BEX,BATS,EDGEA,CSFBALGO,JEFFALGO,BYX,IEX,TPLUS2,PSX</v>
      </c>
      <c r="N368" s="6">
        <f>[9]!id227?conid</f>
        <v>12200</v>
      </c>
      <c r="O368" s="6">
        <f>[9]!id227?minTick</f>
        <v>0.01</v>
      </c>
      <c r="P368" s="6">
        <f>[9]!id227?multiplier</f>
        <v>0</v>
      </c>
      <c r="Q368" s="6" t="str">
        <f>[9]!id227?marketName</f>
        <v>SLB</v>
      </c>
      <c r="R368" s="6" t="str">
        <f>[9]!id227?tradingClass</f>
        <v>SLB</v>
      </c>
    </row>
    <row r="369" spans="1:18" hidden="1" x14ac:dyDescent="0.2">
      <c r="A369" s="176" t="s">
        <v>1084</v>
      </c>
      <c r="B369" s="13" t="s">
        <v>12</v>
      </c>
      <c r="C369" s="13" t="b">
        <f t="shared" si="4"/>
        <v>1</v>
      </c>
      <c r="D369" s="13"/>
      <c r="E369" s="63"/>
      <c r="F369" s="13"/>
      <c r="G369" s="13"/>
      <c r="H369" s="13" t="s">
        <v>68</v>
      </c>
      <c r="I369" s="101" t="s">
        <v>44</v>
      </c>
      <c r="J369" s="101"/>
      <c r="K369" s="6">
        <f>[9]!'id228?req?SCHW_STK_SMART_USD_~/'</f>
        <v>0</v>
      </c>
      <c r="L369" s="6" t="str">
        <f>[9]!id228?orderTypes</f>
        <v>ACTIVETIM,ADJUST,ALERT,ALGO,ALLOC,AON,AVGCOST,BASKET,COND,CONDORDER,DARKONLY,DARKPOLL,DAY,DEACT,DEACTDIS,DEACTEOD,DIS,GAT,GTC,GTD,GTT,HID,IBKRATS,ICE,IMB,IOC,LIT,LMT,LOC,MIT,MKT,MOC,MTL,NGCOMB,NODARK,NONALGO,OCA,OPG,OPGREROUT,PEGBENCH,POSTONLY,PREOPGRTH,R</v>
      </c>
      <c r="M369" s="6" t="str">
        <f>[9]!id228?validExchanges</f>
        <v>SMART,NYSE,CBOE,ISE,CHX,ARCA,ISLAND,VWAP,DRCTEDGE,NSX,BEX,BATS,EDGEA,CSFBALGO,JEFFALGO,BYX,IEX,TPLUS2,PSX</v>
      </c>
      <c r="N369" s="6">
        <f>[9]!id228?conid</f>
        <v>11905</v>
      </c>
      <c r="O369" s="6">
        <f>[9]!id228?minTick</f>
        <v>0.01</v>
      </c>
      <c r="P369" s="6">
        <f>[9]!id228?multiplier</f>
        <v>0</v>
      </c>
      <c r="Q369" s="6" t="str">
        <f>[9]!id228?marketName</f>
        <v>SCHW</v>
      </c>
      <c r="R369" s="6" t="str">
        <f>[9]!id228?tradingClass</f>
        <v>SCHW</v>
      </c>
    </row>
    <row r="370" spans="1:18" hidden="1" x14ac:dyDescent="0.2">
      <c r="A370" s="176" t="s">
        <v>1085</v>
      </c>
      <c r="B370" s="13" t="s">
        <v>12</v>
      </c>
      <c r="C370" s="13" t="b">
        <f t="shared" si="4"/>
        <v>1</v>
      </c>
      <c r="D370" s="13"/>
      <c r="E370" s="63"/>
      <c r="F370" s="13"/>
      <c r="G370" s="13"/>
      <c r="H370" s="13" t="s">
        <v>68</v>
      </c>
      <c r="I370" s="101" t="s">
        <v>44</v>
      </c>
      <c r="J370" s="101"/>
      <c r="K370" s="6">
        <f>[9]!'id229?req?ZBH_STK_SMART_USD_~/'</f>
        <v>0</v>
      </c>
      <c r="L370" s="6" t="str">
        <f>[9]!id229?orderTypes</f>
        <v>ACTIVETIM,ADJUST,ALERT,ALGO,ALLOC,AON,AVGCOST,BASKET,COND,CONDORDER,DARKONLY,DARKPOLL,DAY,DEACT,DEACTDIS,DEACTEOD,DIS,GAT,GTC,GTD,GTT,HID,IBKRATS,ICE,IMB,IOC,LIT,LMT,LOC,MIT,MKT,MOC,MTL,NGCOMB,NODARK,NONALGO,OCA,OPG,OPGREROUT,PEGBENCH,POSTONLY,PREOPGRTH,R</v>
      </c>
      <c r="M370" s="6" t="str">
        <f>[9]!id229?validExchanges</f>
        <v>SMART,NYSE,CBOE,ISE,CHX,ARCA,ISLAND,VWAP,DRCTEDGE,NSX,BEX,BATS,EDGEA,CSFBALGO,JEFFALGO,BYX,IEX,TPLUS2,PSX</v>
      </c>
      <c r="N370" s="6">
        <f>[9]!id229?conid</f>
        <v>12851783</v>
      </c>
      <c r="O370" s="6">
        <f>[9]!id229?minTick</f>
        <v>0.01</v>
      </c>
      <c r="P370" s="6">
        <f>[9]!id229?multiplier</f>
        <v>0</v>
      </c>
      <c r="Q370" s="6" t="str">
        <f>[9]!id229?marketName</f>
        <v>ZBH</v>
      </c>
      <c r="R370" s="6" t="str">
        <f>[9]!id229?tradingClass</f>
        <v>ZBH</v>
      </c>
    </row>
    <row r="371" spans="1:18" hidden="1" x14ac:dyDescent="0.2">
      <c r="A371" s="176" t="s">
        <v>1086</v>
      </c>
      <c r="B371" s="13" t="s">
        <v>12</v>
      </c>
      <c r="C371" s="13" t="b">
        <f t="shared" si="4"/>
        <v>1</v>
      </c>
      <c r="D371" s="13"/>
      <c r="E371" s="63"/>
      <c r="F371" s="13"/>
      <c r="G371" s="13"/>
      <c r="H371" s="13" t="s">
        <v>68</v>
      </c>
      <c r="I371" s="101" t="s">
        <v>44</v>
      </c>
      <c r="J371" s="101"/>
      <c r="K371" s="6">
        <f>[9]!'id230?req?ABC_STK_SMART_USD_~/'</f>
        <v>0</v>
      </c>
      <c r="L371" s="6" t="str">
        <f>[9]!id230?orderTypes</f>
        <v>ACTIVETIM,ADJUST,ALERT,ALGO,ALLOC,AON,AVGCOST,BASKET,COND,CONDORDER,DARKONLY,DARKPOLL,DAY,DEACT,DEACTDIS,DEACTEOD,DIS,GAT,GTC,GTD,GTT,HID,IBKRATS,ICE,IMB,IOC,LIT,LMT,LOC,MIT,MKT,MOC,MTL,NGCOMB,NODARK,NONALGO,OCA,OPG,OPGREROUT,PEGBENCH,POSTONLY,PREOPGRTH,R</v>
      </c>
      <c r="M371" s="6" t="str">
        <f>[9]!id230?validExchanges</f>
        <v>SMART,NYSE,CBOE,ISE,CHX,ARCA,ISLAND,VWAP,DRCTEDGE,NSX,BEX,BATS,EDGEA,CSFBALGO,JEFFALGO,BYX,IEX,TPLUS2,PSX</v>
      </c>
      <c r="N371" s="6">
        <f>[9]!id230?conid</f>
        <v>1714996</v>
      </c>
      <c r="O371" s="6">
        <f>[9]!id230?minTick</f>
        <v>0.01</v>
      </c>
      <c r="P371" s="6">
        <f>[9]!id230?multiplier</f>
        <v>0</v>
      </c>
      <c r="Q371" s="6" t="str">
        <f>[9]!id230?marketName</f>
        <v>ABC</v>
      </c>
      <c r="R371" s="6" t="str">
        <f>[9]!id230?tradingClass</f>
        <v>ABC</v>
      </c>
    </row>
    <row r="372" spans="1:18" hidden="1" x14ac:dyDescent="0.2">
      <c r="A372" s="176" t="s">
        <v>1087</v>
      </c>
      <c r="B372" s="13" t="s">
        <v>12</v>
      </c>
      <c r="C372" s="13" t="b">
        <f t="shared" si="4"/>
        <v>1</v>
      </c>
      <c r="D372" s="13"/>
      <c r="E372" s="63"/>
      <c r="F372" s="13"/>
      <c r="G372" s="13"/>
      <c r="H372" s="13" t="s">
        <v>68</v>
      </c>
      <c r="I372" s="101" t="s">
        <v>44</v>
      </c>
      <c r="J372" s="101"/>
      <c r="K372" s="6">
        <f>[9]!'id231?req?PFG_STK_SMART_USD_~/'</f>
        <v>0</v>
      </c>
      <c r="L372" s="6" t="str">
        <f>[9]!id231?orderTypes</f>
        <v>ACTIVETIM,ADJUST,ALERT,ALGO,ALLOC,AON,AVGCOST,BASKET,COND,CONDORDER,DARKONLY,DARKPOLL,DAY,DEACT,DEACTDIS,DEACTEOD,DIS,GAT,GTC,GTD,GTT,HID,IBKRATS,ICE,IMB,IOC,LIT,LMT,LOC,MIT,MKT,MOC,MTL,NGCOMB,NODARK,NONALGO,OCA,OPG,OPGREROUT,PEGBENCH,POSTONLY,PREOPGRTH,R</v>
      </c>
      <c r="M372" s="6" t="str">
        <f>[9]!id231?validExchanges</f>
        <v>SMART,NYSE,CBOE,ISE,CHX,ARCA,ISLAND,VWAP,DRCTEDGE,NSX,BEX,BATS,EDGEA,CSFBALGO,JEFFALGO,BYX,IEX,TPLUS2,PSX</v>
      </c>
      <c r="N372" s="6">
        <f>[9]!id231?conid</f>
        <v>11032</v>
      </c>
      <c r="O372" s="6">
        <f>[9]!id231?minTick</f>
        <v>0.01</v>
      </c>
      <c r="P372" s="6">
        <f>[9]!id231?multiplier</f>
        <v>0</v>
      </c>
      <c r="Q372" s="6" t="str">
        <f>[9]!id231?marketName</f>
        <v>PFG</v>
      </c>
      <c r="R372" s="6" t="str">
        <f>[9]!id231?tradingClass</f>
        <v>PFG</v>
      </c>
    </row>
    <row r="373" spans="1:18" hidden="1" x14ac:dyDescent="0.2">
      <c r="A373" s="176" t="s">
        <v>1088</v>
      </c>
      <c r="B373" s="13" t="s">
        <v>12</v>
      </c>
      <c r="C373" s="13" t="b">
        <f t="shared" si="4"/>
        <v>1</v>
      </c>
      <c r="D373" s="13"/>
      <c r="E373" s="63"/>
      <c r="F373" s="13"/>
      <c r="G373" s="13"/>
      <c r="H373" s="13" t="s">
        <v>68</v>
      </c>
      <c r="I373" s="101" t="s">
        <v>44</v>
      </c>
      <c r="J373" s="101"/>
      <c r="K373" s="6">
        <f>[9]!'id232?req?SHW_STK_SMART_USD_~/'</f>
        <v>0</v>
      </c>
      <c r="L373" s="6" t="str">
        <f>[9]!id232?orderTypes</f>
        <v>ACTIVETIM,ADJUST,ALERT,ALGO,ALLOC,AON,AVGCOST,BASKET,COND,CONDORDER,DARKONLY,DARKPOLL,DAY,DEACT,DEACTDIS,DEACTEOD,DIS,GAT,GTC,GTD,GTT,HID,IBKRATS,ICE,IMB,IOC,LIT,LMT,LOC,MIT,MKT,MOC,MTL,NGCOMB,NODARK,NONALGO,OCA,OPG,OPGREROUT,PEGBENCH,POSTONLY,PREOPGRTH,R</v>
      </c>
      <c r="M373" s="6" t="str">
        <f>[9]!id232?validExchanges</f>
        <v>SMART,NYSE,CBOE,ISE,CHX,ARCA,ISLAND,VWAP,DRCTEDGE,NSX,BEX,BATS,EDGEA,CSFBALGO,JEFFALGO,BYX,IEX,TPLUS2,PSX</v>
      </c>
      <c r="N373" s="6">
        <f>[9]!id232?conid</f>
        <v>12120</v>
      </c>
      <c r="O373" s="6">
        <f>[9]!id232?minTick</f>
        <v>0.01</v>
      </c>
      <c r="P373" s="6">
        <f>[9]!id232?multiplier</f>
        <v>0</v>
      </c>
      <c r="Q373" s="6" t="str">
        <f>[9]!id232?marketName</f>
        <v>SHW</v>
      </c>
      <c r="R373" s="6" t="str">
        <f>[9]!id232?tradingClass</f>
        <v>SHW</v>
      </c>
    </row>
    <row r="374" spans="1:18" hidden="1" x14ac:dyDescent="0.2">
      <c r="A374" s="176" t="s">
        <v>1089</v>
      </c>
      <c r="B374" s="13" t="s">
        <v>12</v>
      </c>
      <c r="C374" s="13" t="b">
        <f t="shared" si="4"/>
        <v>1</v>
      </c>
      <c r="D374" s="13"/>
      <c r="E374" s="63"/>
      <c r="F374" s="13"/>
      <c r="G374" s="13"/>
      <c r="H374" s="13" t="s">
        <v>68</v>
      </c>
      <c r="I374" s="101" t="s">
        <v>44</v>
      </c>
      <c r="J374" s="101"/>
      <c r="K374" s="6">
        <f>[9]!'id233?req?SPG_STK_SMART_USD_~/'</f>
        <v>0</v>
      </c>
      <c r="L374" s="6" t="str">
        <f>[9]!id233?orderTypes</f>
        <v>ACTIVETIM,ADJUST,ALERT,ALGO,ALLOC,AON,AVGCOST,BASKET,COND,CONDORDER,DARKONLY,DARKPOLL,DAY,DEACT,DEACTDIS,DEACTEOD,DIS,GAT,GTC,GTD,GTT,HID,IBKRATS,ICE,IMB,IOC,LIT,LMT,LOC,MIT,MKT,MOC,MTL,NGCOMB,NODARK,NONALGO,OCA,OPG,OPGREROUT,PEGBENCH,POSTONLY,PREOPGRTH,R</v>
      </c>
      <c r="M374" s="6" t="str">
        <f>[9]!id233?validExchanges</f>
        <v>SMART,NYSE,CBOE,ISE,CHX,ARCA,ISLAND,VWAP,DRCTEDGE,NSX,BEX,BATS,EDGEA,CSFBALGO,JEFFALGO,BYX,IEX,TPLUS2,PSX</v>
      </c>
      <c r="N374" s="6">
        <f>[9]!id233?conid</f>
        <v>2009113</v>
      </c>
      <c r="O374" s="6">
        <f>[9]!id233?minTick</f>
        <v>0.01</v>
      </c>
      <c r="P374" s="6">
        <f>[9]!id233?multiplier</f>
        <v>0</v>
      </c>
      <c r="Q374" s="6" t="str">
        <f>[9]!id233?marketName</f>
        <v>SPG</v>
      </c>
      <c r="R374" s="6" t="str">
        <f>[9]!id233?tradingClass</f>
        <v>SPG</v>
      </c>
    </row>
    <row r="375" spans="1:18" hidden="1" x14ac:dyDescent="0.2">
      <c r="A375" s="176" t="s">
        <v>1090</v>
      </c>
      <c r="B375" s="13" t="s">
        <v>12</v>
      </c>
      <c r="C375" s="13" t="b">
        <f t="shared" si="4"/>
        <v>1</v>
      </c>
      <c r="D375" s="13"/>
      <c r="E375" s="63"/>
      <c r="F375" s="13"/>
      <c r="G375" s="13"/>
      <c r="H375" s="13" t="s">
        <v>68</v>
      </c>
      <c r="I375" s="101" t="s">
        <v>44</v>
      </c>
      <c r="J375" s="101"/>
      <c r="K375" s="6">
        <f>[9]!'id234?req?SNA_STK_SMART_USD_~/'</f>
        <v>0</v>
      </c>
      <c r="L375" s="6" t="str">
        <f>[9]!id234?orderTypes</f>
        <v>ACTIVETIM,ADJUST,ALERT,ALGO,ALLOC,AON,AVGCOST,BASKET,COND,CONDORDER,DARKONLY,DARKPOLL,DAY,DEACT,DEACTDIS,DEACTEOD,DIS,GAT,GTC,GTD,GTT,HID,IBKRATS,ICE,IMB,IOC,LIT,LMT,LOC,MIT,MKT,MOC,MTL,NGCOMB,NODARK,NONALGO,OCA,OPG,OPGREROUT,PEGBENCH,POSTONLY,PREOPGRTH,R</v>
      </c>
      <c r="M375" s="6" t="str">
        <f>[9]!id234?validExchanges</f>
        <v>SMART,NYSE,CBOE,ISE,CHX,ARCA,ISLAND,VWAP,DRCTEDGE,NSX,BEX,BATS,EDGEA,CSFBALGO,JEFFALGO,BYX,IEX,TPLUS2,PSX</v>
      </c>
      <c r="N375" s="6">
        <f>[9]!id234?conid</f>
        <v>12259</v>
      </c>
      <c r="O375" s="6">
        <f>[9]!id234?minTick</f>
        <v>0.01</v>
      </c>
      <c r="P375" s="6">
        <f>[9]!id234?multiplier</f>
        <v>0</v>
      </c>
      <c r="Q375" s="6" t="str">
        <f>[9]!id234?marketName</f>
        <v>SNA</v>
      </c>
      <c r="R375" s="6" t="str">
        <f>[9]!id234?tradingClass</f>
        <v>SNA</v>
      </c>
    </row>
    <row r="376" spans="1:18" hidden="1" x14ac:dyDescent="0.2">
      <c r="A376" s="176" t="s">
        <v>1091</v>
      </c>
      <c r="B376" s="13" t="s">
        <v>12</v>
      </c>
      <c r="C376" s="13" t="b">
        <f t="shared" si="4"/>
        <v>1</v>
      </c>
      <c r="D376" s="13"/>
      <c r="E376" s="63"/>
      <c r="F376" s="13"/>
      <c r="G376" s="13"/>
      <c r="H376" s="13" t="s">
        <v>68</v>
      </c>
      <c r="I376" s="101" t="s">
        <v>44</v>
      </c>
      <c r="J376" s="101"/>
      <c r="K376" s="6">
        <f>[9]!'id235?req?PRU_STK_SMART_USD_~/'</f>
        <v>0</v>
      </c>
      <c r="L376" s="6" t="str">
        <f>[9]!id235?orderTypes</f>
        <v>ACTIVETIM,ADJUST,ALERT,ALGO,ALLOC,AON,AVGCOST,BASKET,COND,CONDORDER,DARKONLY,DARKPOLL,DAY,DEACT,DEACTDIS,DEACTEOD,DIS,GAT,GTC,GTD,GTT,HID,IBKRATS,ICE,IMB,IOC,LIT,LMT,LOC,MIT,MKT,MOC,MTL,NGCOMB,NODARK,NONALGO,OCA,OPG,OPGREROUT,PEGBENCH,POSTONLY,PREOPGRTH,R</v>
      </c>
      <c r="M376" s="6" t="str">
        <f>[9]!id235?validExchanges</f>
        <v>SMART,NYSE,CBOE,ISE,CHX,ARCA,ISLAND,VWAP,DRCTEDGE,NSX,BEX,BATS,EDGEA,CSFBALGO,JEFFALGO,BYX,IEX,TPLUS2,PSX</v>
      </c>
      <c r="N376" s="6">
        <f>[9]!id235?conid</f>
        <v>13865082</v>
      </c>
      <c r="O376" s="6">
        <f>[9]!id235?minTick</f>
        <v>0.01</v>
      </c>
      <c r="P376" s="6">
        <f>[9]!id235?multiplier</f>
        <v>0</v>
      </c>
      <c r="Q376" s="6" t="str">
        <f>[9]!id235?marketName</f>
        <v>PRU</v>
      </c>
      <c r="R376" s="6" t="str">
        <f>[9]!id235?tradingClass</f>
        <v>PRU</v>
      </c>
    </row>
    <row r="377" spans="1:18" hidden="1" x14ac:dyDescent="0.2">
      <c r="A377" s="176" t="s">
        <v>1092</v>
      </c>
      <c r="B377" s="13" t="s">
        <v>12</v>
      </c>
      <c r="C377" s="13" t="b">
        <f t="shared" si="4"/>
        <v>1</v>
      </c>
      <c r="D377" s="13"/>
      <c r="E377" s="63"/>
      <c r="F377" s="13"/>
      <c r="G377" s="13"/>
      <c r="H377" s="13" t="s">
        <v>68</v>
      </c>
      <c r="I377" s="101" t="s">
        <v>44</v>
      </c>
      <c r="J377" s="101"/>
      <c r="K377" s="6">
        <f>[9]!'id236?req?AAP_STK_SMART_USD_~/'</f>
        <v>0</v>
      </c>
      <c r="L377" s="6" t="str">
        <f>[9]!id236?orderTypes</f>
        <v>ACTIVETIM,ADJUST,ALERT,ALGO,ALLOC,AON,AVGCOST,BASKET,COND,CONDORDER,DARKONLY,DARKPOLL,DAY,DEACT,DEACTDIS,DEACTEOD,DIS,GAT,GTC,GTD,GTT,HID,IBKRATS,ICE,IMB,IOC,LIT,LMT,LOC,MIT,MKT,MOC,MTL,NGCOMB,NODARK,NONALGO,OCA,OPG,OPGREROUT,PEGBENCH,POSTONLY,PREOPGRTH,R</v>
      </c>
      <c r="M377" s="6" t="str">
        <f>[9]!id236?validExchanges</f>
        <v>SMART,NYSE,CBOE,ISE,CHX,ARCA,ISLAND,DRCTEDGE,NSX,BEX,BATS,EDGEA,CSFBALGO,JEFFALGO,BYX,IEX,TPLUS2,PSX</v>
      </c>
      <c r="N377" s="6">
        <f>[9]!id236?conid</f>
        <v>4027</v>
      </c>
      <c r="O377" s="6">
        <f>[9]!id236?minTick</f>
        <v>0.01</v>
      </c>
      <c r="P377" s="6">
        <f>[9]!id236?multiplier</f>
        <v>0</v>
      </c>
      <c r="Q377" s="6" t="str">
        <f>[9]!id236?marketName</f>
        <v>AAP</v>
      </c>
      <c r="R377" s="6" t="str">
        <f>[9]!id236?tradingClass</f>
        <v>AAP</v>
      </c>
    </row>
    <row r="378" spans="1:18" hidden="1" x14ac:dyDescent="0.2">
      <c r="A378" s="176" t="s">
        <v>1093</v>
      </c>
      <c r="B378" s="13" t="s">
        <v>12</v>
      </c>
      <c r="C378" s="13" t="b">
        <f t="shared" si="4"/>
        <v>1</v>
      </c>
      <c r="D378" s="13"/>
      <c r="E378" s="63"/>
      <c r="F378" s="13"/>
      <c r="G378" s="13"/>
      <c r="H378" s="13" t="s">
        <v>68</v>
      </c>
      <c r="I378" s="101" t="s">
        <v>44</v>
      </c>
      <c r="J378" s="101"/>
      <c r="K378" s="6">
        <f>[9]!'id237?req?SWN_STK_SMART_USD_~/'</f>
        <v>0</v>
      </c>
      <c r="L378" s="6" t="str">
        <f>[9]!id237?orderTypes</f>
        <v>ACTIVETIM,ADJUST,ALERT,ALGO,ALLOC,AON,AVGCOST,BASKET,COND,CONDORDER,DARKONLY,DARKPOLL,DAY,DEACT,DEACTDIS,DEACTEOD,DIS,GAT,GTC,GTD,GTT,HID,IBKRATS,ICE,IMB,IOC,LIT,LMT,LOC,MIT,MKT,MOC,MTL,NGCOMB,NODARK,NONALGO,OCA,OPG,OPGREROUT,PEGBENCH,POSTONLY,PREOPGRTH,R</v>
      </c>
      <c r="M378" s="6" t="str">
        <f>[9]!id237?validExchanges</f>
        <v>SMART,NYSE,CBOE,ISE,CHX,ARCA,ISLAND,DRCTEDGE,NSX,BEX,BATS,EDGEA,CSFBALGO,JEFFALGO,BYX,IEX,TPLUS2,PSX</v>
      </c>
      <c r="N378" s="6">
        <f>[9]!id237?conid</f>
        <v>12531</v>
      </c>
      <c r="O378" s="6">
        <f>[9]!id237?minTick</f>
        <v>0.01</v>
      </c>
      <c r="P378" s="6">
        <f>[9]!id237?multiplier</f>
        <v>0</v>
      </c>
      <c r="Q378" s="6" t="str">
        <f>[9]!id237?marketName</f>
        <v>SWN</v>
      </c>
      <c r="R378" s="6" t="str">
        <f>[9]!id237?tradingClass</f>
        <v>SWN</v>
      </c>
    </row>
    <row r="379" spans="1:18" hidden="1" x14ac:dyDescent="0.2">
      <c r="A379" s="176" t="s">
        <v>1094</v>
      </c>
      <c r="B379" s="13" t="s">
        <v>12</v>
      </c>
      <c r="C379" s="13" t="b">
        <f t="shared" si="4"/>
        <v>1</v>
      </c>
      <c r="D379" s="13"/>
      <c r="E379" s="63"/>
      <c r="F379" s="13"/>
      <c r="G379" s="13"/>
      <c r="H379" s="13" t="s">
        <v>68</v>
      </c>
      <c r="I379" s="101" t="s">
        <v>44</v>
      </c>
      <c r="J379" s="101"/>
      <c r="K379" s="6">
        <f>[9]!'id238?req?EIX_STK_SMART_USD_~/'</f>
        <v>0</v>
      </c>
      <c r="L379" s="6" t="str">
        <f>[9]!id238?orderTypes</f>
        <v>ACTIVETIM,ADJUST,ALERT,ALGO,ALLOC,AON,AVGCOST,BASKET,COND,CONDORDER,DARKONLY,DARKPOLL,DAY,DEACT,DEACTDIS,DEACTEOD,DIS,GAT,GTC,GTD,GTT,HID,IBKRATS,ICE,IMB,IOC,LIT,LMT,LOC,MIT,MKT,MOC,MTL,NGCOMB,NODARK,NONALGO,OCA,OPG,OPGREROUT,PEGBENCH,POSTONLY,PREOPGRTH,R</v>
      </c>
      <c r="M379" s="6" t="str">
        <f>[9]!id238?validExchanges</f>
        <v>SMART,NYSE,CBOE,ISE,CHX,ARCA,ISLAND,VWAP,DRCTEDGE,NSX,BEX,BATS,EDGEA,CSFBALGO,JEFFALGO,BYX,IEX,TPLUS2,PSX</v>
      </c>
      <c r="N379" s="6">
        <f>[9]!id238?conid</f>
        <v>11899</v>
      </c>
      <c r="O379" s="6">
        <f>[9]!id238?minTick</f>
        <v>0.01</v>
      </c>
      <c r="P379" s="6">
        <f>[9]!id238?multiplier</f>
        <v>0</v>
      </c>
      <c r="Q379" s="6" t="str">
        <f>[9]!id238?marketName</f>
        <v>EIX</v>
      </c>
      <c r="R379" s="6" t="str">
        <f>[9]!id238?tradingClass</f>
        <v>EIX</v>
      </c>
    </row>
    <row r="380" spans="1:18" hidden="1" x14ac:dyDescent="0.2">
      <c r="A380" s="176" t="s">
        <v>1095</v>
      </c>
      <c r="B380" s="13" t="s">
        <v>12</v>
      </c>
      <c r="C380" s="13" t="b">
        <f t="shared" si="4"/>
        <v>1</v>
      </c>
      <c r="D380" s="13"/>
      <c r="E380" s="63"/>
      <c r="F380" s="13"/>
      <c r="G380" s="13"/>
      <c r="H380" s="13" t="s">
        <v>68</v>
      </c>
      <c r="I380" s="101" t="s">
        <v>44</v>
      </c>
      <c r="J380" s="101"/>
      <c r="K380" s="6">
        <f>[9]!'id239?req?SO_STK_SMART_USD_~/'</f>
        <v>0</v>
      </c>
      <c r="L380" s="6" t="str">
        <f>[9]!id239?orderTypes</f>
        <v>ACTIVETIM,ADJUST,ALERT,ALGO,ALLOC,AON,AVGCOST,BASKET,COND,CONDORDER,DARKONLY,DARKPOLL,DAY,DEACT,DEACTDIS,DEACTEOD,DIS,GAT,GTC,GTD,GTT,HID,IBKRATS,ICE,IMB,IOC,LIT,LMT,LOC,MIT,MKT,MOC,MTL,NGCOMB,NODARK,NONALGO,OCA,OPG,OPGREROUT,PEGBENCH,POSTONLY,PREOPGRTH,R</v>
      </c>
      <c r="M380" s="6" t="str">
        <f>[9]!id239?validExchanges</f>
        <v>SMART,NYSE,CBOE,ISE,CHX,ARCA,ISLAND,VWAP,DRCTEDGE,NSX,BEX,BATS,EDGEA,CSFBALGO,JEFFALGO,BYX,IEX,TPLUS2,PSX</v>
      </c>
      <c r="N380" s="6">
        <f>[9]!id239?conid</f>
        <v>12300</v>
      </c>
      <c r="O380" s="6">
        <f>[9]!id239?minTick</f>
        <v>0.01</v>
      </c>
      <c r="P380" s="6">
        <f>[9]!id239?multiplier</f>
        <v>0</v>
      </c>
      <c r="Q380" s="6" t="str">
        <f>[9]!id239?marketName</f>
        <v>SO</v>
      </c>
      <c r="R380" s="6" t="str">
        <f>[9]!id239?tradingClass</f>
        <v>SO</v>
      </c>
    </row>
    <row r="381" spans="1:18" hidden="1" x14ac:dyDescent="0.2">
      <c r="A381" s="176" t="s">
        <v>1096</v>
      </c>
      <c r="B381" s="13" t="s">
        <v>12</v>
      </c>
      <c r="C381" s="13" t="b">
        <f t="shared" si="4"/>
        <v>1</v>
      </c>
      <c r="D381" s="13"/>
      <c r="E381" s="63"/>
      <c r="F381" s="13"/>
      <c r="G381" s="13"/>
      <c r="H381" s="13" t="s">
        <v>68</v>
      </c>
      <c r="I381" s="101" t="s">
        <v>44</v>
      </c>
      <c r="J381" s="101"/>
      <c r="K381" s="6">
        <f>[9]!'id240?req?BBT_STK_SMART_USD_~/'</f>
        <v>0</v>
      </c>
      <c r="L381" s="6" t="str">
        <f>[9]!id240?orderTypes</f>
        <v>ACTIVETIM,ADJUST,ALERT,ALGO,ALLOC,AON,AVGCOST,BASKET,COND,CONDORDER,DARKONLY,DARKPOLL,DAY,DEACT,DEACTDIS,DEACTEOD,DIS,GAT,GTC,GTD,GTT,HID,IBKRATS,ICE,IMB,IOC,LIT,LMT,LOC,MIT,MKT,MOC,MTL,NGCOMB,NODARK,NONALGO,OCA,OPG,OPGREROUT,PEGBENCH,POSTONLY,PREOPGRTH,R</v>
      </c>
      <c r="M381" s="6" t="str">
        <f>[9]!id240?validExchanges</f>
        <v>SMART,NYSE,CBOE,ISE,CHX,ARCA,ISLAND,VWAP,DRCTEDGE,NSX,BEX,BATS,EDGEA,CSFBALGO,JEFFALGO,BYX,IEX,TPLUS2,PSX</v>
      </c>
      <c r="N381" s="6">
        <f>[9]!id240?conid</f>
        <v>2806100</v>
      </c>
      <c r="O381" s="6">
        <f>[9]!id240?minTick</f>
        <v>0.01</v>
      </c>
      <c r="P381" s="6">
        <f>[9]!id240?multiplier</f>
        <v>0</v>
      </c>
      <c r="Q381" s="6" t="str">
        <f>[9]!id240?marketName</f>
        <v>BBT</v>
      </c>
      <c r="R381" s="6" t="str">
        <f>[9]!id240?tradingClass</f>
        <v>BBT</v>
      </c>
    </row>
    <row r="382" spans="1:18" hidden="1" x14ac:dyDescent="0.2">
      <c r="A382" s="176" t="s">
        <v>1097</v>
      </c>
      <c r="B382" s="13" t="s">
        <v>12</v>
      </c>
      <c r="C382" s="13" t="b">
        <f t="shared" si="4"/>
        <v>1</v>
      </c>
      <c r="D382" s="13"/>
      <c r="E382" s="63"/>
      <c r="F382" s="13"/>
      <c r="G382" s="13"/>
      <c r="H382" s="13" t="s">
        <v>68</v>
      </c>
      <c r="I382" s="101" t="s">
        <v>44</v>
      </c>
      <c r="J382" s="101"/>
      <c r="K382" s="6">
        <f>[9]!'id241?req?LUV_STK_SMART_USD_~/'</f>
        <v>0</v>
      </c>
      <c r="L382" s="6" t="str">
        <f>[9]!id241?orderTypes</f>
        <v>ACTIVETIM,ADJUST,ALERT,ALGO,ALLOC,AON,AVGCOST,BASKET,COND,CONDORDER,DARKONLY,DARKPOLL,DAY,DEACT,DEACTDIS,DEACTEOD,DIS,GAT,GTC,GTD,GTT,HID,IBKRATS,ICE,IMB,IOC,LIT,LMT,LOC,MIT,MKT,MOC,MTL,NGCOMB,NODARK,NONALGO,OCA,OPG,OPGREROUT,PEGBENCH,POSTONLY,PREOPGRTH,R</v>
      </c>
      <c r="M382" s="6" t="str">
        <f>[9]!id241?validExchanges</f>
        <v>SMART,NYSE,CBOE,ISE,CHX,ARCA,ISLAND,VWAP,DRCTEDGE,NSX,BEX,BATS,EDGEA,CSFBALGO,JEFFALGO,BYX,IEX,TPLUS2,PSX</v>
      </c>
      <c r="N382" s="6">
        <f>[9]!id241?conid</f>
        <v>9282</v>
      </c>
      <c r="O382" s="6">
        <f>[9]!id241?minTick</f>
        <v>0.01</v>
      </c>
      <c r="P382" s="6">
        <f>[9]!id241?multiplier</f>
        <v>0</v>
      </c>
      <c r="Q382" s="6" t="str">
        <f>[9]!id241?marketName</f>
        <v>LUV</v>
      </c>
      <c r="R382" s="6" t="str">
        <f>[9]!id241?tradingClass</f>
        <v>LUV</v>
      </c>
    </row>
    <row r="383" spans="1:18" hidden="1" x14ac:dyDescent="0.2">
      <c r="A383" s="176" t="s">
        <v>1098</v>
      </c>
      <c r="B383" s="13" t="s">
        <v>12</v>
      </c>
      <c r="C383" s="13" t="b">
        <f t="shared" si="4"/>
        <v>1</v>
      </c>
      <c r="D383" s="13"/>
      <c r="E383" s="63"/>
      <c r="F383" s="13"/>
      <c r="G383" s="13"/>
      <c r="H383" s="13" t="s">
        <v>68</v>
      </c>
      <c r="I383" s="101" t="s">
        <v>44</v>
      </c>
      <c r="J383" s="101"/>
      <c r="K383" s="6">
        <f>[9]!'id242?req?T_STK_SMART_USD_~/'</f>
        <v>0</v>
      </c>
      <c r="L383" s="6" t="str">
        <f>[9]!id242?orderTypes</f>
        <v>ACTIVETIM,ADJUST,ALERT,ALGO,ALLOC,AON,AVGCOST,BASKET,COND,CONDORDER,DARKONLY,DARKPOLL,DAY,DEACT,DEACTDIS,DEACTEOD,DIS,GAT,GTC,GTD,GTT,HID,IBKRATS,ICE,IMB,IOC,LIT,LMT,LOC,MIT,MKT,MOC,MTL,NGCOMB,NODARK,NONALGO,OCA,OPG,OPGREROUT,PEGBENCH,POSTONLY,PREOPGRTH,R</v>
      </c>
      <c r="M383" s="6" t="str">
        <f>[9]!id242?validExchanges</f>
        <v>SMART,NYSE,CBOE,ISE,CHX,ARCA,ISLAND,VWAP,DRCTEDGE,NSX,BEX,BATS,EDGEA,CSFBALGO,JEFFALGO,BYX,IEX,TPLUS2,PSX</v>
      </c>
      <c r="N383" s="6">
        <f>[9]!id242?conid</f>
        <v>37018770</v>
      </c>
      <c r="O383" s="6">
        <f>[9]!id242?minTick</f>
        <v>0.01</v>
      </c>
      <c r="P383" s="6">
        <f>[9]!id242?multiplier</f>
        <v>0</v>
      </c>
      <c r="Q383" s="6" t="str">
        <f>[9]!id242?marketName</f>
        <v>T</v>
      </c>
      <c r="R383" s="6" t="str">
        <f>[9]!id242?tradingClass</f>
        <v>T</v>
      </c>
    </row>
    <row r="384" spans="1:18" hidden="1" x14ac:dyDescent="0.2">
      <c r="A384" s="176" t="s">
        <v>1099</v>
      </c>
      <c r="B384" s="13" t="s">
        <v>12</v>
      </c>
      <c r="C384" s="13" t="b">
        <f t="shared" si="4"/>
        <v>1</v>
      </c>
      <c r="D384" s="13"/>
      <c r="E384" s="63"/>
      <c r="F384" s="13"/>
      <c r="G384" s="13"/>
      <c r="H384" s="13" t="s">
        <v>68</v>
      </c>
      <c r="I384" s="101" t="s">
        <v>44</v>
      </c>
      <c r="J384" s="101"/>
      <c r="K384" s="6">
        <f>[9]!'id243?req?CVX_STK_SMART_USD_~/'</f>
        <v>0</v>
      </c>
      <c r="L384" s="6" t="str">
        <f>[9]!id243?orderTypes</f>
        <v>ACTIVETIM,ADJUST,ALERT,ALGO,ALLOC,AON,AVGCOST,BASKET,COND,CONDORDER,DARKONLY,DARKPOLL,DAY,DEACT,DEACTDIS,DEACTEOD,DIS,GAT,GTC,GTD,GTT,HID,IBKRATS,ICE,IMB,IOC,LIT,LMT,LOC,MIT,MKT,MOC,MTL,NGCOMB,NODARK,NONALGO,OCA,OPG,OPGREROUT,PEGBENCH,POSTONLY,PREOPGRTH,R</v>
      </c>
      <c r="M384" s="6" t="str">
        <f>[9]!id243?validExchanges</f>
        <v>SMART,NYSE,CBOE,ISE,CHX,ARCA,ISLAND,VWAP,DRCTEDGE,NSX,BEX,BATS,EDGEA,CSFBALGO,JEFFALGO,BYX,IEX,TPLUS2,PSX</v>
      </c>
      <c r="N384" s="6">
        <f>[9]!id243?conid</f>
        <v>5684</v>
      </c>
      <c r="O384" s="6">
        <f>[9]!id243?minTick</f>
        <v>0.01</v>
      </c>
      <c r="P384" s="6">
        <f>[9]!id243?multiplier</f>
        <v>0</v>
      </c>
      <c r="Q384" s="6" t="str">
        <f>[9]!id243?marketName</f>
        <v>CVX</v>
      </c>
      <c r="R384" s="6" t="str">
        <f>[9]!id243?tradingClass</f>
        <v>CVX</v>
      </c>
    </row>
    <row r="385" spans="1:18" hidden="1" x14ac:dyDescent="0.2">
      <c r="A385" s="176" t="s">
        <v>1100</v>
      </c>
      <c r="B385" s="13" t="s">
        <v>12</v>
      </c>
      <c r="C385" s="13" t="b">
        <f t="shared" ref="C385:C447" si="5">A385=Q385</f>
        <v>0</v>
      </c>
      <c r="D385" s="13"/>
      <c r="E385" s="63"/>
      <c r="F385" s="13"/>
      <c r="G385" s="13"/>
      <c r="H385" s="13" t="s">
        <v>68</v>
      </c>
      <c r="I385" s="101" t="s">
        <v>44</v>
      </c>
      <c r="J385" s="101"/>
      <c r="K385" s="6">
        <f>[9]!'id244?req?SPLS_STK_SMART_USD_~/'</f>
        <v>0</v>
      </c>
      <c r="L385" s="6" t="str">
        <f>[9]!id244?orderTypes</f>
        <v>ACTIVETIM,ADJUST,ALERT,ALGO,ALLOC,AON,AVGCOST,BASKET,COND,CONDORDER,DARKONLY,DARKPOLL,DAY,DEACT,DEACTDIS,DEACTEOD,DIS,GAT,GTC,GTD,GTT,HID,IBKRATS,ICE,IMB,IOC,LIT,LMT,LOC,MIT,MKT,MOC,MTL,NGCOMB,NODARK,NONALGO,OCA,OPG,OPGREROUT,PEGBENCH,POSTONLY,PREOPGRTH,R</v>
      </c>
      <c r="M385" s="6" t="str">
        <f>[9]!id244?validExchanges</f>
        <v>SMART,CBOE,ISE,CHX,ARCA,ISLAND,VWAP,DRCTEDGE,NSX,BEX,BATS,EDGEA,CSFBALGO,JEFFALGO,BYX,IEX,TPLUS2,PSX</v>
      </c>
      <c r="N385" s="6">
        <f>[9]!id244?conid</f>
        <v>274599</v>
      </c>
      <c r="O385" s="6">
        <f>[9]!id244?minTick</f>
        <v>0.01</v>
      </c>
      <c r="P385" s="6">
        <f>[9]!id244?multiplier</f>
        <v>0</v>
      </c>
      <c r="Q385" s="6" t="str">
        <f>[9]!id244?marketName</f>
        <v>NMS</v>
      </c>
      <c r="R385" s="6" t="str">
        <f>[9]!id244?tradingClass</f>
        <v>NMS</v>
      </c>
    </row>
    <row r="386" spans="1:18" hidden="1" x14ac:dyDescent="0.2">
      <c r="A386" s="176" t="s">
        <v>1101</v>
      </c>
      <c r="B386" s="13" t="s">
        <v>12</v>
      </c>
      <c r="C386" s="13" t="b">
        <f t="shared" si="5"/>
        <v>1</v>
      </c>
      <c r="D386" s="13"/>
      <c r="E386" s="63"/>
      <c r="F386" s="13"/>
      <c r="G386" s="13"/>
      <c r="H386" s="13" t="s">
        <v>68</v>
      </c>
      <c r="I386" s="101" t="s">
        <v>44</v>
      </c>
      <c r="J386" s="101"/>
      <c r="K386" s="6">
        <f>[9]!'id245?req?STT_STK_SMART_USD_~/'</f>
        <v>0</v>
      </c>
      <c r="L386" s="6" t="str">
        <f>[9]!id245?orderTypes</f>
        <v>ACTIVETIM,ADJUST,ALERT,ALGO,ALLOC,AON,AVGCOST,BASKET,COND,CONDORDER,DARKONLY,DARKPOLL,DAY,DEACT,DEACTDIS,DEACTEOD,DIS,GAT,GTC,GTD,GTT,HID,IBKRATS,ICE,IMB,IOC,LIT,LMT,LOC,MIT,MKT,MOC,MTL,NGCOMB,NODARK,NONALGO,OCA,OPG,OPGREROUT,PEGBENCH,POSTONLY,PREOPGRTH,R</v>
      </c>
      <c r="M386" s="6" t="str">
        <f>[9]!id245?validExchanges</f>
        <v>SMART,NYSE,CBOE,ISE,CHX,ARCA,ISLAND,VWAP,DRCTEDGE,NSX,BEX,BATS,EDGEA,CSFBALGO,JEFFALGO,BYX,IEX,TPLUS2,PSX</v>
      </c>
      <c r="N386" s="6">
        <f>[9]!id245?conid</f>
        <v>2730980</v>
      </c>
      <c r="O386" s="6">
        <f>[9]!id245?minTick</f>
        <v>0.01</v>
      </c>
      <c r="P386" s="6">
        <f>[9]!id245?multiplier</f>
        <v>0</v>
      </c>
      <c r="Q386" s="6" t="str">
        <f>[9]!id245?marketName</f>
        <v>STT</v>
      </c>
      <c r="R386" s="6" t="str">
        <f>[9]!id245?tradingClass</f>
        <v>STT</v>
      </c>
    </row>
    <row r="387" spans="1:18" hidden="1" x14ac:dyDescent="0.2">
      <c r="A387" s="176" t="s">
        <v>1102</v>
      </c>
      <c r="B387" s="13" t="s">
        <v>12</v>
      </c>
      <c r="C387" s="13" t="b">
        <f t="shared" si="5"/>
        <v>0</v>
      </c>
      <c r="D387" s="13"/>
      <c r="E387" s="63"/>
      <c r="F387" s="13"/>
      <c r="G387" s="13"/>
      <c r="H387" s="13" t="s">
        <v>68</v>
      </c>
      <c r="I387" s="101" t="s">
        <v>44</v>
      </c>
      <c r="J387" s="101"/>
      <c r="K387" s="6">
        <f>[9]!'id246?req?SBUX_STK_SMART_USD_~/'</f>
        <v>0</v>
      </c>
      <c r="L387" s="6" t="str">
        <f>[9]!id246?orderTypes</f>
        <v>ACTIVETIM,ADJUST,ALERT,ALGO,ALLOC,AON,AVGCOST,BASKET,COND,CONDORDER,DARKONLY,DARKPOLL,DAY,DEACT,DEACTDIS,DEACTEOD,DIS,GAT,GTC,GTD,GTT,HID,IBKRATS,ICE,IMB,IOC,LIT,LMT,LOC,MIT,MKT,MOC,MTL,NGCOMB,NODARK,NONALGO,OCA,OPG,OPGREROUT,PEGBENCH,POSTONLY,PREOPGRTH,R</v>
      </c>
      <c r="M387" s="6" t="str">
        <f>[9]!id246?validExchanges</f>
        <v>SMART,CBOE,ISE,CHX,ARCA,ISLAND,VWAP,DRCTEDGE,NSX,BEX,BATS,EDGEA,CSFBALGO,JEFFALGO,BYX,IEX,TPLUS2,PSX</v>
      </c>
      <c r="N387" s="6">
        <f>[9]!id246?conid</f>
        <v>274105</v>
      </c>
      <c r="O387" s="6">
        <f>[9]!id246?minTick</f>
        <v>0.01</v>
      </c>
      <c r="P387" s="6">
        <f>[9]!id246?multiplier</f>
        <v>0</v>
      </c>
      <c r="Q387" s="6" t="str">
        <f>[9]!id246?marketName</f>
        <v>NMS</v>
      </c>
      <c r="R387" s="6" t="str">
        <f>[9]!id246?tradingClass</f>
        <v>NMS</v>
      </c>
    </row>
    <row r="388" spans="1:18" hidden="1" x14ac:dyDescent="0.2">
      <c r="A388" s="176" t="s">
        <v>1103</v>
      </c>
      <c r="B388" s="13" t="s">
        <v>12</v>
      </c>
      <c r="C388" s="13" t="b">
        <f t="shared" si="5"/>
        <v>1</v>
      </c>
      <c r="D388" s="13"/>
      <c r="E388" s="63"/>
      <c r="F388" s="13"/>
      <c r="G388" s="13"/>
      <c r="H388" s="13" t="s">
        <v>68</v>
      </c>
      <c r="I388" s="101" t="s">
        <v>44</v>
      </c>
      <c r="J388" s="101"/>
      <c r="K388" s="6">
        <f>[9]!'id247?req?PSA_STK_SMART_USD_~/'</f>
        <v>0</v>
      </c>
      <c r="L388" s="6" t="str">
        <f>[9]!id247?orderTypes</f>
        <v>ACTIVETIM,ADJUST,ALERT,ALGO,ALLOC,AON,AVGCOST,BASKET,COND,CONDORDER,DARKONLY,DARKPOLL,DAY,DEACT,DEACTDIS,DEACTEOD,DIS,GAT,GTC,GTD,GTT,HID,IBKRATS,ICE,IMB,IOC,LIT,LMT,LOC,MIT,MKT,MOC,MTL,NGCOMB,NODARK,NONALGO,OCA,OPG,OPGREROUT,PEGBENCH,POSTONLY,PREOPGRTH,R</v>
      </c>
      <c r="M388" s="6" t="str">
        <f>[9]!id247?validExchanges</f>
        <v>SMART,NYSE,CBOE,ISE,CHX,ARCA,ISLAND,VWAP,DRCTEDGE,NSX,BEX,BATS,EDGEA,CSFBALGO,JEFFALGO,BYX,IEX,TPLUS2,PSX</v>
      </c>
      <c r="N388" s="6">
        <f>[9]!id247?conid</f>
        <v>12002</v>
      </c>
      <c r="O388" s="6">
        <f>[9]!id247?minTick</f>
        <v>0.01</v>
      </c>
      <c r="P388" s="6">
        <f>[9]!id247?multiplier</f>
        <v>0</v>
      </c>
      <c r="Q388" s="6" t="str">
        <f>[9]!id247?marketName</f>
        <v>PSA</v>
      </c>
      <c r="R388" s="6" t="str">
        <f>[9]!id247?tradingClass</f>
        <v>PSA</v>
      </c>
    </row>
    <row r="389" spans="1:18" hidden="1" x14ac:dyDescent="0.2">
      <c r="A389" s="176" t="s">
        <v>1104</v>
      </c>
      <c r="B389" s="13" t="s">
        <v>12</v>
      </c>
      <c r="C389" s="13" t="b">
        <f t="shared" si="5"/>
        <v>1</v>
      </c>
      <c r="D389" s="13"/>
      <c r="E389" s="63"/>
      <c r="F389" s="13"/>
      <c r="G389" s="13"/>
      <c r="H389" s="13" t="s">
        <v>68</v>
      </c>
      <c r="I389" s="101" t="s">
        <v>44</v>
      </c>
      <c r="J389" s="101"/>
      <c r="K389" s="6">
        <f>[9]!'id248?req?SYK_STK_SMART_USD_~/'</f>
        <v>0</v>
      </c>
      <c r="L389" s="6" t="str">
        <f>[9]!id248?orderTypes</f>
        <v>ACTIVETIM,ADJUST,ALERT,ALGO,ALLOC,AON,AVGCOST,BASKET,COND,CONDORDER,DARKONLY,DARKPOLL,DAY,DEACT,DEACTDIS,DEACTEOD,DIS,GAT,GTC,GTD,GTT,HID,IBKRATS,ICE,IMB,IOC,LIT,LMT,LOC,MIT,MKT,MOC,MTL,NGCOMB,NODARK,NONALGO,OCA,OPG,OPGREROUT,PEGBENCH,POSTONLY,PREOPGRTH,R</v>
      </c>
      <c r="M389" s="6" t="str">
        <f>[9]!id248?validExchanges</f>
        <v>SMART,NYSE,CBOE,ISE,CHX,ARCA,ISLAND,VWAP,DRCTEDGE,NSX,BEX,BATS,EDGEA,CSFBALGO,JEFFALGO,BYX,IEX,TPLUS2,PSX</v>
      </c>
      <c r="N389" s="6">
        <f>[9]!id248?conid</f>
        <v>4430948</v>
      </c>
      <c r="O389" s="6">
        <f>[9]!id248?minTick</f>
        <v>0.01</v>
      </c>
      <c r="P389" s="6">
        <f>[9]!id248?multiplier</f>
        <v>0</v>
      </c>
      <c r="Q389" s="6" t="str">
        <f>[9]!id248?marketName</f>
        <v>SYK</v>
      </c>
      <c r="R389" s="6" t="str">
        <f>[9]!id248?tradingClass</f>
        <v>SYK</v>
      </c>
    </row>
    <row r="390" spans="1:18" hidden="1" x14ac:dyDescent="0.2">
      <c r="A390" s="176" t="s">
        <v>1105</v>
      </c>
      <c r="B390" s="13" t="s">
        <v>12</v>
      </c>
      <c r="C390" s="13" t="b">
        <f t="shared" si="5"/>
        <v>0</v>
      </c>
      <c r="D390" s="13"/>
      <c r="E390" s="63"/>
      <c r="F390" s="13"/>
      <c r="G390" s="13"/>
      <c r="H390" s="13" t="s">
        <v>68</v>
      </c>
      <c r="I390" s="101" t="s">
        <v>44</v>
      </c>
      <c r="J390" s="101"/>
      <c r="K390" s="6">
        <f>[9]!'id249?req?NFLX_STK_SMART_USD_~/'</f>
        <v>0</v>
      </c>
      <c r="L390" s="6" t="str">
        <f>[9]!id249?orderTypes</f>
        <v>ACTIVETIM,ADJUST,ALERT,ALGO,ALLOC,AON,AVGCOST,BASKET,COND,CONDORDER,DARKONLY,DARKPOLL,DAY,DEACT,DEACTDIS,DEACTEOD,DIS,GAT,GTC,GTD,GTT,HID,IBKRATS,ICE,IMB,IOC,LIT,LMT,LOC,MIT,MKT,MOC,MTL,NGCOMB,NODARK,NONALGO,OCA,OPG,OPGREROUT,PEGBENCH,POSTONLY,PREOPGRTH,R</v>
      </c>
      <c r="M390" s="6" t="str">
        <f>[9]!id249?validExchanges</f>
        <v>SMART,CBOE,ISE,CHX,ARCA,ISLAND,DRCTEDGE,NSX,BEX,BATS,EDGEA,CSFBALGO,JEFFALGO,BYX,IEX,TPLUS2,PSX</v>
      </c>
      <c r="N390" s="6">
        <f>[9]!id249?conid</f>
        <v>15124833</v>
      </c>
      <c r="O390" s="6">
        <f>[9]!id249?minTick</f>
        <v>0.01</v>
      </c>
      <c r="P390" s="6">
        <f>[9]!id249?multiplier</f>
        <v>0</v>
      </c>
      <c r="Q390" s="6" t="str">
        <f>[9]!id249?marketName</f>
        <v>NMS</v>
      </c>
      <c r="R390" s="6" t="str">
        <f>[9]!id249?tradingClass</f>
        <v>NMS</v>
      </c>
    </row>
    <row r="391" spans="1:18" hidden="1" x14ac:dyDescent="0.2">
      <c r="A391" s="176" t="s">
        <v>1106</v>
      </c>
      <c r="B391" s="13" t="s">
        <v>12</v>
      </c>
      <c r="C391" s="13" t="b">
        <f t="shared" si="5"/>
        <v>0</v>
      </c>
      <c r="D391" s="13"/>
      <c r="E391" s="63"/>
      <c r="F391" s="13"/>
      <c r="G391" s="13"/>
      <c r="H391" s="13" t="s">
        <v>68</v>
      </c>
      <c r="I391" s="101" t="s">
        <v>44</v>
      </c>
      <c r="J391" s="101"/>
      <c r="K391" s="6">
        <f>[9]!'id250?req?SRCL_STK_SMART_USD_~/'</f>
        <v>0</v>
      </c>
      <c r="L391" s="6" t="str">
        <f>[9]!id250?orderTypes</f>
        <v>ACTIVETIM,ADJUST,ALERT,ALGO,ALLOC,AON,AVGCOST,BASKET,COND,CONDORDER,DARKONLY,DARKPOLL,DAY,DEACT,DEACTDIS,DEACTEOD,DIS,GAT,GTC,GTD,GTT,HID,IBKRATS,ICE,IMB,IOC,LIT,LMT,LOC,MIT,MKT,MOC,MTL,NGCOMB,NODARK,NONALGO,OCA,OPG,OPGREROUT,PEGBENCH,POSTONLY,PREOPGRTH,R</v>
      </c>
      <c r="M391" s="6" t="str">
        <f>[9]!id250?validExchanges</f>
        <v>SMART,CBOE,ISE,CHX,ARCA,ISLAND,DRCTEDGE,NSX,BEX,BATS,EDGEA,CSFBALGO,JEFFALGO,BYX,IEX,TPLUS2,PSX</v>
      </c>
      <c r="N391" s="6">
        <f>[9]!id250?conid</f>
        <v>6478100</v>
      </c>
      <c r="O391" s="6">
        <f>[9]!id250?minTick</f>
        <v>0.01</v>
      </c>
      <c r="P391" s="6">
        <f>[9]!id250?multiplier</f>
        <v>0</v>
      </c>
      <c r="Q391" s="6" t="str">
        <f>[9]!id250?marketName</f>
        <v>NMS</v>
      </c>
      <c r="R391" s="6" t="str">
        <f>[9]!id250?tradingClass</f>
        <v>NMS</v>
      </c>
    </row>
    <row r="392" spans="1:18" hidden="1" x14ac:dyDescent="0.2">
      <c r="A392" s="176" t="s">
        <v>1107</v>
      </c>
      <c r="B392" s="13" t="s">
        <v>12</v>
      </c>
      <c r="C392" s="13" t="b">
        <f t="shared" si="5"/>
        <v>1</v>
      </c>
      <c r="D392" s="13"/>
      <c r="E392" s="63"/>
      <c r="F392" s="13"/>
      <c r="G392" s="13"/>
      <c r="H392" s="13" t="s">
        <v>68</v>
      </c>
      <c r="I392" s="101" t="s">
        <v>44</v>
      </c>
      <c r="J392" s="101"/>
      <c r="K392" s="6">
        <f>[9]!'id251?req?STI_STK_SMART_USD_~/'</f>
        <v>0</v>
      </c>
      <c r="L392" s="6" t="str">
        <f>[9]!id251?orderTypes</f>
        <v>ACTIVETIM,ADJUST,ALERT,ALGO,ALLOC,AON,AVGCOST,BASKET,COND,CONDORDER,DARKONLY,DARKPOLL,DAY,DEACT,DEACTDIS,DEACTEOD,DIS,GAT,GTC,GTD,GTT,HID,IBKRATS,ICE,IMB,IOC,LIT,LMT,LOC,MIT,MKT,MOC,MTL,NGCOMB,NODARK,NONALGO,OCA,OPG,OPGREROUT,PEGBENCH,POSTONLY,PREOPGRTH,R</v>
      </c>
      <c r="M392" s="6" t="str">
        <f>[9]!id251?validExchanges</f>
        <v>SMART,NYSE,CBOE,ISE,CHX,ARCA,ISLAND,VWAP,DRCTEDGE,NSX,BEX,BATS,EDGEA,CSFBALGO,JEFFALGO,BYX,IEX,TPLUS2,PSX</v>
      </c>
      <c r="N392" s="6">
        <f>[9]!id251?conid</f>
        <v>12451</v>
      </c>
      <c r="O392" s="6">
        <f>[9]!id251?minTick</f>
        <v>0.01</v>
      </c>
      <c r="P392" s="6">
        <f>[9]!id251?multiplier</f>
        <v>0</v>
      </c>
      <c r="Q392" s="6" t="str">
        <f>[9]!id251?marketName</f>
        <v>STI</v>
      </c>
      <c r="R392" s="6" t="str">
        <f>[9]!id251?tradingClass</f>
        <v>STI</v>
      </c>
    </row>
    <row r="393" spans="1:18" hidden="1" x14ac:dyDescent="0.2">
      <c r="A393" s="176" t="s">
        <v>1108</v>
      </c>
      <c r="B393" s="13" t="s">
        <v>12</v>
      </c>
      <c r="C393" s="13" t="b">
        <f t="shared" si="5"/>
        <v>0</v>
      </c>
      <c r="D393" s="13"/>
      <c r="E393" s="63"/>
      <c r="F393" s="13"/>
      <c r="G393" s="13"/>
      <c r="H393" s="13" t="s">
        <v>68</v>
      </c>
      <c r="I393" s="101" t="s">
        <v>44</v>
      </c>
      <c r="J393" s="101"/>
      <c r="K393" s="6">
        <f>[9]!'id252?req?SYMC_STK_SMART_USD_~/'</f>
        <v>0</v>
      </c>
      <c r="L393" s="6" t="str">
        <f>[9]!id252?orderTypes</f>
        <v>ACTIVETIM,ADJUST,ALERT,ALGO,ALLOC,AON,AVGCOST,BASKET,COND,CONDORDER,DARKONLY,DARKPOLL,DAY,DEACT,DEACTDIS,DEACTEOD,DIS,GAT,GTC,GTD,GTT,HID,IBKRATS,ICE,IMB,IOC,LIT,LMT,LOC,MIT,MKT,MOC,MTL,NGCOMB,NODARK,NONALGO,OCA,OPG,OPGREROUT,PEGBENCH,POSTONLY,PREOPGRTH,R</v>
      </c>
      <c r="M393" s="6" t="str">
        <f>[9]!id252?validExchanges</f>
        <v>SMART,CBOE,ISE,CHX,ARCA,ISLAND,VWAP,DRCTEDGE,NSX,BEX,BATS,EDGEA,CSFBALGO,JEFFALGO,BYX,IEX,TPLUS2,PSX</v>
      </c>
      <c r="N393" s="6">
        <f>[9]!id252?conid</f>
        <v>274925</v>
      </c>
      <c r="O393" s="6">
        <f>[9]!id252?minTick</f>
        <v>0.01</v>
      </c>
      <c r="P393" s="6">
        <f>[9]!id252?multiplier</f>
        <v>0</v>
      </c>
      <c r="Q393" s="6" t="str">
        <f>[9]!id252?marketName</f>
        <v>NMS</v>
      </c>
      <c r="R393" s="6" t="str">
        <f>[9]!id252?tradingClass</f>
        <v>NMS</v>
      </c>
    </row>
    <row r="394" spans="1:18" hidden="1" x14ac:dyDescent="0.2">
      <c r="A394" s="176" t="s">
        <v>1109</v>
      </c>
      <c r="B394" s="13" t="s">
        <v>12</v>
      </c>
      <c r="C394" s="13" t="b">
        <f t="shared" si="5"/>
        <v>1</v>
      </c>
      <c r="D394" s="13"/>
      <c r="E394" s="63"/>
      <c r="F394" s="13"/>
      <c r="G394" s="13"/>
      <c r="H394" s="13" t="s">
        <v>68</v>
      </c>
      <c r="I394" s="101" t="s">
        <v>44</v>
      </c>
      <c r="J394" s="101"/>
      <c r="K394" s="6">
        <f>[9]!'id253?req?SYY_STK_SMART_USD_~/'</f>
        <v>0</v>
      </c>
      <c r="L394" s="6" t="str">
        <f>[9]!id253?orderTypes</f>
        <v>ACTIVETIM,ADJUST,ALERT,ALGO,ALLOC,AON,AVGCOST,BASKET,COND,CONDORDER,DARKONLY,DARKPOLL,DAY,DEACT,DEACTDIS,DEACTEOD,DIS,GAT,GTC,GTD,GTT,HID,IBKRATS,ICE,IMB,IOC,LIT,LMT,LOC,MIT,MKT,MOC,MTL,NGCOMB,NODARK,NONALGO,OCA,OPG,OPGREROUT,PEGBENCH,POSTONLY,PREOPGRTH,R</v>
      </c>
      <c r="M394" s="6" t="str">
        <f>[9]!id253?validExchanges</f>
        <v>SMART,NYSE,CBOE,ISE,CHX,ARCA,ISLAND,VWAP,DRCTEDGE,NSX,BEX,BATS,EDGEA,CSFBALGO,JEFFALGO,BYX,IEX,TPLUS2,PSX</v>
      </c>
      <c r="N394" s="6">
        <f>[9]!id253?conid</f>
        <v>12581</v>
      </c>
      <c r="O394" s="6">
        <f>[9]!id253?minTick</f>
        <v>0.01</v>
      </c>
      <c r="P394" s="6">
        <f>[9]!id253?multiplier</f>
        <v>0</v>
      </c>
      <c r="Q394" s="6" t="str">
        <f>[9]!id253?marketName</f>
        <v>SYY</v>
      </c>
      <c r="R394" s="6" t="str">
        <f>[9]!id253?tradingClass</f>
        <v>SYY</v>
      </c>
    </row>
    <row r="395" spans="1:18" hidden="1" x14ac:dyDescent="0.2">
      <c r="A395" s="176" t="s">
        <v>1110</v>
      </c>
      <c r="B395" s="13" t="s">
        <v>12</v>
      </c>
      <c r="C395" s="13" t="b">
        <f t="shared" si="5"/>
        <v>0</v>
      </c>
      <c r="D395" s="13"/>
      <c r="E395" s="63"/>
      <c r="F395" s="13"/>
      <c r="G395" s="13"/>
      <c r="H395" s="13" t="s">
        <v>68</v>
      </c>
      <c r="I395" s="101" t="s">
        <v>44</v>
      </c>
      <c r="J395" s="101"/>
      <c r="K395" s="6">
        <f>[9]!'id254?req?ISRG_STK_SMART_USD_~/'</f>
        <v>0</v>
      </c>
      <c r="L395" s="6" t="str">
        <f>[9]!id254?orderTypes</f>
        <v>ACTIVETIM,ADJUST,ALERT,ALGO,ALLOC,AON,AVGCOST,BASKET,COND,CONDORDER,DARKONLY,DARKPOLL,DAY,DEACT,DEACTDIS,DEACTEOD,DIS,GAT,GTC,GTD,GTT,HID,IBKRATS,ICE,IMB,IOC,LIT,LMT,LOC,MIT,MKT,MOC,MTL,NGCOMB,NODARK,NONALGO,OCA,OPG,OPGREROUT,PEGBENCH,POSTONLY,PREOPGRTH,R</v>
      </c>
      <c r="M395" s="6" t="str">
        <f>[9]!id254?validExchanges</f>
        <v>SMART,CBOE,ISE,CHX,ARCA,ISLAND,DRCTEDGE,NSX,BEX,BATS,EDGEA,CSFBALGO,JEFFALGO,BYX,IEX,TPLUS2,PSX</v>
      </c>
      <c r="N395" s="6">
        <f>[9]!id254?conid</f>
        <v>9063285</v>
      </c>
      <c r="O395" s="6">
        <f>[9]!id254?minTick</f>
        <v>0.01</v>
      </c>
      <c r="P395" s="6">
        <f>[9]!id254?multiplier</f>
        <v>0</v>
      </c>
      <c r="Q395" s="6" t="str">
        <f>[9]!id254?marketName</f>
        <v>NMS</v>
      </c>
      <c r="R395" s="6" t="str">
        <f>[9]!id254?tradingClass</f>
        <v>NMS</v>
      </c>
    </row>
    <row r="396" spans="1:18" hidden="1" x14ac:dyDescent="0.2">
      <c r="A396" s="176" t="s">
        <v>1111</v>
      </c>
      <c r="B396" s="13" t="s">
        <v>12</v>
      </c>
      <c r="C396" s="13" t="b">
        <f t="shared" si="5"/>
        <v>1</v>
      </c>
      <c r="D396" s="13"/>
      <c r="E396" s="63"/>
      <c r="F396" s="13"/>
      <c r="G396" s="13"/>
      <c r="H396" s="13" t="s">
        <v>68</v>
      </c>
      <c r="I396" s="101" t="s">
        <v>44</v>
      </c>
      <c r="J396" s="101"/>
      <c r="K396" s="6">
        <f>[9]!'id256?req?TSO_STK_SMART_USD_~/'</f>
        <v>0</v>
      </c>
      <c r="L396" s="6" t="str">
        <f>[9]!id256?orderTypes</f>
        <v>ACTIVETIM,ADJUST,ALERT,ALGO,ALLOC,AON,AVGCOST,BASKET,COND,CONDORDER,DARKONLY,DARKPOLL,DAY,DEACT,DEACTDIS,DEACTEOD,DIS,GAT,GTC,GTD,GTT,HID,IBKRATS,ICE,IMB,IOC,LIT,LMT,LOC,MIT,MKT,MOC,MTL,NGCOMB,NODARK,NONALGO,OCA,OPG,OPGREROUT,PEGBENCH,POSTONLY,PREOPGRTH,R</v>
      </c>
      <c r="M396" s="6" t="str">
        <f>[9]!id256?validExchanges</f>
        <v>SMART,NYSE,CBOE,ISE,CHX,ARCA,ISLAND,DRCTEDGE,NSX,BEX,BATS,EDGEA,CSFBALGO,JEFFALGO,BYX,IEX,TPLUS2,PSX</v>
      </c>
      <c r="N396" s="6">
        <f>[9]!id256?conid</f>
        <v>13011</v>
      </c>
      <c r="O396" s="6">
        <f>[9]!id256?minTick</f>
        <v>0.01</v>
      </c>
      <c r="P396" s="6">
        <f>[9]!id256?multiplier</f>
        <v>0</v>
      </c>
      <c r="Q396" s="6" t="str">
        <f>[9]!id256?marketName</f>
        <v>TSO</v>
      </c>
      <c r="R396" s="6" t="str">
        <f>[9]!id256?tradingClass</f>
        <v>TSO</v>
      </c>
    </row>
    <row r="397" spans="1:18" hidden="1" x14ac:dyDescent="0.2">
      <c r="A397" s="176" t="s">
        <v>1112</v>
      </c>
      <c r="B397" s="13" t="s">
        <v>12</v>
      </c>
      <c r="C397" s="13" t="b">
        <f t="shared" si="5"/>
        <v>0</v>
      </c>
      <c r="D397" s="13"/>
      <c r="E397" s="63"/>
      <c r="F397" s="13"/>
      <c r="G397" s="13"/>
      <c r="H397" s="13" t="s">
        <v>68</v>
      </c>
      <c r="I397" s="101" t="s">
        <v>44</v>
      </c>
      <c r="J397" s="101"/>
      <c r="K397" s="6">
        <f>[9]!'id257?req?TXN_STK_SMART_USD_~/'</f>
        <v>0</v>
      </c>
      <c r="L397" s="6" t="str">
        <f>[9]!id257?orderTypes</f>
        <v>ACTIVETIM,ADJUST,ALERT,ALGO,ALLOC,AON,AVGCOST,BASKET,COND,CONDORDER,DARKONLY,DARKPOLL,DAY,DEACT,DEACTDIS,DEACTEOD,DIS,GAT,GTC,GTD,GTT,HID,IBKRATS,ICE,IMB,IOC,LIT,LMT,LOC,MIT,MKT,MOC,MTL,NGCOMB,NODARK,NONALGO,OCA,OPG,OPGREROUT,PEGBENCH,POSTONLY,PREOPGRTH,R</v>
      </c>
      <c r="M397" s="6" t="str">
        <f>[9]!id257?validExchanges</f>
        <v>SMART,CBOE,ISE,CHX,ARCA,ISLAND,VWAP,DRCTEDGE,NSX,BEX,BATS,EDGEA,CSFBALGO,JEFFALGO,BYX,IEX,TPLUS2,PSX</v>
      </c>
      <c r="N397" s="6">
        <f>[9]!id257?conid</f>
        <v>13096</v>
      </c>
      <c r="O397" s="6">
        <f>[9]!id257?minTick</f>
        <v>0.01</v>
      </c>
      <c r="P397" s="6">
        <f>[9]!id257?multiplier</f>
        <v>0</v>
      </c>
      <c r="Q397" s="6" t="str">
        <f>[9]!id257?marketName</f>
        <v>NMS</v>
      </c>
      <c r="R397" s="6" t="str">
        <f>[9]!id257?tradingClass</f>
        <v>NMS</v>
      </c>
    </row>
    <row r="398" spans="1:18" hidden="1" x14ac:dyDescent="0.2">
      <c r="A398" s="176" t="s">
        <v>1113</v>
      </c>
      <c r="B398" s="13" t="s">
        <v>12</v>
      </c>
      <c r="C398" s="13" t="b">
        <f t="shared" si="5"/>
        <v>1</v>
      </c>
      <c r="D398" s="13"/>
      <c r="E398" s="63"/>
      <c r="F398" s="13"/>
      <c r="G398" s="13"/>
      <c r="H398" s="13" t="s">
        <v>68</v>
      </c>
      <c r="I398" s="101" t="s">
        <v>44</v>
      </c>
      <c r="J398" s="101"/>
      <c r="K398" s="6">
        <f>[9]!'id258?req?TXT_STK_SMART_USD_~/'</f>
        <v>0</v>
      </c>
      <c r="L398" s="6" t="str">
        <f>[9]!id258?orderTypes</f>
        <v>ACTIVETIM,ADJUST,ALERT,ALGO,ALLOC,AON,AVGCOST,BASKET,COND,CONDORDER,DARKONLY,DARKPOLL,DAY,DEACT,DEACTDIS,DEACTEOD,DIS,GAT,GTC,GTD,GTT,HID,IBKRATS,ICE,IMB,IOC,LIT,LMT,LOC,MIT,MKT,MOC,MTL,NGCOMB,NODARK,NONALGO,OCA,OPG,OPGREROUT,PEGBENCH,POSTONLY,PREOPGRTH,R</v>
      </c>
      <c r="M398" s="6" t="str">
        <f>[9]!id258?validExchanges</f>
        <v>SMART,NYSE,CBOE,ISE,CHX,ARCA,ISLAND,VWAP,DRCTEDGE,NSX,BEX,BATS,EDGEA,CSFBALGO,JEFFALGO,BYX,IEX,TPLUS2,PSX</v>
      </c>
      <c r="N398" s="6">
        <f>[9]!id258?conid</f>
        <v>13101</v>
      </c>
      <c r="O398" s="6">
        <f>[9]!id258?minTick</f>
        <v>0.01</v>
      </c>
      <c r="P398" s="6">
        <f>[9]!id258?multiplier</f>
        <v>0</v>
      </c>
      <c r="Q398" s="6" t="str">
        <f>[9]!id258?marketName</f>
        <v>TXT</v>
      </c>
      <c r="R398" s="6" t="str">
        <f>[9]!id258?tradingClass</f>
        <v>TXT</v>
      </c>
    </row>
    <row r="399" spans="1:18" hidden="1" x14ac:dyDescent="0.2">
      <c r="A399" s="176" t="s">
        <v>1114</v>
      </c>
      <c r="B399" s="13" t="s">
        <v>12</v>
      </c>
      <c r="C399" s="13" t="b">
        <f t="shared" si="5"/>
        <v>1</v>
      </c>
      <c r="D399" s="13"/>
      <c r="E399" s="63"/>
      <c r="F399" s="13"/>
      <c r="G399" s="13"/>
      <c r="H399" s="13" t="s">
        <v>68</v>
      </c>
      <c r="I399" s="101" t="s">
        <v>44</v>
      </c>
      <c r="J399" s="101"/>
      <c r="K399" s="6">
        <f>[9]!'id259?req?TMO_STK_SMART_USD_~/'</f>
        <v>0</v>
      </c>
      <c r="L399" s="6" t="str">
        <f>[9]!id259?orderTypes</f>
        <v>ACTIVETIM,ADJUST,ALERT,ALGO,ALLOC,AON,AVGCOST,BASKET,COND,CONDORDER,DARKONLY,DARKPOLL,DAY,DEACT,DEACTDIS,DEACTEOD,DIS,GAT,GTC,GTD,GTT,HID,IBKRATS,ICE,IMB,IOC,LIT,LMT,LOC,MIT,MKT,MOC,MTL,NGCOMB,NODARK,NONALGO,OCA,OPG,OPGREROUT,PEGBENCH,POSTONLY,PREOPGRTH,R</v>
      </c>
      <c r="M399" s="6" t="str">
        <f>[9]!id259?validExchanges</f>
        <v>SMART,NYSE,CBOE,ISE,CHX,ARCA,ISLAND,VWAP,DRCTEDGE,NSX,BEX,BATS,EDGEA,CSFBALGO,JEFFALGO,BYX,IEX,TPLUS2,PSX</v>
      </c>
      <c r="N399" s="6">
        <f>[9]!id259?conid</f>
        <v>12869</v>
      </c>
      <c r="O399" s="6">
        <f>[9]!id259?minTick</f>
        <v>0.01</v>
      </c>
      <c r="P399" s="6">
        <f>[9]!id259?multiplier</f>
        <v>0</v>
      </c>
      <c r="Q399" s="6" t="str">
        <f>[9]!id259?marketName</f>
        <v>TMO</v>
      </c>
      <c r="R399" s="6" t="str">
        <f>[9]!id259?tradingClass</f>
        <v>TMO</v>
      </c>
    </row>
    <row r="400" spans="1:18" hidden="1" x14ac:dyDescent="0.2">
      <c r="A400" s="176" t="s">
        <v>1115</v>
      </c>
      <c r="B400" s="13" t="s">
        <v>12</v>
      </c>
      <c r="C400" s="13" t="b">
        <f t="shared" si="5"/>
        <v>1</v>
      </c>
      <c r="D400" s="13"/>
      <c r="E400" s="63"/>
      <c r="F400" s="13"/>
      <c r="G400" s="13"/>
      <c r="H400" s="13" t="s">
        <v>68</v>
      </c>
      <c r="I400" s="101" t="s">
        <v>44</v>
      </c>
      <c r="J400" s="101"/>
      <c r="K400" s="6">
        <f>[9]!'id260?req?TIF_STK_SMART_USD_~/'</f>
        <v>0</v>
      </c>
      <c r="L400" s="6" t="str">
        <f>[9]!id260?orderTypes</f>
        <v>ACTIVETIM,ADJUST,ALERT,ALGO,ALLOC,AON,AVGCOST,BASKET,COND,CONDORDER,DARKONLY,DARKPOLL,DAY,DEACT,DEACTDIS,DEACTEOD,DIS,GAT,GTC,GTD,GTT,HID,IBKRATS,ICE,IMB,IOC,LIT,LMT,LOC,MIT,MKT,MOC,MTL,NGCOMB,NODARK,NONALGO,OCA,OPG,OPGREROUT,PEGBENCH,POSTONLY,PREOPGRTH,R</v>
      </c>
      <c r="M400" s="6" t="str">
        <f>[9]!id260?validExchanges</f>
        <v>SMART,NYSE,CBOE,ISE,CHX,ARCA,ISLAND,VWAP,DRCTEDGE,NSX,BEX,BATS,EDGEA,CSFBALGO,JEFFALGO,BYX,IEX,TPLUS2,PSX</v>
      </c>
      <c r="N400" s="6">
        <f>[9]!id260?conid</f>
        <v>12791</v>
      </c>
      <c r="O400" s="6">
        <f>[9]!id260?minTick</f>
        <v>0.01</v>
      </c>
      <c r="P400" s="6">
        <f>[9]!id260?multiplier</f>
        <v>0</v>
      </c>
      <c r="Q400" s="6" t="str">
        <f>[9]!id260?marketName</f>
        <v>TIF</v>
      </c>
      <c r="R400" s="6" t="str">
        <f>[9]!id260?tradingClass</f>
        <v>TIF</v>
      </c>
    </row>
    <row r="401" spans="1:18" hidden="1" x14ac:dyDescent="0.2">
      <c r="A401" s="176" t="s">
        <v>1116</v>
      </c>
      <c r="B401" s="13" t="s">
        <v>12</v>
      </c>
      <c r="C401" s="13" t="b">
        <f t="shared" si="5"/>
        <v>1</v>
      </c>
      <c r="D401" s="13"/>
      <c r="E401" s="63"/>
      <c r="F401" s="13"/>
      <c r="G401" s="13"/>
      <c r="H401" s="13" t="s">
        <v>68</v>
      </c>
      <c r="I401" s="101" t="s">
        <v>44</v>
      </c>
      <c r="J401" s="101"/>
      <c r="K401" s="6">
        <f>[9]!'id261?req?TMK_STK_SMART_USD_~/'</f>
        <v>0</v>
      </c>
      <c r="L401" s="6" t="str">
        <f>[9]!id261?orderTypes</f>
        <v>ACTIVETIM,ADJUST,ALERT,ALGO,ALLOC,AON,AVGCOST,BASKET,COND,CONDORDER,DARKONLY,DARKPOLL,DAY,DEACT,DEACTDIS,DEACTEOD,DIS,GAT,GTC,GTD,GTT,HID,IBKRATS,ICE,IMB,IOC,LIT,LMT,LOC,MIT,MKT,MOC,MTL,NGCOMB,NODARK,NONALGO,OCA,OPG,OPGREROUT,PEGBENCH,POSTONLY,PREOPGRTH,R</v>
      </c>
      <c r="M401" s="6" t="str">
        <f>[9]!id261?validExchanges</f>
        <v>SMART,NYSE,CBOE,ISE,CHX,ARCA,ISLAND,VWAP,DRCTEDGE,NSX,BEX,BATS,EDGEA,CSFBALGO,JEFFALGO,BYX,IEX,TPLUS2,PSX</v>
      </c>
      <c r="N401" s="6">
        <f>[9]!id261?conid</f>
        <v>12856</v>
      </c>
      <c r="O401" s="6">
        <f>[9]!id261?minTick</f>
        <v>0.01</v>
      </c>
      <c r="P401" s="6">
        <f>[9]!id261?multiplier</f>
        <v>0</v>
      </c>
      <c r="Q401" s="6" t="str">
        <f>[9]!id261?marketName</f>
        <v>TMK</v>
      </c>
      <c r="R401" s="6" t="str">
        <f>[9]!id261?tradingClass</f>
        <v>TMK</v>
      </c>
    </row>
    <row r="402" spans="1:18" hidden="1" x14ac:dyDescent="0.2">
      <c r="A402" s="176" t="s">
        <v>1117</v>
      </c>
      <c r="B402" s="13" t="s">
        <v>12</v>
      </c>
      <c r="C402" s="13" t="b">
        <f t="shared" si="5"/>
        <v>1</v>
      </c>
      <c r="D402" s="13"/>
      <c r="E402" s="63"/>
      <c r="F402" s="13"/>
      <c r="G402" s="13"/>
      <c r="H402" s="13" t="s">
        <v>68</v>
      </c>
      <c r="I402" s="101" t="s">
        <v>44</v>
      </c>
      <c r="J402" s="101"/>
      <c r="K402" s="6">
        <f>[9]!'id262?req?TSS_STK_SMART_USD_~/'</f>
        <v>0</v>
      </c>
      <c r="L402" s="6" t="str">
        <f>[9]!id262?orderTypes</f>
        <v>ACTIVETIM,ADJUST,ALERT,ALGO,ALLOC,AON,AVGCOST,BASKET,COND,CONDORDER,DARKONLY,DARKPOLL,DAY,DEACT,DEACTDIS,DEACTEOD,DIS,GAT,GTC,GTD,GTT,HID,IBKRATS,ICE,IMB,IOC,LIT,LMT,LOC,MIT,MKT,MOC,MTL,NGCOMB,NODARK,NONALGO,OCA,OPG,OPGREROUT,PEGBENCH,POSTONLY,PREOPGRTH,R</v>
      </c>
      <c r="M402" s="6" t="str">
        <f>[9]!id262?validExchanges</f>
        <v>SMART,NYSE,CBOE,ISE,CHX,ARCA,ISLAND,DRCTEDGE,NSX,BEX,BATS,EDGEA,CSFBALGO,JEFFALGO,BYX,IEX,TPLUS2,PSX</v>
      </c>
      <c r="N402" s="6">
        <f>[9]!id262?conid</f>
        <v>13014</v>
      </c>
      <c r="O402" s="6">
        <f>[9]!id262?minTick</f>
        <v>0.01</v>
      </c>
      <c r="P402" s="6">
        <f>[9]!id262?multiplier</f>
        <v>0</v>
      </c>
      <c r="Q402" s="6" t="str">
        <f>[9]!id262?marketName</f>
        <v>TSS</v>
      </c>
      <c r="R402" s="6" t="str">
        <f>[9]!id262?tradingClass</f>
        <v>TSS</v>
      </c>
    </row>
    <row r="403" spans="1:18" hidden="1" x14ac:dyDescent="0.2">
      <c r="A403" s="176" t="s">
        <v>1118</v>
      </c>
      <c r="B403" s="13" t="s">
        <v>12</v>
      </c>
      <c r="C403" s="13" t="b">
        <f t="shared" si="5"/>
        <v>1</v>
      </c>
      <c r="D403" s="13"/>
      <c r="E403" s="63"/>
      <c r="F403" s="13"/>
      <c r="G403" s="13"/>
      <c r="H403" s="13" t="s">
        <v>68</v>
      </c>
      <c r="I403" s="101" t="s">
        <v>44</v>
      </c>
      <c r="J403" s="101"/>
      <c r="K403" s="6">
        <f>[9]!'id263?req?DVA_STK_SMART_USD_~/'</f>
        <v>0</v>
      </c>
      <c r="L403" s="6" t="str">
        <f>[9]!id263?orderTypes</f>
        <v>ACTIVETIM,ADJUST,ALERT,ALGO,ALLOC,AON,AVGCOST,BASKET,COND,CONDORDER,DARKONLY,DARKPOLL,DAY,DEACT,DEACTDIS,DEACTEOD,DIS,GAT,GTC,GTD,GTT,HID,IBKRATS,ICE,IMB,IOC,LIT,LMT,LOC,MIT,MKT,MOC,MTL,NGCOMB,NODARK,NONALGO,OCA,OPG,OPGREROUT,PEGBENCH,POSTONLY,PREOPGRTH,R</v>
      </c>
      <c r="M403" s="6" t="str">
        <f>[9]!id263?validExchanges</f>
        <v>SMART,NYSE,CBOE,ISE,CHX,ARCA,ISLAND,DRCTEDGE,NSX,BEX,BATS,EDGEA,CSFBALGO,JEFFALGO,BYX,IEX,TPLUS2,PSX</v>
      </c>
      <c r="N403" s="6">
        <f>[9]!id263?conid</f>
        <v>1035459</v>
      </c>
      <c r="O403" s="6">
        <f>[9]!id263?minTick</f>
        <v>0.01</v>
      </c>
      <c r="P403" s="6">
        <f>[9]!id263?multiplier</f>
        <v>0</v>
      </c>
      <c r="Q403" s="6" t="str">
        <f>[9]!id263?marketName</f>
        <v>DVA</v>
      </c>
      <c r="R403" s="6" t="str">
        <f>[9]!id263?tradingClass</f>
        <v>DVA</v>
      </c>
    </row>
    <row r="404" spans="1:18" hidden="1" x14ac:dyDescent="0.2">
      <c r="A404" s="176" t="s">
        <v>1119</v>
      </c>
      <c r="B404" s="13" t="s">
        <v>12</v>
      </c>
      <c r="C404" s="13" t="b">
        <f t="shared" si="5"/>
        <v>0</v>
      </c>
      <c r="D404" s="13"/>
      <c r="E404" s="63"/>
      <c r="F404" s="13"/>
      <c r="G404" s="13"/>
      <c r="H404" s="13" t="s">
        <v>68</v>
      </c>
      <c r="I404" s="101" t="s">
        <v>44</v>
      </c>
      <c r="J404" s="101"/>
      <c r="K404" s="6">
        <f>[9]!'id264?req?TSCO_STK_SMART_USD_~/'</f>
        <v>0</v>
      </c>
      <c r="L404" s="6" t="str">
        <f>[9]!id264?orderTypes</f>
        <v>ACTIVETIM,ADJUST,ALERT,ALGO,ALLOC,AON,AVGCOST,BASKET,COND,CONDORDER,DARKONLY,DARKPOLL,DAY,DEACT,DEACTDIS,DEACTEOD,DIS,GAT,GTC,GTD,GTT,HID,IBKRATS,ICE,IMB,IOC,LIT,LMT,LOC,MIT,MKT,MOC,MTL,NGCOMB,NODARK,NONALGO,OCA,OPG,OPGREROUT,PEGBENCH,POSTONLY,PREOPGRTH,R</v>
      </c>
      <c r="M404" s="6" t="str">
        <f>[9]!id264?validExchanges</f>
        <v>SMART,CBOE,ISE,CHX,ARCA,ISLAND,DRCTEDGE,NSX,BEX,BATS,EDGEA,CSFBALGO,JEFFALGO,BYX,IEX,TPLUS2,PSX</v>
      </c>
      <c r="N404" s="6">
        <f>[9]!id264?conid</f>
        <v>6858322</v>
      </c>
      <c r="O404" s="6">
        <f>[9]!id264?minTick</f>
        <v>0.01</v>
      </c>
      <c r="P404" s="6">
        <f>[9]!id264?multiplier</f>
        <v>0</v>
      </c>
      <c r="Q404" s="6" t="str">
        <f>[9]!id264?marketName</f>
        <v>NMS</v>
      </c>
      <c r="R404" s="6" t="str">
        <f>[9]!id264?tradingClass</f>
        <v>NMS</v>
      </c>
    </row>
    <row r="405" spans="1:18" hidden="1" x14ac:dyDescent="0.2">
      <c r="A405" s="176" t="s">
        <v>1120</v>
      </c>
      <c r="B405" s="13" t="s">
        <v>12</v>
      </c>
      <c r="C405" s="13" t="b">
        <f t="shared" si="5"/>
        <v>1</v>
      </c>
      <c r="D405" s="13"/>
      <c r="E405" s="63"/>
      <c r="F405" s="13"/>
      <c r="G405" s="13"/>
      <c r="H405" s="13" t="s">
        <v>68</v>
      </c>
      <c r="I405" s="101" t="s">
        <v>44</v>
      </c>
      <c r="J405" s="101"/>
      <c r="K405" s="6">
        <f>[9]!'id265?req?TSN_STK_SMART_USD_~/'</f>
        <v>0</v>
      </c>
      <c r="L405" s="6" t="str">
        <f>[9]!id265?orderTypes</f>
        <v>ACTIVETIM,ADJUST,ALERT,ALGO,ALLOC,AON,AVGCOST,BASKET,COND,CONDORDER,DARKONLY,DARKPOLL,DAY,DEACT,DEACTDIS,DEACTEOD,DIS,GAT,GTC,GTD,GTT,HID,IBKRATS,ICE,IMB,IOC,LIT,LMT,LOC,MIT,MKT,MOC,MTL,NGCOMB,NODARK,NONALGO,OCA,OPG,OPGREROUT,PEGBENCH,POSTONLY,PREOPGRTH,R</v>
      </c>
      <c r="M405" s="6" t="str">
        <f>[9]!id265?validExchanges</f>
        <v>SMART,NYSE,CBOE,ISE,CHX,ARCA,ISLAND,VWAP,DRCTEDGE,NSX,BEX,BATS,EDGEA,CSFBALGO,JEFFALGO,BYX,IEX,TPLUS2,PSX</v>
      </c>
      <c r="N405" s="6">
        <f>[9]!id265?conid</f>
        <v>275405</v>
      </c>
      <c r="O405" s="6">
        <f>[9]!id265?minTick</f>
        <v>0.01</v>
      </c>
      <c r="P405" s="6">
        <f>[9]!id265?multiplier</f>
        <v>0</v>
      </c>
      <c r="Q405" s="6" t="str">
        <f>[9]!id265?marketName</f>
        <v>TSN</v>
      </c>
      <c r="R405" s="6" t="str">
        <f>[9]!id265?tradingClass</f>
        <v>TSN</v>
      </c>
    </row>
    <row r="406" spans="1:18" hidden="1" x14ac:dyDescent="0.2">
      <c r="A406" s="176" t="s">
        <v>1121</v>
      </c>
      <c r="B406" s="13" t="s">
        <v>12</v>
      </c>
      <c r="C406" s="13" t="b">
        <f t="shared" si="5"/>
        <v>1</v>
      </c>
      <c r="D406" s="13"/>
      <c r="E406" s="63"/>
      <c r="F406" s="13"/>
      <c r="G406" s="13"/>
      <c r="H406" s="13" t="s">
        <v>68</v>
      </c>
      <c r="I406" s="101" t="s">
        <v>44</v>
      </c>
      <c r="J406" s="101"/>
      <c r="K406" s="6">
        <f>[9]!'id266?req?MRO_STK_SMART_USD_~/'</f>
        <v>0</v>
      </c>
      <c r="L406" s="6" t="str">
        <f>[9]!id266?orderTypes</f>
        <v>ACTIVETIM,ADJUST,ALERT,ALGO,ALLOC,AON,AVGCOST,BASKET,COND,CONDORDER,DARKONLY,DARKPOLL,DAY,DEACT,DEACTDIS,DEACTEOD,DIS,GAT,GTC,GTD,GTT,HID,IBKRATS,ICE,IMB,IOC,LIT,LMT,LOC,MIT,MKT,MOC,MTL,NGCOMB,NODARK,NONALGO,OCA,OPG,OPGREROUT,PEGBENCH,POSTONLY,PREOPGRTH,R</v>
      </c>
      <c r="M406" s="6" t="str">
        <f>[9]!id266?validExchanges</f>
        <v>SMART,NYSE,CBOE,ISE,CHX,ARCA,ISLAND,VWAP,DRCTEDGE,NSX,BEX,BATS,EDGEA,CSFBALGO,JEFFALGO,BYX,IEX,TPLUS2,PSX</v>
      </c>
      <c r="N406" s="6">
        <f>[9]!id266?conid</f>
        <v>9831</v>
      </c>
      <c r="O406" s="6">
        <f>[9]!id266?minTick</f>
        <v>0.01</v>
      </c>
      <c r="P406" s="6">
        <f>[9]!id266?multiplier</f>
        <v>0</v>
      </c>
      <c r="Q406" s="6" t="str">
        <f>[9]!id266?marketName</f>
        <v>MRO</v>
      </c>
      <c r="R406" s="6" t="str">
        <f>[9]!id266?tradingClass</f>
        <v>MRO</v>
      </c>
    </row>
    <row r="407" spans="1:18" hidden="1" x14ac:dyDescent="0.2">
      <c r="A407" s="176" t="s">
        <v>1122</v>
      </c>
      <c r="B407" s="13" t="s">
        <v>12</v>
      </c>
      <c r="C407" s="13" t="b">
        <f t="shared" si="5"/>
        <v>1</v>
      </c>
      <c r="D407" s="13"/>
      <c r="E407" s="63"/>
      <c r="F407" s="13"/>
      <c r="G407" s="13"/>
      <c r="H407" s="13" t="s">
        <v>68</v>
      </c>
      <c r="I407" s="101" t="s">
        <v>44</v>
      </c>
      <c r="J407" s="101"/>
      <c r="K407" s="6">
        <f>[9]!'id267?req?UNP_STK_SMART_USD_~/'</f>
        <v>0</v>
      </c>
      <c r="L407" s="6" t="str">
        <f>[9]!id267?orderTypes</f>
        <v>ACTIVETIM,ADJUST,ALERT,ALGO,ALLOC,AON,AVGCOST,BASKET,COND,CONDORDER,DARKONLY,DARKPOLL,DAY,DEACT,DEACTDIS,DEACTEOD,DIS,GAT,GTC,GTD,GTT,HID,IBKRATS,ICE,IMB,IOC,LIT,LMT,LOC,MIT,MKT,MOC,MTL,NGCOMB,NODARK,NONALGO,OCA,OPG,OPGREROUT,PEGBENCH,POSTONLY,PREOPGRTH,R</v>
      </c>
      <c r="M407" s="6" t="str">
        <f>[9]!id267?validExchanges</f>
        <v>SMART,NYSE,CBOE,ISE,CHX,ARCA,ISLAND,VWAP,DRCTEDGE,NSX,BEX,BATS,EDGEA,CSFBALGO,JEFFALGO,BYX,IEX,TPLUS2,PSX</v>
      </c>
      <c r="N407" s="6">
        <f>[9]!id267?conid</f>
        <v>13284</v>
      </c>
      <c r="O407" s="6">
        <f>[9]!id267?minTick</f>
        <v>0.01</v>
      </c>
      <c r="P407" s="6">
        <f>[9]!id267?multiplier</f>
        <v>0</v>
      </c>
      <c r="Q407" s="6" t="str">
        <f>[9]!id267?marketName</f>
        <v>UNP</v>
      </c>
      <c r="R407" s="6" t="str">
        <f>[9]!id267?tradingClass</f>
        <v>UNP</v>
      </c>
    </row>
    <row r="408" spans="1:18" hidden="1" x14ac:dyDescent="0.2">
      <c r="A408" s="176" t="s">
        <v>1123</v>
      </c>
      <c r="B408" s="13" t="s">
        <v>12</v>
      </c>
      <c r="C408" s="13" t="b">
        <f t="shared" si="5"/>
        <v>1</v>
      </c>
      <c r="D408" s="13"/>
      <c r="E408" s="63"/>
      <c r="F408" s="13"/>
      <c r="G408" s="13"/>
      <c r="H408" s="13" t="s">
        <v>68</v>
      </c>
      <c r="I408" s="101" t="s">
        <v>44</v>
      </c>
      <c r="J408" s="101"/>
      <c r="K408" s="6">
        <f>[9]!'id268?req?UTX_STK_SMART_USD_~/'</f>
        <v>0</v>
      </c>
      <c r="L408" s="6" t="str">
        <f>[9]!id268?orderTypes</f>
        <v>ACTIVETIM,ADJUST,ALERT,ALGO,ALLOC,AON,AVGCOST,BASKET,COND,CONDORDER,DARKONLY,DARKPOLL,DAY,DEACT,DEACTDIS,DEACTEOD,DIS,GAT,GTC,GTD,GTT,HID,IBKRATS,ICE,IMB,IOC,LIT,LMT,LOC,MIT,MKT,MOC,MTL,NGCOMB,NODARK,NONALGO,OCA,OPG,OPGREROUT,PEGBENCH,POSTONLY,PREOPGRTH,R</v>
      </c>
      <c r="M408" s="6" t="str">
        <f>[9]!id268?validExchanges</f>
        <v>SMART,NYSE,CBOE,ISE,CHX,ARCA,ISLAND,VWAP,DRCTEDGE,NSX,BEX,BATS,EDGEA,CSFBALGO,JEFFALGO,BYX,IEX,TPLUS2,PSX</v>
      </c>
      <c r="N408" s="6">
        <f>[9]!id268?conid</f>
        <v>13364</v>
      </c>
      <c r="O408" s="6">
        <f>[9]!id268?minTick</f>
        <v>0.01</v>
      </c>
      <c r="P408" s="6">
        <f>[9]!id268?multiplier</f>
        <v>0</v>
      </c>
      <c r="Q408" s="6" t="str">
        <f>[9]!id268?marketName</f>
        <v>UTX</v>
      </c>
      <c r="R408" s="6" t="str">
        <f>[9]!id268?tradingClass</f>
        <v>UTX</v>
      </c>
    </row>
    <row r="409" spans="1:18" hidden="1" x14ac:dyDescent="0.2">
      <c r="A409" s="176" t="s">
        <v>1124</v>
      </c>
      <c r="B409" s="13" t="s">
        <v>12</v>
      </c>
      <c r="C409" s="13" t="b">
        <f t="shared" si="5"/>
        <v>1</v>
      </c>
      <c r="D409" s="13"/>
      <c r="E409" s="63"/>
      <c r="F409" s="13"/>
      <c r="G409" s="13"/>
      <c r="H409" s="13" t="s">
        <v>68</v>
      </c>
      <c r="I409" s="101" t="s">
        <v>44</v>
      </c>
      <c r="J409" s="101"/>
      <c r="K409" s="6">
        <f>[9]!'id269?req?UNH_STK_SMART_USD_~/'</f>
        <v>0</v>
      </c>
      <c r="L409" s="6" t="str">
        <f>[9]!id269?orderTypes</f>
        <v>ACTIVETIM,ADJUST,ALERT,ALGO,ALLOC,AON,AVGCOST,BASKET,COND,CONDORDER,DARKONLY,DARKPOLL,DAY,DEACT,DEACTDIS,DEACTEOD,DIS,GAT,GTC,GTD,GTT,HID,IBKRATS,ICE,IMB,IOC,LIT,LMT,LOC,MIT,MKT,MOC,MTL,NGCOMB,NODARK,NONALGO,OCA,OPG,OPGREROUT,PEGBENCH,POSTONLY,PREOPGRTH,R</v>
      </c>
      <c r="M409" s="6" t="str">
        <f>[9]!id269?validExchanges</f>
        <v>SMART,NYSE,CBOE,ISE,CHX,ARCA,ISLAND,VWAP,DRCTEDGE,NSX,BEX,BATS,EDGEA,CSFBALGO,JEFFALGO,BYX,IEX,TPLUS2,PSX</v>
      </c>
      <c r="N409" s="6">
        <f>[9]!id269?conid</f>
        <v>13272</v>
      </c>
      <c r="O409" s="6">
        <f>[9]!id269?minTick</f>
        <v>0.01</v>
      </c>
      <c r="P409" s="6">
        <f>[9]!id269?multiplier</f>
        <v>0</v>
      </c>
      <c r="Q409" s="6" t="str">
        <f>[9]!id269?marketName</f>
        <v>UNH</v>
      </c>
      <c r="R409" s="6" t="str">
        <f>[9]!id269?tradingClass</f>
        <v>UNH</v>
      </c>
    </row>
    <row r="410" spans="1:18" hidden="1" x14ac:dyDescent="0.2">
      <c r="A410" s="176" t="s">
        <v>1125</v>
      </c>
      <c r="B410" s="13" t="s">
        <v>12</v>
      </c>
      <c r="C410" s="13" t="b">
        <f t="shared" si="5"/>
        <v>1</v>
      </c>
      <c r="D410" s="13"/>
      <c r="E410" s="63"/>
      <c r="F410" s="13"/>
      <c r="G410" s="13"/>
      <c r="H410" s="13" t="s">
        <v>68</v>
      </c>
      <c r="I410" s="101" t="s">
        <v>44</v>
      </c>
      <c r="J410" s="101"/>
      <c r="K410" s="6">
        <f>[9]!'id270?req?UHS_STK_SMART_USD_~/'</f>
        <v>0</v>
      </c>
      <c r="L410" s="6" t="str">
        <f>[9]!id270?orderTypes</f>
        <v>ACTIVETIM,ADJUST,ALERT,ALGO,ALLOC,AON,AVGCOST,BASKET,COND,CONDORDER,DARKONLY,DARKPOLL,DAY,DEACT,DEACTDIS,DEACTEOD,DIS,GAT,GTC,GTD,GTT,HID,IBKRATS,ICE,IMB,IOC,LIT,LMT,LOC,MIT,MKT,MOC,MTL,NGCOMB,NODARK,NONALGO,OCA,OPG,OPGREROUT,PEGBENCH,POSTONLY,PREOPGRTH,R</v>
      </c>
      <c r="M410" s="6" t="str">
        <f>[9]!id270?validExchanges</f>
        <v>SMART,NYSE,CBOE,ISE,CHX,ARCA,ISLAND,DRCTEDGE,NSX,BEX,BATS,EDGEA,CSFBALGO,JEFFALGO,BYX,IEX,TPLUS2,PSX</v>
      </c>
      <c r="N410" s="6">
        <f>[9]!id270?conid</f>
        <v>13206</v>
      </c>
      <c r="O410" s="6">
        <f>[9]!id270?minTick</f>
        <v>0.01</v>
      </c>
      <c r="P410" s="6">
        <f>[9]!id270?multiplier</f>
        <v>0</v>
      </c>
      <c r="Q410" s="6" t="str">
        <f>[9]!id270?marketName</f>
        <v>UHS</v>
      </c>
      <c r="R410" s="6" t="str">
        <f>[9]!id270?tradingClass</f>
        <v>UHS</v>
      </c>
    </row>
    <row r="411" spans="1:18" hidden="1" x14ac:dyDescent="0.2">
      <c r="A411" s="176" t="s">
        <v>1126</v>
      </c>
      <c r="B411" s="13" t="s">
        <v>12</v>
      </c>
      <c r="C411" s="13" t="b">
        <f t="shared" si="5"/>
        <v>1</v>
      </c>
      <c r="D411" s="13"/>
      <c r="E411" s="63"/>
      <c r="F411" s="13"/>
      <c r="G411" s="13"/>
      <c r="H411" s="13" t="s">
        <v>68</v>
      </c>
      <c r="I411" s="101" t="s">
        <v>44</v>
      </c>
      <c r="J411" s="101"/>
      <c r="K411" s="6">
        <f>[9]!'id271?req?VAR_STK_SMART_USD_~/'</f>
        <v>0</v>
      </c>
      <c r="L411" s="6" t="str">
        <f>[9]!id271?orderTypes</f>
        <v>ACTIVETIM,ADJUST,ALERT,ALGO,ALLOC,AON,AVGCOST,BASKET,COND,CONDORDER,DARKONLY,DARKPOLL,DAY,DEACT,DEACTDIS,DEACTEOD,DIS,GAT,GTC,GTD,GTT,HID,IBKRATS,ICE,IMB,IOC,LIT,LMT,LOC,MIT,MKT,MOC,MTL,NGCOMB,NODARK,NONALGO,OCA,OPG,OPGREROUT,PEGBENCH,POSTONLY,PREOPGRTH,R</v>
      </c>
      <c r="M411" s="6" t="str">
        <f>[9]!id271?validExchanges</f>
        <v>SMART,NYSE,CBOE,ISE,CHX,ARCA,ISLAND,DRCTEDGE,NSX,BEX,BATS,EDGEA,CSFBALGO,JEFFALGO,BYX,IEX,TPLUS2,PSX</v>
      </c>
      <c r="N411" s="6">
        <f>[9]!id271?conid</f>
        <v>13400</v>
      </c>
      <c r="O411" s="6">
        <f>[9]!id271?minTick</f>
        <v>0.01</v>
      </c>
      <c r="P411" s="6">
        <f>[9]!id271?multiplier</f>
        <v>0</v>
      </c>
      <c r="Q411" s="6" t="str">
        <f>[9]!id271?marketName</f>
        <v>VAR</v>
      </c>
      <c r="R411" s="6" t="str">
        <f>[9]!id271?tradingClass</f>
        <v>VAR</v>
      </c>
    </row>
    <row r="412" spans="1:18" hidden="1" x14ac:dyDescent="0.2">
      <c r="A412" s="176" t="s">
        <v>1127</v>
      </c>
      <c r="B412" s="13" t="s">
        <v>12</v>
      </c>
      <c r="C412" s="13" t="b">
        <f t="shared" si="5"/>
        <v>1</v>
      </c>
      <c r="D412" s="13"/>
      <c r="E412" s="63"/>
      <c r="F412" s="13"/>
      <c r="G412" s="13"/>
      <c r="H412" s="13" t="s">
        <v>68</v>
      </c>
      <c r="I412" s="101" t="s">
        <v>44</v>
      </c>
      <c r="J412" s="101"/>
      <c r="K412" s="6">
        <f>[9]!'id272?req?VTR_STK_SMART_USD_~/'</f>
        <v>0</v>
      </c>
      <c r="L412" s="6" t="str">
        <f>[9]!id272?orderTypes</f>
        <v>ACTIVETIM,ADJUST,ALERT,ALGO,ALLOC,AON,AVGCOST,BASKET,COND,CONDORDER,DARKONLY,DARKPOLL,DAY,DEACT,DEACTDIS,DEACTEOD,DIS,GAT,GTC,GTD,GTT,HID,IBKRATS,ICE,IMB,IOC,LIT,LMT,LOC,MIT,MKT,MOC,MTL,NGCOMB,NODARK,NONALGO,OCA,OPG,OPGREROUT,PEGBENCH,POSTONLY,PREOPGRTH,R</v>
      </c>
      <c r="M412" s="6" t="str">
        <f>[9]!id272?validExchanges</f>
        <v>SMART,NYSE,CBOE,ISE,CHX,ARCA,ISLAND,DRCTEDGE,NSX,BEX,BATS,EDGEA,CSFBALGO,JEFFALGO,BYX,IEX,TPLUS2,PSX</v>
      </c>
      <c r="N412" s="6">
        <f>[9]!id272?conid</f>
        <v>4044062</v>
      </c>
      <c r="O412" s="6">
        <f>[9]!id272?minTick</f>
        <v>0.01</v>
      </c>
      <c r="P412" s="6">
        <f>[9]!id272?multiplier</f>
        <v>0</v>
      </c>
      <c r="Q412" s="6" t="str">
        <f>[9]!id272?marketName</f>
        <v>VTR</v>
      </c>
      <c r="R412" s="6" t="str">
        <f>[9]!id272?tradingClass</f>
        <v>VTR</v>
      </c>
    </row>
    <row r="413" spans="1:18" hidden="1" x14ac:dyDescent="0.2">
      <c r="A413" s="176" t="s">
        <v>1128</v>
      </c>
      <c r="B413" s="13" t="s">
        <v>12</v>
      </c>
      <c r="C413" s="13" t="b">
        <f t="shared" si="5"/>
        <v>1</v>
      </c>
      <c r="D413" s="13"/>
      <c r="E413" s="63"/>
      <c r="F413" s="13"/>
      <c r="G413" s="13"/>
      <c r="H413" s="13" t="s">
        <v>68</v>
      </c>
      <c r="I413" s="101" t="s">
        <v>44</v>
      </c>
      <c r="J413" s="101"/>
      <c r="K413" s="6">
        <f>[9]!'id273?req?VFC_STK_SMART_USD_~/'</f>
        <v>0</v>
      </c>
      <c r="L413" s="6" t="str">
        <f>[9]!id273?orderTypes</f>
        <v>ACTIVETIM,ADJUST,ALERT,ALGO,ALLOC,AON,AVGCOST,BASKET,COND,CONDORDER,DARKONLY,DARKPOLL,DAY,DEACT,DEACTDIS,DEACTEOD,DIS,GAT,GTC,GTD,GTT,HID,IBKRATS,ICE,IMB,IOC,LIT,LMT,LOC,MIT,MKT,MOC,MTL,NGCOMB,NODARK,NONALGO,OCA,OPG,OPGREROUT,PEGBENCH,POSTONLY,PREOPGRTH,R</v>
      </c>
      <c r="M413" s="6" t="str">
        <f>[9]!id273?validExchanges</f>
        <v>SMART,NYSE,CBOE,ISE,CHX,ARCA,ISLAND,VWAP,DRCTEDGE,NSX,BEX,BATS,EDGEA,CSFBALGO,JEFFALGO,BYX,IEX,TPLUS2,PSX</v>
      </c>
      <c r="N413" s="6">
        <f>[9]!id273?conid</f>
        <v>13440</v>
      </c>
      <c r="O413" s="6">
        <f>[9]!id273?minTick</f>
        <v>0.01</v>
      </c>
      <c r="P413" s="6">
        <f>[9]!id273?multiplier</f>
        <v>0</v>
      </c>
      <c r="Q413" s="6" t="str">
        <f>[9]!id273?marketName</f>
        <v>VFC</v>
      </c>
      <c r="R413" s="6" t="str">
        <f>[9]!id273?tradingClass</f>
        <v>VFC</v>
      </c>
    </row>
    <row r="414" spans="1:18" hidden="1" x14ac:dyDescent="0.2">
      <c r="A414" s="176" t="s">
        <v>1129</v>
      </c>
      <c r="B414" s="13" t="s">
        <v>12</v>
      </c>
      <c r="C414" s="13" t="b">
        <f t="shared" si="5"/>
        <v>0</v>
      </c>
      <c r="D414" s="13"/>
      <c r="E414" s="63"/>
      <c r="F414" s="13"/>
      <c r="G414" s="13"/>
      <c r="H414" s="13" t="s">
        <v>68</v>
      </c>
      <c r="I414" s="101" t="s">
        <v>44</v>
      </c>
      <c r="J414" s="101"/>
      <c r="K414" s="6">
        <f>[9]!'id274?req?VRTX_STK_SMART_USD_~/'</f>
        <v>0</v>
      </c>
      <c r="L414" s="6" t="str">
        <f>[9]!id274?orderTypes</f>
        <v>ACTIVETIM,ADJUST,ALERT,ALGO,ALLOC,AON,AVGCOST,BASKET,COND,CONDORDER,DARKONLY,DARKPOLL,DAY,DEACT,DEACTDIS,DEACTEOD,DIS,GAT,GTC,GTD,GTT,HID,IBKRATS,ICE,IMB,IOC,LIT,LMT,LOC,MIT,MKT,MOC,MTL,NGCOMB,NODARK,NONALGO,OCA,OPG,OPGREROUT,PEGBENCH,POSTONLY,PREOPGRTH,R</v>
      </c>
      <c r="M414" s="6" t="str">
        <f>[9]!id274?validExchanges</f>
        <v>SMART,CBOE,ISE,CHX,ARCA,ISLAND,DRCTEDGE,NSX,BEX,BATS,EDGEA,CSFBALGO,JEFFALGO,BYX,IEX,TPLUS2,PSX</v>
      </c>
      <c r="N414" s="6">
        <f>[9]!id274?conid</f>
        <v>275850</v>
      </c>
      <c r="O414" s="6">
        <f>[9]!id274?minTick</f>
        <v>0.01</v>
      </c>
      <c r="P414" s="6">
        <f>[9]!id274?multiplier</f>
        <v>0</v>
      </c>
      <c r="Q414" s="6" t="str">
        <f>[9]!id274?marketName</f>
        <v>NMS</v>
      </c>
      <c r="R414" s="6" t="str">
        <f>[9]!id274?tradingClass</f>
        <v>NMS</v>
      </c>
    </row>
    <row r="415" spans="1:18" hidden="1" x14ac:dyDescent="0.2">
      <c r="A415" s="176" t="s">
        <v>1130</v>
      </c>
      <c r="B415" s="13" t="s">
        <v>12</v>
      </c>
      <c r="C415" s="13" t="b">
        <f t="shared" si="5"/>
        <v>1</v>
      </c>
      <c r="D415" s="13"/>
      <c r="E415" s="63"/>
      <c r="F415" s="13"/>
      <c r="G415" s="13"/>
      <c r="H415" s="13" t="s">
        <v>68</v>
      </c>
      <c r="I415" s="101" t="s">
        <v>44</v>
      </c>
      <c r="J415" s="101"/>
      <c r="K415" s="6">
        <f>[9]!'id275?req?VMC_STK_SMART_USD_~/'</f>
        <v>0</v>
      </c>
      <c r="L415" s="6" t="str">
        <f>[9]!id275?orderTypes</f>
        <v>ACTIVETIM,ADJUST,ALERT,ALGO,ALLOC,AON,AVGCOST,BASKET,COND,CONDORDER,DARKONLY,DARKPOLL,DAY,DEACT,DEACTDIS,DEACTEOD,DIS,GAT,GTC,GTD,GTT,HID,IBKRATS,ICE,IMB,IOC,LIT,LMT,LOC,MIT,MKT,MOC,MTL,NGCOMB,NODARK,NONALGO,OCA,OPG,OPGREROUT,PEGBENCH,POSTONLY,PREOPGRTH,R</v>
      </c>
      <c r="M415" s="6" t="str">
        <f>[9]!id275?validExchanges</f>
        <v>SMART,NYSE,CBOE,ISE,CHX,ARCA,ISLAND,VWAP,DRCTEDGE,NSX,BEX,BATS,EDGEA,CSFBALGO,JEFFALGO,BYX,IEX,TPLUS2,PSX</v>
      </c>
      <c r="N415" s="6">
        <f>[9]!id275?conid</f>
        <v>13515</v>
      </c>
      <c r="O415" s="6">
        <f>[9]!id275?minTick</f>
        <v>0.01</v>
      </c>
      <c r="P415" s="6">
        <f>[9]!id275?multiplier</f>
        <v>0</v>
      </c>
      <c r="Q415" s="6" t="str">
        <f>[9]!id275?marketName</f>
        <v>VMC</v>
      </c>
      <c r="R415" s="6" t="str">
        <f>[9]!id275?tradingClass</f>
        <v>VMC</v>
      </c>
    </row>
    <row r="416" spans="1:18" hidden="1" x14ac:dyDescent="0.2">
      <c r="A416" s="176" t="s">
        <v>1131</v>
      </c>
      <c r="B416" s="13" t="s">
        <v>12</v>
      </c>
      <c r="C416" s="13" t="b">
        <f t="shared" si="5"/>
        <v>0</v>
      </c>
      <c r="D416" s="13"/>
      <c r="E416" s="63"/>
      <c r="F416" s="13"/>
      <c r="G416" s="13"/>
      <c r="H416" s="13" t="s">
        <v>68</v>
      </c>
      <c r="I416" s="101" t="s">
        <v>44</v>
      </c>
      <c r="J416" s="101"/>
      <c r="K416" s="6">
        <f>[9]!'id276?req?URBN_STK_SMART_USD_~/'</f>
        <v>0</v>
      </c>
      <c r="L416" s="6" t="str">
        <f>[9]!id276?orderTypes</f>
        <v>ACTIVETIM,ADJUST,ALERT,ALGO,ALLOC,AON,AVGCOST,BASKET,COND,CONDORDER,DARKONLY,DARKPOLL,DAY,DEACT,DEACTDIS,DEACTEOD,DIS,GAT,GTC,GTD,GTT,HID,IBKRATS,ICE,IMB,IOC,LIT,LMT,LOC,MIT,MKT,MOC,MTL,NGCOMB,NODARK,NONALGO,OCA,OPG,OPGREROUT,PEGBENCH,POSTONLY,PREOPGRTH,R</v>
      </c>
      <c r="M416" s="6" t="str">
        <f>[9]!id276?validExchanges</f>
        <v>SMART,CBOE,ISE,CHX,ARCA,ISLAND,DRCTEDGE,NSX,BEX,BATS,EDGEA,CSFBALGO,JEFFALGO,BYX,IEX,TPLUS2,PSX</v>
      </c>
      <c r="N416" s="6">
        <f>[9]!id276?conid</f>
        <v>275527</v>
      </c>
      <c r="O416" s="6">
        <f>[9]!id276?minTick</f>
        <v>0.01</v>
      </c>
      <c r="P416" s="6">
        <f>[9]!id276?multiplier</f>
        <v>0</v>
      </c>
      <c r="Q416" s="6" t="str">
        <f>[9]!id276?marketName</f>
        <v>NMS</v>
      </c>
      <c r="R416" s="6" t="str">
        <f>[9]!id276?tradingClass</f>
        <v>NMS</v>
      </c>
    </row>
    <row r="417" spans="1:18" hidden="1" x14ac:dyDescent="0.2">
      <c r="A417" s="176" t="s">
        <v>1132</v>
      </c>
      <c r="B417" s="13" t="s">
        <v>12</v>
      </c>
      <c r="C417" s="13" t="b">
        <f t="shared" si="5"/>
        <v>1</v>
      </c>
      <c r="D417" s="13"/>
      <c r="E417" s="63"/>
      <c r="F417" s="13"/>
      <c r="G417" s="13"/>
      <c r="H417" s="13" t="s">
        <v>68</v>
      </c>
      <c r="I417" s="101" t="s">
        <v>44</v>
      </c>
      <c r="J417" s="101"/>
      <c r="K417" s="6">
        <f>[9]!'id277?req?VNO_STK_SMART_USD_~/'</f>
        <v>0</v>
      </c>
      <c r="L417" s="6" t="str">
        <f>[9]!id277?orderTypes</f>
        <v>ACTIVETIM,ADJUST,ALERT,ALGO,ALLOC,AON,AVGCOST,BASKET,COND,CONDORDER,DARKONLY,DARKPOLL,DAY,DEACT,DEACTDIS,DEACTEOD,DIS,GAT,GTC,GTD,GTT,HID,IBKRATS,ICE,IMB,IOC,LIT,LMT,LOC,MIT,MKT,MOC,MTL,NGCOMB,NODARK,NONALGO,OCA,OPG,OPGREROUT,PEGBENCH,POSTONLY,PREOPGRTH,R</v>
      </c>
      <c r="M417" s="6" t="str">
        <f>[9]!id277?validExchanges</f>
        <v>SMART,NYSE,CBOE,ISE,CHX,ARCA,ISLAND,VWAP,DRCTEDGE,NSX,BEX,BATS,EDGEA,CSFBALGO,JEFFALGO,BYX,IEX,TPLUS2,PSX</v>
      </c>
      <c r="N417" s="6">
        <f>[9]!id277?conid</f>
        <v>13535</v>
      </c>
      <c r="O417" s="6">
        <f>[9]!id277?minTick</f>
        <v>0.01</v>
      </c>
      <c r="P417" s="6">
        <f>[9]!id277?multiplier</f>
        <v>0</v>
      </c>
      <c r="Q417" s="6" t="str">
        <f>[9]!id277?marketName</f>
        <v>VNO</v>
      </c>
      <c r="R417" s="6" t="str">
        <f>[9]!id277?tradingClass</f>
        <v>VNO</v>
      </c>
    </row>
    <row r="418" spans="1:18" hidden="1" x14ac:dyDescent="0.2">
      <c r="A418" s="176" t="s">
        <v>1133</v>
      </c>
      <c r="B418" s="13" t="s">
        <v>12</v>
      </c>
      <c r="C418" s="13" t="b">
        <f t="shared" si="5"/>
        <v>1</v>
      </c>
      <c r="D418" s="13"/>
      <c r="E418" s="63"/>
      <c r="F418" s="13"/>
      <c r="G418" s="13"/>
      <c r="H418" s="13" t="s">
        <v>68</v>
      </c>
      <c r="I418" s="101" t="s">
        <v>44</v>
      </c>
      <c r="J418" s="101"/>
      <c r="K418" s="6">
        <f>[9]!'id278?req?WMT_STK_SMART_USD_~/'</f>
        <v>0</v>
      </c>
      <c r="L418" s="6" t="str">
        <f>[9]!id278?orderTypes</f>
        <v>ACTIVETIM,ADJUST,ALERT,ALGO,ALLOC,AON,AVGCOST,BASKET,COND,CONDORDER,DARKONLY,DARKPOLL,DAY,DEACT,DEACTDIS,DEACTEOD,DIS,GAT,GTC,GTD,GTT,HID,IBKRATS,ICE,IMB,IOC,LIT,LMT,LOC,MIT,MKT,MOC,MTL,NGCOMB,NODARK,NONALGO,OCA,OPG,OPGREROUT,PEGBENCH,POSTONLY,PREOPGRTH,R</v>
      </c>
      <c r="M418" s="6" t="str">
        <f>[9]!id278?validExchanges</f>
        <v>SMART,NYSE,CBOE,ISE,CHX,ARCA,ISLAND,VWAP,DRCTEDGE,NSX,BEX,BATS,EDGEA,CSFBALGO,JEFFALGO,BYX,IEX,TPLUS2,PSX</v>
      </c>
      <c r="N418" s="6">
        <f>[9]!id278?conid</f>
        <v>13824</v>
      </c>
      <c r="O418" s="6">
        <f>[9]!id278?minTick</f>
        <v>0.01</v>
      </c>
      <c r="P418" s="6">
        <f>[9]!id278?multiplier</f>
        <v>0</v>
      </c>
      <c r="Q418" s="6" t="str">
        <f>[9]!id278?marketName</f>
        <v>WMT</v>
      </c>
      <c r="R418" s="6" t="str">
        <f>[9]!id278?tradingClass</f>
        <v>WMT</v>
      </c>
    </row>
    <row r="419" spans="1:18" hidden="1" x14ac:dyDescent="0.2">
      <c r="A419" s="176" t="s">
        <v>1134</v>
      </c>
      <c r="B419" s="13" t="s">
        <v>12</v>
      </c>
      <c r="C419" s="13" t="b">
        <f t="shared" si="5"/>
        <v>1</v>
      </c>
      <c r="D419" s="13"/>
      <c r="E419" s="63"/>
      <c r="F419" s="13"/>
      <c r="G419" s="13"/>
      <c r="H419" s="13" t="s">
        <v>68</v>
      </c>
      <c r="I419" s="101" t="s">
        <v>44</v>
      </c>
      <c r="J419" s="101"/>
      <c r="K419" s="6">
        <f>[9]!'id279?req?WM_STK_SMART_USD_~/'</f>
        <v>0</v>
      </c>
      <c r="L419" s="6" t="str">
        <f>[9]!id279?orderTypes</f>
        <v>ACTIVETIM,ADJUST,ALERT,ALGO,ALLOC,AON,AVGCOST,BASKET,COND,CONDORDER,DARKONLY,DARKPOLL,DAY,DEACT,DEACTDIS,DEACTEOD,DIS,GAT,GTC,GTD,GTT,HID,IBKRATS,ICE,IMB,IOC,LIT,LMT,LOC,MIT,MKT,MOC,MTL,NGCOMB,NODARK,NONALGO,OCA,OPG,OPGREROUT,PEGBENCH,POSTONLY,PREOPGRTH,R</v>
      </c>
      <c r="M419" s="6" t="str">
        <f>[9]!id279?validExchanges</f>
        <v>SMART,NYSE,CBOE,ISE,CHX,ARCA,ISLAND,VWAP,DRCTEDGE,NSX,BEX,BATS,EDGEA,CSFBALGO,JEFFALGO,BYX,IEX,TPLUS2,PSX</v>
      </c>
      <c r="N419" s="6">
        <f>[9]!id279?conid</f>
        <v>13379</v>
      </c>
      <c r="O419" s="6">
        <f>[9]!id279?minTick</f>
        <v>0.01</v>
      </c>
      <c r="P419" s="6">
        <f>[9]!id279?multiplier</f>
        <v>0</v>
      </c>
      <c r="Q419" s="6" t="str">
        <f>[9]!id279?marketName</f>
        <v>WM</v>
      </c>
      <c r="R419" s="6" t="str">
        <f>[9]!id279?tradingClass</f>
        <v>WM</v>
      </c>
    </row>
    <row r="420" spans="1:18" hidden="1" x14ac:dyDescent="0.2">
      <c r="A420" s="176" t="s">
        <v>1135</v>
      </c>
      <c r="B420" s="13" t="s">
        <v>12</v>
      </c>
      <c r="C420" s="13" t="b">
        <f t="shared" si="5"/>
        <v>1</v>
      </c>
      <c r="D420" s="13"/>
      <c r="E420" s="63"/>
      <c r="F420" s="13"/>
      <c r="G420" s="13"/>
      <c r="H420" s="13" t="s">
        <v>68</v>
      </c>
      <c r="I420" s="101" t="s">
        <v>44</v>
      </c>
      <c r="J420" s="101"/>
      <c r="K420" s="6">
        <f>[9]!'id280?req?WAT_STK_SMART_USD_~/'</f>
        <v>0</v>
      </c>
      <c r="L420" s="6" t="str">
        <f>[9]!id280?orderTypes</f>
        <v>ACTIVETIM,ADJUST,ALERT,ALGO,ALLOC,AON,AVGCOST,BASKET,COND,CONDORDER,DARKONLY,DARKPOLL,DAY,DEACT,DEACTDIS,DEACTEOD,DIS,GAT,GTC,GTD,GTT,HID,IBKRATS,ICE,IMB,IOC,LIT,LMT,LOC,MIT,MKT,MOC,MTL,NGCOMB,NODARK,NONALGO,OCA,OPG,OPGREROUT,PEGBENCH,POSTONLY,PREOPGRTH,R</v>
      </c>
      <c r="M420" s="6" t="str">
        <f>[9]!id280?validExchanges</f>
        <v>SMART,NYSE,CBOE,ISE,CHX,ARCA,ISLAND,VWAP,DRCTEDGE,NSX,BEX,BATS,EDGEA,CSFBALGO,JEFFALGO,BYX,IEX,TPLUS2,PSX</v>
      </c>
      <c r="N420" s="6">
        <f>[9]!id280?conid</f>
        <v>1448494</v>
      </c>
      <c r="O420" s="6">
        <f>[9]!id280?minTick</f>
        <v>0.01</v>
      </c>
      <c r="P420" s="6">
        <f>[9]!id280?multiplier</f>
        <v>0</v>
      </c>
      <c r="Q420" s="6" t="str">
        <f>[9]!id280?marketName</f>
        <v>WAT</v>
      </c>
      <c r="R420" s="6" t="str">
        <f>[9]!id280?tradingClass</f>
        <v>WAT</v>
      </c>
    </row>
    <row r="421" spans="1:18" hidden="1" x14ac:dyDescent="0.2">
      <c r="A421" s="176" t="s">
        <v>1136</v>
      </c>
      <c r="B421" s="13" t="s">
        <v>12</v>
      </c>
      <c r="C421" s="13" t="b">
        <f t="shared" si="5"/>
        <v>1</v>
      </c>
      <c r="D421" s="13"/>
      <c r="E421" s="63"/>
      <c r="F421" s="13"/>
      <c r="G421" s="13"/>
      <c r="H421" s="13" t="s">
        <v>68</v>
      </c>
      <c r="I421" s="101" t="s">
        <v>44</v>
      </c>
      <c r="J421" s="101"/>
      <c r="K421" s="6">
        <f>[9]!'id281?req?SJM_STK_SMART_USD_~/'</f>
        <v>0</v>
      </c>
      <c r="L421" s="6" t="str">
        <f>[9]!id281?orderTypes</f>
        <v>ACTIVETIM,ADJUST,ALERT,ALGO,ALLOC,AON,AVGCOST,BASKET,COND,CONDORDER,DARKONLY,DARKPOLL,DAY,DEACT,DEACTDIS,DEACTEOD,DIS,GAT,GTC,GTD,GTT,HID,IBKRATS,ICE,IMB,IOC,LIT,LMT,LOC,MIT,MKT,MOC,MTL,NGCOMB,NODARK,NONALGO,OCA,OPG,OPGREROUT,PEGBENCH,POSTONLY,PREOPGRTH,R</v>
      </c>
      <c r="M421" s="6" t="str">
        <f>[9]!id281?validExchanges</f>
        <v>SMART,NYSE,CBOE,ISE,CHX,ARCA,ISLAND,VWAP,DRCTEDGE,NSX,BEX,BATS,EDGEA,CSFBALGO,JEFFALGO,BYX,IEX,TPLUS2,PSX</v>
      </c>
      <c r="N421" s="6">
        <f>[9]!id281?conid</f>
        <v>15130038</v>
      </c>
      <c r="O421" s="6">
        <f>[9]!id281?minTick</f>
        <v>0.01</v>
      </c>
      <c r="P421" s="6">
        <f>[9]!id281?multiplier</f>
        <v>0</v>
      </c>
      <c r="Q421" s="6" t="str">
        <f>[9]!id281?marketName</f>
        <v>SJM</v>
      </c>
      <c r="R421" s="6" t="str">
        <f>[9]!id281?tradingClass</f>
        <v>SJM</v>
      </c>
    </row>
    <row r="422" spans="1:18" hidden="1" x14ac:dyDescent="0.2">
      <c r="A422" s="176" t="s">
        <v>1137</v>
      </c>
      <c r="B422" s="13" t="s">
        <v>12</v>
      </c>
      <c r="C422" s="13" t="b">
        <f t="shared" si="5"/>
        <v>0</v>
      </c>
      <c r="D422" s="13"/>
      <c r="E422" s="63"/>
      <c r="F422" s="13"/>
      <c r="G422" s="13"/>
      <c r="H422" s="13" t="s">
        <v>68</v>
      </c>
      <c r="I422" s="101" t="s">
        <v>44</v>
      </c>
      <c r="J422" s="101"/>
      <c r="K422" s="6">
        <f>[9]!'id282?req?WDC_STK_SMART_USD_~/'</f>
        <v>0</v>
      </c>
      <c r="L422" s="6" t="str">
        <f>[9]!id282?orderTypes</f>
        <v>ACTIVETIM,ADJUST,ALERT,ALGO,ALLOC,AON,AVGCOST,BASKET,COND,CONDORDER,DARKONLY,DARKPOLL,DAY,DEACT,DEACTDIS,DEACTEOD,DIS,GAT,GTC,GTD,GTT,HID,IBKRATS,ICE,IMB,IOC,LIT,LMT,LOC,MIT,MKT,MOC,MTL,NGCOMB,NODARK,NONALGO,OCA,OPG,OPGREROUT,PEGBENCH,POSTONLY,PREOPGRTH,R</v>
      </c>
      <c r="M422" s="6" t="str">
        <f>[9]!id282?validExchanges</f>
        <v>SMART,CBOE,ISE,CHX,ARCA,ISLAND,DRCTEDGE,NSX,BEX,BATS,EDGEA,CSFBALGO,JEFFALGO,BYX,IEX,TPLUS2,PSX</v>
      </c>
      <c r="N422" s="6">
        <f>[9]!id282?conid</f>
        <v>13681</v>
      </c>
      <c r="O422" s="6">
        <f>[9]!id282?minTick</f>
        <v>0.01</v>
      </c>
      <c r="P422" s="6">
        <f>[9]!id282?multiplier</f>
        <v>0</v>
      </c>
      <c r="Q422" s="6" t="str">
        <f>[9]!id282?marketName</f>
        <v>NMS</v>
      </c>
      <c r="R422" s="6" t="str">
        <f>[9]!id282?tradingClass</f>
        <v>NMS</v>
      </c>
    </row>
    <row r="423" spans="1:18" hidden="1" x14ac:dyDescent="0.2">
      <c r="A423" s="176" t="s">
        <v>1138</v>
      </c>
      <c r="B423" s="13" t="s">
        <v>12</v>
      </c>
      <c r="C423" s="13" t="b">
        <f t="shared" si="5"/>
        <v>1</v>
      </c>
      <c r="D423" s="13"/>
      <c r="E423" s="63"/>
      <c r="F423" s="13"/>
      <c r="G423" s="13"/>
      <c r="H423" s="13" t="s">
        <v>68</v>
      </c>
      <c r="I423" s="101" t="s">
        <v>44</v>
      </c>
      <c r="J423" s="101"/>
      <c r="K423" s="6">
        <f>[9]!'id283?req?WY_STK_SMART_USD_~/'</f>
        <v>0</v>
      </c>
      <c r="L423" s="6" t="str">
        <f>[9]!id283?orderTypes</f>
        <v>ACTIVETIM,ADJUST,ALERT,ALGO,ALLOC,AON,AVGCOST,BASKET,COND,CONDORDER,DARKONLY,DARKPOLL,DAY,DEACT,DEACTDIS,DEACTEOD,DIS,GAT,GTC,GTD,GTT,HID,IBKRATS,ICE,IMB,IOC,LIT,LMT,LOC,MIT,MKT,MOC,MTL,NGCOMB,NODARK,NONALGO,OCA,OPG,OPGREROUT,PEGBENCH,POSTONLY,PREOPGRTH,R</v>
      </c>
      <c r="M423" s="6" t="str">
        <f>[9]!id283?validExchanges</f>
        <v>SMART,NYSE,CBOE,ISE,CHX,ARCA,ISLAND,VWAP,DRCTEDGE,NSX,BEX,BATS,EDGEA,CSFBALGO,JEFFALGO,BYX,IEX,TPLUS2,PSX</v>
      </c>
      <c r="N423" s="6">
        <f>[9]!id283?conid</f>
        <v>13949</v>
      </c>
      <c r="O423" s="6">
        <f>[9]!id283?minTick</f>
        <v>0.01</v>
      </c>
      <c r="P423" s="6">
        <f>[9]!id283?multiplier</f>
        <v>0</v>
      </c>
      <c r="Q423" s="6" t="str">
        <f>[9]!id283?marketName</f>
        <v>WY</v>
      </c>
      <c r="R423" s="6" t="str">
        <f>[9]!id283?tradingClass</f>
        <v>WY</v>
      </c>
    </row>
    <row r="424" spans="1:18" hidden="1" x14ac:dyDescent="0.2">
      <c r="A424" s="176" t="s">
        <v>1139</v>
      </c>
      <c r="B424" s="13" t="s">
        <v>12</v>
      </c>
      <c r="C424" s="13" t="b">
        <f t="shared" si="5"/>
        <v>1</v>
      </c>
      <c r="D424" s="13"/>
      <c r="E424" s="63"/>
      <c r="F424" s="13"/>
      <c r="G424" s="13"/>
      <c r="H424" s="13" t="s">
        <v>68</v>
      </c>
      <c r="I424" s="101" t="s">
        <v>44</v>
      </c>
      <c r="J424" s="101"/>
      <c r="K424" s="6">
        <f>[9]!'id284?req?WHR_STK_SMART_USD_~/'</f>
        <v>0</v>
      </c>
      <c r="L424" s="6" t="str">
        <f>[9]!id284?orderTypes</f>
        <v>ACTIVETIM,ADJUST,ALERT,ALGO,ALLOC,AON,AVGCOST,BASKET,COND,CONDORDER,DARKONLY,DARKPOLL,DAY,DEACT,DEACTDIS,DEACTEOD,DIS,GAT,GTC,GTD,GTT,HID,IBKRATS,ICE,IMB,IOC,LIT,LMT,LOC,MIT,MKT,MOC,MTL,NGCOMB,NODARK,NONALGO,OCA,OPG,OPGREROUT,PEGBENCH,POSTONLY,PREOPGRTH,R</v>
      </c>
      <c r="M424" s="6" t="str">
        <f>[9]!id284?validExchanges</f>
        <v>SMART,NYSE,CBOE,ISE,CHX,ARCA,ISLAND,VWAP,DRCTEDGE,NSX,BEX,BATS,EDGEA,CSFBALGO,JEFFALGO,BYX,IEX,TPLUS2,PSX</v>
      </c>
      <c r="N424" s="6">
        <f>[9]!id284?conid</f>
        <v>13751</v>
      </c>
      <c r="O424" s="6">
        <f>[9]!id284?minTick</f>
        <v>0.01</v>
      </c>
      <c r="P424" s="6">
        <f>[9]!id284?multiplier</f>
        <v>0</v>
      </c>
      <c r="Q424" s="6" t="str">
        <f>[9]!id284?marketName</f>
        <v>WHR</v>
      </c>
      <c r="R424" s="6" t="str">
        <f>[9]!id284?tradingClass</f>
        <v>WHR</v>
      </c>
    </row>
    <row r="425" spans="1:18" hidden="1" x14ac:dyDescent="0.2">
      <c r="A425" s="176" t="s">
        <v>1140</v>
      </c>
      <c r="B425" s="13" t="s">
        <v>12</v>
      </c>
      <c r="C425" s="13" t="b">
        <f t="shared" si="5"/>
        <v>0</v>
      </c>
      <c r="D425" s="13"/>
      <c r="E425" s="63"/>
      <c r="F425" s="13"/>
      <c r="G425" s="13"/>
      <c r="H425" s="13" t="s">
        <v>68</v>
      </c>
      <c r="I425" s="101" t="s">
        <v>44</v>
      </c>
      <c r="J425" s="101"/>
      <c r="K425" s="6">
        <f>[9]!'id285?req?SWKS_STK_SMART_USD_~/'</f>
        <v>0</v>
      </c>
      <c r="L425" s="6" t="str">
        <f>[9]!id285?orderTypes</f>
        <v>ACTIVETIM,ADJUST,ALERT,ALGO,ALLOC,AON,AVGCOST,BASKET,COND,CONDORDER,DARKONLY,DARKPOLL,DAY,DEACT,DEACTDIS,DEACTEOD,DIS,GAT,GTC,GTD,GTT,HID,IBKRATS,ICE,IMB,IOC,LIT,LMT,LOC,MIT,MKT,MOC,MTL,NGCOMB,NODARK,NONALGO,OCA,OPG,OPGREROUT,PEGBENCH,POSTONLY,PREOPGRTH,R</v>
      </c>
      <c r="M425" s="6" t="str">
        <f>[9]!id285?validExchanges</f>
        <v>SMART,CBOE,ISE,CHX,ARCA,ISLAND,VWAP,DRCTEDGE,NSX,BEX,BATS,EDGEA,CSFBALGO,JEFFALGO,BYX,IEX,TPLUS2,PSX</v>
      </c>
      <c r="N425" s="6">
        <f>[9]!id285?conid</f>
        <v>4726021</v>
      </c>
      <c r="O425" s="6">
        <f>[9]!id285?minTick</f>
        <v>0.01</v>
      </c>
      <c r="P425" s="6">
        <f>[9]!id285?multiplier</f>
        <v>0</v>
      </c>
      <c r="Q425" s="6" t="str">
        <f>[9]!id285?marketName</f>
        <v>NMS</v>
      </c>
      <c r="R425" s="6" t="str">
        <f>[9]!id285?tradingClass</f>
        <v>NMS</v>
      </c>
    </row>
    <row r="426" spans="1:18" hidden="1" x14ac:dyDescent="0.2">
      <c r="A426" s="176" t="s">
        <v>1141</v>
      </c>
      <c r="B426" s="13" t="s">
        <v>12</v>
      </c>
      <c r="C426" s="13" t="b">
        <f t="shared" si="5"/>
        <v>0</v>
      </c>
      <c r="D426" s="13"/>
      <c r="E426" s="63"/>
      <c r="F426" s="13"/>
      <c r="G426" s="13"/>
      <c r="H426" s="13" t="s">
        <v>68</v>
      </c>
      <c r="I426" s="101" t="s">
        <v>44</v>
      </c>
      <c r="J426" s="101"/>
      <c r="K426" s="6">
        <f>[9]!'id286?req?WYNN_STK_SMART_USD_~/'</f>
        <v>0</v>
      </c>
      <c r="L426" s="6" t="str">
        <f>[9]!id286?orderTypes</f>
        <v>ACTIVETIM,ADJUST,ALERT,ALGO,ALLOC,AON,AVGCOST,BASKET,COND,CONDORDER,DARKONLY,DARKPOLL,DAY,DEACT,DEACTDIS,DEACTEOD,DIS,GAT,GTC,GTD,GTT,HID,IBKRATS,ICE,IMB,IOC,LIT,LMT,LOC,MIT,MKT,MOC,MTL,NGCOMB,NODARK,NONALGO,OCA,OPG,OPGREROUT,PEGBENCH,POSTONLY,PREOPGRTH,R</v>
      </c>
      <c r="M426" s="6" t="str">
        <f>[9]!id286?validExchanges</f>
        <v>SMART,CBOE,ISE,CHX,ARCA,ISLAND,DRCTEDGE,NSX,BEX,BATS,EDGEA,CSFBALGO,JEFFALGO,BYX,IEX,TPLUS2,PSX</v>
      </c>
      <c r="N426" s="6">
        <f>[9]!id286?conid</f>
        <v>16454492</v>
      </c>
      <c r="O426" s="6">
        <f>[9]!id286?minTick</f>
        <v>0.01</v>
      </c>
      <c r="P426" s="6">
        <f>[9]!id286?multiplier</f>
        <v>0</v>
      </c>
      <c r="Q426" s="6" t="str">
        <f>[9]!id286?marketName</f>
        <v>NMS</v>
      </c>
      <c r="R426" s="6" t="str">
        <f>[9]!id286?tradingClass</f>
        <v>NMS</v>
      </c>
    </row>
    <row r="427" spans="1:18" hidden="1" x14ac:dyDescent="0.2">
      <c r="A427" s="176" t="s">
        <v>1142</v>
      </c>
      <c r="B427" s="13" t="s">
        <v>12</v>
      </c>
      <c r="C427" s="13" t="b">
        <f t="shared" si="5"/>
        <v>0</v>
      </c>
      <c r="D427" s="13"/>
      <c r="E427" s="63"/>
      <c r="F427" s="13"/>
      <c r="G427" s="13"/>
      <c r="H427" s="13" t="s">
        <v>68</v>
      </c>
      <c r="I427" s="101" t="s">
        <v>44</v>
      </c>
      <c r="J427" s="101"/>
      <c r="K427" s="6">
        <f>[9]!'id287?req?WFM_STK_SMART_USD_~/'</f>
        <v>0</v>
      </c>
      <c r="L427" s="6" t="str">
        <f>[9]!id287?orderTypes</f>
        <v>ACTIVETIM,ADJUST,ALERT,ALGO,ALLOC,AON,AVGCOST,BASKET,COND,CONDORDER,DARKONLY,DARKPOLL,DAY,DEACT,DEACTDIS,DEACTEOD,DIS,GAT,GTC,GTD,GTT,HID,IBKRATS,ICE,IMB,IOC,LIT,LMT,LOC,MIT,MKT,MOC,MTL,NGCOMB,NODARK,NONALGO,OCA,OPG,OPGREROUT,PEGBENCH,POSTONLY,PREOPGRTH,R</v>
      </c>
      <c r="M427" s="6" t="str">
        <f>[9]!id287?validExchanges</f>
        <v>SMART,CBOE,ISE,CHX,ARCA,ISLAND,VWAP,DRCTEDGE,NSX,BEX,BATS,EDGEA,CSFBALGO,JEFFALGO,BYX,IEX,TPLUS2,PSX</v>
      </c>
      <c r="N427" s="6">
        <f>[9]!id287?conid</f>
        <v>276024</v>
      </c>
      <c r="O427" s="6">
        <f>[9]!id287?minTick</f>
        <v>0.01</v>
      </c>
      <c r="P427" s="6">
        <f>[9]!id287?multiplier</f>
        <v>0</v>
      </c>
      <c r="Q427" s="6" t="str">
        <f>[9]!id287?marketName</f>
        <v>NMS</v>
      </c>
      <c r="R427" s="6" t="str">
        <f>[9]!id287?tradingClass</f>
        <v>NMS</v>
      </c>
    </row>
    <row r="428" spans="1:18" hidden="1" x14ac:dyDescent="0.2">
      <c r="A428" s="176" t="s">
        <v>1143</v>
      </c>
      <c r="B428" s="13" t="s">
        <v>12</v>
      </c>
      <c r="C428" s="13" t="b">
        <f t="shared" si="5"/>
        <v>0</v>
      </c>
      <c r="D428" s="13"/>
      <c r="E428" s="63"/>
      <c r="F428" s="13"/>
      <c r="G428" s="13"/>
      <c r="H428" s="13" t="s">
        <v>68</v>
      </c>
      <c r="I428" s="101" t="s">
        <v>44</v>
      </c>
      <c r="J428" s="101"/>
      <c r="K428" s="6">
        <f>[9]!'id288?req?NDAQ_STK_SMART_USD_~/'</f>
        <v>0</v>
      </c>
      <c r="L428" s="6" t="str">
        <f>[9]!id288?orderTypes</f>
        <v>ACTIVETIM,ADJUST,ALERT,ALGO,ALLOC,AON,AVGCOST,BASKET,COND,CONDORDER,DARKONLY,DARKPOLL,DAY,DEACT,DEACTDIS,DEACTEOD,DIS,GAT,GTC,GTD,GTT,HID,IBKRATS,ICE,IMB,IOC,LIT,LMT,LOC,MIT,MKT,MOC,MTL,NGCOMB,NODARK,NONALGO,OCA,OPG,OPGREROUT,PEGBENCH,POSTONLY,PREOPGRTH,R</v>
      </c>
      <c r="M428" s="6" t="str">
        <f>[9]!id288?validExchanges</f>
        <v>SMART,CBOE,ISE,CHX,ARCA,ISLAND,DRCTEDGE,NSX,BEX,BATS,EDGEA,CSFBALGO,JEFFALGO,BYX,IEX,TPLUS2,PSX</v>
      </c>
      <c r="N428" s="6">
        <f>[9]!id288?conid</f>
        <v>29380756</v>
      </c>
      <c r="O428" s="6">
        <f>[9]!id288?minTick</f>
        <v>0.01</v>
      </c>
      <c r="P428" s="6">
        <f>[9]!id288?multiplier</f>
        <v>0</v>
      </c>
      <c r="Q428" s="6" t="str">
        <f>[9]!id288?marketName</f>
        <v>NMS</v>
      </c>
      <c r="R428" s="6" t="str">
        <f>[9]!id288?tradingClass</f>
        <v>NMS</v>
      </c>
    </row>
    <row r="429" spans="1:18" hidden="1" x14ac:dyDescent="0.2">
      <c r="A429" s="176" t="s">
        <v>1144</v>
      </c>
      <c r="B429" s="13" t="s">
        <v>12</v>
      </c>
      <c r="C429" s="13" t="b">
        <f t="shared" si="5"/>
        <v>0</v>
      </c>
      <c r="D429" s="13"/>
      <c r="E429" s="63"/>
      <c r="F429" s="13"/>
      <c r="G429" s="13"/>
      <c r="H429" s="13" t="s">
        <v>68</v>
      </c>
      <c r="I429" s="101" t="s">
        <v>44</v>
      </c>
      <c r="J429" s="101"/>
      <c r="K429" s="6">
        <f>[9]!'id289?req?CME_STK_SMART_USD_~/'</f>
        <v>0</v>
      </c>
      <c r="L429" s="6" t="str">
        <f>[9]!id289?orderTypes</f>
        <v>ACTIVETIM,ADJUST,ALERT,ALGO,ALLOC,AON,AVGCOST,BASKET,COND,CONDORDER,DARKONLY,DARKPOLL,DAY,DEACT,DEACTDIS,DEACTEOD,DIS,GAT,GTC,GTD,GTT,HID,IBKRATS,ICE,IMB,IOC,LIT,LMT,LOC,MIT,MKT,MOC,MTL,NGCOMB,NODARK,NONALGO,OCA,OPG,OPGREROUT,PEGBENCH,POSTONLY,PREOPGRTH,R</v>
      </c>
      <c r="M429" s="6" t="str">
        <f>[9]!id289?validExchanges</f>
        <v>SMART,CBOE,ISE,CHX,ARCA,ISLAND,DRCTEDGE,NSX,BEX,BATS,EDGEA,CSFBALGO,JEFFALGO,BYX,IEX,TPLUS2,PSX</v>
      </c>
      <c r="N429" s="6">
        <f>[9]!id289?conid</f>
        <v>45127739</v>
      </c>
      <c r="O429" s="6">
        <f>[9]!id289?minTick</f>
        <v>0.01</v>
      </c>
      <c r="P429" s="6">
        <f>[9]!id289?multiplier</f>
        <v>0</v>
      </c>
      <c r="Q429" s="6" t="str">
        <f>[9]!id289?marketName</f>
        <v>NMS</v>
      </c>
      <c r="R429" s="6" t="str">
        <f>[9]!id289?tradingClass</f>
        <v>NMS</v>
      </c>
    </row>
    <row r="430" spans="1:18" hidden="1" x14ac:dyDescent="0.2">
      <c r="A430" s="176" t="s">
        <v>1145</v>
      </c>
      <c r="B430" s="13" t="s">
        <v>12</v>
      </c>
      <c r="C430" s="13" t="b">
        <f t="shared" si="5"/>
        <v>1</v>
      </c>
      <c r="D430" s="13"/>
      <c r="E430" s="63"/>
      <c r="F430" s="13"/>
      <c r="G430" s="13"/>
      <c r="H430" s="13" t="s">
        <v>68</v>
      </c>
      <c r="I430" s="101" t="s">
        <v>44</v>
      </c>
      <c r="J430" s="101"/>
      <c r="K430" s="6">
        <f>[9]!'id290?req?WMB_STK_SMART_USD_~/'</f>
        <v>0</v>
      </c>
      <c r="L430" s="6" t="str">
        <f>[9]!id290?orderTypes</f>
        <v>ACTIVETIM,ADJUST,ALERT,ALGO,ALLOC,AON,AVGCOST,BASKET,COND,CONDORDER,DARKONLY,DARKPOLL,DAY,DEACT,DEACTDIS,DEACTEOD,DIS,GAT,GTC,GTD,GTT,HID,IBKRATS,ICE,IMB,IOC,LIT,LMT,LOC,MIT,MKT,MOC,MTL,NGCOMB,NODARK,NONALGO,OCA,OPG,OPGREROUT,PEGBENCH,POSTONLY,PREOPGRTH,R</v>
      </c>
      <c r="M430" s="6" t="str">
        <f>[9]!id290?validExchanges</f>
        <v>SMART,NYSE,CBOE,ISE,CHX,ARCA,ISLAND,VWAP,DRCTEDGE,NSX,BEX,BATS,EDGEA,CSFBALGO,JEFFALGO,BYX,IEX,TPLUS2,PSX</v>
      </c>
      <c r="N430" s="6">
        <f>[9]!id290?conid</f>
        <v>13805</v>
      </c>
      <c r="O430" s="6">
        <f>[9]!id290?minTick</f>
        <v>0.01</v>
      </c>
      <c r="P430" s="6">
        <f>[9]!id290?multiplier</f>
        <v>0</v>
      </c>
      <c r="Q430" s="6" t="str">
        <f>[9]!id290?marketName</f>
        <v>WMB</v>
      </c>
      <c r="R430" s="6" t="str">
        <f>[9]!id290?tradingClass</f>
        <v>WMB</v>
      </c>
    </row>
    <row r="431" spans="1:18" hidden="1" x14ac:dyDescent="0.2">
      <c r="A431" s="176" t="s">
        <v>1146</v>
      </c>
      <c r="B431" s="13" t="s">
        <v>12</v>
      </c>
      <c r="C431" s="13" t="b">
        <f t="shared" si="5"/>
        <v>1</v>
      </c>
      <c r="D431" s="13"/>
      <c r="E431" s="63"/>
      <c r="F431" s="13"/>
      <c r="G431" s="13"/>
      <c r="H431" s="13" t="s">
        <v>68</v>
      </c>
      <c r="I431" s="101" t="s">
        <v>44</v>
      </c>
      <c r="J431" s="101"/>
      <c r="K431" s="6">
        <f>[9]!'id291?req?KMX_STK_SMART_USD_~/'</f>
        <v>0</v>
      </c>
      <c r="L431" s="6" t="str">
        <f>[9]!id291?orderTypes</f>
        <v>ACTIVETIM,ADJUST,ALERT,ALGO,ALLOC,AON,AVGCOST,BASKET,COND,CONDORDER,DARKONLY,DARKPOLL,DAY,DEACT,DEACTDIS,DEACTEOD,DIS,GAT,GTC,GTD,GTT,HID,IBKRATS,ICE,IMB,IOC,LIT,LMT,LOC,MIT,MKT,MOC,MTL,NGCOMB,NODARK,NONALGO,OCA,OPG,OPGREROUT,PEGBENCH,POSTONLY,PREOPGRTH,R</v>
      </c>
      <c r="M431" s="6" t="str">
        <f>[9]!id291?validExchanges</f>
        <v>SMART,NYSE,CBOE,ISE,CHX,ARCA,ISLAND,DRCTEDGE,NSX,BEX,BATS,EDGEA,CSFBALGO,JEFFALGO,BYX,IEX,TPLUS2,PSX</v>
      </c>
      <c r="N431" s="6">
        <f>[9]!id291?conid</f>
        <v>2586156</v>
      </c>
      <c r="O431" s="6">
        <f>[9]!id291?minTick</f>
        <v>0.01</v>
      </c>
      <c r="P431" s="6">
        <f>[9]!id291?multiplier</f>
        <v>0</v>
      </c>
      <c r="Q431" s="6" t="str">
        <f>[9]!id291?marketName</f>
        <v>KMX</v>
      </c>
      <c r="R431" s="6" t="str">
        <f>[9]!id291?tradingClass</f>
        <v>KMX</v>
      </c>
    </row>
    <row r="432" spans="1:18" hidden="1" x14ac:dyDescent="0.2">
      <c r="A432" s="176" t="s">
        <v>1147</v>
      </c>
      <c r="B432" s="13" t="s">
        <v>12</v>
      </c>
      <c r="C432" s="13" t="b">
        <f t="shared" si="5"/>
        <v>1</v>
      </c>
      <c r="D432" s="13"/>
      <c r="E432" s="63"/>
      <c r="F432" s="13"/>
      <c r="G432" s="13"/>
      <c r="H432" s="13" t="s">
        <v>68</v>
      </c>
      <c r="I432" s="101" t="s">
        <v>44</v>
      </c>
      <c r="J432" s="101"/>
      <c r="K432" s="6">
        <f>[9]!'id292?req?XRX_STK_SMART_USD_~/'</f>
        <v>0</v>
      </c>
      <c r="L432" s="6" t="str">
        <f>[9]!id292?orderTypes</f>
        <v>ACTIVETIM,ADJUST,ALERT,ALGO,ALLOC,AON,AVGCOST,BASKET,COND,CONDORDER,DARKONLY,DARKPOLL,DAY,DEACT,DEACTDIS,DEACTEOD,DIS,GAT,GTC,GTD,GTT,HID,IBKRATS,ICE,IMB,IOC,LIT,LMT,LOC,MIT,MKT,MOC,MTL,NGCOMB,NODARK,NONALGO,OCA,OPG,OPGREROUT,PEGBENCH,POSTONLY,PREOPGRTH,R</v>
      </c>
      <c r="M432" s="6" t="str">
        <f>[9]!id292?validExchanges</f>
        <v>SMART,NYSE,CBOE,ISE,CHX,ARCA,ISLAND,VWAP,DRCTEDGE,NSX,BEX,BATS,EDGEA,CSFBALGO,JEFFALGO,BYX,IEX,TPLUS2,PSX</v>
      </c>
      <c r="N432" s="6">
        <f>[9]!id292?conid</f>
        <v>13980</v>
      </c>
      <c r="O432" s="6">
        <f>[9]!id292?minTick</f>
        <v>0.01</v>
      </c>
      <c r="P432" s="6">
        <f>[9]!id292?multiplier</f>
        <v>0</v>
      </c>
      <c r="Q432" s="6" t="str">
        <f>[9]!id292?marketName</f>
        <v>XRX</v>
      </c>
      <c r="R432" s="6" t="str">
        <f>[9]!id292?tradingClass</f>
        <v>XRX</v>
      </c>
    </row>
    <row r="433" spans="1:18" hidden="1" x14ac:dyDescent="0.2">
      <c r="A433" s="176" t="s">
        <v>1148</v>
      </c>
      <c r="B433" s="13" t="s">
        <v>12</v>
      </c>
      <c r="C433" s="13" t="b">
        <f t="shared" si="5"/>
        <v>0</v>
      </c>
      <c r="D433" s="13"/>
      <c r="E433" s="63"/>
      <c r="F433" s="13"/>
      <c r="G433" s="13"/>
      <c r="H433" s="13" t="s">
        <v>68</v>
      </c>
      <c r="I433" s="101" t="s">
        <v>44</v>
      </c>
      <c r="J433" s="101"/>
      <c r="K433" s="6">
        <f>[9]!'id293?req?XLNX_STK_SMART_USD_~/'</f>
        <v>0</v>
      </c>
      <c r="L433" s="6" t="str">
        <f>[9]!id293?orderTypes</f>
        <v>ACTIVETIM,ADJUST,ALERT,ALGO,ALLOC,AON,AVGCOST,BASKET,COND,CONDORDER,DARKONLY,DARKPOLL,DAY,DEACT,DEACTDIS,DEACTEOD,DIS,GAT,GTC,GTD,GTT,HID,IBKRATS,ICE,IMB,IOC,LIT,LMT,LOC,MIT,MKT,MOC,MTL,NGCOMB,NODARK,NONALGO,OCA,OPG,OPGREROUT,PEGBENCH,POSTONLY,PREOPGRTH,R</v>
      </c>
      <c r="M433" s="6" t="str">
        <f>[9]!id293?validExchanges</f>
        <v>SMART,CBOE,ISE,CHX,ARCA,ISLAND,VWAP,DRCTEDGE,NSX,BEX,BATS,EDGEA,CSFBALGO,JEFFALGO,BYX,IEX,TPLUS2,PSX</v>
      </c>
      <c r="N433" s="6">
        <f>[9]!id293?conid</f>
        <v>276222</v>
      </c>
      <c r="O433" s="6">
        <f>[9]!id293?minTick</f>
        <v>0.01</v>
      </c>
      <c r="P433" s="6">
        <f>[9]!id293?multiplier</f>
        <v>0</v>
      </c>
      <c r="Q433" s="6" t="str">
        <f>[9]!id293?marketName</f>
        <v>NMS</v>
      </c>
      <c r="R433" s="6" t="str">
        <f>[9]!id293?tradingClass</f>
        <v>NMS</v>
      </c>
    </row>
    <row r="434" spans="1:18" hidden="1" x14ac:dyDescent="0.2">
      <c r="A434" s="176" t="s">
        <v>70</v>
      </c>
      <c r="B434" s="13" t="s">
        <v>12</v>
      </c>
      <c r="C434" s="13" t="b">
        <f t="shared" si="5"/>
        <v>0</v>
      </c>
      <c r="D434" s="13"/>
      <c r="E434" s="63"/>
      <c r="F434" s="13"/>
      <c r="G434" s="13"/>
      <c r="H434" s="13" t="s">
        <v>68</v>
      </c>
      <c r="I434" s="101" t="s">
        <v>44</v>
      </c>
      <c r="J434" s="101"/>
      <c r="K434" s="6">
        <f>[9]!'id294?req?YHOO_STK_SMART_USD_~/'</f>
        <v>0</v>
      </c>
      <c r="L434" s="6" t="str">
        <f>[9]!id294?orderTypes</f>
        <v>ACTIVETIM,ADJUST,ALERT,ALGO,ALLOC,AON,AVGCOST,BASKET,COND,CONDORDER,DARKONLY,DARKPOLL,DAY,DEACT,DEACTDIS,DEACTEOD,DIS,GAT,GTC,GTD,GTT,HID,IBKRATS,ICE,IMB,IOC,LIT,LMT,LOC,MIT,MKT,MOC,MTL,NGCOMB,NODARK,NONALGO,OCA,OPG,OPGREROUT,PEGBENCH,POSTONLY,PREOPGRTH,R</v>
      </c>
      <c r="M434" s="6" t="str">
        <f>[9]!id294?validExchanges</f>
        <v>SMART,CBOE,ISE,CHX,ARCA,ISLAND,VWAP,DRCTEDGE,NSX,BEX,BATS,EDGEA,CSFBALGO,JEFFALGO,BYX,IEX,TPLUS2,PSX</v>
      </c>
      <c r="N434" s="6">
        <f>[9]!id294?conid</f>
        <v>3312890</v>
      </c>
      <c r="O434" s="6">
        <f>[9]!id294?minTick</f>
        <v>0.01</v>
      </c>
      <c r="P434" s="6">
        <f>[9]!id294?multiplier</f>
        <v>0</v>
      </c>
      <c r="Q434" s="6" t="str">
        <f>[9]!id294?marketName</f>
        <v>NMS</v>
      </c>
      <c r="R434" s="6" t="str">
        <f>[9]!id294?tradingClass</f>
        <v>NMS</v>
      </c>
    </row>
    <row r="435" spans="1:18" hidden="1" x14ac:dyDescent="0.2">
      <c r="A435" s="176" t="s">
        <v>1149</v>
      </c>
      <c r="B435" s="13" t="s">
        <v>12</v>
      </c>
      <c r="C435" s="13" t="b">
        <f t="shared" si="5"/>
        <v>1</v>
      </c>
      <c r="D435" s="13"/>
      <c r="E435" s="63"/>
      <c r="F435" s="13"/>
      <c r="G435" s="13"/>
      <c r="H435" s="13" t="s">
        <v>68</v>
      </c>
      <c r="I435" s="101" t="s">
        <v>44</v>
      </c>
      <c r="J435" s="101"/>
      <c r="K435" s="6">
        <f>[9]!'id295?req?XEC_STK_SMART_USD_~/'</f>
        <v>0</v>
      </c>
      <c r="L435" s="6" t="str">
        <f>[9]!id295?orderTypes</f>
        <v>ACTIVETIM,ADJUST,ALERT,ALGO,ALLOC,AON,AVGCOST,BASKET,COND,CONDORDER,DARKONLY,DARKPOLL,DAY,DEACT,DEACTDIS,DEACTEOD,DIS,GAT,GTC,GTD,GTT,HID,IBKRATS,ICE,IMB,IOC,LIT,LMT,LOC,MIT,MKT,MOC,MTL,NGCOMB,NODARK,NONALGO,OCA,OPG,OPGREROUT,PEGBENCH,POSTONLY,PREOPGRTH,R</v>
      </c>
      <c r="M435" s="6" t="str">
        <f>[9]!id295?validExchanges</f>
        <v>SMART,NYSE,CBOE,ISE,CHX,ARCA,ISLAND,DRCTEDGE,NSX,BEX,BATS,EDGEA,CSFBALGO,JEFFALGO,BYX,IEX,TPLUS2,PSX</v>
      </c>
      <c r="N435" s="6">
        <f>[9]!id295?conid</f>
        <v>16191746</v>
      </c>
      <c r="O435" s="6">
        <f>[9]!id295?minTick</f>
        <v>0.01</v>
      </c>
      <c r="P435" s="6">
        <f>[9]!id295?multiplier</f>
        <v>0</v>
      </c>
      <c r="Q435" s="6" t="str">
        <f>[9]!id295?marketName</f>
        <v>XEC</v>
      </c>
      <c r="R435" s="6" t="str">
        <f>[9]!id295?tradingClass</f>
        <v>XEC</v>
      </c>
    </row>
    <row r="436" spans="1:18" hidden="1" x14ac:dyDescent="0.2">
      <c r="A436" s="176" t="s">
        <v>1150</v>
      </c>
      <c r="B436" s="13" t="s">
        <v>12</v>
      </c>
      <c r="C436" s="13" t="b">
        <f t="shared" si="5"/>
        <v>1</v>
      </c>
      <c r="D436" s="13"/>
      <c r="E436" s="63"/>
      <c r="F436" s="13"/>
      <c r="G436" s="13"/>
      <c r="H436" s="13" t="s">
        <v>68</v>
      </c>
      <c r="I436" s="101" t="s">
        <v>44</v>
      </c>
      <c r="J436" s="101"/>
      <c r="K436" s="6">
        <f>[9]!'id296?req?TJX_STK_SMART_USD_~/'</f>
        <v>0</v>
      </c>
      <c r="L436" s="6" t="str">
        <f>[9]!id296?orderTypes</f>
        <v>ACTIVETIM,ADJUST,ALERT,ALGO,ALLOC,AON,AVGCOST,BASKET,COND,CONDORDER,DARKONLY,DARKPOLL,DAY,DEACT,DEACTDIS,DEACTEOD,DIS,GAT,GTC,GTD,GTT,HID,IBKRATS,ICE,IMB,IOC,LIT,LMT,LOC,MIT,MKT,MOC,MTL,NGCOMB,NODARK,NONALGO,OCA,OPG,OPGREROUT,PEGBENCH,POSTONLY,PREOPGRTH,R</v>
      </c>
      <c r="M436" s="6" t="str">
        <f>[9]!id296?validExchanges</f>
        <v>SMART,NYSE,CBOE,ISE,CHX,ARCA,ISLAND,VWAP,DRCTEDGE,NSX,BEX,BATS,EDGEA,CSFBALGO,JEFFALGO,BYX,IEX,TPLUS2,PSX</v>
      </c>
      <c r="N436" s="6">
        <f>[9]!id296?conid</f>
        <v>12814</v>
      </c>
      <c r="O436" s="6">
        <f>[9]!id296?minTick</f>
        <v>0.01</v>
      </c>
      <c r="P436" s="6">
        <f>[9]!id296?multiplier</f>
        <v>0</v>
      </c>
      <c r="Q436" s="6" t="str">
        <f>[9]!id296?marketName</f>
        <v>TJX</v>
      </c>
      <c r="R436" s="6" t="str">
        <f>[9]!id296?tradingClass</f>
        <v>TJX</v>
      </c>
    </row>
    <row r="437" spans="1:18" hidden="1" x14ac:dyDescent="0.2">
      <c r="A437" s="176" t="s">
        <v>1151</v>
      </c>
      <c r="B437" s="13" t="s">
        <v>12</v>
      </c>
      <c r="C437" s="13" t="b">
        <f t="shared" si="5"/>
        <v>0</v>
      </c>
      <c r="D437" s="13"/>
      <c r="E437" s="63"/>
      <c r="F437" s="13"/>
      <c r="G437" s="13"/>
      <c r="H437" s="13" t="s">
        <v>68</v>
      </c>
      <c r="I437" s="101" t="s">
        <v>44</v>
      </c>
      <c r="J437" s="101"/>
      <c r="K437" s="6">
        <f>[9]!'id297?req?ZION_STK_SMART_USD_~/'</f>
        <v>0</v>
      </c>
      <c r="L437" s="6" t="str">
        <f>[9]!id297?orderTypes</f>
        <v>ACTIVETIM,ADJUST,ALERT,ALGO,ALLOC,AON,AVGCOST,BASKET,COND,CONDORDER,DARKONLY,DARKPOLL,DAY,DEACT,DEACTDIS,DEACTEOD,DIS,GAT,GTC,GTD,GTT,HID,IBKRATS,ICE,IMB,IOC,LIT,LMT,LOC,MIT,MKT,MOC,MTL,NGCOMB,NODARK,NONALGO,OCA,OPG,OPGREROUT,PEGBENCH,POSTONLY,PREOPGRTH,R</v>
      </c>
      <c r="M437" s="6" t="str">
        <f>[9]!id297?validExchanges</f>
        <v>SMART,CBOE,ISE,CHX,ARCA,ISLAND,VWAP,DRCTEDGE,NSX,BEX,BATS,EDGEA,CSFBALGO,JEFFALGO,BYX,IEX,TPLUS2,PSX</v>
      </c>
      <c r="N437" s="6">
        <f>[9]!id297?conid</f>
        <v>276329</v>
      </c>
      <c r="O437" s="6">
        <f>[9]!id297?minTick</f>
        <v>0.01</v>
      </c>
      <c r="P437" s="6">
        <f>[9]!id297?multiplier</f>
        <v>0</v>
      </c>
      <c r="Q437" s="6" t="str">
        <f>[9]!id297?marketName</f>
        <v>NMS</v>
      </c>
      <c r="R437" s="6" t="str">
        <f>[9]!id297?tradingClass</f>
        <v>NMS</v>
      </c>
    </row>
    <row r="438" spans="1:18" hidden="1" x14ac:dyDescent="0.2">
      <c r="A438" s="176" t="s">
        <v>1152</v>
      </c>
      <c r="B438" s="13" t="s">
        <v>12</v>
      </c>
      <c r="C438" s="13" t="b">
        <f t="shared" si="5"/>
        <v>1</v>
      </c>
      <c r="D438" s="13"/>
      <c r="E438" s="63"/>
      <c r="F438" s="13"/>
      <c r="G438" s="13"/>
      <c r="H438" s="13" t="s">
        <v>68</v>
      </c>
      <c r="I438" s="101" t="s">
        <v>44</v>
      </c>
      <c r="J438" s="101"/>
      <c r="K438" s="6">
        <f>[9]!'id298?req?RF_STK_SMART_USD_~/'</f>
        <v>0</v>
      </c>
      <c r="L438" s="6" t="str">
        <f>[9]!id298?orderTypes</f>
        <v>ACTIVETIM,ADJUST,ALERT,ALGO,ALLOC,AON,AVGCOST,BASKET,COND,CONDORDER,DARKONLY,DARKPOLL,DAY,DEACT,DEACTDIS,DEACTEOD,DIS,GAT,GTC,GTD,GTT,HID,IBKRATS,ICE,IMB,IOC,LIT,LMT,LOC,MIT,MKT,MOC,MTL,NGCOMB,NODARK,NONALGO,OCA,OPG,OPGREROUT,PEGBENCH,POSTONLY,PREOPGRTH,R</v>
      </c>
      <c r="M438" s="6" t="str">
        <f>[9]!id298?validExchanges</f>
        <v>SMART,NYSE,CBOE,ISE,CHX,ARCA,ISLAND,VWAP,DRCTEDGE,NSX,BEX,BATS,EDGEA,CSFBALGO,JEFFALGO,BYX,IEX,TPLUS2,PSX</v>
      </c>
      <c r="N438" s="6">
        <f>[9]!id298?conid</f>
        <v>273815</v>
      </c>
      <c r="O438" s="6">
        <f>[9]!id298?minTick</f>
        <v>0.01</v>
      </c>
      <c r="P438" s="6">
        <f>[9]!id298?multiplier</f>
        <v>0</v>
      </c>
      <c r="Q438" s="6" t="str">
        <f>[9]!id298?marketName</f>
        <v>RF</v>
      </c>
      <c r="R438" s="6" t="str">
        <f>[9]!id298?tradingClass</f>
        <v>RF</v>
      </c>
    </row>
    <row r="439" spans="1:18" hidden="1" x14ac:dyDescent="0.2">
      <c r="A439" s="176" t="s">
        <v>1153</v>
      </c>
      <c r="B439" s="13" t="s">
        <v>12</v>
      </c>
      <c r="C439" s="13" t="b">
        <f t="shared" si="5"/>
        <v>1</v>
      </c>
      <c r="D439" s="13"/>
      <c r="E439" s="63"/>
      <c r="F439" s="13"/>
      <c r="G439" s="13"/>
      <c r="H439" s="13" t="s">
        <v>68</v>
      </c>
      <c r="I439" s="101" t="s">
        <v>44</v>
      </c>
      <c r="J439" s="101"/>
      <c r="K439" s="6">
        <f>[9]!'id299?req?TAP_STK_SMART_USD_~/'</f>
        <v>0</v>
      </c>
      <c r="L439" s="6" t="str">
        <f>[9]!id299?orderTypes</f>
        <v>ACTIVETIM,ADJUST,ALERT,ALGO,ALLOC,AON,AVGCOST,BASKET,COND,CONDORDER,DARKONLY,DARKPOLL,DAY,DEACT,DEACTDIS,DEACTEOD,DIS,GAT,GTC,GTD,GTT,HID,IBKRATS,ICE,IMB,IOC,LIT,LMT,LOC,MIT,MKT,MOC,MTL,NGCOMB,NODARK,NONALGO,OCA,OPG,OPGREROUT,PEGBENCH,POSTONLY,PREOPGRTH,R</v>
      </c>
      <c r="M439" s="6" t="str">
        <f>[9]!id299?validExchanges</f>
        <v>SMART,NYSE,CBOE,ISE,CHX,ARCA,ISLAND,VWAP,DRCTEDGE,NSX,BEX,BATS,EDGEA,CSFBALGO,JEFFALGO,BYX,IEX,TPLUS2,PSX</v>
      </c>
      <c r="N439" s="6">
        <f>[9]!id299?conid</f>
        <v>33191300</v>
      </c>
      <c r="O439" s="6">
        <f>[9]!id299?minTick</f>
        <v>0.01</v>
      </c>
      <c r="P439" s="6">
        <f>[9]!id299?multiplier</f>
        <v>0</v>
      </c>
      <c r="Q439" s="6" t="str">
        <f>[9]!id299?marketName</f>
        <v>TAP</v>
      </c>
      <c r="R439" s="6" t="str">
        <f>[9]!id299?tradingClass</f>
        <v>TAP</v>
      </c>
    </row>
    <row r="440" spans="1:18" hidden="1" x14ac:dyDescent="0.2">
      <c r="A440" s="176" t="s">
        <v>1154</v>
      </c>
      <c r="B440" s="13" t="s">
        <v>12</v>
      </c>
      <c r="C440" s="13" t="b">
        <f t="shared" si="5"/>
        <v>1</v>
      </c>
      <c r="D440" s="13"/>
      <c r="E440" s="63"/>
      <c r="F440" s="13"/>
      <c r="G440" s="13"/>
      <c r="H440" s="13" t="s">
        <v>68</v>
      </c>
      <c r="I440" s="101" t="s">
        <v>44</v>
      </c>
      <c r="J440" s="101"/>
      <c r="K440" s="6">
        <f>[9]!'id300?req?CF_STK_SMART_USD_~/'</f>
        <v>0</v>
      </c>
      <c r="L440" s="6" t="str">
        <f>[9]!id300?orderTypes</f>
        <v>ACTIVETIM,ADJUST,ALERT,ALGO,ALLOC,AON,AVGCOST,BASKET,COND,CONDORDER,DARKONLY,DARKPOLL,DAY,DEACT,DEACTDIS,DEACTEOD,DIS,GAT,GTC,GTD,GTT,HID,IBKRATS,ICE,IMB,IOC,LIT,LMT,LOC,MIT,MKT,MOC,MTL,NGCOMB,NODARK,NONALGO,OCA,OPG,OPGREROUT,PEGBENCH,POSTONLY,PREOPGRTH,R</v>
      </c>
      <c r="M440" s="6" t="str">
        <f>[9]!id300?validExchanges</f>
        <v>SMART,NYSE,CBOE,ISE,CHX,ARCA,ISLAND,DRCTEDGE,NSX,BEX,BATS,EDGEA,CSFBALGO,JEFFALGO,BYX,IEX,TPLUS2,PSX</v>
      </c>
      <c r="N440" s="6">
        <f>[9]!id300?conid</f>
        <v>35447205</v>
      </c>
      <c r="O440" s="6">
        <f>[9]!id300?minTick</f>
        <v>0.01</v>
      </c>
      <c r="P440" s="6">
        <f>[9]!id300?multiplier</f>
        <v>0</v>
      </c>
      <c r="Q440" s="6" t="str">
        <f>[9]!id300?marketName</f>
        <v>CF</v>
      </c>
      <c r="R440" s="6" t="str">
        <f>[9]!id300?tradingClass</f>
        <v>CF</v>
      </c>
    </row>
    <row r="441" spans="1:18" hidden="1" x14ac:dyDescent="0.2">
      <c r="A441" s="176" t="s">
        <v>1155</v>
      </c>
      <c r="B441" s="13" t="s">
        <v>12</v>
      </c>
      <c r="C441" s="13" t="b">
        <f t="shared" si="5"/>
        <v>1</v>
      </c>
      <c r="D441" s="13"/>
      <c r="E441" s="63"/>
      <c r="F441" s="13"/>
      <c r="G441" s="13"/>
      <c r="H441" s="13" t="s">
        <v>68</v>
      </c>
      <c r="I441" s="101" t="s">
        <v>44</v>
      </c>
      <c r="J441" s="101"/>
      <c r="K441" s="6">
        <f>[9]!'id301?req?AMP_STK_SMART_USD_~/'</f>
        <v>0</v>
      </c>
      <c r="L441" s="6" t="str">
        <f>[9]!id301?orderTypes</f>
        <v>ACTIVETIM,ADJUST,ALERT,ALGO,ALLOC,AON,AVGCOST,BASKET,COND,CONDORDER,DARKONLY,DARKPOLL,DAY,DEACT,DEACTDIS,DEACTEOD,DIS,GAT,GTC,GTD,GTT,HID,IBKRATS,ICE,IMB,IOC,LIT,LMT,LOC,MIT,MKT,MOC,MTL,NGCOMB,NODARK,NONALGO,OCA,OPG,OPGREROUT,PEGBENCH,POSTONLY,PREOPGRTH,R</v>
      </c>
      <c r="M441" s="6" t="str">
        <f>[9]!id301?validExchanges</f>
        <v>SMART,NYSE,CBOE,ISE,CHX,ARCA,ISLAND,VWAP,DRCTEDGE,NSX,BEX,BATS,EDGEA,CSFBALGO,JEFFALGO,BYX,IEX,TPLUS2,PSX</v>
      </c>
      <c r="N441" s="6">
        <f>[9]!id301?conid</f>
        <v>35970258</v>
      </c>
      <c r="O441" s="6">
        <f>[9]!id301?minTick</f>
        <v>0.01</v>
      </c>
      <c r="P441" s="6">
        <f>[9]!id301?multiplier</f>
        <v>0</v>
      </c>
      <c r="Q441" s="6" t="str">
        <f>[9]!id301?marketName</f>
        <v>AMP</v>
      </c>
      <c r="R441" s="6" t="str">
        <f>[9]!id301?tradingClass</f>
        <v>AMP</v>
      </c>
    </row>
    <row r="442" spans="1:18" hidden="1" x14ac:dyDescent="0.2">
      <c r="A442" s="176" t="s">
        <v>1156</v>
      </c>
      <c r="B442" s="13" t="s">
        <v>12</v>
      </c>
      <c r="C442" s="13" t="b">
        <f t="shared" si="5"/>
        <v>1</v>
      </c>
      <c r="D442" s="13"/>
      <c r="E442" s="63"/>
      <c r="F442" s="13"/>
      <c r="G442" s="13"/>
      <c r="H442" s="13" t="s">
        <v>68</v>
      </c>
      <c r="I442" s="101" t="s">
        <v>44</v>
      </c>
      <c r="J442" s="101"/>
      <c r="K442" s="6">
        <f>[9]!'id302?req?GME_STK_SMART_USD_~/'</f>
        <v>0</v>
      </c>
      <c r="L442" s="6" t="str">
        <f>[9]!id302?orderTypes</f>
        <v>ACTIVETIM,ADJUST,ALERT,ALGO,ALLOC,AON,AVGCOST,BASKET,COND,CONDORDER,DARKONLY,DARKPOLL,DAY,DEACT,DEACTDIS,DEACTEOD,DIS,GAT,GTC,GTD,GTT,HID,IBKRATS,ICE,IMB,IOC,LIT,LMT,LOC,MIT,MKT,MOC,MTL,NGCOMB,NODARK,NONALGO,OCA,OPG,OPGREROUT,PEGBENCH,POSTONLY,PREOPGRTH,R</v>
      </c>
      <c r="M442" s="6" t="str">
        <f>[9]!id302?validExchanges</f>
        <v>SMART,NYSE,CBOE,ISE,CHX,ARCA,ISLAND,VWAP,DRCTEDGE,NSX,BEX,BATS,EDGEA,CSFBALGO,JEFFALGO,BYX,IEX,TPLUS2,PSX</v>
      </c>
      <c r="N442" s="6">
        <f>[9]!id302?conid</f>
        <v>36285627</v>
      </c>
      <c r="O442" s="6">
        <f>[9]!id302?minTick</f>
        <v>0.01</v>
      </c>
      <c r="P442" s="6">
        <f>[9]!id302?multiplier</f>
        <v>0</v>
      </c>
      <c r="Q442" s="6" t="str">
        <f>[9]!id302?marketName</f>
        <v>GME</v>
      </c>
      <c r="R442" s="6" t="str">
        <f>[9]!id302?tradingClass</f>
        <v>GME</v>
      </c>
    </row>
    <row r="443" spans="1:18" hidden="1" x14ac:dyDescent="0.2">
      <c r="A443" s="176" t="s">
        <v>1157</v>
      </c>
      <c r="B443" s="13" t="s">
        <v>12</v>
      </c>
      <c r="C443" s="13" t="b">
        <f t="shared" si="5"/>
        <v>1</v>
      </c>
      <c r="D443" s="13"/>
      <c r="E443" s="63"/>
      <c r="F443" s="13"/>
      <c r="G443" s="13"/>
      <c r="H443" s="13" t="s">
        <v>68</v>
      </c>
      <c r="I443" s="101" t="s">
        <v>44</v>
      </c>
      <c r="J443" s="101"/>
      <c r="K443" s="6">
        <f>[9]!'id303?req?UA_STK_SMART_USD_~/'</f>
        <v>0</v>
      </c>
      <c r="L443" s="6" t="str">
        <f>[9]!id303?orderTypes</f>
        <v>ACTIVETIM,ADJUST,ALERT,ALGO,ALLOC,AON,AVGCOST,BASKET,COND,CONDORDER,DARKONLY,DARKPOLL,DAY,DEACT,DEACTDIS,DEACTEOD,DIS,GAT,GTC,GTD,GTT,HID,IBKRATS,ICE,IMB,IOC,LIT,LMT,LOC,MIT,MKT,MOC,MTL,NGCOMB,NODARK,NONALGO,OCA,OPG,OPGREROUT,PEGBENCH,POSTONLY,PREOPGRTH,R</v>
      </c>
      <c r="M443" s="6" t="str">
        <f>[9]!id303?validExchanges</f>
        <v>SMART,NYSE,CBOE,ISE,CHX,ARCA,ISLAND,DRCTEDGE,NSX,BEX,BATS,EDGEA,CSFBALGO,JEFFALGO,BYX,IEX,TPLUS2,PSX</v>
      </c>
      <c r="N443" s="6">
        <f>[9]!id303?conid</f>
        <v>36786278</v>
      </c>
      <c r="O443" s="6">
        <f>[9]!id303?minTick</f>
        <v>0.01</v>
      </c>
      <c r="P443" s="6">
        <f>[9]!id303?multiplier</f>
        <v>0</v>
      </c>
      <c r="Q443" s="6" t="str">
        <f>[9]!id303?marketName</f>
        <v>UA</v>
      </c>
      <c r="R443" s="6" t="str">
        <f>[9]!id303?tradingClass</f>
        <v>UA</v>
      </c>
    </row>
    <row r="444" spans="1:18" hidden="1" x14ac:dyDescent="0.2">
      <c r="A444" s="176" t="s">
        <v>1158</v>
      </c>
      <c r="B444" s="13" t="s">
        <v>12</v>
      </c>
      <c r="C444" s="13" t="b">
        <f t="shared" si="5"/>
        <v>0</v>
      </c>
      <c r="D444" s="13"/>
      <c r="E444" s="63"/>
      <c r="F444" s="13"/>
      <c r="G444" s="13"/>
      <c r="H444" s="13" t="s">
        <v>68</v>
      </c>
      <c r="I444" s="101" t="s">
        <v>44</v>
      </c>
      <c r="J444" s="101"/>
      <c r="K444" s="6">
        <f>[9]!'id304?req?VIAB_STK_SMART_USD_~/'</f>
        <v>0</v>
      </c>
      <c r="L444" s="6" t="str">
        <f>[9]!id304?orderTypes</f>
        <v>ACTIVETIM,ADJUST,ALERT,ALGO,ALLOC,AON,AVGCOST,BASKET,COND,CONDORDER,DARKONLY,DARKPOLL,DAY,DEACT,DEACTDIS,DEACTEOD,DIS,GAT,GTC,GTD,GTT,HID,IBKRATS,ICE,IMB,IOC,LIT,LMT,LOC,MIT,MKT,MOC,MTL,NGCOMB,NODARK,NONALGO,OCA,OPG,OPGREROUT,PEGBENCH,POSTONLY,PREOPGRTH,R</v>
      </c>
      <c r="M444" s="6" t="str">
        <f>[9]!id304?validExchanges</f>
        <v>SMART,CBOE,ISE,CHX,ARCA,ISLAND,VWAP,DRCTEDGE,NSX,BEX,BATS,EDGEA,CSFBALGO,JEFFALGO,BYX,IEX,TPLUS2,PSX</v>
      </c>
      <c r="N444" s="6">
        <f>[9]!id304?conid</f>
        <v>37083557</v>
      </c>
      <c r="O444" s="6">
        <f>[9]!id304?minTick</f>
        <v>0.01</v>
      </c>
      <c r="P444" s="6">
        <f>[9]!id304?multiplier</f>
        <v>0</v>
      </c>
      <c r="Q444" s="6" t="str">
        <f>[9]!id304?marketName</f>
        <v>NMS</v>
      </c>
      <c r="R444" s="6" t="str">
        <f>[9]!id304?tradingClass</f>
        <v>NMS</v>
      </c>
    </row>
    <row r="445" spans="1:18" hidden="1" x14ac:dyDescent="0.2">
      <c r="A445" s="176" t="s">
        <v>1159</v>
      </c>
      <c r="B445" s="13" t="s">
        <v>12</v>
      </c>
      <c r="C445" s="13" t="b">
        <f t="shared" si="5"/>
        <v>1</v>
      </c>
      <c r="D445" s="13"/>
      <c r="E445" s="63"/>
      <c r="F445" s="13"/>
      <c r="G445" s="13"/>
      <c r="H445" s="13" t="s">
        <v>68</v>
      </c>
      <c r="I445" s="101" t="s">
        <v>44</v>
      </c>
      <c r="J445" s="101"/>
      <c r="K445" s="6">
        <f>[9]!'id305?req?CBS_STK_SMART_USD_~/'</f>
        <v>0</v>
      </c>
      <c r="L445" s="6" t="str">
        <f>[9]!id305?orderTypes</f>
        <v>ACTIVETIM,ADJUST,ALERT,ALGO,ALLOC,AON,AVGCOST,BASKET,COND,CONDORDER,DARKONLY,DARKPOLL,DAY,DEACT,DEACTDIS,DEACTEOD,DIS,GAT,GTC,GTD,GTT,HID,IBKRATS,ICE,IMB,IOC,LIT,LMT,LOC,MIT,MKT,MOC,MTL,NGCOMB,NODARK,NONALGO,OCA,OPG,OPGREROUT,PEGBENCH,POSTONLY,PREOPGRTH,R</v>
      </c>
      <c r="M445" s="6" t="str">
        <f>[9]!id305?validExchanges</f>
        <v>SMART,NYSE,CBOE,ISE,CHX,ARCA,ISLAND,VWAP,DRCTEDGE,NSX,BEX,BATS,EDGEA,CSFBALGO,JEFFALGO,BYX,IEX,TPLUS2,PSX</v>
      </c>
      <c r="N445" s="6">
        <f>[9]!id305?conid</f>
        <v>37083548</v>
      </c>
      <c r="O445" s="6">
        <f>[9]!id305?minTick</f>
        <v>0.01</v>
      </c>
      <c r="P445" s="6">
        <f>[9]!id305?multiplier</f>
        <v>0</v>
      </c>
      <c r="Q445" s="6" t="str">
        <f>[9]!id305?marketName</f>
        <v>CBS</v>
      </c>
      <c r="R445" s="6" t="str">
        <f>[9]!id305?tradingClass</f>
        <v>CBS</v>
      </c>
    </row>
    <row r="446" spans="1:18" hidden="1" x14ac:dyDescent="0.2">
      <c r="A446" s="176" t="s">
        <v>1160</v>
      </c>
      <c r="B446" s="13" t="s">
        <v>12</v>
      </c>
      <c r="C446" s="13" t="b">
        <f t="shared" si="5"/>
        <v>1</v>
      </c>
      <c r="D446" s="13"/>
      <c r="E446" s="63"/>
      <c r="F446" s="13"/>
      <c r="G446" s="13"/>
      <c r="H446" s="13" t="s">
        <v>68</v>
      </c>
      <c r="I446" s="101" t="s">
        <v>44</v>
      </c>
      <c r="J446" s="101"/>
      <c r="K446" s="6">
        <f>[9]!'id306?req?CMG_STK_SMART_USD_~/'</f>
        <v>0</v>
      </c>
      <c r="L446" s="6" t="str">
        <f>[9]!id306?orderTypes</f>
        <v>ACTIVETIM,ADJUST,ALERT,ALGO,ALLOC,AON,AVGCOST,BASKET,COND,CONDORDER,DARKONLY,DARKPOLL,DAY,DEACT,DEACTDIS,DEACTEOD,DIS,GAT,GTC,GTD,GTT,HID,IBKRATS,ICE,IMB,IOC,LIT,LMT,LOC,MIT,MKT,MOC,MTL,NGCOMB,NODARK,NONALGO,OCA,OPG,OPGREROUT,PEGBENCH,POSTONLY,PREOPGRTH,R</v>
      </c>
      <c r="M446" s="6" t="str">
        <f>[9]!id306?validExchanges</f>
        <v>SMART,NYSE,CBOE,ISE,CHX,ARCA,ISLAND,DRCTEDGE,NSX,BEX,BATS,EDGEA,CSFBALGO,JEFFALGO,BYX,IEX,TPLUS2,PSX</v>
      </c>
      <c r="N446" s="6">
        <f>[9]!id306?conid</f>
        <v>37655664</v>
      </c>
      <c r="O446" s="6">
        <f>[9]!id306?minTick</f>
        <v>0.01</v>
      </c>
      <c r="P446" s="6">
        <f>[9]!id306?multiplier</f>
        <v>0</v>
      </c>
      <c r="Q446" s="6" t="str">
        <f>[9]!id306?marketName</f>
        <v>CMG</v>
      </c>
      <c r="R446" s="6" t="str">
        <f>[9]!id306?tradingClass</f>
        <v>CMG</v>
      </c>
    </row>
    <row r="447" spans="1:18" hidden="1" x14ac:dyDescent="0.2">
      <c r="A447" s="176" t="s">
        <v>1161</v>
      </c>
      <c r="B447" s="13" t="s">
        <v>12</v>
      </c>
      <c r="C447" s="13" t="b">
        <f t="shared" si="5"/>
        <v>1</v>
      </c>
      <c r="D447" s="13"/>
      <c r="E447" s="63"/>
      <c r="F447" s="13"/>
      <c r="G447" s="13"/>
      <c r="H447" s="13" t="s">
        <v>68</v>
      </c>
      <c r="I447" s="101" t="s">
        <v>44</v>
      </c>
      <c r="J447" s="101"/>
      <c r="K447" s="6">
        <f>[9]!'id307?req?MA_STK_SMART_USD_~/'</f>
        <v>0</v>
      </c>
      <c r="L447" s="6" t="str">
        <f>[9]!id307?orderTypes</f>
        <v>ACTIVETIM,ADJUST,ALERT,ALGO,ALLOC,AON,AVGCOST,BASKET,COND,CONDORDER,DARKONLY,DARKPOLL,DAY,DEACT,DEACTDIS,DEACTEOD,DIS,GAT,GTC,GTD,GTT,HID,IBKRATS,ICE,IMB,IOC,LIT,LMT,LOC,MIT,MKT,MOC,MTL,NGCOMB,NODARK,NONALGO,OCA,OPG,OPGREROUT,PEGBENCH,POSTONLY,PREOPGRTH,R</v>
      </c>
      <c r="M447" s="6" t="str">
        <f>[9]!id307?validExchanges</f>
        <v>SMART,NYSE,CBOE,ISE,CHX,ARCA,ISLAND,DRCTEDGE,NSX,BEX,BATS,EDGEA,CSFBALGO,JEFFALGO,BYX,IEX,TPLUS2,PSX</v>
      </c>
      <c r="N447" s="6">
        <f>[9]!id307?conid</f>
        <v>38685693</v>
      </c>
      <c r="O447" s="6">
        <f>[9]!id307?minTick</f>
        <v>0.01</v>
      </c>
      <c r="P447" s="6">
        <f>[9]!id307?multiplier</f>
        <v>0</v>
      </c>
      <c r="Q447" s="6" t="str">
        <f>[9]!id307?marketName</f>
        <v>MA</v>
      </c>
      <c r="R447" s="6" t="str">
        <f>[9]!id307?tradingClass</f>
        <v>MA</v>
      </c>
    </row>
    <row r="448" spans="1:18" hidden="1" x14ac:dyDescent="0.2">
      <c r="A448" s="176" t="s">
        <v>1162</v>
      </c>
      <c r="B448" s="13" t="s">
        <v>12</v>
      </c>
      <c r="C448" s="13" t="b">
        <f t="shared" ref="C448:C510" si="6">A448=Q448</f>
        <v>1</v>
      </c>
      <c r="D448" s="13"/>
      <c r="E448" s="63"/>
      <c r="F448" s="13"/>
      <c r="G448" s="13"/>
      <c r="H448" s="13" t="s">
        <v>68</v>
      </c>
      <c r="I448" s="101" t="s">
        <v>44</v>
      </c>
      <c r="J448" s="101"/>
      <c r="K448" s="6">
        <f>[9]!'id308?req?HOT_STK_SMART_USD_~/'</f>
        <v>0</v>
      </c>
      <c r="L448" s="6" t="str">
        <f>[9]!id308?orderTypes</f>
        <v>ACTIVETIM,ADJUST,ALERT,ALGO,ALLOC,AON,AVGCOST,BASKET,COND,CONDORDER,DARKONLY,DARKPOLL,DAY,DEACT,DEACTDIS,DEACTEOD,DIS,GAT,GTC,GTD,GTT,HID,IBKRATS,ICE,IMB,IOC,LIT,LMT,LOC,MIT,MKT,MOC,MTL,NGCOMB,NODARK,NONALGO,OCA,OPG,OPGREROUT,PEGBENCH,POSTONLY,PREOPGRTH,R</v>
      </c>
      <c r="M448" s="6" t="str">
        <f>[9]!id308?validExchanges</f>
        <v>SMART,NYSE,CBOE,ISE,CHX,ARCA,ISLAND,VWAP,DRCTEDGE,NSX,BEX,BATS,EDGEA,CSFBALGO,JEFFALGO,BYX,IEX,TPLUS2,PSX</v>
      </c>
      <c r="N448" s="6">
        <f>[9]!id308?conid</f>
        <v>38734858</v>
      </c>
      <c r="O448" s="6">
        <f>[9]!id308?minTick</f>
        <v>0.01</v>
      </c>
      <c r="P448" s="6">
        <f>[9]!id308?multiplier</f>
        <v>0</v>
      </c>
      <c r="Q448" s="6" t="str">
        <f>[9]!id308?marketName</f>
        <v>HOT</v>
      </c>
      <c r="R448" s="6" t="str">
        <f>[9]!id308?tradingClass</f>
        <v>HOT</v>
      </c>
    </row>
    <row r="449" spans="1:18" hidden="1" x14ac:dyDescent="0.2">
      <c r="A449" s="176" t="s">
        <v>1163</v>
      </c>
      <c r="B449" s="13" t="s">
        <v>12</v>
      </c>
      <c r="C449" s="13" t="b">
        <f t="shared" si="6"/>
        <v>1</v>
      </c>
      <c r="D449" s="13"/>
      <c r="E449" s="63"/>
      <c r="F449" s="13"/>
      <c r="G449" s="13"/>
      <c r="H449" s="13" t="s">
        <v>68</v>
      </c>
      <c r="I449" s="101" t="s">
        <v>44</v>
      </c>
      <c r="J449" s="101"/>
      <c r="K449" s="6">
        <f>[9]!'id309?req?WYN_STK_SMART_USD_~/'</f>
        <v>0</v>
      </c>
      <c r="L449" s="6" t="str">
        <f>[9]!id309?orderTypes</f>
        <v>ACTIVETIM,ADJUST,ALERT,ALGO,ALLOC,AON,AVGCOST,BASKET,COND,CONDORDER,DARKONLY,DARKPOLL,DAY,DEACT,DEACTDIS,DEACTEOD,DIS,GAT,GTC,GTD,GTT,HID,IBKRATS,ICE,IMB,IOC,LIT,LMT,LOC,MIT,MKT,MOC,MTL,NGCOMB,NODARK,NONALGO,OCA,OPG,OPGREROUT,PEGBENCH,POSTONLY,PREOPGRTH,R</v>
      </c>
      <c r="M449" s="6" t="str">
        <f>[9]!id309?validExchanges</f>
        <v>SMART,NYSE,CBOE,ISE,CHX,ARCA,ISLAND,VWAP,DRCTEDGE,NSX,BEX,BATS,EDGEA,CSFBALGO,JEFFALGO,BYX,IEX,TPLUS2,PSX</v>
      </c>
      <c r="N449" s="6">
        <f>[9]!id309?conid</f>
        <v>40021002</v>
      </c>
      <c r="O449" s="6">
        <f>[9]!id309?minTick</f>
        <v>0.01</v>
      </c>
      <c r="P449" s="6">
        <f>[9]!id309?multiplier</f>
        <v>0</v>
      </c>
      <c r="Q449" s="6" t="str">
        <f>[9]!id309?marketName</f>
        <v>WYN</v>
      </c>
      <c r="R449" s="6" t="str">
        <f>[9]!id309?tradingClass</f>
        <v>WYN</v>
      </c>
    </row>
    <row r="450" spans="1:18" hidden="1" x14ac:dyDescent="0.2">
      <c r="A450" s="176" t="s">
        <v>1164</v>
      </c>
      <c r="B450" s="13" t="s">
        <v>12</v>
      </c>
      <c r="C450" s="13" t="b">
        <f t="shared" si="6"/>
        <v>1</v>
      </c>
      <c r="D450" s="13"/>
      <c r="E450" s="63"/>
      <c r="F450" s="13"/>
      <c r="G450" s="13"/>
      <c r="H450" s="13" t="s">
        <v>68</v>
      </c>
      <c r="I450" s="101" t="s">
        <v>44</v>
      </c>
      <c r="J450" s="101"/>
      <c r="K450" s="6">
        <f>[9]!'id310?req?HBI_STK_SMART_USD_~/'</f>
        <v>0</v>
      </c>
      <c r="L450" s="6" t="str">
        <f>[9]!id310?orderTypes</f>
        <v>ACTIVETIM,ADJUST,ALERT,ALGO,ALLOC,AON,AVGCOST,BASKET,COND,CONDORDER,DARKONLY,DARKPOLL,DAY,DEACT,DEACTDIS,DEACTEOD,DIS,GAT,GTC,GTD,GTT,HID,IBKRATS,ICE,IMB,IOC,LIT,LMT,LOC,MIT,MKT,MOC,MTL,NGCOMB,NODARK,NONALGO,OCA,OPG,OPGREROUT,PEGBENCH,POSTONLY,PREOPGRTH,R</v>
      </c>
      <c r="M450" s="6" t="str">
        <f>[9]!id310?validExchanges</f>
        <v>SMART,NYSE,CBOE,ISE,CHX,ARCA,ISLAND,DRCTEDGE,NSX,BEX,BATS,EDGEA,CSFBALGO,JEFFALGO,BYX,IEX,TPLUS2,PSX</v>
      </c>
      <c r="N450" s="6">
        <f>[9]!id310?conid</f>
        <v>40369429</v>
      </c>
      <c r="O450" s="6">
        <f>[9]!id310?minTick</f>
        <v>0.01</v>
      </c>
      <c r="P450" s="6">
        <f>[9]!id310?multiplier</f>
        <v>0</v>
      </c>
      <c r="Q450" s="6" t="str">
        <f>[9]!id310?marketName</f>
        <v>HBI</v>
      </c>
      <c r="R450" s="6" t="str">
        <f>[9]!id310?tradingClass</f>
        <v>HBI</v>
      </c>
    </row>
    <row r="451" spans="1:18" hidden="1" x14ac:dyDescent="0.2">
      <c r="A451" s="176" t="s">
        <v>1165</v>
      </c>
      <c r="B451" s="13" t="s">
        <v>12</v>
      </c>
      <c r="C451" s="13" t="b">
        <f t="shared" si="6"/>
        <v>1</v>
      </c>
      <c r="D451" s="13"/>
      <c r="E451" s="63"/>
      <c r="F451" s="13"/>
      <c r="G451" s="13"/>
      <c r="H451" s="13" t="s">
        <v>68</v>
      </c>
      <c r="I451" s="101" t="s">
        <v>44</v>
      </c>
      <c r="J451" s="101"/>
      <c r="K451" s="6">
        <f>[9]!'id311?req?WU_STK_SMART_USD_~/'</f>
        <v>0</v>
      </c>
      <c r="L451" s="6" t="str">
        <f>[9]!id311?orderTypes</f>
        <v>ACTIVETIM,ADJUST,ALERT,ALGO,ALLOC,AON,AVGCOST,BASKET,COND,CONDORDER,DARKONLY,DARKPOLL,DAY,DEACT,DEACTDIS,DEACTEOD,DIS,GAT,GTC,GTD,GTT,HID,IBKRATS,ICE,IMB,IOC,LIT,LMT,LOC,MIT,MKT,MOC,MTL,NGCOMB,NODARK,NONALGO,OCA,OPG,OPGREROUT,PEGBENCH,POSTONLY,PREOPGRTH,R</v>
      </c>
      <c r="M451" s="6" t="str">
        <f>[9]!id311?validExchanges</f>
        <v>SMART,NYSE,CBOE,ISE,CHX,ARCA,ISLAND,VWAP,DRCTEDGE,NSX,BEX,BATS,EDGEA,CSFBALGO,JEFFALGO,BYX,IEX,TPLUS2,PSX</v>
      </c>
      <c r="N451" s="6">
        <f>[9]!id311?conid</f>
        <v>40773257</v>
      </c>
      <c r="O451" s="6">
        <f>[9]!id311?minTick</f>
        <v>0.01</v>
      </c>
      <c r="P451" s="6">
        <f>[9]!id311?multiplier</f>
        <v>0</v>
      </c>
      <c r="Q451" s="6" t="str">
        <f>[9]!id311?marketName</f>
        <v>WU</v>
      </c>
      <c r="R451" s="6" t="str">
        <f>[9]!id311?tradingClass</f>
        <v>WU</v>
      </c>
    </row>
    <row r="452" spans="1:18" hidden="1" x14ac:dyDescent="0.2">
      <c r="A452" s="176" t="s">
        <v>1166</v>
      </c>
      <c r="B452" s="13" t="s">
        <v>12</v>
      </c>
      <c r="C452" s="13" t="b">
        <f t="shared" si="6"/>
        <v>0</v>
      </c>
      <c r="D452" s="13"/>
      <c r="E452" s="63"/>
      <c r="F452" s="13"/>
      <c r="G452" s="13"/>
      <c r="H452" s="13" t="s">
        <v>68</v>
      </c>
      <c r="I452" s="101" t="s">
        <v>44</v>
      </c>
      <c r="J452" s="101"/>
      <c r="K452" s="6">
        <f>[9]!'id312?req?FSLR_STK_SMART_USD_~/'</f>
        <v>0</v>
      </c>
      <c r="L452" s="6" t="str">
        <f>[9]!id312?orderTypes</f>
        <v>ACTIVETIM,ADJUST,ALERT,ALGO,ALLOC,AON,AVGCOST,BASKET,COND,CONDORDER,DARKONLY,DARKPOLL,DAY,DEACT,DEACTDIS,DEACTEOD,DIS,GAT,GTC,GTD,GTT,HID,IBKRATS,ICE,IMB,IOC,LIT,LMT,LOC,MIT,MKT,MOC,MTL,NGCOMB,NODARK,NONALGO,OCA,OPG,OPGREROUT,PEGBENCH,POSTONLY,PREOPGRTH,R</v>
      </c>
      <c r="M452" s="6" t="str">
        <f>[9]!id312?validExchanges</f>
        <v>SMART,CBOE,ISE,CHX,ARCA,ISLAND,DRCTEDGE,NSX,BEX,BATS,EDGEA,CSFBALGO,JEFFALGO,BYX,IEX,TPLUS2,PSX</v>
      </c>
      <c r="N452" s="6">
        <f>[9]!id312?conid</f>
        <v>41622169</v>
      </c>
      <c r="O452" s="6">
        <f>[9]!id312?minTick</f>
        <v>0.01</v>
      </c>
      <c r="P452" s="6">
        <f>[9]!id312?multiplier</f>
        <v>0</v>
      </c>
      <c r="Q452" s="6" t="str">
        <f>[9]!id312?marketName</f>
        <v>NMS</v>
      </c>
      <c r="R452" s="6" t="str">
        <f>[9]!id312?tradingClass</f>
        <v>NMS</v>
      </c>
    </row>
    <row r="453" spans="1:18" hidden="1" x14ac:dyDescent="0.2">
      <c r="A453" s="176" t="s">
        <v>1167</v>
      </c>
      <c r="B453" s="13" t="s">
        <v>12</v>
      </c>
      <c r="C453" s="13" t="b">
        <f t="shared" si="6"/>
        <v>1</v>
      </c>
      <c r="D453" s="13"/>
      <c r="E453" s="63"/>
      <c r="F453" s="13"/>
      <c r="G453" s="13"/>
      <c r="H453" s="13" t="s">
        <v>68</v>
      </c>
      <c r="I453" s="101" t="s">
        <v>44</v>
      </c>
      <c r="J453" s="101"/>
      <c r="K453" s="6">
        <f>[9]!'id313?req?SE_STK_SMART_USD_~/'</f>
        <v>0</v>
      </c>
      <c r="L453" s="6" t="str">
        <f>[9]!id313?orderTypes</f>
        <v>ACTIVETIM,ADJUST,ALERT,ALGO,ALLOC,AON,AVGCOST,BASKET,COND,CONDORDER,DARKONLY,DARKPOLL,DAY,DEACT,DEACTDIS,DEACTEOD,DIS,GAT,GTC,GTD,GTT,HID,IBKRATS,ICE,IMB,IOC,LIT,LMT,LOC,MIT,MKT,MOC,MTL,NGCOMB,NODARK,NONALGO,OCA,OPG,OPGREROUT,PEGBENCH,POSTONLY,PREOPGRTH,R</v>
      </c>
      <c r="M453" s="6" t="str">
        <f>[9]!id313?validExchanges</f>
        <v>SMART,NYSE,CBOE,ISE,CHX,ARCA,ISLAND,VWAP,DRCTEDGE,NSX,BEX,BATS,EDGEA,CSFBALGO,JEFFALGO,BYX,IEX,TPLUS2,PSX</v>
      </c>
      <c r="N453" s="6">
        <f>[9]!id313?conid</f>
        <v>41993017</v>
      </c>
      <c r="O453" s="6">
        <f>[9]!id313?minTick</f>
        <v>0.01</v>
      </c>
      <c r="P453" s="6">
        <f>[9]!id313?multiplier</f>
        <v>0</v>
      </c>
      <c r="Q453" s="6" t="str">
        <f>[9]!id313?marketName</f>
        <v>SE</v>
      </c>
      <c r="R453" s="6" t="str">
        <f>[9]!id313?tradingClass</f>
        <v>SE</v>
      </c>
    </row>
    <row r="454" spans="1:18" hidden="1" x14ac:dyDescent="0.2">
      <c r="A454" s="176" t="s">
        <v>1168</v>
      </c>
      <c r="B454" s="13" t="s">
        <v>12</v>
      </c>
      <c r="C454" s="13" t="b">
        <f t="shared" si="6"/>
        <v>0</v>
      </c>
      <c r="D454" s="13"/>
      <c r="E454" s="63"/>
      <c r="F454" s="13"/>
      <c r="G454" s="13"/>
      <c r="H454" s="13" t="s">
        <v>68</v>
      </c>
      <c r="I454" s="101" t="s">
        <v>44</v>
      </c>
      <c r="J454" s="101"/>
      <c r="K454" s="6">
        <f>[9]!'id314?req?PBCT_STK_SMART_USD_~/'</f>
        <v>0</v>
      </c>
      <c r="L454" s="6" t="str">
        <f>[9]!id314?orderTypes</f>
        <v>ACTIVETIM,ADJUST,ALERT,ALGO,ALLOC,AON,AVGCOST,BASKET,COND,CONDORDER,DARKONLY,DARKPOLL,DAY,DEACT,DEACTDIS,DEACTEOD,DIS,GAT,GTC,GTD,GTT,HID,IBKRATS,ICE,IMB,IOC,LIT,LMT,LOC,MIT,MKT,MOC,MTL,NGCOMB,NODARK,NONALGO,OCA,OPG,OPGREROUT,PEGBENCH,POSTONLY,PREOPGRTH,R</v>
      </c>
      <c r="M454" s="6" t="str">
        <f>[9]!id314?validExchanges</f>
        <v>SMART,CBOE,ISE,CHX,ARCA,ISLAND,DRCTEDGE,NSX,BEX,BATS,EDGEA,CSFBALGO,JEFFALGO,BYX,IEX,TPLUS2,PSX</v>
      </c>
      <c r="N454" s="6">
        <f>[9]!id314?conid</f>
        <v>43670008</v>
      </c>
      <c r="O454" s="6">
        <f>[9]!id314?minTick</f>
        <v>0.01</v>
      </c>
      <c r="P454" s="6">
        <f>[9]!id314?multiplier</f>
        <v>0</v>
      </c>
      <c r="Q454" s="6" t="str">
        <f>[9]!id314?marketName</f>
        <v>NMS</v>
      </c>
      <c r="R454" s="6" t="str">
        <f>[9]!id314?tradingClass</f>
        <v>NMS</v>
      </c>
    </row>
    <row r="455" spans="1:18" hidden="1" x14ac:dyDescent="0.2">
      <c r="A455" s="176" t="s">
        <v>1169</v>
      </c>
      <c r="B455" s="13" t="s">
        <v>12</v>
      </c>
      <c r="C455" s="13" t="b">
        <f t="shared" si="6"/>
        <v>1</v>
      </c>
      <c r="D455" s="13"/>
      <c r="E455" s="63"/>
      <c r="F455" s="13"/>
      <c r="G455" s="13"/>
      <c r="H455" s="13" t="s">
        <v>68</v>
      </c>
      <c r="I455" s="101" t="s">
        <v>44</v>
      </c>
      <c r="J455" s="101"/>
      <c r="K455" s="6">
        <f>[9]!'id315?req?DAL_STK_SMART_USD_~/'</f>
        <v>0</v>
      </c>
      <c r="L455" s="6" t="str">
        <f>[9]!id315?orderTypes</f>
        <v>ACTIVETIM,ADJUST,ALERT,ALGO,ALLOC,AON,AVGCOST,BASKET,COND,CONDORDER,DARKONLY,DARKPOLL,DAY,DEACT,DEACTDIS,DEACTEOD,DIS,GAT,GTC,GTD,GTT,HID,IBKRATS,ICE,IMB,IOC,LIT,LMT,LOC,MIT,MKT,MOC,MTL,NGCOMB,NODARK,NONALGO,OCA,OPG,OPGREROUT,PEGBENCH,POSTONLY,PREOPGRTH,R</v>
      </c>
      <c r="M455" s="6" t="str">
        <f>[9]!id315?validExchanges</f>
        <v>SMART,NYSE,CBOE,ISE,CHX,ARCA,ISLAND,DRCTEDGE,NSX,BEX,BATS,EDGEA,CSFBALGO,JEFFALGO,BYX,IEX,TPLUS2,PSX</v>
      </c>
      <c r="N455" s="6">
        <f>[9]!id315?conid</f>
        <v>44001820</v>
      </c>
      <c r="O455" s="6">
        <f>[9]!id315?minTick</f>
        <v>0.01</v>
      </c>
      <c r="P455" s="6">
        <f>[9]!id315?multiplier</f>
        <v>0</v>
      </c>
      <c r="Q455" s="6" t="str">
        <f>[9]!id315?marketName</f>
        <v>DAL</v>
      </c>
      <c r="R455" s="6" t="str">
        <f>[9]!id315?tradingClass</f>
        <v>DAL</v>
      </c>
    </row>
    <row r="456" spans="1:18" hidden="1" x14ac:dyDescent="0.2">
      <c r="A456" s="176" t="s">
        <v>1170</v>
      </c>
      <c r="B456" s="13" t="s">
        <v>12</v>
      </c>
      <c r="C456" s="13" t="b">
        <f t="shared" si="6"/>
        <v>1</v>
      </c>
      <c r="D456" s="13"/>
      <c r="E456" s="63"/>
      <c r="F456" s="13"/>
      <c r="G456" s="13"/>
      <c r="H456" s="13" t="s">
        <v>68</v>
      </c>
      <c r="I456" s="101" t="s">
        <v>44</v>
      </c>
      <c r="J456" s="101"/>
      <c r="K456" s="6">
        <f>[9]!'id316?req?DFS_STK_SMART_USD_~/'</f>
        <v>0</v>
      </c>
      <c r="L456" s="6" t="str">
        <f>[9]!id316?orderTypes</f>
        <v>ACTIVETIM,ADJUST,ALERT,ALGO,ALLOC,AON,AVGCOST,BASKET,COND,CONDORDER,DARKONLY,DARKPOLL,DAY,DEACT,DEACTDIS,DEACTEOD,DIS,GAT,GTC,GTD,GTT,HID,IBKRATS,ICE,IMB,IOC,LIT,LMT,LOC,MIT,MKT,MOC,MTL,NGCOMB,NODARK,NONALGO,OCA,OPG,OPGREROUT,PEGBENCH,POSTONLY,PREOPGRTH,R</v>
      </c>
      <c r="M456" s="6" t="str">
        <f>[9]!id316?validExchanges</f>
        <v>SMART,NYSE,CBOE,ISE,CHX,ARCA,ISLAND,DRCTEDGE,NSX,BEX,BATS,EDGEA,CSFBALGO,JEFFALGO,BYX,IEX,TPLUS2,PSX</v>
      </c>
      <c r="N456" s="6">
        <f>[9]!id316?conid</f>
        <v>44652220</v>
      </c>
      <c r="O456" s="6">
        <f>[9]!id316?minTick</f>
        <v>0.01</v>
      </c>
      <c r="P456" s="6">
        <f>[9]!id316?multiplier</f>
        <v>0</v>
      </c>
      <c r="Q456" s="6" t="str">
        <f>[9]!id316?marketName</f>
        <v>DFS</v>
      </c>
      <c r="R456" s="6" t="str">
        <f>[9]!id316?tradingClass</f>
        <v>DFS</v>
      </c>
    </row>
    <row r="457" spans="1:18" hidden="1" x14ac:dyDescent="0.2">
      <c r="A457" s="176" t="s">
        <v>1171</v>
      </c>
      <c r="B457" s="13" t="s">
        <v>12</v>
      </c>
      <c r="C457" s="13" t="b">
        <f t="shared" si="6"/>
        <v>1</v>
      </c>
      <c r="D457" s="13"/>
      <c r="E457" s="63"/>
      <c r="F457" s="13"/>
      <c r="G457" s="13"/>
      <c r="H457" s="13" t="s">
        <v>68</v>
      </c>
      <c r="I457" s="101" t="s">
        <v>44</v>
      </c>
      <c r="J457" s="101"/>
      <c r="K457" s="6">
        <f>[9]!'id317?req?BK_STK_SMART_USD_~/'</f>
        <v>0</v>
      </c>
      <c r="L457" s="6" t="str">
        <f>[9]!id317?orderTypes</f>
        <v>ACTIVETIM,ADJUST,ALERT,ALGO,ALLOC,AON,AVGCOST,BASKET,COND,CONDORDER,DARKONLY,DARKPOLL,DAY,DEACT,DEACTDIS,DEACTEOD,DIS,GAT,GTC,GTD,GTT,HID,IBKRATS,ICE,IMB,IOC,LIT,LMT,LOC,MIT,MKT,MOC,MTL,NGCOMB,NODARK,NONALGO,OCA,OPG,OPGREROUT,PEGBENCH,POSTONLY,PREOPGRTH,R</v>
      </c>
      <c r="M457" s="6" t="str">
        <f>[9]!id317?validExchanges</f>
        <v>SMART,NYSE,CBOE,ISE,CHX,ARCA,ISLAND,VWAP,DRCTEDGE,NSX,BEX,BATS,EDGEA,CSFBALGO,JEFFALGO,BYX,IEX,TPLUS2,PSX</v>
      </c>
      <c r="N457" s="6">
        <f>[9]!id317?conid</f>
        <v>44986804</v>
      </c>
      <c r="O457" s="6">
        <f>[9]!id317?minTick</f>
        <v>0.01</v>
      </c>
      <c r="P457" s="6">
        <f>[9]!id317?multiplier</f>
        <v>0</v>
      </c>
      <c r="Q457" s="6" t="str">
        <f>[9]!id317?marketName</f>
        <v>BK</v>
      </c>
      <c r="R457" s="6" t="str">
        <f>[9]!id317?tradingClass</f>
        <v>BK</v>
      </c>
    </row>
    <row r="458" spans="1:18" hidden="1" x14ac:dyDescent="0.2">
      <c r="A458" s="176" t="s">
        <v>1172</v>
      </c>
      <c r="B458" s="13" t="s">
        <v>12</v>
      </c>
      <c r="C458" s="13" t="b">
        <f t="shared" si="6"/>
        <v>1</v>
      </c>
      <c r="D458" s="13"/>
      <c r="E458" s="63"/>
      <c r="F458" s="13"/>
      <c r="G458" s="13"/>
      <c r="H458" s="13" t="s">
        <v>68</v>
      </c>
      <c r="I458" s="101" t="s">
        <v>44</v>
      </c>
      <c r="J458" s="101"/>
      <c r="K458" s="6">
        <f>[9]!'id318?req?TDC_STK_SMART_USD_~/'</f>
        <v>0</v>
      </c>
      <c r="L458" s="6" t="str">
        <f>[9]!id318?orderTypes</f>
        <v>ACTIVETIM,ADJUST,ALERT,ALGO,ALLOC,AON,AVGCOST,BASKET,COND,CONDORDER,DARKONLY,DARKPOLL,DAY,DEACT,DEACTDIS,DEACTEOD,DIS,GAT,GTC,GTD,GTT,HID,IBKRATS,ICE,IMB,IOC,LIT,LMT,LOC,MIT,MKT,MOC,MTL,NGCOMB,NODARK,NONALGO,OCA,OPG,OPGREROUT,PEGBENCH,POSTONLY,PREOPGRTH,R</v>
      </c>
      <c r="M458" s="6" t="str">
        <f>[9]!id318?validExchanges</f>
        <v>SMART,NYSE,CBOE,ISE,CHX,ARCA,ISLAND,DRCTEDGE,NSX,BEX,BATS,EDGEA,CSFBALGO,JEFFALGO,BYX,IEX,TPLUS2,PSX</v>
      </c>
      <c r="N458" s="6">
        <f>[9]!id318?conid</f>
        <v>46128760</v>
      </c>
      <c r="O458" s="6">
        <f>[9]!id318?minTick</f>
        <v>0.01</v>
      </c>
      <c r="P458" s="6">
        <f>[9]!id318?multiplier</f>
        <v>0</v>
      </c>
      <c r="Q458" s="6" t="str">
        <f>[9]!id318?marketName</f>
        <v>TDC</v>
      </c>
      <c r="R458" s="6" t="str">
        <f>[9]!id318?tradingClass</f>
        <v>TDC</v>
      </c>
    </row>
    <row r="459" spans="1:18" hidden="1" x14ac:dyDescent="0.2">
      <c r="A459" s="176" t="s">
        <v>1173</v>
      </c>
      <c r="B459" s="13" t="s">
        <v>12</v>
      </c>
      <c r="C459" s="13" t="b">
        <f t="shared" si="6"/>
        <v>1</v>
      </c>
      <c r="D459" s="13"/>
      <c r="E459" s="63"/>
      <c r="F459" s="13"/>
      <c r="G459" s="13"/>
      <c r="H459" s="13" t="s">
        <v>68</v>
      </c>
      <c r="I459" s="101" t="s">
        <v>44</v>
      </c>
      <c r="J459" s="101"/>
      <c r="K459" s="6">
        <f>[9]!'id319?req?IVZ_STK_SMART_USD_~/'</f>
        <v>0</v>
      </c>
      <c r="L459" s="6" t="str">
        <f>[9]!id319?orderTypes</f>
        <v>ACTIVETIM,ADJUST,ALERT,ALGO,ALLOC,AON,AVGCOST,BASKET,COND,CONDORDER,DARKONLY,DARKPOLL,DAY,DEACT,DEACTDIS,DEACTEOD,DIS,GAT,GTC,GTD,GTT,HID,IBKRATS,ICE,IMB,IOC,LIT,LMT,LOC,MIT,MKT,MOC,MTL,NGCOMB,NODARK,NONALGO,OCA,OPG,OPGREROUT,PEGBENCH,POSTONLY,PREOPGRTH,R</v>
      </c>
      <c r="M459" s="6" t="str">
        <f>[9]!id319?validExchanges</f>
        <v>SMART,NYSE,CBOE,ISE,CHX,ARCA,ISLAND,DRCTEDGE,NSX,BEX,BATS,EDGEA,CSFBALGO,JEFFALGO,BYX,IEX,TPLUS2,PSX</v>
      </c>
      <c r="N459" s="6">
        <f>[9]!id319?conid</f>
        <v>47550606</v>
      </c>
      <c r="O459" s="6">
        <f>[9]!id319?minTick</f>
        <v>0.01</v>
      </c>
      <c r="P459" s="6">
        <f>[9]!id319?multiplier</f>
        <v>0</v>
      </c>
      <c r="Q459" s="6" t="str">
        <f>[9]!id319?marketName</f>
        <v>IVZ</v>
      </c>
      <c r="R459" s="6" t="str">
        <f>[9]!id319?tradingClass</f>
        <v>IVZ</v>
      </c>
    </row>
    <row r="460" spans="1:18" hidden="1" x14ac:dyDescent="0.2">
      <c r="A460" s="176" t="s">
        <v>1174</v>
      </c>
      <c r="B460" s="13" t="s">
        <v>12</v>
      </c>
      <c r="C460" s="13" t="b">
        <f t="shared" si="6"/>
        <v>1</v>
      </c>
      <c r="D460" s="13"/>
      <c r="E460" s="63"/>
      <c r="F460" s="13"/>
      <c r="G460" s="13"/>
      <c r="H460" s="13" t="s">
        <v>68</v>
      </c>
      <c r="I460" s="101" t="s">
        <v>44</v>
      </c>
      <c r="J460" s="101"/>
      <c r="K460" s="6">
        <f>[9]!'id320?req?PM_STK_SMART_USD_~/'</f>
        <v>0</v>
      </c>
      <c r="L460" s="6" t="str">
        <f>[9]!id320?orderTypes</f>
        <v>ACTIVETIM,ADJUST,ALERT,ALGO,ALLOC,AON,AVGCOST,BASKET,COND,CONDORDER,DARKONLY,DARKPOLL,DAY,DEACT,DEACTDIS,DEACTEOD,DIS,GAT,GTC,GTD,GTT,HID,IBKRATS,ICE,IMB,IOC,LIT,LMT,LOC,MIT,MKT,MOC,MTL,NGCOMB,NODARK,NONALGO,OCA,OPG,OPGREROUT,PEGBENCH,POSTONLY,PREOPGRTH,R</v>
      </c>
      <c r="M460" s="6" t="str">
        <f>[9]!id320?validExchanges</f>
        <v>SMART,NYSE,CBOE,ISE,CHX,ARCA,ISLAND,DRCTEDGE,NSX,BEX,BATS,EDGEA,CSFBALGO,JEFFALGO,BYX,IEX,TPLUS2,PSX</v>
      </c>
      <c r="N460" s="6">
        <f>[9]!id320?conid</f>
        <v>49588376</v>
      </c>
      <c r="O460" s="6">
        <f>[9]!id320?minTick</f>
        <v>0.01</v>
      </c>
      <c r="P460" s="6">
        <f>[9]!id320?multiplier</f>
        <v>0</v>
      </c>
      <c r="Q460" s="6" t="str">
        <f>[9]!id320?marketName</f>
        <v>PM</v>
      </c>
      <c r="R460" s="6" t="str">
        <f>[9]!id320?tradingClass</f>
        <v>PM</v>
      </c>
    </row>
    <row r="461" spans="1:18" hidden="1" x14ac:dyDescent="0.2">
      <c r="A461" s="176" t="s">
        <v>1175</v>
      </c>
      <c r="B461" s="13" t="s">
        <v>12</v>
      </c>
      <c r="C461" s="13" t="b">
        <f t="shared" si="6"/>
        <v>1</v>
      </c>
      <c r="D461" s="13"/>
      <c r="E461" s="63"/>
      <c r="F461" s="13"/>
      <c r="G461" s="13"/>
      <c r="H461" s="13" t="s">
        <v>68</v>
      </c>
      <c r="I461" s="101" t="s">
        <v>44</v>
      </c>
      <c r="J461" s="101"/>
      <c r="K461" s="6">
        <f>[9]!'id321?req?V_STK_SMART_USD_~/'</f>
        <v>0</v>
      </c>
      <c r="L461" s="6" t="str">
        <f>[9]!id321?orderTypes</f>
        <v>ACTIVETIM,ADJUST,ALERT,ALGO,ALLOC,AON,AVGCOST,BASKET,COND,CONDORDER,DARKONLY,DARKPOLL,DAY,DEACT,DEACTDIS,DEACTEOD,DIS,GAT,GTC,GTD,GTT,HID,IBKRATS,ICE,IMB,IOC,LIT,LMT,LOC,MIT,MKT,MOC,MTL,NGCOMB,NODARK,NONALGO,OCA,OPG,OPGREROUT,PEGBENCH,POSTONLY,PREOPGRTH,R</v>
      </c>
      <c r="M461" s="6" t="str">
        <f>[9]!id321?validExchanges</f>
        <v>SMART,NYSE,CBOE,ISE,CHX,ARCA,ISLAND,DRCTEDGE,NSX,BEX,BATS,EDGEA,CSFBALGO,JEFFALGO,BYX,IEX,TPLUS2,PSX</v>
      </c>
      <c r="N461" s="6">
        <f>[9]!id321?conid</f>
        <v>49462172</v>
      </c>
      <c r="O461" s="6">
        <f>[9]!id321?minTick</f>
        <v>0.01</v>
      </c>
      <c r="P461" s="6">
        <f>[9]!id321?multiplier</f>
        <v>0</v>
      </c>
      <c r="Q461" s="6" t="str">
        <f>[9]!id321?marketName</f>
        <v>V</v>
      </c>
      <c r="R461" s="6" t="str">
        <f>[9]!id321?tradingClass</f>
        <v>V</v>
      </c>
    </row>
    <row r="462" spans="1:18" hidden="1" x14ac:dyDescent="0.2">
      <c r="A462" s="176" t="s">
        <v>1176</v>
      </c>
      <c r="B462" s="13" t="s">
        <v>12</v>
      </c>
      <c r="C462" s="13" t="b">
        <f t="shared" si="6"/>
        <v>1</v>
      </c>
      <c r="D462" s="13"/>
      <c r="E462" s="63"/>
      <c r="F462" s="13"/>
      <c r="G462" s="13"/>
      <c r="H462" s="13" t="s">
        <v>68</v>
      </c>
      <c r="I462" s="101" t="s">
        <v>44</v>
      </c>
      <c r="J462" s="101"/>
      <c r="K462" s="6">
        <f>[9]!'id322?req?DPS_STK_SMART_USD_~/'</f>
        <v>0</v>
      </c>
      <c r="L462" s="6" t="str">
        <f>[9]!id322?orderTypes</f>
        <v>ACTIVETIM,ADJUST,ALERT,ALGO,ALLOC,AON,AVGCOST,BASKET,COND,CONDORDER,DARKONLY,DARKPOLL,DAY,DEACT,DEACTDIS,DEACTEOD,DIS,GAT,GTC,GTD,GTT,HID,IBKRATS,ICE,IMB,IOC,LIT,LMT,LOC,MIT,MKT,MOC,MTL,NGCOMB,NODARK,NONALGO,OCA,OPG,OPGREROUT,PEGBENCH,POSTONLY,PREOPGRTH,R</v>
      </c>
      <c r="M462" s="6" t="str">
        <f>[9]!id322?validExchanges</f>
        <v>SMART,NYSE,CBOE,ISE,CHX,ARCA,ISLAND,DRCTEDGE,NSX,BEX,BATS,EDGEA,CSFBALGO,JEFFALGO,BYX,IEX,TPLUS2,PSX</v>
      </c>
      <c r="N462" s="6">
        <f>[9]!id322?conid</f>
        <v>50860546</v>
      </c>
      <c r="O462" s="6">
        <f>[9]!id322?minTick</f>
        <v>0.01</v>
      </c>
      <c r="P462" s="6">
        <f>[9]!id322?multiplier</f>
        <v>0</v>
      </c>
      <c r="Q462" s="6" t="str">
        <f>[9]!id322?marketName</f>
        <v>DPS</v>
      </c>
      <c r="R462" s="6" t="str">
        <f>[9]!id322?tradingClass</f>
        <v>DPS</v>
      </c>
    </row>
    <row r="463" spans="1:18" hidden="1" x14ac:dyDescent="0.2">
      <c r="A463" s="176" t="s">
        <v>1177</v>
      </c>
      <c r="B463" s="13" t="s">
        <v>12</v>
      </c>
      <c r="C463" s="13" t="b">
        <f t="shared" si="6"/>
        <v>0</v>
      </c>
      <c r="D463" s="13"/>
      <c r="E463" s="63"/>
      <c r="F463" s="13"/>
      <c r="G463" s="13"/>
      <c r="H463" s="13" t="s">
        <v>68</v>
      </c>
      <c r="I463" s="101" t="s">
        <v>44</v>
      </c>
      <c r="J463" s="101"/>
      <c r="K463" s="6">
        <f>[9]!'id323?req?SNI_STK_SMART_USD_~/'</f>
        <v>0</v>
      </c>
      <c r="L463" s="6" t="str">
        <f>[9]!id323?orderTypes</f>
        <v>ACTIVETIM,ADJUST,ALERT,ALGO,ALLOC,AON,AVGCOST,BASKET,COND,CONDORDER,DARKONLY,DARKPOLL,DAY,DEACT,DEACTDIS,DEACTEOD,DIS,GAT,GTC,GTD,GTT,HID,IBKRATS,ICE,IMB,IOC,LIT,LMT,LOC,MIT,MKT,MOC,MTL,NGCOMB,NODARK,NONALGO,OCA,OPG,OPGREROUT,PEGBENCH,POSTONLY,PREOPGRTH,R</v>
      </c>
      <c r="M463" s="6" t="str">
        <f>[9]!id323?validExchanges</f>
        <v>SMART,CBOE,ISE,CHX,ARCA,ISLAND,DRCTEDGE,NSX,BEX,BATS,EDGEA,CSFBALGO,JEFFALGO,BYX,IEX,TPLUS2,PSX</v>
      </c>
      <c r="N463" s="6">
        <f>[9]!id323?conid</f>
        <v>51782225</v>
      </c>
      <c r="O463" s="6">
        <f>[9]!id323?minTick</f>
        <v>0.01</v>
      </c>
      <c r="P463" s="6">
        <f>[9]!id323?multiplier</f>
        <v>0</v>
      </c>
      <c r="Q463" s="6" t="str">
        <f>[9]!id323?marketName</f>
        <v>NMS</v>
      </c>
      <c r="R463" s="6" t="str">
        <f>[9]!id323?tradingClass</f>
        <v>NMS</v>
      </c>
    </row>
    <row r="464" spans="1:18" hidden="1" x14ac:dyDescent="0.2">
      <c r="A464" s="176" t="s">
        <v>1178</v>
      </c>
      <c r="B464" s="13" t="s">
        <v>12</v>
      </c>
      <c r="C464" s="13" t="b">
        <f t="shared" si="6"/>
        <v>1</v>
      </c>
      <c r="D464" s="13"/>
      <c r="E464" s="63"/>
      <c r="F464" s="13"/>
      <c r="G464" s="13"/>
      <c r="H464" s="13" t="s">
        <v>68</v>
      </c>
      <c r="I464" s="101" t="s">
        <v>44</v>
      </c>
      <c r="J464" s="101"/>
      <c r="K464" s="6">
        <f>[9]!'id324?req?SIG_STK_SMART_USD_~/'</f>
        <v>0</v>
      </c>
      <c r="L464" s="6" t="str">
        <f>[9]!id324?orderTypes</f>
        <v>ACTIVETIM,ADJUST,ALERT,ALGO,ALLOC,AON,AVGCOST,BASKET,COND,CONDORDER,DARKONLY,DARKPOLL,DAY,DEACT,DEACTDIS,DEACTEOD,DIS,GAT,GTC,GTD,GTT,HID,IBKRATS,ICE,IMB,IOC,LIT,LMT,LOC,MIT,MKT,MOC,MTL,NGCOMB,NODARK,NONALGO,OCA,OPG,OPGREROUT,PEGBENCH,POSTONLY,PREOPGRTH,R</v>
      </c>
      <c r="M464" s="6" t="str">
        <f>[9]!id324?validExchanges</f>
        <v>SMART,NYSE,CBOE,ISE,CHX,ARCA,ISLAND,DRCTEDGE,NSX,BEX,BATS,EDGEA,CSFBALGO,JEFFALGO,BYX,IEX,TPLUS2,PSX</v>
      </c>
      <c r="N464" s="6">
        <f>[9]!id324?conid</f>
        <v>53747825</v>
      </c>
      <c r="O464" s="6">
        <f>[9]!id324?minTick</f>
        <v>0.01</v>
      </c>
      <c r="P464" s="6">
        <f>[9]!id324?multiplier</f>
        <v>0</v>
      </c>
      <c r="Q464" s="6" t="str">
        <f>[9]!id324?marketName</f>
        <v>SIG</v>
      </c>
      <c r="R464" s="6" t="str">
        <f>[9]!id324?tradingClass</f>
        <v>SIG</v>
      </c>
    </row>
    <row r="465" spans="1:18" hidden="1" x14ac:dyDescent="0.2">
      <c r="A465" s="176" t="s">
        <v>1179</v>
      </c>
      <c r="B465" s="13" t="s">
        <v>12</v>
      </c>
      <c r="C465" s="13" t="b">
        <f t="shared" si="6"/>
        <v>0</v>
      </c>
      <c r="D465" s="13"/>
      <c r="E465" s="63"/>
      <c r="F465" s="13"/>
      <c r="G465" s="13"/>
      <c r="H465" s="13" t="s">
        <v>68</v>
      </c>
      <c r="I465" s="101" t="s">
        <v>44</v>
      </c>
      <c r="J465" s="101"/>
      <c r="K465" s="6">
        <f>[9]!'id325?req?DISCA_STK_SMART_USD_~/'</f>
        <v>0</v>
      </c>
      <c r="L465" s="6" t="str">
        <f>[9]!id325?orderTypes</f>
        <v>ACTIVETIM,ADJUST,ALERT,ALGO,ALLOC,AON,AVGCOST,BASKET,COND,CONDORDER,DARKONLY,DARKPOLL,DAY,DEACT,DEACTDIS,DEACTEOD,DIS,GAT,GTC,GTD,GTT,HID,IBKRATS,ICE,IMB,IOC,LIT,LMT,LOC,MIT,MKT,MOC,MTL,NGCOMB,NODARK,NONALGO,OCA,OPG,OPGREROUT,PEGBENCH,POSTONLY,PREOPGRTH,R</v>
      </c>
      <c r="M465" s="6" t="str">
        <f>[9]!id325?validExchanges</f>
        <v>SMART,CBOE,ISE,CHX,ARCA,ISLAND,DRCTEDGE,NSX,BEX,BATS,EDGEA,CSFBALGO,JEFFALGO,BYX,IEX,TPLUS2,PSX</v>
      </c>
      <c r="N465" s="6">
        <f>[9]!id325?conid</f>
        <v>53855036</v>
      </c>
      <c r="O465" s="6">
        <f>[9]!id325?minTick</f>
        <v>0.01</v>
      </c>
      <c r="P465" s="6">
        <f>[9]!id325?multiplier</f>
        <v>0</v>
      </c>
      <c r="Q465" s="6" t="str">
        <f>[9]!id325?marketName</f>
        <v>NMS</v>
      </c>
      <c r="R465" s="6" t="str">
        <f>[9]!id325?tradingClass</f>
        <v>NMS</v>
      </c>
    </row>
    <row r="466" spans="1:18" hidden="1" x14ac:dyDescent="0.2">
      <c r="A466" s="176" t="s">
        <v>1180</v>
      </c>
      <c r="B466" s="13" t="s">
        <v>12</v>
      </c>
      <c r="C466" s="13" t="b">
        <f t="shared" si="6"/>
        <v>1</v>
      </c>
      <c r="D466" s="13"/>
      <c r="E466" s="63"/>
      <c r="F466" s="13"/>
      <c r="G466" s="13"/>
      <c r="H466" s="13" t="s">
        <v>68</v>
      </c>
      <c r="I466" s="101" t="s">
        <v>44</v>
      </c>
      <c r="J466" s="101"/>
      <c r="K466" s="6">
        <f>[9]!'id326?req?MPC_STK_SMART_USD_~/'</f>
        <v>0</v>
      </c>
      <c r="L466" s="6" t="str">
        <f>[9]!id326?orderTypes</f>
        <v>ACTIVETIM,ADJUST,ALERT,ALGO,ALLOC,AON,AVGCOST,BASKET,COND,CONDORDER,DARKONLY,DARKPOLL,DAY,DEACT,DEACTDIS,DEACTEOD,DIS,GAT,GTC,GTD,GTT,HID,IBKRATS,ICE,IMB,IOC,LIT,LMT,LOC,MIT,MKT,MOC,MTL,NGCOMB,NODARK,NONALGO,OCA,OPG,OPGREROUT,PEGBENCH,POSTONLY,PREOPGRTH,R</v>
      </c>
      <c r="M466" s="6" t="str">
        <f>[9]!id326?validExchanges</f>
        <v>SMART,NYSE,CBOE,ISE,CHX,ARCA,ISLAND,DRCTEDGE,NSX,BEX,BATS,EDGEA,CSFBALGO,JEFFALGO,BYX,IEX,TPLUS2,PSX</v>
      </c>
      <c r="N466" s="6">
        <f>[9]!id326?conid</f>
        <v>89495776</v>
      </c>
      <c r="O466" s="6">
        <f>[9]!id326?minTick</f>
        <v>0.01</v>
      </c>
      <c r="P466" s="6">
        <f>[9]!id326?multiplier</f>
        <v>0</v>
      </c>
      <c r="Q466" s="6" t="str">
        <f>[9]!id326?marketName</f>
        <v>MPC</v>
      </c>
      <c r="R466" s="6" t="str">
        <f>[9]!id326?tradingClass</f>
        <v>MPC</v>
      </c>
    </row>
    <row r="467" spans="1:18" hidden="1" x14ac:dyDescent="0.2">
      <c r="A467" s="176" t="s">
        <v>1181</v>
      </c>
      <c r="B467" s="13" t="s">
        <v>12</v>
      </c>
      <c r="C467" s="13" t="b">
        <f t="shared" si="6"/>
        <v>1</v>
      </c>
      <c r="D467" s="13"/>
      <c r="E467" s="63"/>
      <c r="F467" s="13"/>
      <c r="G467" s="13"/>
      <c r="H467" s="13" t="s">
        <v>68</v>
      </c>
      <c r="I467" s="101" t="s">
        <v>44</v>
      </c>
      <c r="J467" s="101"/>
      <c r="K467" s="6">
        <f>[9]!'id327?req?RIG_STK_SMART_USD_~/'</f>
        <v>0</v>
      </c>
      <c r="L467" s="6" t="str">
        <f>[9]!id327?orderTypes</f>
        <v>ACTIVETIM,ADJUST,ALERT,ALGO,ALLOC,AON,AVGCOST,BASKET,COND,CONDORDER,DARKONLY,DARKPOLL,DAY,DEACT,DEACTDIS,DEACTEOD,DIS,GAT,GTC,GTD,GTT,HID,IBKRATS,ICE,IMB,IOC,LIT,LMT,LOC,MIT,MKT,MOC,MTL,NGCOMB,NODARK,NONALGO,OCA,OPG,OPGREROUT,PEGBENCH,POSTONLY,PREOPGRTH,R</v>
      </c>
      <c r="M467" s="6" t="str">
        <f>[9]!id327?validExchanges</f>
        <v>SMART,NYSE,CBOE,ISE,CHX,ARCA,ISLAND,DRCTEDGE,NSX,BEX,BATS,EDGEA,CSFBALGO,JEFFALGO,BYX,IEX,TPLUS2,PSX</v>
      </c>
      <c r="N467" s="6">
        <f>[9]!id327?conid</f>
        <v>56505491</v>
      </c>
      <c r="O467" s="6">
        <f>[9]!id327?minTick</f>
        <v>0.01</v>
      </c>
      <c r="P467" s="6">
        <f>[9]!id327?multiplier</f>
        <v>0</v>
      </c>
      <c r="Q467" s="6" t="str">
        <f>[9]!id327?marketName</f>
        <v>RIG</v>
      </c>
      <c r="R467" s="6" t="str">
        <f>[9]!id327?tradingClass</f>
        <v>RIG</v>
      </c>
    </row>
    <row r="468" spans="1:18" hidden="1" x14ac:dyDescent="0.2">
      <c r="A468" s="176" t="s">
        <v>1182</v>
      </c>
      <c r="B468" s="13" t="s">
        <v>12</v>
      </c>
      <c r="C468" s="13" t="b">
        <f t="shared" si="6"/>
        <v>1</v>
      </c>
      <c r="D468" s="13"/>
      <c r="E468" s="63"/>
      <c r="F468" s="13"/>
      <c r="G468" s="13"/>
      <c r="H468" s="13" t="s">
        <v>68</v>
      </c>
      <c r="I468" s="101" t="s">
        <v>44</v>
      </c>
      <c r="J468" s="101"/>
      <c r="K468" s="6">
        <f>[9]!'id328?req?MOS_STK_SMART_USD_~/'</f>
        <v>0</v>
      </c>
      <c r="L468" s="6" t="str">
        <f>[9]!id328?orderTypes</f>
        <v>ACTIVETIM,ADJUST,ALERT,ALGO,ALLOC,AON,AVGCOST,BASKET,COND,CONDORDER,DARKONLY,DARKPOLL,DAY,DEACT,DEACTDIS,DEACTEOD,DIS,GAT,GTC,GTD,GTT,HID,IBKRATS,ICE,IMB,IOC,LIT,LMT,LOC,MIT,MKT,MOC,MTL,NGCOMB,NODARK,NONALGO,OCA,OPG,OPGREROUT,PEGBENCH,POSTONLY,PREOPGRTH,R</v>
      </c>
      <c r="M468" s="6" t="str">
        <f>[9]!id328?validExchanges</f>
        <v>SMART,NYSE,CBOE,ISE,CHX,ARCA,ISLAND,DRCTEDGE,NSX,BEX,BATS,EDGEA,CSFBALGO,JEFFALGO,BYX,IEX,TPLUS2,PSX</v>
      </c>
      <c r="N468" s="6">
        <f>[9]!id328?conid</f>
        <v>88292752</v>
      </c>
      <c r="O468" s="6">
        <f>[9]!id328?minTick</f>
        <v>0.01</v>
      </c>
      <c r="P468" s="6">
        <f>[9]!id328?multiplier</f>
        <v>0</v>
      </c>
      <c r="Q468" s="6" t="str">
        <f>[9]!id328?marketName</f>
        <v>MOS</v>
      </c>
      <c r="R468" s="6" t="str">
        <f>[9]!id328?tradingClass</f>
        <v>MOS</v>
      </c>
    </row>
    <row r="469" spans="1:18" hidden="1" x14ac:dyDescent="0.2">
      <c r="A469" s="176" t="s">
        <v>1183</v>
      </c>
      <c r="B469" s="13" t="s">
        <v>12</v>
      </c>
      <c r="C469" s="13" t="b">
        <f t="shared" si="6"/>
        <v>1</v>
      </c>
      <c r="D469" s="13"/>
      <c r="E469" s="63"/>
      <c r="F469" s="13"/>
      <c r="G469" s="13"/>
      <c r="H469" s="13" t="s">
        <v>68</v>
      </c>
      <c r="I469" s="101" t="s">
        <v>44</v>
      </c>
      <c r="J469" s="101"/>
      <c r="K469" s="6">
        <f>[9]!'id329?req?KMI_STK_SMART_USD_~/'</f>
        <v>0</v>
      </c>
      <c r="L469" s="6" t="str">
        <f>[9]!id329?orderTypes</f>
        <v>ACTIVETIM,ADJUST,ALERT,ALGO,ALLOC,AON,AVGCOST,BASKET,COND,CONDORDER,DARKONLY,DARKPOLL,DAY,DEACT,DEACTDIS,DEACTEOD,DIS,GAT,GTC,GTD,GTT,HID,IBKRATS,ICE,IMB,IOC,LIT,LMT,LOC,MIT,MKT,MOC,MTL,NGCOMB,NODARK,NONALGO,OCA,OPG,OPGREROUT,PEGBENCH,POSTONLY,PREOPGRTH,R</v>
      </c>
      <c r="M469" s="6" t="str">
        <f>[9]!id329?validExchanges</f>
        <v>SMART,NYSE,CBOE,ISE,CHX,ARCA,ISLAND,DRCTEDGE,NSX,BEX,BATS,EDGEA,CSFBALGO,JEFFALGO,BYX,IEX,TPLUS2,PSX</v>
      </c>
      <c r="N469" s="6">
        <f>[9]!id329?conid</f>
        <v>83975037</v>
      </c>
      <c r="O469" s="6">
        <f>[9]!id329?minTick</f>
        <v>0.01</v>
      </c>
      <c r="P469" s="6">
        <f>[9]!id329?multiplier</f>
        <v>0</v>
      </c>
      <c r="Q469" s="6" t="str">
        <f>[9]!id329?marketName</f>
        <v>KMI</v>
      </c>
      <c r="R469" s="6" t="str">
        <f>[9]!id329?tradingClass</f>
        <v>KMI</v>
      </c>
    </row>
    <row r="470" spans="1:18" hidden="1" x14ac:dyDescent="0.2">
      <c r="A470" s="176" t="s">
        <v>1184</v>
      </c>
      <c r="B470" s="13" t="s">
        <v>12</v>
      </c>
      <c r="C470" s="13" t="b">
        <f t="shared" si="6"/>
        <v>1</v>
      </c>
      <c r="D470" s="13"/>
      <c r="E470" s="63"/>
      <c r="F470" s="13"/>
      <c r="G470" s="13"/>
      <c r="H470" s="13" t="s">
        <v>68</v>
      </c>
      <c r="I470" s="101" t="s">
        <v>44</v>
      </c>
      <c r="J470" s="101"/>
      <c r="K470" s="6">
        <f>[9]!'id330?req?XYL_STK_SMART_USD_~/'</f>
        <v>0</v>
      </c>
      <c r="L470" s="6" t="str">
        <f>[9]!id330?orderTypes</f>
        <v>ACTIVETIM,ADJUST,ALERT,ALGO,ALLOC,AON,AVGCOST,BASKET,COND,CONDORDER,DARKONLY,DARKPOLL,DAY,DEACT,DEACTDIS,DEACTEOD,DIS,GAT,GTC,GTD,GTT,HID,IBKRATS,ICE,IMB,IOC,LIT,LMT,LOC,MIT,MKT,MOC,MTL,NGCOMB,NODARK,NONALGO,OCA,OPG,OPGREROUT,PEGBENCH,POSTONLY,PREOPGRTH,R</v>
      </c>
      <c r="M470" s="6" t="str">
        <f>[9]!id330?validExchanges</f>
        <v>SMART,NYSE,CBOE,ISE,CHX,ARCA,ISLAND,DRCTEDGE,NSX,BEX,BATS,EDGEA,CSFBALGO,JEFFALGO,BYX,IEX,TPLUS2,PSX</v>
      </c>
      <c r="N470" s="6">
        <f>[9]!id330?conid</f>
        <v>95703740</v>
      </c>
      <c r="O470" s="6">
        <f>[9]!id330?minTick</f>
        <v>0.01</v>
      </c>
      <c r="P470" s="6">
        <f>[9]!id330?multiplier</f>
        <v>0</v>
      </c>
      <c r="Q470" s="6" t="str">
        <f>[9]!id330?marketName</f>
        <v>XYL</v>
      </c>
      <c r="R470" s="6" t="str">
        <f>[9]!id330?tradingClass</f>
        <v>XYL</v>
      </c>
    </row>
    <row r="471" spans="1:18" hidden="1" x14ac:dyDescent="0.2">
      <c r="A471" s="176" t="s">
        <v>1185</v>
      </c>
      <c r="B471" s="13" t="s">
        <v>12</v>
      </c>
      <c r="C471" s="13" t="b">
        <f t="shared" si="6"/>
        <v>1</v>
      </c>
      <c r="D471" s="13"/>
      <c r="E471" s="63"/>
      <c r="F471" s="13"/>
      <c r="G471" s="13"/>
      <c r="H471" s="13" t="s">
        <v>68</v>
      </c>
      <c r="I471" s="101" t="s">
        <v>44</v>
      </c>
      <c r="J471" s="101"/>
      <c r="K471" s="6">
        <f>[9]!'id331?req?SWK_STK_SMART_USD_~/'</f>
        <v>0</v>
      </c>
      <c r="L471" s="6" t="str">
        <f>[9]!id331?orderTypes</f>
        <v>ACTIVETIM,ADJUST,ALERT,ALGO,ALLOC,AON,AVGCOST,BASKET,COND,CONDORDER,DARKONLY,DARKPOLL,DAY,DEACT,DEACTDIS,DEACTEOD,DIS,GAT,GTC,GTD,GTT,HID,IBKRATS,ICE,IMB,IOC,LIT,LMT,LOC,MIT,MKT,MOC,MTL,NGCOMB,NODARK,NONALGO,OCA,OPG,OPGREROUT,PEGBENCH,POSTONLY,PREOPGRTH,R</v>
      </c>
      <c r="M471" s="6" t="str">
        <f>[9]!id331?validExchanges</f>
        <v>SMART,NYSE,CBOE,ISE,CHX,ARCA,ISLAND,VWAP,DRCTEDGE,NSX,BEX,BATS,EDGEA,CSFBALGO,JEFFALGO,BYX,IEX,TPLUS2,PSX</v>
      </c>
      <c r="N471" s="6">
        <f>[9]!id331?conid</f>
        <v>73354293</v>
      </c>
      <c r="O471" s="6">
        <f>[9]!id331?minTick</f>
        <v>0.01</v>
      </c>
      <c r="P471" s="6">
        <f>[9]!id331?multiplier</f>
        <v>0</v>
      </c>
      <c r="Q471" s="6" t="str">
        <f>[9]!id331?marketName</f>
        <v>SWK</v>
      </c>
      <c r="R471" s="6" t="str">
        <f>[9]!id331?tradingClass</f>
        <v>SWK</v>
      </c>
    </row>
    <row r="472" spans="1:18" hidden="1" x14ac:dyDescent="0.2">
      <c r="A472" s="176" t="s">
        <v>1186</v>
      </c>
      <c r="B472" s="13" t="s">
        <v>12</v>
      </c>
      <c r="C472" s="13" t="b">
        <f t="shared" si="6"/>
        <v>1</v>
      </c>
      <c r="D472" s="13"/>
      <c r="E472" s="63"/>
      <c r="F472" s="13"/>
      <c r="G472" s="13"/>
      <c r="H472" s="13" t="s">
        <v>68</v>
      </c>
      <c r="I472" s="101" t="s">
        <v>44</v>
      </c>
      <c r="J472" s="101"/>
      <c r="K472" s="6">
        <f>[9]!'id332?req?LYB_STK_SMART_USD_~/'</f>
        <v>0</v>
      </c>
      <c r="L472" s="6" t="str">
        <f>[9]!id332?orderTypes</f>
        <v>ACTIVETIM,ADJUST,ALERT,ALGO,ALLOC,AON,AVGCOST,BASKET,COND,CONDORDER,DARKONLY,DARKPOLL,DAY,DEACT,DEACTDIS,DEACTEOD,DIS,GAT,GTC,GTD,GTT,HID,IBKRATS,ICE,IMB,IOC,LIT,LMT,LOC,MIT,MKT,MOC,MTL,NGCOMB,NODARK,NONALGO,OCA,OPG,OPGREROUT,PEGBENCH,POSTONLY,PREOPGRTH,R</v>
      </c>
      <c r="M472" s="6" t="str">
        <f>[9]!id332?validExchanges</f>
        <v>SMART,NYSE,CBOE,ISE,CHX,ARCA,ISLAND,DRCTEDGE,NSX,BEX,BATS,EDGEA,CSFBALGO,JEFFALGO,BYX,IEX,TPLUS2,PSX</v>
      </c>
      <c r="N472" s="6">
        <f>[9]!id332?conid</f>
        <v>74866700</v>
      </c>
      <c r="O472" s="6">
        <f>[9]!id332?minTick</f>
        <v>0.01</v>
      </c>
      <c r="P472" s="6">
        <f>[9]!id332?multiplier</f>
        <v>0</v>
      </c>
      <c r="Q472" s="6" t="str">
        <f>[9]!id332?marketName</f>
        <v>LYB</v>
      </c>
      <c r="R472" s="6" t="str">
        <f>[9]!id332?tradingClass</f>
        <v>LYB</v>
      </c>
    </row>
    <row r="473" spans="1:18" hidden="1" x14ac:dyDescent="0.2">
      <c r="A473" s="176" t="s">
        <v>1187</v>
      </c>
      <c r="B473" s="13" t="s">
        <v>12</v>
      </c>
      <c r="C473" s="13" t="b">
        <f t="shared" si="6"/>
        <v>1</v>
      </c>
      <c r="D473" s="13"/>
      <c r="E473" s="63"/>
      <c r="F473" s="13"/>
      <c r="G473" s="13"/>
      <c r="H473" s="13" t="s">
        <v>68</v>
      </c>
      <c r="I473" s="101" t="s">
        <v>44</v>
      </c>
      <c r="J473" s="101"/>
      <c r="K473" s="6">
        <f>[9]!'id333?req?PVH_STK_SMART_USD_~/'</f>
        <v>0</v>
      </c>
      <c r="L473" s="6" t="str">
        <f>[9]!id333?orderTypes</f>
        <v>ACTIVETIM,ADJUST,ALERT,ALGO,ALLOC,AON,AVGCOST,BASKET,COND,CONDORDER,DARKONLY,DARKPOLL,DAY,DEACT,DEACTDIS,DEACTEOD,DIS,GAT,GTC,GTD,GTT,HID,IBKRATS,ICE,IMB,IOC,LIT,LMT,LOC,MIT,MKT,MOC,MTL,NGCOMB,NODARK,NONALGO,OCA,OPG,OPGREROUT,PEGBENCH,POSTONLY,PREOPGRTH,R</v>
      </c>
      <c r="M473" s="6" t="str">
        <f>[9]!id333?validExchanges</f>
        <v>SMART,NYSE,CBOE,ISE,CHX,ARCA,ISLAND,DRCTEDGE,NSX,BEX,BATS,EDGEA,CSFBALGO,JEFFALGO,BYX,IEX,TPLUS2,PSX</v>
      </c>
      <c r="N473" s="6">
        <f>[9]!id333?conid</f>
        <v>90794895</v>
      </c>
      <c r="O473" s="6">
        <f>[9]!id333?minTick</f>
        <v>0.01</v>
      </c>
      <c r="P473" s="6">
        <f>[9]!id333?multiplier</f>
        <v>0</v>
      </c>
      <c r="Q473" s="6" t="str">
        <f>[9]!id333?marketName</f>
        <v>PVH</v>
      </c>
      <c r="R473" s="6" t="str">
        <f>[9]!id333?tradingClass</f>
        <v>PVH</v>
      </c>
    </row>
    <row r="474" spans="1:18" hidden="1" x14ac:dyDescent="0.2">
      <c r="A474" s="176" t="s">
        <v>1188</v>
      </c>
      <c r="B474" s="13" t="s">
        <v>12</v>
      </c>
      <c r="C474" s="13" t="b">
        <f t="shared" si="6"/>
        <v>0</v>
      </c>
      <c r="D474" s="13"/>
      <c r="E474" s="63"/>
      <c r="F474" s="13"/>
      <c r="G474" s="13"/>
      <c r="H474" s="13" t="s">
        <v>68</v>
      </c>
      <c r="I474" s="101" t="s">
        <v>44</v>
      </c>
      <c r="J474" s="101"/>
      <c r="K474" s="6">
        <f>[9]!'id334?req?AVGO_STK_SMART_USD_~/'</f>
        <v>0</v>
      </c>
      <c r="L474" s="6" t="str">
        <f>[9]!id334?orderTypes</f>
        <v>ACTIVETIM,ADJUST,ALERT,ALGO,ALLOC,AON,AVGCOST,BASKET,COND,CONDORDER,DARKONLY,DARKPOLL,DAY,DEACT,DEACTDIS,DEACTEOD,DIS,GAT,GTC,GTD,GTT,HID,IBKRATS,ICE,IMB,IOC,LIT,LMT,LOC,MIT,MKT,MOC,MTL,NGCOMB,NODARK,NONALGO,OCA,OPG,OPGREROUT,PEGBENCH,POSTONLY,PREOPGRTH,R</v>
      </c>
      <c r="M474" s="6" t="str">
        <f>[9]!id334?validExchanges</f>
        <v>SMART,CBOE,ISE,CHX,ARCA,ISLAND,DRCTEDGE,NSX,BEX,BATS,EDGEA,CSFBALGO,JEFFALGO,BYX,IEX,TPLUS2,PSX</v>
      </c>
      <c r="N474" s="6">
        <f>[9]!id334?conid</f>
        <v>221033377</v>
      </c>
      <c r="O474" s="6">
        <f>[9]!id334?minTick</f>
        <v>0.01</v>
      </c>
      <c r="P474" s="6">
        <f>[9]!id334?multiplier</f>
        <v>0</v>
      </c>
      <c r="Q474" s="6" t="str">
        <f>[9]!id334?marketName</f>
        <v>NMS</v>
      </c>
      <c r="R474" s="6" t="str">
        <f>[9]!id334?tradingClass</f>
        <v>NMS</v>
      </c>
    </row>
    <row r="475" spans="1:18" hidden="1" x14ac:dyDescent="0.2">
      <c r="A475" s="176" t="s">
        <v>1189</v>
      </c>
      <c r="B475" s="13" t="s">
        <v>12</v>
      </c>
      <c r="C475" s="13" t="b">
        <f t="shared" si="6"/>
        <v>0</v>
      </c>
      <c r="D475" s="13"/>
      <c r="E475" s="63"/>
      <c r="F475" s="13"/>
      <c r="G475" s="13"/>
      <c r="H475" s="13" t="s">
        <v>68</v>
      </c>
      <c r="I475" s="101" t="s">
        <v>44</v>
      </c>
      <c r="J475" s="101"/>
      <c r="K475" s="6">
        <f>[9]!'id335?req?GRMN_STK_SMART_USD_~/'</f>
        <v>0</v>
      </c>
      <c r="L475" s="6" t="str">
        <f>[9]!id335?orderTypes</f>
        <v>ACTIVETIM,ADJUST,ALERT,ALGO,ALLOC,AON,AVGCOST,BASKET,COND,CONDORDER,DARKONLY,DARKPOLL,DAY,DEACT,DEACTDIS,DEACTEOD,DIS,GAT,GTC,GTD,GTT,HID,IBKRATS,ICE,IMB,IOC,LIT,LMT,LOC,MIT,MKT,MOC,MTL,NGCOMB,NODARK,NONALGO,OCA,OPG,OPGREROUT,PEGBENCH,POSTONLY,PREOPGRTH,R</v>
      </c>
      <c r="M475" s="6" t="str">
        <f>[9]!id335?validExchanges</f>
        <v>SMART,CBOE,ISE,CHX,ARCA,ISLAND,DRCTEDGE,NSX,BEX,BATS,EDGEA,CSFBALGO,JEFFALGO,BYX,IEX,TPLUS2,PSX</v>
      </c>
      <c r="N475" s="6">
        <f>[9]!id335?conid</f>
        <v>76791198</v>
      </c>
      <c r="O475" s="6">
        <f>[9]!id335?minTick</f>
        <v>0.01</v>
      </c>
      <c r="P475" s="6">
        <f>[9]!id335?multiplier</f>
        <v>0</v>
      </c>
      <c r="Q475" s="6" t="str">
        <f>[9]!id335?marketName</f>
        <v>NMS</v>
      </c>
      <c r="R475" s="6" t="str">
        <f>[9]!id335?tradingClass</f>
        <v>NMS</v>
      </c>
    </row>
    <row r="476" spans="1:18" hidden="1" x14ac:dyDescent="0.2">
      <c r="A476" s="176" t="s">
        <v>1190</v>
      </c>
      <c r="B476" s="13" t="s">
        <v>12</v>
      </c>
      <c r="C476" s="13" t="b">
        <f t="shared" si="6"/>
        <v>1</v>
      </c>
      <c r="D476" s="13"/>
      <c r="E476" s="63"/>
      <c r="F476" s="13"/>
      <c r="G476" s="13"/>
      <c r="H476" s="13" t="s">
        <v>68</v>
      </c>
      <c r="I476" s="101" t="s">
        <v>44</v>
      </c>
      <c r="J476" s="101"/>
      <c r="K476" s="6">
        <f>[9]!'id337?req?PLD_STK_SMART_USD_~/'</f>
        <v>0</v>
      </c>
      <c r="L476" s="6" t="str">
        <f>[9]!id337?orderTypes</f>
        <v>ACTIVETIM,ADJUST,ALERT,ALGO,ALLOC,AON,AVGCOST,BASKET,COND,CONDORDER,DARKONLY,DARKPOLL,DAY,DEACT,DEACTDIS,DEACTEOD,DIS,GAT,GTC,GTD,GTT,HID,IBKRATS,ICE,IMB,IOC,LIT,LMT,LOC,MIT,MKT,MOC,MTL,NGCOMB,NODARK,NONALGO,OCA,OPG,OPGREROUT,PEGBENCH,POSTONLY,PREOPGRTH,R</v>
      </c>
      <c r="M476" s="6" t="str">
        <f>[9]!id337?validExchanges</f>
        <v>SMART,NYSE,CBOE,ISE,CHX,ARCA,ISLAND,DRCTEDGE,NSX,BEX,BATS,EDGEA,CSFBALGO,JEFFALGO,BYX,IEX,TPLUS2,PSX</v>
      </c>
      <c r="N476" s="6">
        <f>[9]!id337?conid</f>
        <v>88819288</v>
      </c>
      <c r="O476" s="6">
        <f>[9]!id337?minTick</f>
        <v>0.01</v>
      </c>
      <c r="P476" s="6">
        <f>[9]!id337?multiplier</f>
        <v>0</v>
      </c>
      <c r="Q476" s="6" t="str">
        <f>[9]!id337?marketName</f>
        <v>PLD</v>
      </c>
      <c r="R476" s="6" t="str">
        <f>[9]!id337?tradingClass</f>
        <v>PLD</v>
      </c>
    </row>
    <row r="477" spans="1:18" hidden="1" x14ac:dyDescent="0.2">
      <c r="A477" s="176" t="s">
        <v>1191</v>
      </c>
      <c r="B477" s="13" t="s">
        <v>12</v>
      </c>
      <c r="C477" s="13" t="b">
        <f t="shared" si="6"/>
        <v>1</v>
      </c>
      <c r="D477" s="13"/>
      <c r="E477" s="63"/>
      <c r="F477" s="13"/>
      <c r="G477" s="13"/>
      <c r="H477" s="13" t="s">
        <v>68</v>
      </c>
      <c r="I477" s="101" t="s">
        <v>44</v>
      </c>
      <c r="J477" s="101"/>
      <c r="K477" s="6">
        <f>[9]!'id338?req?ACN_STK_SMART_USD_~/'</f>
        <v>0</v>
      </c>
      <c r="L477" s="6" t="str">
        <f>[9]!id338?orderTypes</f>
        <v>ACTIVETIM,ADJUST,ALERT,ALGO,ALLOC,AON,AVGCOST,BASKET,COND,CONDORDER,DARKONLY,DARKPOLL,DAY,DEACT,DEACTDIS,DEACTEOD,DIS,GAT,GTC,GTD,GTT,HID,IBKRATS,ICE,IMB,IOC,LIT,LMT,LOC,MIT,MKT,MOC,MTL,NGCOMB,NODARK,NONALGO,OCA,OPG,OPGREROUT,PEGBENCH,POSTONLY,PREOPGRTH,R</v>
      </c>
      <c r="M477" s="6" t="str">
        <f>[9]!id338?validExchanges</f>
        <v>SMART,NYSE,CBOE,ISE,CHX,ARCA,ISLAND,VWAP,DRCTEDGE,NSX,BEX,BATS,EDGEA,CSFBALGO,JEFFALGO,BYX,IEX,TPLUS2,PSX</v>
      </c>
      <c r="N477" s="6">
        <f>[9]!id338?conid</f>
        <v>67889930</v>
      </c>
      <c r="O477" s="6">
        <f>[9]!id338?minTick</f>
        <v>0.01</v>
      </c>
      <c r="P477" s="6">
        <f>[9]!id338?multiplier</f>
        <v>0</v>
      </c>
      <c r="Q477" s="6" t="str">
        <f>[9]!id338?marketName</f>
        <v>ACN</v>
      </c>
      <c r="R477" s="6" t="str">
        <f>[9]!id338?tradingClass</f>
        <v>ACN</v>
      </c>
    </row>
    <row r="478" spans="1:18" hidden="1" x14ac:dyDescent="0.2">
      <c r="A478" s="176" t="s">
        <v>1192</v>
      </c>
      <c r="B478" s="13" t="s">
        <v>12</v>
      </c>
      <c r="C478" s="13" t="b">
        <f t="shared" si="6"/>
        <v>1</v>
      </c>
      <c r="D478" s="13"/>
      <c r="E478" s="63"/>
      <c r="F478" s="13"/>
      <c r="G478" s="13"/>
      <c r="H478" s="13" t="s">
        <v>68</v>
      </c>
      <c r="I478" s="101" t="s">
        <v>44</v>
      </c>
      <c r="J478" s="101"/>
      <c r="K478" s="6">
        <f>[9]!'id339?req?HCA_STK_SMART_USD_~/'</f>
        <v>0</v>
      </c>
      <c r="L478" s="6" t="str">
        <f>[9]!id339?orderTypes</f>
        <v>ACTIVETIM,ADJUST,ALERT,ALGO,ALLOC,AON,AVGCOST,BASKET,COND,CONDORDER,DARKONLY,DARKPOLL,DAY,DEACT,DEACTDIS,DEACTEOD,DIS,GAT,GTC,GTD,GTT,HID,IBKRATS,ICE,IMB,IOC,LIT,LMT,LOC,MIT,MKT,MOC,MTL,NGCOMB,NODARK,NONALGO,OCA,OPG,OPGREROUT,PEGBENCH,POSTONLY,PREOPGRTH,R</v>
      </c>
      <c r="M478" s="6" t="str">
        <f>[9]!id339?validExchanges</f>
        <v>SMART,NYSE,CBOE,ISE,CHX,ARCA,ISLAND,DRCTEDGE,NSX,BEX,BATS,EDGEA,CSFBALGO,JEFFALGO,BYX,IEX,TPLUS2,PSX</v>
      </c>
      <c r="N478" s="6">
        <f>[9]!id339?conid</f>
        <v>85076790</v>
      </c>
      <c r="O478" s="6">
        <f>[9]!id339?minTick</f>
        <v>0.01</v>
      </c>
      <c r="P478" s="6">
        <f>[9]!id339?multiplier</f>
        <v>0</v>
      </c>
      <c r="Q478" s="6" t="str">
        <f>[9]!id339?marketName</f>
        <v>HCA</v>
      </c>
      <c r="R478" s="6" t="str">
        <f>[9]!id339?tradingClass</f>
        <v>HCA</v>
      </c>
    </row>
    <row r="479" spans="1:18" hidden="1" x14ac:dyDescent="0.2">
      <c r="A479" s="176" t="s">
        <v>1193</v>
      </c>
      <c r="B479" s="13" t="s">
        <v>12</v>
      </c>
      <c r="C479" s="13" t="b">
        <f t="shared" si="6"/>
        <v>0</v>
      </c>
      <c r="D479" s="13"/>
      <c r="E479" s="63"/>
      <c r="F479" s="13"/>
      <c r="G479" s="13"/>
      <c r="H479" s="13" t="s">
        <v>68</v>
      </c>
      <c r="I479" s="101" t="s">
        <v>44</v>
      </c>
      <c r="J479" s="101"/>
      <c r="K479" s="6">
        <f>[9]!'id340?req?VRSK_STK_SMART_USD_~/'</f>
        <v>0</v>
      </c>
      <c r="L479" s="6" t="str">
        <f>[9]!id340?orderTypes</f>
        <v>ACTIVETIM,ADJUST,ALERT,ALGO,ALLOC,AON,AVGCOST,BASKET,COND,CONDORDER,DARKONLY,DARKPOLL,DAY,DEACT,DEACTDIS,DEACTEOD,DIS,GAT,GTC,GTD,GTT,HID,IBKRATS,ICE,IMB,IOC,LIT,LMT,LOC,MIT,MKT,MOC,MTL,NGCOMB,NODARK,NONALGO,OCA,OPG,OPGREROUT,PEGBENCH,POSTONLY,PREOPGRTH,R</v>
      </c>
      <c r="M479" s="6" t="str">
        <f>[9]!id340?validExchanges</f>
        <v>SMART,CBOE,ISE,CHX,ARCA,ISLAND,DRCTEDGE,NSX,BEX,BATS,EDGEA,CSFBALGO,JEFFALGO,BYX,IEX,TPLUS2,PSX</v>
      </c>
      <c r="N479" s="6">
        <f>[9]!id340?conid</f>
        <v>69293559</v>
      </c>
      <c r="O479" s="6">
        <f>[9]!id340?minTick</f>
        <v>0.01</v>
      </c>
      <c r="P479" s="6">
        <f>[9]!id340?multiplier</f>
        <v>0</v>
      </c>
      <c r="Q479" s="6" t="str">
        <f>[9]!id340?marketName</f>
        <v>NMS</v>
      </c>
      <c r="R479" s="6" t="str">
        <f>[9]!id340?tradingClass</f>
        <v>NMS</v>
      </c>
    </row>
    <row r="480" spans="1:18" hidden="1" x14ac:dyDescent="0.2">
      <c r="A480" s="176" t="s">
        <v>1194</v>
      </c>
      <c r="B480" s="13" t="s">
        <v>12</v>
      </c>
      <c r="C480" s="13" t="b">
        <f t="shared" si="6"/>
        <v>1</v>
      </c>
      <c r="D480" s="13"/>
      <c r="E480" s="63"/>
      <c r="F480" s="13"/>
      <c r="G480" s="13"/>
      <c r="H480" s="13" t="s">
        <v>68</v>
      </c>
      <c r="I480" s="101" t="s">
        <v>44</v>
      </c>
      <c r="J480" s="101"/>
      <c r="K480" s="6">
        <f>[9]!'id341?req?UAL_STK_SMART_USD_~/'</f>
        <v>0</v>
      </c>
      <c r="L480" s="6" t="str">
        <f>[9]!id341?orderTypes</f>
        <v>ACTIVETIM,ADJUST,ALERT,ALGO,ALLOC,AON,AVGCOST,BASKET,COND,CONDORDER,DARKONLY,DARKPOLL,DAY,DEACT,DEACTDIS,DEACTEOD,DIS,GAT,GTC,GTD,GTT,HID,IBKRATS,ICE,IMB,IOC,LIT,LMT,LOC,MIT,MKT,MOC,MTL,NGCOMB,NODARK,NONALGO,OCA,OPG,OPGREROUT,PEGBENCH,POSTONLY,PREOPGRTH,R</v>
      </c>
      <c r="M480" s="6" t="str">
        <f>[9]!id341?validExchanges</f>
        <v>SMART,NYSE,CBOE,ISE,CHX,ARCA,ISLAND,DRCTEDGE,NSX,BEX,BATS,EDGEA,CSFBALGO,JEFFALGO,BYX,IEX,TPLUS2,PSX</v>
      </c>
      <c r="N480" s="6">
        <f>[9]!id341?conid</f>
        <v>79498203</v>
      </c>
      <c r="O480" s="6">
        <f>[9]!id341?minTick</f>
        <v>0.01</v>
      </c>
      <c r="P480" s="6">
        <f>[9]!id341?multiplier</f>
        <v>0</v>
      </c>
      <c r="Q480" s="6" t="str">
        <f>[9]!id341?marketName</f>
        <v>UAL</v>
      </c>
      <c r="R480" s="6" t="str">
        <f>[9]!id341?tradingClass</f>
        <v>UAL</v>
      </c>
    </row>
    <row r="481" spans="1:18" hidden="1" x14ac:dyDescent="0.2">
      <c r="A481" s="176" t="s">
        <v>1195</v>
      </c>
      <c r="B481" s="13" t="s">
        <v>12</v>
      </c>
      <c r="C481" s="13" t="b">
        <f t="shared" si="6"/>
        <v>1</v>
      </c>
      <c r="D481" s="13"/>
      <c r="E481" s="63"/>
      <c r="F481" s="13"/>
      <c r="G481" s="13"/>
      <c r="H481" s="13" t="s">
        <v>68</v>
      </c>
      <c r="I481" s="101" t="s">
        <v>44</v>
      </c>
      <c r="J481" s="101"/>
      <c r="K481" s="6">
        <f>[9]!'id342?req?RL_STK_SMART_USD_~/'</f>
        <v>0</v>
      </c>
      <c r="L481" s="6" t="str">
        <f>[9]!id342?orderTypes</f>
        <v>ACTIVETIM,ADJUST,ALERT,ALGO,ALLOC,AON,AVGCOST,BASKET,COND,CONDORDER,DARKONLY,DARKPOLL,DAY,DEACT,DEACTDIS,DEACTEOD,DIS,GAT,GTC,GTD,GTT,HID,IBKRATS,ICE,IMB,IOC,LIT,LMT,LOC,MIT,MKT,MOC,MTL,NGCOMB,NODARK,NONALGO,OCA,OPG,OPGREROUT,PEGBENCH,POSTONLY,PREOPGRTH,R</v>
      </c>
      <c r="M481" s="6" t="str">
        <f>[9]!id342?validExchanges</f>
        <v>SMART,NYSE,CBOE,ISE,CHX,ARCA,ISLAND,DRCTEDGE,NSX,BEX,BATS,EDGEA,CSFBALGO,JEFFALGO,BYX,IEX,TPLUS2,PSX</v>
      </c>
      <c r="N481" s="6">
        <f>[9]!id342?conid</f>
        <v>92306678</v>
      </c>
      <c r="O481" s="6">
        <f>[9]!id342?minTick</f>
        <v>0.01</v>
      </c>
      <c r="P481" s="6">
        <f>[9]!id342?multiplier</f>
        <v>0</v>
      </c>
      <c r="Q481" s="6" t="str">
        <f>[9]!id342?marketName</f>
        <v>RL</v>
      </c>
      <c r="R481" s="6" t="str">
        <f>[9]!id342?tradingClass</f>
        <v>RL</v>
      </c>
    </row>
    <row r="482" spans="1:18" hidden="1" x14ac:dyDescent="0.2">
      <c r="A482" s="176" t="s">
        <v>1196</v>
      </c>
      <c r="B482" s="13" t="s">
        <v>12</v>
      </c>
      <c r="C482" s="13" t="b">
        <f t="shared" si="6"/>
        <v>1</v>
      </c>
      <c r="D482" s="13"/>
      <c r="E482" s="63"/>
      <c r="F482" s="13"/>
      <c r="G482" s="13"/>
      <c r="H482" s="13" t="s">
        <v>68</v>
      </c>
      <c r="I482" s="101" t="s">
        <v>44</v>
      </c>
      <c r="J482" s="101"/>
      <c r="K482" s="6">
        <f>[9]!'id343?req?MJN_STK_SMART_USD_~/'</f>
        <v>0</v>
      </c>
      <c r="L482" s="6" t="str">
        <f>[9]!id343?orderTypes</f>
        <v>ACTIVETIM,ADJUST,ALERT,ALGO,ALLOC,AON,AVGCOST,BASKET,COND,CONDORDER,DARKONLY,DARKPOLL,DAY,DEACT,DEACTDIS,DEACTEOD,DIS,GAT,GTC,GTD,GTT,HID,IBKRATS,ICE,IMB,IOC,LIT,LMT,LOC,MIT,MKT,MOC,MTL,NGCOMB,NODARK,NONALGO,OCA,OPG,OPGREROUT,PEGBENCH,POSTONLY,PREOPGRTH,R</v>
      </c>
      <c r="M482" s="6" t="str">
        <f>[9]!id343?validExchanges</f>
        <v>SMART,NYSE,CBOE,ISE,CHX,ARCA,ISLAND,DRCTEDGE,NSX,BEX,BATS,EDGEA,CSFBALGO,JEFFALGO,BYX,IEX,TPLUS2,PSX</v>
      </c>
      <c r="N482" s="6">
        <f>[9]!id343?conid</f>
        <v>57755168</v>
      </c>
      <c r="O482" s="6">
        <f>[9]!id343?minTick</f>
        <v>0.01</v>
      </c>
      <c r="P482" s="6">
        <f>[9]!id343?multiplier</f>
        <v>0</v>
      </c>
      <c r="Q482" s="6" t="str">
        <f>[9]!id343?marketName</f>
        <v>MJN</v>
      </c>
      <c r="R482" s="6" t="str">
        <f>[9]!id343?tradingClass</f>
        <v>MJN</v>
      </c>
    </row>
    <row r="483" spans="1:18" hidden="1" x14ac:dyDescent="0.2">
      <c r="A483" s="176" t="s">
        <v>1197</v>
      </c>
      <c r="B483" s="13" t="s">
        <v>12</v>
      </c>
      <c r="C483" s="13" t="b">
        <f t="shared" si="6"/>
        <v>1</v>
      </c>
      <c r="D483" s="13"/>
      <c r="E483" s="63"/>
      <c r="F483" s="13"/>
      <c r="G483" s="13"/>
      <c r="H483" s="13" t="s">
        <v>68</v>
      </c>
      <c r="I483" s="101" t="s">
        <v>44</v>
      </c>
      <c r="J483" s="101"/>
      <c r="K483" s="6">
        <f>[9]!'id344?req?GGP_STK_SMART_USD_~/'</f>
        <v>0</v>
      </c>
      <c r="L483" s="6" t="str">
        <f>[9]!id344?orderTypes</f>
        <v>ACTIVETIM,ADJUST,ALERT,ALGO,ALLOC,AON,AVGCOST,BASKET,COND,CONDORDER,DARKONLY,DARKPOLL,DAY,DEACT,DEACTDIS,DEACTEOD,DIS,GAT,GTC,GTD,GTT,HID,IBKRATS,ICE,IMB,IOC,LIT,LMT,LOC,MIT,MKT,MOC,MTL,NGCOMB,NODARK,NONALGO,OCA,OPG,OPGREROUT,PEGBENCH,POSTONLY,PREOPGRTH,R</v>
      </c>
      <c r="M483" s="6" t="str">
        <f>[9]!id344?validExchanges</f>
        <v>SMART,NYSE,CBOE,ISE,CHX,ARCA,ISLAND,DRCTEDGE,NSX,BEX,BATS,EDGEA,CSFBALGO,JEFFALGO,BYX,IEX,TPLUS2,PSX</v>
      </c>
      <c r="N483" s="6">
        <f>[9]!id344?conid</f>
        <v>80664970</v>
      </c>
      <c r="O483" s="6">
        <f>[9]!id344?minTick</f>
        <v>0.01</v>
      </c>
      <c r="P483" s="6">
        <f>[9]!id344?multiplier</f>
        <v>0</v>
      </c>
      <c r="Q483" s="6" t="str">
        <f>[9]!id344?marketName</f>
        <v>GGP</v>
      </c>
      <c r="R483" s="6" t="str">
        <f>[9]!id344?tradingClass</f>
        <v>GGP</v>
      </c>
    </row>
    <row r="484" spans="1:18" hidden="1" x14ac:dyDescent="0.2">
      <c r="A484" s="176" t="s">
        <v>1198</v>
      </c>
      <c r="B484" s="13" t="s">
        <v>12</v>
      </c>
      <c r="C484" s="13" t="b">
        <f t="shared" si="6"/>
        <v>0</v>
      </c>
      <c r="D484" s="13"/>
      <c r="E484" s="63"/>
      <c r="F484" s="13"/>
      <c r="G484" s="13"/>
      <c r="H484" s="13" t="s">
        <v>68</v>
      </c>
      <c r="I484" s="101" t="s">
        <v>44</v>
      </c>
      <c r="J484" s="101"/>
      <c r="K484" s="6">
        <f>[9]!'id345?req?STX_STK_SMART_USD_~/'</f>
        <v>0</v>
      </c>
      <c r="L484" s="6" t="str">
        <f>[9]!id345?orderTypes</f>
        <v>ACTIVETIM,ADJUST,ALERT,ALGO,ALLOC,AON,AVGCOST,BASKET,COND,CONDORDER,DARKONLY,DARKPOLL,DAY,DEACT,DEACTDIS,DEACTEOD,DIS,GAT,GTC,GTD,GTT,HID,IBKRATS,ICE,IMB,IOC,LIT,LMT,LOC,MIT,MKT,MOC,MTL,NGCOMB,NODARK,NONALGO,OCA,OPG,OPGREROUT,PEGBENCH,POSTONLY,PREOPGRTH,R</v>
      </c>
      <c r="M484" s="6" t="str">
        <f>[9]!id345?validExchanges</f>
        <v>SMART,CBOE,ISE,CHX,ARCA,ISLAND,DRCTEDGE,NSX,BEX,BATS,EDGEA,CSFBALGO,JEFFALGO,BYX,IEX,TPLUS2,PSX</v>
      </c>
      <c r="N484" s="6">
        <f>[9]!id345?conid</f>
        <v>76915240</v>
      </c>
      <c r="O484" s="6">
        <f>[9]!id345?minTick</f>
        <v>0.01</v>
      </c>
      <c r="P484" s="6">
        <f>[9]!id345?multiplier</f>
        <v>0</v>
      </c>
      <c r="Q484" s="6" t="str">
        <f>[9]!id345?marketName</f>
        <v>NMS</v>
      </c>
      <c r="R484" s="6" t="str">
        <f>[9]!id345?tradingClass</f>
        <v>NMS</v>
      </c>
    </row>
    <row r="485" spans="1:18" hidden="1" x14ac:dyDescent="0.2">
      <c r="A485" s="176" t="s">
        <v>1199</v>
      </c>
      <c r="B485" s="13" t="s">
        <v>12</v>
      </c>
      <c r="C485" s="13" t="b">
        <f t="shared" si="6"/>
        <v>1</v>
      </c>
      <c r="D485" s="13"/>
      <c r="E485" s="63"/>
      <c r="F485" s="13"/>
      <c r="G485" s="13"/>
      <c r="H485" s="13" t="s">
        <v>68</v>
      </c>
      <c r="I485" s="101" t="s">
        <v>44</v>
      </c>
      <c r="J485" s="101"/>
      <c r="K485" s="6">
        <f>[9]!'id346?req?DG_STK_SMART_USD_~/'</f>
        <v>0</v>
      </c>
      <c r="L485" s="6" t="str">
        <f>[9]!id346?orderTypes</f>
        <v>ACTIVETIM,ADJUST,ALERT,ALGO,ALLOC,AON,AVGCOST,BASKET,COND,CONDORDER,DARKONLY,DARKPOLL,DAY,DEACT,DEACTDIS,DEACTEOD,DIS,GAT,GTC,GTD,GTT,HID,IBKRATS,ICE,IMB,IOC,LIT,LMT,LOC,MIT,MKT,MOC,MTL,NGCOMB,NODARK,NONALGO,OCA,OPG,OPGREROUT,PEGBENCH,POSTONLY,PREOPGRTH,R</v>
      </c>
      <c r="M485" s="6" t="str">
        <f>[9]!id346?validExchanges</f>
        <v>SMART,NYSE,CBOE,ISE,CHX,ARCA,ISLAND,DRCTEDGE,NSX,BEX,BATS,EDGEA,CSFBALGO,JEFFALGO,BYX,IEX,TPLUS2,PSX</v>
      </c>
      <c r="N485" s="6">
        <f>[9]!id346?conid</f>
        <v>70212228</v>
      </c>
      <c r="O485" s="6">
        <f>[9]!id346?minTick</f>
        <v>0.01</v>
      </c>
      <c r="P485" s="6">
        <f>[9]!id346?multiplier</f>
        <v>0</v>
      </c>
      <c r="Q485" s="6" t="str">
        <f>[9]!id346?marketName</f>
        <v>DG</v>
      </c>
      <c r="R485" s="6" t="str">
        <f>[9]!id346?tradingClass</f>
        <v>DG</v>
      </c>
    </row>
    <row r="486" spans="1:18" hidden="1" x14ac:dyDescent="0.2">
      <c r="A486" s="176" t="s">
        <v>1200</v>
      </c>
      <c r="B486" s="13" t="s">
        <v>12</v>
      </c>
      <c r="C486" s="13" t="b">
        <f t="shared" si="6"/>
        <v>1</v>
      </c>
      <c r="D486" s="13"/>
      <c r="E486" s="63"/>
      <c r="F486" s="13"/>
      <c r="G486" s="13"/>
      <c r="H486" s="13" t="s">
        <v>68</v>
      </c>
      <c r="I486" s="101" t="s">
        <v>44</v>
      </c>
      <c r="J486" s="101"/>
      <c r="K486" s="6">
        <f>[9]!'id347?req?MSI_STK_SMART_USD_~/'</f>
        <v>0</v>
      </c>
      <c r="L486" s="6" t="str">
        <f>[9]!id347?orderTypes</f>
        <v>ACTIVETIM,ADJUST,ALERT,ALGO,ALLOC,AON,AVGCOST,BASKET,COND,CONDORDER,DARKONLY,DARKPOLL,DAY,DEACT,DEACTDIS,DEACTEOD,DIS,GAT,GTC,GTD,GTT,HID,IBKRATS,ICE,IMB,IOC,LIT,LMT,LOC,MIT,MKT,MOC,MTL,NGCOMB,NODARK,NONALGO,OCA,OPG,OPGREROUT,PEGBENCH,POSTONLY,PREOPGRTH,R</v>
      </c>
      <c r="M486" s="6" t="str">
        <f>[9]!id347?validExchanges</f>
        <v>SMART,NYSE,CBOE,ISE,CHX,ARCA,ISLAND,VWAP,DRCTEDGE,NSX,BEX,BATS,EDGEA,CSFBALGO,JEFFALGO,BYX,IEX,TPLUS2,PSX</v>
      </c>
      <c r="N486" s="6">
        <f>[9]!id347?conid</f>
        <v>81581011</v>
      </c>
      <c r="O486" s="6">
        <f>[9]!id347?minTick</f>
        <v>0.01</v>
      </c>
      <c r="P486" s="6">
        <f>[9]!id347?multiplier</f>
        <v>0</v>
      </c>
      <c r="Q486" s="6" t="str">
        <f>[9]!id347?marketName</f>
        <v>MSI</v>
      </c>
      <c r="R486" s="6" t="str">
        <f>[9]!id347?tradingClass</f>
        <v>MSI</v>
      </c>
    </row>
    <row r="487" spans="1:18" hidden="1" x14ac:dyDescent="0.2">
      <c r="A487" s="176" t="s">
        <v>1201</v>
      </c>
      <c r="B487" s="13" t="s">
        <v>12</v>
      </c>
      <c r="C487" s="13" t="b">
        <f t="shared" si="6"/>
        <v>1</v>
      </c>
      <c r="D487" s="13"/>
      <c r="E487" s="63"/>
      <c r="F487" s="13"/>
      <c r="G487" s="13"/>
      <c r="H487" s="13" t="s">
        <v>68</v>
      </c>
      <c r="I487" s="101" t="s">
        <v>44</v>
      </c>
      <c r="J487" s="101"/>
      <c r="K487" s="6">
        <f>[9]!'id348?req?AON_STK_SMART_USD_~/'</f>
        <v>0</v>
      </c>
      <c r="L487" s="6" t="str">
        <f>[9]!id348?orderTypes</f>
        <v>ACTIVETIM,ADJUST,ALERT,ALGO,ALLOC,AON,AVGCOST,BASKET,COND,CONDORDER,DARKONLY,DARKPOLL,DAY,DEACT,DEACTDIS,DEACTEOD,DIS,GAT,GTC,GTD,GTT,HID,IBKRATS,ICE,IMB,IOC,LIT,LMT,LOC,MIT,MKT,MOC,MTL,NGCOMB,NODARK,NONALGO,OCA,OPG,OPGREROUT,PEGBENCH,POSTONLY,PREOPGRTH,R</v>
      </c>
      <c r="M487" s="6" t="str">
        <f>[9]!id348?validExchanges</f>
        <v>SMART,NYSE,CBOE,ISE,CHX,ARCA,ISLAND,VWAP,DRCTEDGE,NSX,BEX,BATS,EDGEA,CSFBALGO,JEFFALGO,BYX,IEX,TPLUS2,PSX</v>
      </c>
      <c r="N487" s="6">
        <f>[9]!id348?conid</f>
        <v>105316759</v>
      </c>
      <c r="O487" s="6">
        <f>[9]!id348?minTick</f>
        <v>0.01</v>
      </c>
      <c r="P487" s="6">
        <f>[9]!id348?multiplier</f>
        <v>0</v>
      </c>
      <c r="Q487" s="6" t="str">
        <f>[9]!id348?marketName</f>
        <v>AON</v>
      </c>
      <c r="R487" s="6" t="str">
        <f>[9]!id348?tradingClass</f>
        <v>AON</v>
      </c>
    </row>
    <row r="488" spans="1:18" hidden="1" x14ac:dyDescent="0.2">
      <c r="A488" s="176" t="s">
        <v>1202</v>
      </c>
      <c r="B488" s="13" t="s">
        <v>12</v>
      </c>
      <c r="C488" s="13" t="b">
        <f t="shared" si="6"/>
        <v>1</v>
      </c>
      <c r="D488" s="13"/>
      <c r="E488" s="63"/>
      <c r="F488" s="13"/>
      <c r="G488" s="13"/>
      <c r="H488" s="13" t="s">
        <v>68</v>
      </c>
      <c r="I488" s="101" t="s">
        <v>44</v>
      </c>
      <c r="J488" s="101"/>
      <c r="K488" s="6">
        <f>[9]!'id349?req?LVLT_STK_SMART_USD_~/'</f>
        <v>0</v>
      </c>
      <c r="L488" s="6" t="str">
        <f>[9]!id349?orderTypes</f>
        <v>ACTIVETIM,ADJUST,ALERT,ALGO,ALLOC,AON,AVGCOST,BASKET,COND,CONDORDER,DARKONLY,DARKPOLL,DAY,DEACT,DEACTDIS,DEACTEOD,DIS,GAT,GTC,GTD,GTT,HID,IBKRATS,ICE,IMB,IOC,LIT,LMT,LOC,MIT,MKT,MOC,MTL,NGCOMB,NODARK,NONALGO,OCA,OPG,OPGREROUT,PEGBENCH,POSTONLY,PREOPGRTH,R</v>
      </c>
      <c r="M488" s="6" t="str">
        <f>[9]!id349?validExchanges</f>
        <v>SMART,NYSE,CBOE,ISE,CHX,ARCA,ISLAND,VWAP,DRCTEDGE,NSX,BEX,BATS,EDGEA,CSFBALGO,JEFFALGO,BYX,IEX,TPLUS2,PSX</v>
      </c>
      <c r="N488" s="6">
        <f>[9]!id349?conid</f>
        <v>96079833</v>
      </c>
      <c r="O488" s="6">
        <f>[9]!id349?minTick</f>
        <v>0.01</v>
      </c>
      <c r="P488" s="6">
        <f>[9]!id349?multiplier</f>
        <v>0</v>
      </c>
      <c r="Q488" s="6" t="str">
        <f>[9]!id349?marketName</f>
        <v>LVLT</v>
      </c>
      <c r="R488" s="6" t="str">
        <f>[9]!id349?tradingClass</f>
        <v>LVLT</v>
      </c>
    </row>
    <row r="489" spans="1:18" hidden="1" x14ac:dyDescent="0.2">
      <c r="A489" s="176" t="s">
        <v>1203</v>
      </c>
      <c r="B489" s="13" t="s">
        <v>12</v>
      </c>
      <c r="C489" s="13" t="b">
        <f t="shared" si="6"/>
        <v>1</v>
      </c>
      <c r="D489" s="13"/>
      <c r="E489" s="63"/>
      <c r="F489" s="13"/>
      <c r="G489" s="13"/>
      <c r="H489" s="13" t="s">
        <v>68</v>
      </c>
      <c r="I489" s="101" t="s">
        <v>44</v>
      </c>
      <c r="J489" s="101"/>
      <c r="K489" s="6">
        <f>[9]!'id350?req?XL_STK_SMART_USD_~/'</f>
        <v>0</v>
      </c>
      <c r="L489" s="6" t="str">
        <f>[9]!id350?orderTypes</f>
        <v>ACTIVETIM,ADJUST,ALERT,ALGO,ALLOC,AON,AVGCOST,BASKET,COND,CONDORDER,DARKONLY,DARKPOLL,DAY,DEACT,DEACTDIS,DEACTEOD,DIS,GAT,GTC,GTD,GTT,HID,IBKRATS,ICE,IMB,IOC,LIT,LMT,LOC,MIT,MKT,MOC,MTL,NGCOMB,NODARK,NONALGO,OCA,OPG,OPGREROUT,PEGBENCH,POSTONLY,PREOPGRTH,R</v>
      </c>
      <c r="M489" s="6" t="str">
        <f>[9]!id350?validExchanges</f>
        <v>SMART,NYSE,CBOE,ISE,CHX,ARCA,ISLAND,DRCTEDGE,NSX,BEX,BATS,EDGEA,CSFBALGO,JEFFALGO,BYX,IEX,TPLUS2,PSX</v>
      </c>
      <c r="N489" s="6">
        <f>[9]!id350?conid</f>
        <v>240495576</v>
      </c>
      <c r="O489" s="6">
        <f>[9]!id350?minTick</f>
        <v>0.01</v>
      </c>
      <c r="P489" s="6">
        <f>[9]!id350?multiplier</f>
        <v>0</v>
      </c>
      <c r="Q489" s="6" t="str">
        <f>[9]!id350?marketName</f>
        <v>XL</v>
      </c>
      <c r="R489" s="6" t="str">
        <f>[9]!id350?tradingClass</f>
        <v>XL</v>
      </c>
    </row>
    <row r="490" spans="1:18" hidden="1" x14ac:dyDescent="0.2">
      <c r="A490" s="176" t="s">
        <v>1204</v>
      </c>
      <c r="B490" s="13" t="s">
        <v>12</v>
      </c>
      <c r="C490" s="13" t="b">
        <f t="shared" si="6"/>
        <v>1</v>
      </c>
      <c r="D490" s="13"/>
      <c r="E490" s="63"/>
      <c r="F490" s="13"/>
      <c r="G490" s="13"/>
      <c r="H490" s="13" t="s">
        <v>68</v>
      </c>
      <c r="I490" s="101" t="s">
        <v>44</v>
      </c>
      <c r="J490" s="101"/>
      <c r="K490" s="6">
        <f>[9]!'id351?req?TEL_STK_SMART_USD_~/'</f>
        <v>0</v>
      </c>
      <c r="L490" s="6" t="str">
        <f>[9]!id351?orderTypes</f>
        <v>ACTIVETIM,ADJUST,ALERT,ALGO,ALLOC,AON,AVGCOST,BASKET,COND,CONDORDER,DARKONLY,DARKPOLL,DAY,DEACT,DEACTDIS,DEACTEOD,DIS,GAT,GTC,GTD,GTT,HID,IBKRATS,ICE,IMB,IOC,LIT,LMT,LOC,MIT,MKT,MOC,MTL,NGCOMB,NODARK,NONALGO,OCA,OPG,OPGREROUT,PEGBENCH,POSTONLY,PREOPGRTH,R</v>
      </c>
      <c r="M490" s="6" t="str">
        <f>[9]!id351?validExchanges</f>
        <v>SMART,NYSE,CBOE,ISE,CHX,ARCA,ISLAND,DRCTEDGE,NSX,BEX,BATS,EDGEA,CSFBALGO,JEFFALGO,BYX,IEX,TPLUS2,PSX</v>
      </c>
      <c r="N490" s="6">
        <f>[9]!id351?conid</f>
        <v>85548741</v>
      </c>
      <c r="O490" s="6">
        <f>[9]!id351?minTick</f>
        <v>0.01</v>
      </c>
      <c r="P490" s="6">
        <f>[9]!id351?multiplier</f>
        <v>0</v>
      </c>
      <c r="Q490" s="6" t="str">
        <f>[9]!id351?marketName</f>
        <v>TEL</v>
      </c>
      <c r="R490" s="6" t="str">
        <f>[9]!id351?tradingClass</f>
        <v>TEL</v>
      </c>
    </row>
    <row r="491" spans="1:18" hidden="1" x14ac:dyDescent="0.2">
      <c r="A491" s="176" t="s">
        <v>1205</v>
      </c>
      <c r="B491" s="13" t="s">
        <v>12</v>
      </c>
      <c r="C491" s="13" t="b">
        <f t="shared" si="6"/>
        <v>1</v>
      </c>
      <c r="D491" s="13"/>
      <c r="E491" s="63"/>
      <c r="F491" s="13"/>
      <c r="G491" s="13"/>
      <c r="H491" s="13" t="s">
        <v>68</v>
      </c>
      <c r="I491" s="101" t="s">
        <v>44</v>
      </c>
      <c r="J491" s="101"/>
      <c r="K491" s="6">
        <f>[9]!'id352?req?IR_STK_SMART_USD_~/'</f>
        <v>0</v>
      </c>
      <c r="L491" s="6" t="str">
        <f>[9]!id352?orderTypes</f>
        <v>ACTIVETIM,ADJUST,ALERT,ALGO,ALLOC,AON,AVGCOST,BASKET,COND,CONDORDER,DARKONLY,DARKPOLL,DAY,DEACT,DEACTDIS,DEACTEOD,DIS,GAT,GTC,GTD,GTT,HID,IBKRATS,ICE,IMB,IOC,LIT,LMT,LOC,MIT,MKT,MOC,MTL,NGCOMB,NODARK,NONALGO,OCA,OPG,OPGREROUT,PEGBENCH,POSTONLY,PREOPGRTH,R</v>
      </c>
      <c r="M491" s="6" t="str">
        <f>[9]!id352?validExchanges</f>
        <v>SMART,NYSE,CBOE,ISE,CHX,ARCA,ISLAND,DRCTEDGE,NSX,BEX,BATS,EDGEA,CSFBALGO,JEFFALGO,BYX,IEX,TPLUS2,PSX</v>
      </c>
      <c r="N491" s="6">
        <f>[9]!id352?conid</f>
        <v>61440265</v>
      </c>
      <c r="O491" s="6">
        <f>[9]!id352?minTick</f>
        <v>0.01</v>
      </c>
      <c r="P491" s="6">
        <f>[9]!id352?multiplier</f>
        <v>0</v>
      </c>
      <c r="Q491" s="6" t="str">
        <f>[9]!id352?marketName</f>
        <v>IR</v>
      </c>
      <c r="R491" s="6" t="str">
        <f>[9]!id352?tradingClass</f>
        <v>IR</v>
      </c>
    </row>
    <row r="492" spans="1:18" hidden="1" x14ac:dyDescent="0.2">
      <c r="A492" s="176" t="s">
        <v>1206</v>
      </c>
      <c r="B492" s="13" t="s">
        <v>12</v>
      </c>
      <c r="C492" s="13" t="b">
        <f t="shared" si="6"/>
        <v>1</v>
      </c>
      <c r="D492" s="13"/>
      <c r="E492" s="63"/>
      <c r="F492" s="13"/>
      <c r="G492" s="13"/>
      <c r="H492" s="13" t="s">
        <v>68</v>
      </c>
      <c r="I492" s="101" t="s">
        <v>44</v>
      </c>
      <c r="J492" s="101"/>
      <c r="K492" s="6">
        <f>[9]!'id353?req?TWX_STK_SMART_USD_~/'</f>
        <v>0</v>
      </c>
      <c r="L492" s="6" t="str">
        <f>[9]!id353?orderTypes</f>
        <v>ACTIVETIM,ADJUST,ALERT,ALGO,ALLOC,AON,AVGCOST,BASKET,COND,CONDORDER,DARKONLY,DARKPOLL,DAY,DEACT,DEACTDIS,DEACTEOD,DIS,GAT,GTC,GTD,GTT,HID,IBKRATS,ICE,IMB,IOC,LIT,LMT,LOC,MIT,MKT,MOC,MTL,NGCOMB,NODARK,NONALGO,OCA,OPG,OPGREROUT,PEGBENCH,POSTONLY,PREOPGRTH,R</v>
      </c>
      <c r="M492" s="6" t="str">
        <f>[9]!id353?validExchanges</f>
        <v>SMART,NYSE,CBOE,ISE,CHX,ARCA,ISLAND,VWAP,DRCTEDGE,NSX,BEX,BATS,EDGEA,CSFBALGO,JEFFALGO,BYX,IEX,TPLUS2,PSX</v>
      </c>
      <c r="N492" s="6">
        <f>[9]!id353?conid</f>
        <v>59085966</v>
      </c>
      <c r="O492" s="6">
        <f>[9]!id353?minTick</f>
        <v>0.01</v>
      </c>
      <c r="P492" s="6">
        <f>[9]!id353?multiplier</f>
        <v>0</v>
      </c>
      <c r="Q492" s="6" t="str">
        <f>[9]!id353?marketName</f>
        <v>TWX</v>
      </c>
      <c r="R492" s="6" t="str">
        <f>[9]!id353?tradingClass</f>
        <v>TWX</v>
      </c>
    </row>
    <row r="493" spans="1:18" hidden="1" x14ac:dyDescent="0.2">
      <c r="A493" s="176" t="s">
        <v>1207</v>
      </c>
      <c r="B493" s="13" t="s">
        <v>12</v>
      </c>
      <c r="C493" s="13" t="b">
        <f t="shared" si="6"/>
        <v>0</v>
      </c>
      <c r="D493" s="13"/>
      <c r="E493" s="63"/>
      <c r="F493" s="13"/>
      <c r="G493" s="13"/>
      <c r="H493" s="13" t="s">
        <v>68</v>
      </c>
      <c r="I493" s="101" t="s">
        <v>44</v>
      </c>
      <c r="J493" s="101"/>
      <c r="K493" s="6">
        <f>[9]!'id354?req?ORLY_STK_SMART_USD_~/'</f>
        <v>0</v>
      </c>
      <c r="L493" s="6" t="str">
        <f>[9]!id354?orderTypes</f>
        <v>ACTIVETIM,ADJUST,ALERT,ALGO,ALLOC,AON,AVGCOST,BASKET,COND,CONDORDER,DARKONLY,DARKPOLL,DAY,DEACT,DEACTDIS,DEACTEOD,DIS,GAT,GTC,GTD,GTT,HID,IBKRATS,ICE,IMB,IOC,LIT,LMT,LOC,MIT,MKT,MOC,MTL,NGCOMB,NODARK,NONALGO,OCA,OPG,OPGREROUT,PEGBENCH,POSTONLY,PREOPGRTH,R</v>
      </c>
      <c r="M493" s="6" t="str">
        <f>[9]!id354?validExchanges</f>
        <v>SMART,CBOE,ISE,CHX,ARCA,ISLAND,DRCTEDGE,NSX,BEX,BATS,EDGEA,CSFBALGO,JEFFALGO,BYX,IEX,TPLUS2,PSX</v>
      </c>
      <c r="N493" s="6">
        <f>[9]!id354?conid</f>
        <v>82457808</v>
      </c>
      <c r="O493" s="6">
        <f>[9]!id354?minTick</f>
        <v>0.01</v>
      </c>
      <c r="P493" s="6">
        <f>[9]!id354?multiplier</f>
        <v>0</v>
      </c>
      <c r="Q493" s="6" t="str">
        <f>[9]!id354?marketName</f>
        <v>NMS</v>
      </c>
      <c r="R493" s="6" t="str">
        <f>[9]!id354?tradingClass</f>
        <v>NMS</v>
      </c>
    </row>
    <row r="494" spans="1:18" hidden="1" x14ac:dyDescent="0.2">
      <c r="A494" s="176" t="s">
        <v>1208</v>
      </c>
      <c r="B494" s="13" t="s">
        <v>12</v>
      </c>
      <c r="C494" s="13" t="b">
        <f t="shared" si="6"/>
        <v>1</v>
      </c>
      <c r="D494" s="13"/>
      <c r="E494" s="63"/>
      <c r="F494" s="13"/>
      <c r="G494" s="13"/>
      <c r="H494" s="13" t="s">
        <v>68</v>
      </c>
      <c r="I494" s="101" t="s">
        <v>44</v>
      </c>
      <c r="J494" s="101"/>
      <c r="K494" s="6">
        <f>[9]!'id355?req?GM_STK_SMART_USD_~/'</f>
        <v>0</v>
      </c>
      <c r="L494" s="6" t="str">
        <f>[9]!id355?orderTypes</f>
        <v>ACTIVETIM,ADJUST,ALERT,ALGO,ALLOC,AON,AVGCOST,BASKET,COND,CONDORDER,DARKONLY,DARKPOLL,DAY,DEACT,DEACTDIS,DEACTEOD,DIS,GAT,GTC,GTD,GTT,HID,IBKRATS,ICE,IMB,IOC,LIT,LMT,LOC,MIT,MKT,MOC,MTL,NGCOMB,NODARK,NONALGO,OCA,OPG,OPGREROUT,PEGBENCH,POSTONLY,PREOPGRTH,R</v>
      </c>
      <c r="M494" s="6" t="str">
        <f>[9]!id355?validExchanges</f>
        <v>SMART,NYSE,CBOE,ISE,CHX,ARCA,ISLAND,DRCTEDGE,NSX,BEX,BATS,EDGEA,CSFBALGO,JEFFALGO,BYX,IEX,TPLUS2,PSX</v>
      </c>
      <c r="N494" s="6">
        <f>[9]!id355?conid</f>
        <v>80986742</v>
      </c>
      <c r="O494" s="6">
        <f>[9]!id355?minTick</f>
        <v>0.01</v>
      </c>
      <c r="P494" s="6">
        <f>[9]!id355?multiplier</f>
        <v>0</v>
      </c>
      <c r="Q494" s="6" t="str">
        <f>[9]!id355?marketName</f>
        <v>GM</v>
      </c>
      <c r="R494" s="6" t="str">
        <f>[9]!id355?tradingClass</f>
        <v>GM</v>
      </c>
    </row>
    <row r="495" spans="1:18" hidden="1" x14ac:dyDescent="0.2">
      <c r="A495" s="176" t="s">
        <v>1209</v>
      </c>
      <c r="B495" s="13" t="s">
        <v>12</v>
      </c>
      <c r="C495" s="13" t="b">
        <f t="shared" si="6"/>
        <v>1</v>
      </c>
      <c r="D495" s="13"/>
      <c r="E495" s="63"/>
      <c r="F495" s="13"/>
      <c r="G495" s="13"/>
      <c r="H495" s="13" t="s">
        <v>68</v>
      </c>
      <c r="I495" s="101" t="s">
        <v>44</v>
      </c>
      <c r="J495" s="101"/>
      <c r="K495" s="6">
        <f>[9]!'id356?req?CBG_STK_SMART_USD_~/'</f>
        <v>0</v>
      </c>
      <c r="L495" s="6" t="str">
        <f>[9]!id356?orderTypes</f>
        <v>ACTIVETIM,ADJUST,ALERT,ALGO,ALLOC,AON,AVGCOST,BASKET,COND,CONDORDER,DARKONLY,DARKPOLL,DAY,DEACT,DEACTDIS,DEACTEOD,DIS,GAT,GTC,GTD,GTT,HID,IBKRATS,ICE,IMB,IOC,LIT,LMT,LOC,MIT,MKT,MOC,MTL,NGCOMB,NODARK,NONALGO,OCA,OPG,OPGREROUT,PEGBENCH,POSTONLY,PREOPGRTH,R</v>
      </c>
      <c r="M495" s="6" t="str">
        <f>[9]!id356?validExchanges</f>
        <v>SMART,NYSE,CBOE,ISE,CHX,ARCA,ISLAND,VWAP,DRCTEDGE,NSX,BEX,BATS,EDGEA,CSFBALGO,JEFFALGO,BYX,IEX,TPLUS2,PSX</v>
      </c>
      <c r="N495" s="6">
        <f>[9]!id356?conid</f>
        <v>95514904</v>
      </c>
      <c r="O495" s="6">
        <f>[9]!id356?minTick</f>
        <v>0.01</v>
      </c>
      <c r="P495" s="6">
        <f>[9]!id356?multiplier</f>
        <v>0</v>
      </c>
      <c r="Q495" s="6" t="str">
        <f>[9]!id356?marketName</f>
        <v>CBG</v>
      </c>
      <c r="R495" s="6" t="str">
        <f>[9]!id356?tradingClass</f>
        <v>CBG</v>
      </c>
    </row>
    <row r="496" spans="1:18" hidden="1" x14ac:dyDescent="0.2">
      <c r="A496" s="176" t="s">
        <v>1210</v>
      </c>
      <c r="B496" s="13" t="s">
        <v>12</v>
      </c>
      <c r="C496" s="13" t="b">
        <f t="shared" si="6"/>
        <v>0</v>
      </c>
      <c r="D496" s="13"/>
      <c r="E496" s="63"/>
      <c r="F496" s="13"/>
      <c r="G496" s="13"/>
      <c r="H496" s="13" t="s">
        <v>68</v>
      </c>
      <c r="I496" s="101" t="s">
        <v>44</v>
      </c>
      <c r="J496" s="101"/>
      <c r="K496" s="6">
        <f>[9]!'id357?req?TRIP_STK_SMART_USD_~/'</f>
        <v>0</v>
      </c>
      <c r="L496" s="6" t="str">
        <f>[9]!id357?orderTypes</f>
        <v>ACTIVETIM,ADJUST,ALERT,ALGO,ALLOC,AON,AVGCOST,BASKET,COND,CONDORDER,DARKONLY,DARKPOLL,DAY,DEACT,DEACTDIS,DEACTEOD,DIS,GAT,GTC,GTD,GTT,HID,IBKRATS,ICE,IMB,IOC,LIT,LMT,LOC,MIT,MKT,MOC,MTL,NGCOMB,NODARK,NONALGO,OCA,OPG,OPGREROUT,PEGBENCH,POSTONLY,PREOPGRTH,R</v>
      </c>
      <c r="M496" s="6" t="str">
        <f>[9]!id357?validExchanges</f>
        <v>SMART,CBOE,ISE,CHX,ARCA,ISLAND,DRCTEDGE,NSX,BEX,BATS,EDGEA,CSFBALGO,JEFFALGO,BYX,IEX,TPLUS2,PSX</v>
      </c>
      <c r="N496" s="6">
        <f>[9]!id357?conid</f>
        <v>98542026</v>
      </c>
      <c r="O496" s="6">
        <f>[9]!id357?minTick</f>
        <v>0.01</v>
      </c>
      <c r="P496" s="6">
        <f>[9]!id357?multiplier</f>
        <v>0</v>
      </c>
      <c r="Q496" s="6" t="str">
        <f>[9]!id357?marketName</f>
        <v>NMS</v>
      </c>
      <c r="R496" s="6" t="str">
        <f>[9]!id357?tradingClass</f>
        <v>NMS</v>
      </c>
    </row>
    <row r="497" spans="1:18" hidden="1" x14ac:dyDescent="0.2">
      <c r="A497" s="176" t="s">
        <v>1211</v>
      </c>
      <c r="B497" s="13" t="s">
        <v>12</v>
      </c>
      <c r="C497" s="13" t="b">
        <f t="shared" si="6"/>
        <v>1</v>
      </c>
      <c r="D497" s="13"/>
      <c r="E497" s="63"/>
      <c r="F497" s="13"/>
      <c r="G497" s="13"/>
      <c r="H497" s="13" t="s">
        <v>68</v>
      </c>
      <c r="I497" s="101" t="s">
        <v>44</v>
      </c>
      <c r="J497" s="101"/>
      <c r="K497" s="6">
        <f>[9]!'id358?req?KORS_STK_SMART_USD_~/'</f>
        <v>0</v>
      </c>
      <c r="L497" s="6" t="str">
        <f>[9]!id358?orderTypes</f>
        <v>ACTIVETIM,ADJUST,ALERT,ALGO,ALLOC,AON,AVGCOST,BASKET,COND,CONDORDER,DARKONLY,DARKPOLL,DAY,DEACT,DEACTDIS,DEACTEOD,DIS,GAT,GTC,GTD,GTT,HID,IBKRATS,ICE,IMB,IOC,LIT,LMT,LOC,MIT,MKT,MOC,MTL,NGCOMB,NODARK,NONALGO,OCA,OPG,OPGREROUT,PEGBENCH,POSTONLY,PREOPGRTH,R</v>
      </c>
      <c r="M497" s="6" t="str">
        <f>[9]!id358?validExchanges</f>
        <v>SMART,NYSE,CBOE,ISE,CHX,ARCA,ISLAND,DRCTEDGE,NSX,BEX,BATS,EDGEA,CSFBALGO,JEFFALGO,BYX,IEX,TPLUS2,PSX</v>
      </c>
      <c r="N497" s="6">
        <f>[9]!id358?conid</f>
        <v>98606948</v>
      </c>
      <c r="O497" s="6">
        <f>[9]!id358?minTick</f>
        <v>0.01</v>
      </c>
      <c r="P497" s="6">
        <f>[9]!id358?multiplier</f>
        <v>0</v>
      </c>
      <c r="Q497" s="6" t="str">
        <f>[9]!id358?marketName</f>
        <v>KORS</v>
      </c>
      <c r="R497" s="6" t="str">
        <f>[9]!id358?tradingClass</f>
        <v>KORS</v>
      </c>
    </row>
    <row r="498" spans="1:18" hidden="1" x14ac:dyDescent="0.2">
      <c r="A498" s="176" t="s">
        <v>1212</v>
      </c>
      <c r="B498" s="13" t="s">
        <v>12</v>
      </c>
      <c r="C498" s="13" t="b">
        <f t="shared" si="6"/>
        <v>0</v>
      </c>
      <c r="D498" s="13"/>
      <c r="E498" s="63"/>
      <c r="F498" s="13"/>
      <c r="G498" s="13"/>
      <c r="H498" s="13" t="s">
        <v>68</v>
      </c>
      <c r="I498" s="101" t="s">
        <v>44</v>
      </c>
      <c r="J498" s="101"/>
      <c r="K498" s="6">
        <f>[9]!'id359?req?EXPE_STK_SMART_USD_~/'</f>
        <v>0</v>
      </c>
      <c r="L498" s="6" t="str">
        <f>[9]!id359?orderTypes</f>
        <v>ACTIVETIM,ADJUST,ALERT,ALGO,ALLOC,AON,AVGCOST,BASKET,COND,CONDORDER,DARKONLY,DARKPOLL,DAY,DEACT,DEACTDIS,DEACTEOD,DIS,GAT,GTC,GTD,GTT,HID,IBKRATS,ICE,IMB,IOC,LIT,LMT,LOC,MIT,MKT,MOC,MTL,NGCOMB,NODARK,NONALGO,OCA,OPG,OPGREROUT,PEGBENCH,POSTONLY,PREOPGRTH,R</v>
      </c>
      <c r="M498" s="6" t="str">
        <f>[9]!id359?validExchanges</f>
        <v>SMART,CBOE,ISE,CHX,ARCA,ISLAND,DRCTEDGE,NSX,BEX,BATS,EDGEA,CSFBALGO,JEFFALGO,BYX,IEX,TPLUS2,PSX</v>
      </c>
      <c r="N498" s="6">
        <f>[9]!id359?conid</f>
        <v>98542021</v>
      </c>
      <c r="O498" s="6">
        <f>[9]!id359?minTick</f>
        <v>0.01</v>
      </c>
      <c r="P498" s="6">
        <f>[9]!id359?multiplier</f>
        <v>0</v>
      </c>
      <c r="Q498" s="6" t="str">
        <f>[9]!id359?marketName</f>
        <v>NMS</v>
      </c>
      <c r="R498" s="6" t="str">
        <f>[9]!id359?tradingClass</f>
        <v>NMS</v>
      </c>
    </row>
    <row r="499" spans="1:18" hidden="1" x14ac:dyDescent="0.2">
      <c r="A499" s="176" t="s">
        <v>1213</v>
      </c>
      <c r="B499" s="13" t="s">
        <v>12</v>
      </c>
      <c r="C499" s="13" t="b">
        <f t="shared" si="6"/>
        <v>1</v>
      </c>
      <c r="D499" s="13"/>
      <c r="E499" s="63"/>
      <c r="F499" s="13"/>
      <c r="G499" s="13"/>
      <c r="H499" s="13" t="s">
        <v>68</v>
      </c>
      <c r="I499" s="101" t="s">
        <v>44</v>
      </c>
      <c r="J499" s="101"/>
      <c r="K499" s="6">
        <f>[9]!'id360?req?DLPH_STK_SMART_USD_~/'</f>
        <v>0</v>
      </c>
      <c r="L499" s="6" t="str">
        <f>[9]!id360?orderTypes</f>
        <v>ACTIVETIM,ADJUST,ALERT,ALGO,ALLOC,AON,AVGCOST,BASKET,COND,CONDORDER,DARKONLY,DARKPOLL,DAY,DEACT,DEACTDIS,DEACTEOD,DIS,GAT,GTC,GTD,GTT,HID,IBKRATS,ICE,IMB,IOC,LIT,LMT,LOC,MIT,MKT,MOC,MTL,NGCOMB,NODARK,NONALGO,OCA,OPG,OPGREROUT,PEGBENCH,POSTONLY,PREOPGRTH,R</v>
      </c>
      <c r="M499" s="6" t="str">
        <f>[9]!id360?validExchanges</f>
        <v>SMART,NYSE,CBOE,ISE,CHX,ARCA,ISLAND,DRCTEDGE,NSX,BEX,BATS,EDGEA,CSFBALGO,JEFFALGO,BYX,IEX,TPLUS2,PSX</v>
      </c>
      <c r="N499" s="6">
        <f>[9]!id360?conid</f>
        <v>97478493</v>
      </c>
      <c r="O499" s="6">
        <f>[9]!id360?minTick</f>
        <v>0.01</v>
      </c>
      <c r="P499" s="6">
        <f>[9]!id360?multiplier</f>
        <v>0</v>
      </c>
      <c r="Q499" s="6" t="str">
        <f>[9]!id360?marketName</f>
        <v>DLPH</v>
      </c>
      <c r="R499" s="6" t="str">
        <f>[9]!id360?tradingClass</f>
        <v>DLPH</v>
      </c>
    </row>
    <row r="500" spans="1:18" hidden="1" x14ac:dyDescent="0.2">
      <c r="A500" s="176" t="s">
        <v>1214</v>
      </c>
      <c r="B500" s="13" t="s">
        <v>12</v>
      </c>
      <c r="C500" s="13" t="b">
        <f t="shared" si="6"/>
        <v>1</v>
      </c>
      <c r="D500" s="13"/>
      <c r="E500" s="63"/>
      <c r="F500" s="13"/>
      <c r="G500" s="13"/>
      <c r="H500" s="13" t="s">
        <v>68</v>
      </c>
      <c r="I500" s="101" t="s">
        <v>44</v>
      </c>
      <c r="J500" s="101"/>
      <c r="K500" s="6">
        <f>[9]!'id361?req?PSX_STK_SMART_USD_~/'</f>
        <v>0</v>
      </c>
      <c r="L500" s="6" t="str">
        <f>[9]!id361?orderTypes</f>
        <v>ACTIVETIM,ADJUST,ALERT,ALGO,ALLOC,AON,AVGCOST,BASKET,COND,CONDORDER,DARKONLY,DARKPOLL,DAY,DEACT,DEACTDIS,DEACTEOD,DIS,GAT,GTC,GTD,GTT,HID,IBKRATS,ICE,IMB,IOC,LIT,LMT,LOC,MIT,MKT,MOC,MTL,NGCOMB,NODARK,NONALGO,OCA,OPG,OPGREROUT,PEGBENCH,POSTONLY,PREOPGRTH,R</v>
      </c>
      <c r="M500" s="6" t="str">
        <f>[9]!id361?validExchanges</f>
        <v>SMART,NYSE,CBOE,ISE,CHX,ARCA,ISLAND,DRCTEDGE,NSX,BEX,BATS,EDGEA,CSFBALGO,JEFFALGO,BYX,IEX,TPLUS2,PSX</v>
      </c>
      <c r="N500" s="6">
        <f>[9]!id361?conid</f>
        <v>105669270</v>
      </c>
      <c r="O500" s="6">
        <f>[9]!id361?minTick</f>
        <v>0.01</v>
      </c>
      <c r="P500" s="6">
        <f>[9]!id361?multiplier</f>
        <v>0</v>
      </c>
      <c r="Q500" s="6" t="str">
        <f>[9]!id361?marketName</f>
        <v>PSX</v>
      </c>
      <c r="R500" s="6" t="str">
        <f>[9]!id361?tradingClass</f>
        <v>PSX</v>
      </c>
    </row>
    <row r="501" spans="1:18" hidden="1" x14ac:dyDescent="0.2">
      <c r="A501" s="176" t="s">
        <v>1215</v>
      </c>
      <c r="B501" s="13" t="s">
        <v>12</v>
      </c>
      <c r="C501" s="13" t="b">
        <f t="shared" si="6"/>
        <v>1</v>
      </c>
      <c r="D501" s="13"/>
      <c r="E501" s="63"/>
      <c r="F501" s="13"/>
      <c r="G501" s="13"/>
      <c r="H501" s="13" t="s">
        <v>68</v>
      </c>
      <c r="I501" s="101" t="s">
        <v>44</v>
      </c>
      <c r="J501" s="101"/>
      <c r="K501" s="6">
        <f>[9]!'id362?req?AMT_STK_SMART_USD_~/'</f>
        <v>0</v>
      </c>
      <c r="L501" s="6" t="str">
        <f>[9]!id362?orderTypes</f>
        <v>ACTIVETIM,ADJUST,ALERT,ALGO,ALLOC,AON,AVGCOST,BASKET,COND,CONDORDER,DARKONLY,DARKPOLL,DAY,DEACT,DEACTDIS,DEACTEOD,DIS,GAT,GTC,GTD,GTT,HID,IBKRATS,ICE,IMB,IOC,LIT,LMT,LOC,MIT,MKT,MOC,MTL,NGCOMB,NODARK,NONALGO,OCA,OPG,OPGREROUT,PEGBENCH,POSTONLY,PREOPGRTH,R</v>
      </c>
      <c r="M501" s="6" t="str">
        <f>[9]!id362?validExchanges</f>
        <v>SMART,NYSE,CBOE,ISE,CHX,ARCA,ISLAND,VWAP,DRCTEDGE,NSX,BEX,BATS,EDGEA,CSFBALGO,JEFFALGO,BYX,IEX,TPLUS2,PSX</v>
      </c>
      <c r="N501" s="6">
        <f>[9]!id362?conid</f>
        <v>99831145</v>
      </c>
      <c r="O501" s="6">
        <f>[9]!id362?minTick</f>
        <v>0.01</v>
      </c>
      <c r="P501" s="6">
        <f>[9]!id362?multiplier</f>
        <v>0</v>
      </c>
      <c r="Q501" s="6" t="str">
        <f>[9]!id362?marketName</f>
        <v>AMT</v>
      </c>
      <c r="R501" s="6" t="str">
        <f>[9]!id362?tradingClass</f>
        <v>AMT</v>
      </c>
    </row>
    <row r="502" spans="1:18" hidden="1" x14ac:dyDescent="0.2">
      <c r="A502" s="176" t="s">
        <v>1216</v>
      </c>
      <c r="B502" s="13" t="s">
        <v>12</v>
      </c>
      <c r="C502" s="13" t="b">
        <f t="shared" si="6"/>
        <v>0</v>
      </c>
      <c r="D502" s="13"/>
      <c r="E502" s="63"/>
      <c r="F502" s="13"/>
      <c r="G502" s="13"/>
      <c r="H502" s="13" t="s">
        <v>68</v>
      </c>
      <c r="I502" s="101" t="s">
        <v>44</v>
      </c>
      <c r="J502" s="101"/>
      <c r="K502" s="6">
        <f>[9]!'id363?req?ESRX_STK_SMART_USD_~/'</f>
        <v>0</v>
      </c>
      <c r="L502" s="6" t="str">
        <f>[9]!id363?orderTypes</f>
        <v>ACTIVETIM,ADJUST,ALERT,ALGO,ALLOC,AON,AVGCOST,BASKET,COND,CONDORDER,DARKONLY,DARKPOLL,DAY,DEACT,DEACTDIS,DEACTEOD,DIS,GAT,GTC,GTD,GTT,HID,IBKRATS,ICE,IMB,IOC,LIT,LMT,LOC,MIT,MKT,MOC,MTL,NGCOMB,NODARK,NONALGO,OCA,OPG,OPGREROUT,PEGBENCH,POSTONLY,PREOPGRTH,R</v>
      </c>
      <c r="M502" s="6" t="str">
        <f>[9]!id363?validExchanges</f>
        <v>SMART,CBOE,ISE,CHX,ARCA,ISLAND,VWAP,DRCTEDGE,NSX,BEX,BATS,EDGEA,CSFBALGO,JEFFALGO,BYX,IEX,TPLUS2,PSX</v>
      </c>
      <c r="N502" s="6">
        <f>[9]!id363?conid</f>
        <v>105430010</v>
      </c>
      <c r="O502" s="6">
        <f>[9]!id363?minTick</f>
        <v>0.01</v>
      </c>
      <c r="P502" s="6">
        <f>[9]!id363?multiplier</f>
        <v>0</v>
      </c>
      <c r="Q502" s="6" t="str">
        <f>[9]!id363?marketName</f>
        <v>NMS</v>
      </c>
      <c r="R502" s="6" t="str">
        <f>[9]!id363?tradingClass</f>
        <v>NMS</v>
      </c>
    </row>
    <row r="503" spans="1:18" hidden="1" x14ac:dyDescent="0.2">
      <c r="A503" s="176" t="s">
        <v>1217</v>
      </c>
      <c r="B503" s="13" t="s">
        <v>12</v>
      </c>
      <c r="C503" s="13" t="b">
        <f t="shared" si="6"/>
        <v>0</v>
      </c>
      <c r="D503" s="13"/>
      <c r="E503" s="63"/>
      <c r="F503" s="13"/>
      <c r="G503" s="13"/>
      <c r="H503" s="13" t="s">
        <v>68</v>
      </c>
      <c r="I503" s="101" t="s">
        <v>44</v>
      </c>
      <c r="J503" s="101"/>
      <c r="K503" s="6">
        <f>[9]!'id364?req?FB_STK_SMART_USD_~/'</f>
        <v>0</v>
      </c>
      <c r="L503" s="6" t="str">
        <f>[9]!id364?orderTypes</f>
        <v>ACTIVETIM,ADJUST,ALERT,ALGO,ALLOC,AON,AVGCOST,BASKET,COND,CONDORDER,DARKONLY,DARKPOLL,DAY,DEACT,DEACTDIS,DEACTEOD,DIS,GAT,GTC,GTD,GTT,HID,IBKRATS,ICE,IMB,IOC,LIT,LMT,LOC,MIT,MKT,MOC,MTL,NGCOMB,NODARK,NONALGO,OCA,OPG,OPGREROUT,PEGBENCH,POSTONLY,PREOPGRTH,R</v>
      </c>
      <c r="M503" s="6" t="str">
        <f>[9]!id364?validExchanges</f>
        <v>SMART,CBOE,ISE,CHX,ARCA,ISLAND,DRCTEDGE,NSX,BEX,BATS,EDGEA,CSFBALGO,JEFFALGO,BYX,IEX,TPLUS2,PSX</v>
      </c>
      <c r="N503" s="6">
        <f>[9]!id364?conid</f>
        <v>107113386</v>
      </c>
      <c r="O503" s="6">
        <f>[9]!id364?minTick</f>
        <v>0.01</v>
      </c>
      <c r="P503" s="6">
        <f>[9]!id364?multiplier</f>
        <v>0</v>
      </c>
      <c r="Q503" s="6" t="str">
        <f>[9]!id364?marketName</f>
        <v>NMS</v>
      </c>
      <c r="R503" s="6" t="str">
        <f>[9]!id364?tradingClass</f>
        <v>NMS</v>
      </c>
    </row>
    <row r="504" spans="1:18" hidden="1" x14ac:dyDescent="0.2">
      <c r="A504" s="176" t="s">
        <v>1218</v>
      </c>
      <c r="B504" s="13" t="s">
        <v>12</v>
      </c>
      <c r="C504" s="13" t="b">
        <f t="shared" si="6"/>
        <v>1</v>
      </c>
      <c r="D504" s="13"/>
      <c r="E504" s="63"/>
      <c r="F504" s="13"/>
      <c r="G504" s="13"/>
      <c r="H504" s="13" t="s">
        <v>68</v>
      </c>
      <c r="I504" s="101" t="s">
        <v>44</v>
      </c>
      <c r="J504" s="101"/>
      <c r="K504" s="6">
        <f>[9]!'id365?req?DUK_STK_SMART_USD_~/'</f>
        <v>0</v>
      </c>
      <c r="L504" s="6" t="str">
        <f>[9]!id365?orderTypes</f>
        <v>ACTIVETIM,ADJUST,ALERT,ALGO,ALLOC,AON,AVGCOST,BASKET,COND,CONDORDER,DARKONLY,DARKPOLL,DAY,DEACT,DEACTDIS,DEACTEOD,DIS,GAT,GTC,GTD,GTT,HID,IBKRATS,ICE,IMB,IOC,LIT,LMT,LOC,MIT,MKT,MOC,MTL,NGCOMB,NODARK,NONALGO,OCA,OPG,OPGREROUT,PEGBENCH,POSTONLY,PREOPGRTH,R</v>
      </c>
      <c r="M504" s="6" t="str">
        <f>[9]!id365?validExchanges</f>
        <v>SMART,NYSE,CBOE,ISE,CHX,ARCA,ISLAND,VWAP,DRCTEDGE,NSX,BEX,BATS,EDGEA,CSFBALGO,JEFFALGO,BYX,IEX,TPLUS2,PSX</v>
      </c>
      <c r="N504" s="6">
        <f>[9]!id365?conid</f>
        <v>110176011</v>
      </c>
      <c r="O504" s="6">
        <f>[9]!id365?minTick</f>
        <v>0.01</v>
      </c>
      <c r="P504" s="6">
        <f>[9]!id365?multiplier</f>
        <v>0</v>
      </c>
      <c r="Q504" s="6" t="str">
        <f>[9]!id365?marketName</f>
        <v>DUK</v>
      </c>
      <c r="R504" s="6" t="str">
        <f>[9]!id365?tradingClass</f>
        <v>DUK</v>
      </c>
    </row>
    <row r="505" spans="1:18" hidden="1" x14ac:dyDescent="0.2">
      <c r="A505" s="176" t="s">
        <v>1219</v>
      </c>
      <c r="B505" s="13" t="s">
        <v>12</v>
      </c>
      <c r="C505" s="13" t="b">
        <f t="shared" si="6"/>
        <v>0</v>
      </c>
      <c r="D505" s="13"/>
      <c r="E505" s="63"/>
      <c r="F505" s="13"/>
      <c r="G505" s="13"/>
      <c r="H505" s="13" t="s">
        <v>68</v>
      </c>
      <c r="I505" s="101" t="s">
        <v>44</v>
      </c>
      <c r="J505" s="101"/>
      <c r="K505" s="6">
        <f>[9]!'id366?req?MDLZ_STK_SMART_USD_~/'</f>
        <v>0</v>
      </c>
      <c r="L505" s="6" t="str">
        <f>[9]!id366?orderTypes</f>
        <v>ACTIVETIM,ADJUST,ALERT,ALGO,ALLOC,AON,AVGCOST,BASKET,COND,CONDORDER,DARKONLY,DARKPOLL,DAY,DEACT,DEACTDIS,DEACTEOD,DIS,GAT,GTC,GTD,GTT,HID,IBKRATS,ICE,IMB,IOC,LIT,LMT,LOC,MIT,MKT,MOC,MTL,NGCOMB,NODARK,NONALGO,OCA,OPG,OPGREROUT,PEGBENCH,POSTONLY,PREOPGRTH,R</v>
      </c>
      <c r="M505" s="6" t="str">
        <f>[9]!id366?validExchanges</f>
        <v>SMART,CBOE,ISE,CHX,ARCA,ISLAND,VWAP,DRCTEDGE,NSX,BEX,BATS,EDGEA,CSFBALGO,JEFFALGO,BYX,IEX,TPLUS2,PSX</v>
      </c>
      <c r="N505" s="6">
        <f>[9]!id366?conid</f>
        <v>113599091</v>
      </c>
      <c r="O505" s="6">
        <f>[9]!id366?minTick</f>
        <v>0.01</v>
      </c>
      <c r="P505" s="6">
        <f>[9]!id366?multiplier</f>
        <v>0</v>
      </c>
      <c r="Q505" s="6" t="str">
        <f>[9]!id366?marketName</f>
        <v>NMS</v>
      </c>
      <c r="R505" s="6" t="str">
        <f>[9]!id366?tradingClass</f>
        <v>NMS</v>
      </c>
    </row>
    <row r="506" spans="1:18" hidden="1" x14ac:dyDescent="0.2">
      <c r="A506" s="176" t="s">
        <v>1220</v>
      </c>
      <c r="B506" s="13" t="s">
        <v>12</v>
      </c>
      <c r="C506" s="13" t="b">
        <f t="shared" si="6"/>
        <v>1</v>
      </c>
      <c r="D506" s="13"/>
      <c r="E506" s="63"/>
      <c r="F506" s="13"/>
      <c r="G506" s="13"/>
      <c r="H506" s="13" t="s">
        <v>68</v>
      </c>
      <c r="I506" s="101" t="s">
        <v>44</v>
      </c>
      <c r="J506" s="101"/>
      <c r="K506" s="6">
        <f>[9]!'id367?req?ETN_STK_SMART_USD_~/'</f>
        <v>0</v>
      </c>
      <c r="L506" s="6" t="str">
        <f>[9]!id367?orderTypes</f>
        <v>ACTIVETIM,ADJUST,ALERT,ALGO,ALLOC,AON,AVGCOST,BASKET,COND,CONDORDER,DARKONLY,DARKPOLL,DAY,DEACT,DEACTDIS,DEACTEOD,DIS,GAT,GTC,GTD,GTT,HID,IBKRATS,ICE,IMB,IOC,LIT,LMT,LOC,MIT,MKT,MOC,MTL,NGCOMB,NODARK,NONALGO,OCA,OPG,OPGREROUT,PEGBENCH,POSTONLY,PREOPGRTH,R</v>
      </c>
      <c r="M506" s="6" t="str">
        <f>[9]!id367?validExchanges</f>
        <v>SMART,NYSE,CBOE,ISE,CHX,ARCA,ISLAND,VWAP,DRCTEDGE,NSX,BEX,BATS,EDGEA,CSFBALGO,JEFFALGO,BYX,IEX,TPLUS2,PSX</v>
      </c>
      <c r="N506" s="6">
        <f>[9]!id367?conid</f>
        <v>118017869</v>
      </c>
      <c r="O506" s="6">
        <f>[9]!id367?minTick</f>
        <v>0.01</v>
      </c>
      <c r="P506" s="6">
        <f>[9]!id367?multiplier</f>
        <v>0</v>
      </c>
      <c r="Q506" s="6" t="str">
        <f>[9]!id367?marketName</f>
        <v>ETN</v>
      </c>
      <c r="R506" s="6" t="str">
        <f>[9]!id367?tradingClass</f>
        <v>ETN</v>
      </c>
    </row>
    <row r="507" spans="1:18" hidden="1" x14ac:dyDescent="0.2">
      <c r="A507" s="176" t="s">
        <v>1221</v>
      </c>
      <c r="B507" s="13" t="s">
        <v>12</v>
      </c>
      <c r="C507" s="13" t="b">
        <f t="shared" si="6"/>
        <v>1</v>
      </c>
      <c r="D507" s="13"/>
      <c r="E507" s="63"/>
      <c r="F507" s="13"/>
      <c r="G507" s="13"/>
      <c r="H507" s="13" t="s">
        <v>68</v>
      </c>
      <c r="I507" s="101" t="s">
        <v>44</v>
      </c>
      <c r="J507" s="101"/>
      <c r="K507" s="6">
        <f>[9]!'id368?req?ABBV_STK_SMART_USD_~/'</f>
        <v>0</v>
      </c>
      <c r="L507" s="6" t="str">
        <f>[9]!id368?orderTypes</f>
        <v>ACTIVETIM,ADJUST,ALERT,ALGO,ALLOC,AON,AVGCOST,BASKET,COND,CONDORDER,DARKONLY,DARKPOLL,DAY,DEACT,DEACTDIS,DEACTEOD,DIS,GAT,GTC,GTD,GTT,HID,IBKRATS,ICE,IMB,IOC,LIT,LMT,LOC,MIT,MKT,MOC,MTL,NGCOMB,NODARK,NONALGO,OCA,OPG,OPGREROUT,PEGBENCH,POSTONLY,PREOPGRTH,R</v>
      </c>
      <c r="M507" s="6" t="str">
        <f>[9]!id368?validExchanges</f>
        <v>SMART,NYSE,CBOE,ISE,CHX,ARCA,ISLAND,VWAP,DRCTEDGE,NSX,BEX,BATS,EDGEA,CSFBALGO,JEFFALGO,BYX,IEX,TPLUS2,PSX</v>
      </c>
      <c r="N507" s="6">
        <f>[9]!id368?conid</f>
        <v>118089500</v>
      </c>
      <c r="O507" s="6">
        <f>[9]!id368?minTick</f>
        <v>0.01</v>
      </c>
      <c r="P507" s="6">
        <f>[9]!id368?multiplier</f>
        <v>0</v>
      </c>
      <c r="Q507" s="6" t="str">
        <f>[9]!id368?marketName</f>
        <v>ABBV</v>
      </c>
      <c r="R507" s="6" t="str">
        <f>[9]!id368?tradingClass</f>
        <v>ABBV</v>
      </c>
    </row>
    <row r="508" spans="1:18" hidden="1" x14ac:dyDescent="0.2">
      <c r="A508" s="176" t="s">
        <v>1222</v>
      </c>
      <c r="B508" s="13" t="s">
        <v>12</v>
      </c>
      <c r="C508" s="13" t="b">
        <f t="shared" si="6"/>
        <v>1</v>
      </c>
      <c r="D508" s="13"/>
      <c r="E508" s="63"/>
      <c r="F508" s="13"/>
      <c r="G508" s="13"/>
      <c r="H508" s="13" t="s">
        <v>68</v>
      </c>
      <c r="I508" s="101" t="s">
        <v>44</v>
      </c>
      <c r="J508" s="101"/>
      <c r="K508" s="6">
        <f>[9]!'id369?req?ZTS_STK_SMART_USD_~/'</f>
        <v>0</v>
      </c>
      <c r="L508" s="6" t="str">
        <f>[9]!id369?orderTypes</f>
        <v>ACTIVETIM,ADJUST,ALERT,ALGO,ALLOC,AON,AVGCOST,BASKET,COND,CONDORDER,DARKONLY,DARKPOLL,DAY,DEACT,DEACTDIS,DEACTEOD,DIS,GAT,GTC,GTD,GTT,HID,IBKRATS,ICE,IMB,IOC,LIT,LMT,LOC,MIT,MKT,MOC,MTL,NGCOMB,NODARK,NONALGO,OCA,OPG,OPGREROUT,PEGBENCH,POSTONLY,PREOPGRTH,R</v>
      </c>
      <c r="M508" s="6" t="str">
        <f>[9]!id369?validExchanges</f>
        <v>SMART,NYSE,CBOE,ISE,CHX,ARCA,ISLAND,DRCTEDGE,NSX,BEX,BATS,EDGEA,CSFBALGO,JEFFALGO,BYX,IEX,TPLUS2,PSX</v>
      </c>
      <c r="N508" s="6">
        <f>[9]!id369?conid</f>
        <v>121665622</v>
      </c>
      <c r="O508" s="6">
        <f>[9]!id369?minTick</f>
        <v>0.01</v>
      </c>
      <c r="P508" s="6">
        <f>[9]!id369?multiplier</f>
        <v>0</v>
      </c>
      <c r="Q508" s="6" t="str">
        <f>[9]!id369?marketName</f>
        <v>ZTS</v>
      </c>
      <c r="R508" s="6" t="str">
        <f>[9]!id369?tradingClass</f>
        <v>ZTS</v>
      </c>
    </row>
    <row r="509" spans="1:18" hidden="1" x14ac:dyDescent="0.2">
      <c r="A509" s="176" t="s">
        <v>1223</v>
      </c>
      <c r="B509" s="13" t="s">
        <v>12</v>
      </c>
      <c r="C509" s="13" t="b">
        <f t="shared" si="6"/>
        <v>1</v>
      </c>
      <c r="D509" s="13"/>
      <c r="E509" s="63"/>
      <c r="F509" s="13"/>
      <c r="G509" s="13"/>
      <c r="H509" s="13" t="s">
        <v>68</v>
      </c>
      <c r="I509" s="101" t="s">
        <v>44</v>
      </c>
      <c r="J509" s="101"/>
      <c r="K509" s="6">
        <f>[9]!'id370?req?LB_STK_SMART_USD_~/'</f>
        <v>0</v>
      </c>
      <c r="L509" s="6" t="str">
        <f>[9]!id370?orderTypes</f>
        <v>ACTIVETIM,ADJUST,ALERT,ALGO,ALLOC,AON,AVGCOST,BASKET,COND,CONDORDER,DARKONLY,DARKPOLL,DAY,DEACT,DEACTDIS,DEACTEOD,DIS,GAT,GTC,GTD,GTT,HID,IBKRATS,ICE,IMB,IOC,LIT,LMT,LOC,MIT,MKT,MOC,MTL,NGCOMB,NODARK,NONALGO,OCA,OPG,OPGREROUT,PEGBENCH,POSTONLY,PREOPGRTH,R</v>
      </c>
      <c r="M509" s="6" t="str">
        <f>[9]!id370?validExchanges</f>
        <v>SMART,NYSE,CBOE,ISE,CHX,ARCA,ISLAND,VWAP,DRCTEDGE,NSX,BEX,BATS,EDGEA,CSFBALGO,JEFFALGO,BYX,IEX,TPLUS2,PSX</v>
      </c>
      <c r="N509" s="6">
        <f>[9]!id370?conid</f>
        <v>125005718</v>
      </c>
      <c r="O509" s="6">
        <f>[9]!id370?minTick</f>
        <v>0.01</v>
      </c>
      <c r="P509" s="6">
        <f>[9]!id370?multiplier</f>
        <v>0</v>
      </c>
      <c r="Q509" s="6" t="str">
        <f>[9]!id370?marketName</f>
        <v>LB</v>
      </c>
      <c r="R509" s="6" t="str">
        <f>[9]!id370?tradingClass</f>
        <v>LB</v>
      </c>
    </row>
    <row r="510" spans="1:18" hidden="1" x14ac:dyDescent="0.2">
      <c r="A510" s="176" t="s">
        <v>1224</v>
      </c>
      <c r="B510" s="13" t="s">
        <v>12</v>
      </c>
      <c r="C510" s="13" t="b">
        <f t="shared" si="6"/>
        <v>0</v>
      </c>
      <c r="D510" s="13"/>
      <c r="E510" s="63"/>
      <c r="F510" s="13"/>
      <c r="G510" s="13"/>
      <c r="H510" s="13" t="s">
        <v>68</v>
      </c>
      <c r="I510" s="101" t="s">
        <v>44</v>
      </c>
      <c r="J510" s="101"/>
      <c r="K510" s="6">
        <f>[9]!'id371?req?NWS_STK_SMART_USD_~/'</f>
        <v>0</v>
      </c>
      <c r="L510" s="6" t="str">
        <f>[9]!id371?orderTypes</f>
        <v>ACTIVETIM,ADJUST,ALERT,ALGO,ALLOC,AON,AVGCOST,BASKET,COND,CONDORDER,DARKONLY,DARKPOLL,DAY,DEACT,DEACTDIS,DEACTEOD,DIS,GAT,GTC,GTD,GTT,HID,IBKRATS,ICE,IMB,IOC,LIT,LMT,LOC,MIT,MKT,MOC,MTL,NGCOMB,NODARK,NONALGO,OCA,OPG,OPGREROUT,PEGBENCH,POSTONLY,PREOPGRTH,R</v>
      </c>
      <c r="M510" s="6" t="str">
        <f>[9]!id371?validExchanges</f>
        <v>SMART,CBOE,ISE,CHX,ARCA,ISLAND,DRCTEDGE,NSX,BEX,BATS,EDGEA,CSFBALGO,JEFFALGO,BYX,IEX,TPLUS2,PSX</v>
      </c>
      <c r="N510" s="6">
        <f>[9]!id371?conid</f>
        <v>129348130</v>
      </c>
      <c r="O510" s="6">
        <f>[9]!id371?minTick</f>
        <v>0.01</v>
      </c>
      <c r="P510" s="6">
        <f>[9]!id371?multiplier</f>
        <v>0</v>
      </c>
      <c r="Q510" s="6" t="str">
        <f>[9]!id371?marketName</f>
        <v>NMS</v>
      </c>
      <c r="R510" s="6" t="str">
        <f>[9]!id371?tradingClass</f>
        <v>NMS</v>
      </c>
    </row>
    <row r="511" spans="1:18" hidden="1" x14ac:dyDescent="0.2">
      <c r="A511" s="176" t="s">
        <v>1225</v>
      </c>
      <c r="B511" s="13" t="s">
        <v>12</v>
      </c>
      <c r="C511" s="13" t="b">
        <f t="shared" ref="C511:C572" si="7">A511=Q511</f>
        <v>1</v>
      </c>
      <c r="D511" s="13"/>
      <c r="E511" s="63"/>
      <c r="F511" s="13"/>
      <c r="G511" s="13"/>
      <c r="H511" s="13" t="s">
        <v>68</v>
      </c>
      <c r="I511" s="101" t="s">
        <v>44</v>
      </c>
      <c r="J511" s="101"/>
      <c r="K511" s="6">
        <f>[9]!'id372?req?MNK_STK_SMART_USD_~/'</f>
        <v>0</v>
      </c>
      <c r="L511" s="6" t="str">
        <f>[9]!id372?orderTypes</f>
        <v>ACTIVETIM,ADJUST,ALERT,ALGO,ALLOC,AON,AVGCOST,BASKET,COND,CONDORDER,DARKONLY,DARKPOLL,DAY,DEACT,DEACTDIS,DEACTEOD,DIS,GAT,GTC,GTD,GTT,HID,IBKRATS,ICE,IMB,IOC,LIT,LMT,LOC,MIT,MKT,MOC,MTL,NGCOMB,NODARK,NONALGO,OCA,OPG,OPGREROUT,PEGBENCH,POSTONLY,PREOPGRTH,R</v>
      </c>
      <c r="M511" s="6" t="str">
        <f>[9]!id372?validExchanges</f>
        <v>SMART,NYSE,CBOE,ISE,CHX,ARCA,ISLAND,DRCTEDGE,NSX,BEX,BATS,EDGEA,CSFBALGO,JEFFALGO,BYX,IEX,TPLUS2,PSX</v>
      </c>
      <c r="N511" s="6">
        <f>[9]!id372?conid</f>
        <v>129166805</v>
      </c>
      <c r="O511" s="6">
        <f>[9]!id372?minTick</f>
        <v>0.01</v>
      </c>
      <c r="P511" s="6">
        <f>[9]!id372?multiplier</f>
        <v>0</v>
      </c>
      <c r="Q511" s="6" t="str">
        <f>[9]!id372?marketName</f>
        <v>MNK</v>
      </c>
      <c r="R511" s="6" t="str">
        <f>[9]!id372?tradingClass</f>
        <v>MNK</v>
      </c>
    </row>
    <row r="512" spans="1:18" hidden="1" x14ac:dyDescent="0.2">
      <c r="A512" s="176" t="s">
        <v>1226</v>
      </c>
      <c r="B512" s="13" t="s">
        <v>12</v>
      </c>
      <c r="C512" s="13" t="b">
        <f t="shared" si="7"/>
        <v>0</v>
      </c>
      <c r="D512" s="13"/>
      <c r="E512" s="63"/>
      <c r="F512" s="13"/>
      <c r="G512" s="13"/>
      <c r="H512" s="13" t="s">
        <v>68</v>
      </c>
      <c r="I512" s="101" t="s">
        <v>44</v>
      </c>
      <c r="J512" s="101"/>
      <c r="K512" s="6">
        <f>[9]!'id373?req?AAL_STK_SMART_USD_~/'</f>
        <v>0</v>
      </c>
      <c r="L512" s="6" t="str">
        <f>[9]!id373?orderTypes</f>
        <v>ACTIVETIM,ADJUST,ALERT,ALGO,ALLOC,AON,AVGCOST,BASKET,COND,CONDORDER,DARKONLY,DARKPOLL,DAY,DEACT,DEACTDIS,DEACTEOD,DIS,GAT,GTC,GTD,GTT,HID,IBKRATS,ICE,IMB,IOC,LIT,LMT,LOC,MIT,MKT,MOC,MTL,NGCOMB,NODARK,NONALGO,OCA,OPG,OPGREROUT,PEGBENCH,POSTONLY,PREOPGRTH,R</v>
      </c>
      <c r="M512" s="6" t="str">
        <f>[9]!id373?validExchanges</f>
        <v>SMART,CBOE,ISE,CHX,ARCA,ISLAND,DRCTEDGE,NSX,BEX,BATS,EDGEA,CSFBALGO,JEFFALGO,BYX,IEX,TPLUS2,PSX</v>
      </c>
      <c r="N512" s="6">
        <f>[9]!id373?conid</f>
        <v>139673266</v>
      </c>
      <c r="O512" s="6">
        <f>[9]!id373?minTick</f>
        <v>0.01</v>
      </c>
      <c r="P512" s="6">
        <f>[9]!id373?multiplier</f>
        <v>0</v>
      </c>
      <c r="Q512" s="6" t="str">
        <f>[9]!id373?marketName</f>
        <v>NMS</v>
      </c>
      <c r="R512" s="6" t="str">
        <f>[9]!id373?tradingClass</f>
        <v>NMS</v>
      </c>
    </row>
    <row r="513" spans="1:18" hidden="1" x14ac:dyDescent="0.2">
      <c r="A513" s="176" t="s">
        <v>1227</v>
      </c>
      <c r="B513" s="13" t="s">
        <v>12</v>
      </c>
      <c r="C513" s="13" t="b">
        <f t="shared" si="7"/>
        <v>0</v>
      </c>
      <c r="D513" s="13"/>
      <c r="E513" s="63"/>
      <c r="F513" s="13"/>
      <c r="G513" s="13"/>
      <c r="H513" s="13" t="s">
        <v>68</v>
      </c>
      <c r="I513" s="101" t="s">
        <v>44</v>
      </c>
      <c r="J513" s="101"/>
      <c r="K513" s="6">
        <f>[9]!'id374?req?WLTW_STK_SMART_USD_~/'</f>
        <v>0</v>
      </c>
      <c r="L513" s="6" t="str">
        <f>[9]!id374?orderTypes</f>
        <v>ACTIVETIM,ADJUST,ALERT,ALGO,ALLOC,AON,AVGCOST,BASKET,COND,CONDORDER,DARKONLY,DARKPOLL,DAY,DEACT,DEACTDIS,DEACTEOD,DIS,GAT,GTC,GTD,GTT,HID,IBKRATS,ICE,IMB,IOC,LIT,LMT,LOC,MIT,MKT,MOC,MTL,NGCOMB,NODARK,NONALGO,OCA,OPG,OPGREROUT,PEGBENCH,POSTONLY,PREOPGRTH,R</v>
      </c>
      <c r="M513" s="6" t="str">
        <f>[9]!id374?validExchanges</f>
        <v>SMART,CBOE,ISE,CHX,ARCA,ISLAND,DRCTEDGE,NSX,BEX,BATS,EDGEA,CSFBALGO,JEFFALGO,BYX,IEX,TPLUS2,PSX</v>
      </c>
      <c r="N513" s="6">
        <f>[9]!id374?conid</f>
        <v>217947855</v>
      </c>
      <c r="O513" s="6">
        <f>[9]!id374?minTick</f>
        <v>0.01</v>
      </c>
      <c r="P513" s="6">
        <f>[9]!id374?multiplier</f>
        <v>0</v>
      </c>
      <c r="Q513" s="6" t="str">
        <f>[9]!id374?marketName</f>
        <v>NMS</v>
      </c>
      <c r="R513" s="6" t="str">
        <f>[9]!id374?tradingClass</f>
        <v>NMS</v>
      </c>
    </row>
    <row r="514" spans="1:18" hidden="1" x14ac:dyDescent="0.2">
      <c r="A514" s="176" t="s">
        <v>1228</v>
      </c>
      <c r="B514" s="13" t="s">
        <v>12</v>
      </c>
      <c r="C514" s="13" t="b">
        <f t="shared" si="7"/>
        <v>1</v>
      </c>
      <c r="D514" s="13"/>
      <c r="E514" s="63"/>
      <c r="F514" s="13"/>
      <c r="G514" s="13"/>
      <c r="H514" s="13" t="s">
        <v>68</v>
      </c>
      <c r="I514" s="101" t="s">
        <v>44</v>
      </c>
      <c r="J514" s="101"/>
      <c r="K514" s="6">
        <f>[9]!'id375?req?ALLE_STK_SMART_USD_~/'</f>
        <v>0</v>
      </c>
      <c r="L514" s="6" t="str">
        <f>[9]!id375?orderTypes</f>
        <v>ACTIVETIM,ADJUST,ALERT,ALGO,ALLOC,AON,AVGCOST,BASKET,COND,CONDORDER,DARKONLY,DARKPOLL,DAY,DEACT,DEACTDIS,DEACTEOD,DIS,GAT,GTC,GTD,GTT,HID,IBKRATS,ICE,IMB,IOC,LIT,LMT,LOC,MIT,MKT,MOC,MTL,NGCOMB,NODARK,NONALGO,OCA,OPG,OPGREROUT,PEGBENCH,POSTONLY,PREOPGRTH,R</v>
      </c>
      <c r="M514" s="6" t="str">
        <f>[9]!id375?validExchanges</f>
        <v>SMART,NYSE,CBOE,ISE,CHX,ARCA,ISLAND,DRCTEDGE,NSX,BEX,BATS,EDGEA,CSFBALGO,JEFFALGO,BYX,IEX,TPLUS2,PSX</v>
      </c>
      <c r="N514" s="6">
        <f>[9]!id375?conid</f>
        <v>138438437</v>
      </c>
      <c r="O514" s="6">
        <f>[9]!id375?minTick</f>
        <v>0.01</v>
      </c>
      <c r="P514" s="6">
        <f>[9]!id375?multiplier</f>
        <v>0</v>
      </c>
      <c r="Q514" s="6" t="str">
        <f>[9]!id375?marketName</f>
        <v>ALLE</v>
      </c>
      <c r="R514" s="6" t="str">
        <f>[9]!id375?tradingClass</f>
        <v>ALLE</v>
      </c>
    </row>
    <row r="515" spans="1:18" hidden="1" x14ac:dyDescent="0.2">
      <c r="A515" s="176" t="s">
        <v>1229</v>
      </c>
      <c r="B515" s="13" t="s">
        <v>12</v>
      </c>
      <c r="C515" s="13" t="b">
        <f t="shared" si="7"/>
        <v>1</v>
      </c>
      <c r="D515" s="13"/>
      <c r="E515" s="63"/>
      <c r="F515" s="13"/>
      <c r="G515" s="13"/>
      <c r="H515" s="13" t="s">
        <v>68</v>
      </c>
      <c r="I515" s="101" t="s">
        <v>44</v>
      </c>
      <c r="J515" s="101"/>
      <c r="K515" s="6">
        <f>[9]!'id376?req?ICE_STK_SMART_USD_~/'</f>
        <v>0</v>
      </c>
      <c r="L515" s="6" t="str">
        <f>[9]!id376?orderTypes</f>
        <v>ACTIVETIM,ADJUST,ALERT,ALGO,ALLOC,AON,AVGCOST,BASKET,COND,CONDORDER,DARKONLY,DARKPOLL,DAY,DEACT,DEACTDIS,DEACTEOD,DIS,GAT,GTC,GTD,GTT,HID,IBKRATS,ICE,IMB,IOC,LIT,LMT,LOC,MIT,MKT,MOC,MTL,NGCOMB,NODARK,NONALGO,OCA,OPG,OPGREROUT,PEGBENCH,POSTONLY,PREOPGRTH,R</v>
      </c>
      <c r="M515" s="6" t="str">
        <f>[9]!id376?validExchanges</f>
        <v>SMART,NYSE,CBOE,ISE,CHX,ARCA,ISLAND,DRCTEDGE,NSX,BEX,BATS,EDGEA,CSFBALGO,JEFFALGO,BYX,IEX,TPLUS2,PSX</v>
      </c>
      <c r="N515" s="6">
        <f>[9]!id376?conid</f>
        <v>136370275</v>
      </c>
      <c r="O515" s="6">
        <f>[9]!id376?minTick</f>
        <v>0.01</v>
      </c>
      <c r="P515" s="6">
        <f>[9]!id376?multiplier</f>
        <v>0</v>
      </c>
      <c r="Q515" s="6" t="str">
        <f>[9]!id376?marketName</f>
        <v>ICE</v>
      </c>
      <c r="R515" s="6" t="str">
        <f>[9]!id376?tradingClass</f>
        <v>ICE</v>
      </c>
    </row>
    <row r="516" spans="1:18" hidden="1" x14ac:dyDescent="0.2">
      <c r="A516" s="176" t="s">
        <v>1230</v>
      </c>
      <c r="B516" s="13" t="s">
        <v>12</v>
      </c>
      <c r="C516" s="13" t="b">
        <f t="shared" si="7"/>
        <v>1</v>
      </c>
      <c r="D516" s="13"/>
      <c r="E516" s="63"/>
      <c r="F516" s="13"/>
      <c r="G516" s="13"/>
      <c r="H516" s="13" t="s">
        <v>68</v>
      </c>
      <c r="I516" s="101" t="s">
        <v>44</v>
      </c>
      <c r="J516" s="101"/>
      <c r="K516" s="6">
        <f>[9]!'id377?req?PRGO_STK_SMART_USD_~/'</f>
        <v>0</v>
      </c>
      <c r="L516" s="6" t="str">
        <f>[9]!id377?orderTypes</f>
        <v>ACTIVETIM,ADJUST,ALERT,ALGO,ALLOC,AON,AVGCOST,BASKET,COND,CONDORDER,DARKONLY,DARKPOLL,DAY,DEACT,DEACTDIS,DEACTEOD,DIS,GAT,GTC,GTD,GTT,HID,IBKRATS,ICE,IMB,IOC,LIT,LMT,LOC,MIT,MKT,MOC,MTL,NGCOMB,NODARK,NONALGO,OCA,OPG,OPGREROUT,PEGBENCH,POSTONLY,PREOPGRTH,R</v>
      </c>
      <c r="M516" s="6" t="str">
        <f>[9]!id377?validExchanges</f>
        <v>SMART,NYSE,CBOE,ISE,CHX,ARCA,ISLAND,VWAP,DRCTEDGE,NSX,BEX,BATS,EDGEA,CSFBALGO,JEFFALGO,BYX,IEX,TPLUS2,PSX</v>
      </c>
      <c r="N516" s="6">
        <f>[9]!id377?conid</f>
        <v>140067524</v>
      </c>
      <c r="O516" s="6">
        <f>[9]!id377?minTick</f>
        <v>0.01</v>
      </c>
      <c r="P516" s="6">
        <f>[9]!id377?multiplier</f>
        <v>0</v>
      </c>
      <c r="Q516" s="6" t="str">
        <f>[9]!id377?marketName</f>
        <v>PRGO</v>
      </c>
      <c r="R516" s="6" t="str">
        <f>[9]!id377?tradingClass</f>
        <v>PRGO</v>
      </c>
    </row>
    <row r="517" spans="1:18" hidden="1" x14ac:dyDescent="0.2">
      <c r="A517" s="176" t="s">
        <v>1231</v>
      </c>
      <c r="B517" s="13" t="s">
        <v>12</v>
      </c>
      <c r="C517" s="13" t="b">
        <f t="shared" si="7"/>
        <v>0</v>
      </c>
      <c r="D517" s="13"/>
      <c r="E517" s="63"/>
      <c r="F517" s="13"/>
      <c r="G517" s="13"/>
      <c r="H517" s="13" t="s">
        <v>68</v>
      </c>
      <c r="I517" s="101" t="s">
        <v>44</v>
      </c>
      <c r="J517" s="101"/>
      <c r="K517" s="6">
        <f>[9]!'id378?req?ENDP_STK_SMART_USD_~/'</f>
        <v>0</v>
      </c>
      <c r="L517" s="6" t="str">
        <f>[9]!id378?orderTypes</f>
        <v>ACTIVETIM,ADJUST,ALERT,ALGO,ALLOC,AON,AVGCOST,BASKET,COND,CONDORDER,DARKONLY,DARKPOLL,DAY,DEACT,DEACTDIS,DEACTEOD,DIS,GAT,GTC,GTD,GTT,HID,IBKRATS,ICE,IMB,IOC,LIT,LMT,LOC,MIT,MKT,MOC,MTL,NGCOMB,NODARK,NONALGO,OCA,OPG,OPGREROUT,PEGBENCH,POSTONLY,PREOPGRTH,R</v>
      </c>
      <c r="M517" s="6" t="str">
        <f>[9]!id378?validExchanges</f>
        <v>SMART,CBOE,ISE,CHX,ARCA,ISLAND,DRCTEDGE,NSX,BEX,BATS,EDGEA,CSFBALGO,JEFFALGO,BYX,IEX,TPLUS2,PSX</v>
      </c>
      <c r="N517" s="6">
        <f>[9]!id378?conid</f>
        <v>145588883</v>
      </c>
      <c r="O517" s="6">
        <f>[9]!id378?minTick</f>
        <v>0.01</v>
      </c>
      <c r="P517" s="6">
        <f>[9]!id378?multiplier</f>
        <v>0</v>
      </c>
      <c r="Q517" s="6" t="str">
        <f>[9]!id378?marketName</f>
        <v>NMS</v>
      </c>
      <c r="R517" s="6" t="str">
        <f>[9]!id378?tradingClass</f>
        <v>NMS</v>
      </c>
    </row>
    <row r="518" spans="1:18" hidden="1" x14ac:dyDescent="0.2">
      <c r="A518" s="176" t="s">
        <v>1232</v>
      </c>
      <c r="B518" s="13" t="s">
        <v>12</v>
      </c>
      <c r="C518" s="13" t="b">
        <f t="shared" si="7"/>
        <v>0</v>
      </c>
      <c r="D518" s="13"/>
      <c r="E518" s="63"/>
      <c r="F518" s="13"/>
      <c r="G518" s="13"/>
      <c r="H518" s="13" t="s">
        <v>68</v>
      </c>
      <c r="I518" s="101" t="s">
        <v>44</v>
      </c>
      <c r="J518" s="101"/>
      <c r="K518" s="6">
        <f>[9]!'id379?req?NAVI_STK_SMART_USD_~/'</f>
        <v>0</v>
      </c>
      <c r="L518" s="6" t="str">
        <f>[9]!id379?orderTypes</f>
        <v>ACTIVETIM,ADJUST,ALERT,ALGO,ALLOC,AON,AVGCOST,BASKET,COND,CONDORDER,DARKONLY,DARKPOLL,DAY,DEACT,DEACTDIS,DEACTEOD,DIS,GAT,GTC,GTD,GTT,HID,IBKRATS,ICE,IMB,IOC,LIT,LMT,LOC,MIT,MKT,MOC,MTL,NGCOMB,NODARK,NONALGO,OCA,OPG,OPGREROUT,PEGBENCH,POSTONLY,PREOPGRTH,R</v>
      </c>
      <c r="M518" s="6" t="str">
        <f>[9]!id379?validExchanges</f>
        <v>SMART,CBOE,ISE,CHX,ARCA,ISLAND,DRCTEDGE,NSX,BEX,BATS,EDGEA,CSFBALGO,JEFFALGO,BYX,IEX,TPLUS2,PSX</v>
      </c>
      <c r="N518" s="6">
        <f>[9]!id379?conid</f>
        <v>148782986</v>
      </c>
      <c r="O518" s="6">
        <f>[9]!id379?minTick</f>
        <v>0.01</v>
      </c>
      <c r="P518" s="6">
        <f>[9]!id379?multiplier</f>
        <v>0</v>
      </c>
      <c r="Q518" s="6" t="str">
        <f>[9]!id379?marketName</f>
        <v>NMS</v>
      </c>
      <c r="R518" s="6" t="str">
        <f>[9]!id379?tradingClass</f>
        <v>NMS</v>
      </c>
    </row>
    <row r="519" spans="1:18" hidden="1" x14ac:dyDescent="0.2">
      <c r="A519" s="176" t="s">
        <v>1233</v>
      </c>
      <c r="B519" s="13" t="s">
        <v>12</v>
      </c>
      <c r="C519" s="13" t="b">
        <f t="shared" si="7"/>
        <v>1</v>
      </c>
      <c r="D519" s="13"/>
      <c r="E519" s="63"/>
      <c r="F519" s="13"/>
      <c r="G519" s="13"/>
      <c r="H519" s="13" t="s">
        <v>68</v>
      </c>
      <c r="I519" s="101" t="s">
        <v>44</v>
      </c>
      <c r="J519" s="101"/>
      <c r="K519" s="6">
        <f>[9]!'id380?req?PNR_STK_SMART_USD_~/'</f>
        <v>0</v>
      </c>
      <c r="L519" s="6" t="str">
        <f>[9]!id380?orderTypes</f>
        <v>ACTIVETIM,ADJUST,ALERT,ALGO,ALLOC,AON,AVGCOST,BASKET,COND,CONDORDER,DARKONLY,DARKPOLL,DAY,DEACT,DEACTDIS,DEACTEOD,DIS,GAT,GTC,GTD,GTT,HID,IBKRATS,ICE,IMB,IOC,LIT,LMT,LOC,MIT,MKT,MOC,MTL,NGCOMB,NODARK,NONALGO,OCA,OPG,OPGREROUT,PEGBENCH,POSTONLY,PREOPGRTH,R</v>
      </c>
      <c r="M519" s="6" t="str">
        <f>[9]!id380?validExchanges</f>
        <v>SMART,NYSE,CBOE,ISE,CHX,ARCA,ISLAND,DRCTEDGE,NSX,BEX,BATS,EDGEA,CSFBALGO,JEFFALGO,BYX,IEX,TPLUS2,PSX</v>
      </c>
      <c r="N519" s="6">
        <f>[9]!id380?conid</f>
        <v>153068487</v>
      </c>
      <c r="O519" s="6">
        <f>[9]!id380?minTick</f>
        <v>0.01</v>
      </c>
      <c r="P519" s="6">
        <f>[9]!id380?multiplier</f>
        <v>0</v>
      </c>
      <c r="Q519" s="6" t="str">
        <f>[9]!id380?marketName</f>
        <v>PNR</v>
      </c>
      <c r="R519" s="6" t="str">
        <f>[9]!id380?tradingClass</f>
        <v>PNR</v>
      </c>
    </row>
    <row r="520" spans="1:18" hidden="1" x14ac:dyDescent="0.2">
      <c r="A520" s="176" t="s">
        <v>1234</v>
      </c>
      <c r="B520" s="13" t="s">
        <v>12</v>
      </c>
      <c r="C520" s="13" t="b">
        <f t="shared" si="7"/>
        <v>1</v>
      </c>
      <c r="D520" s="13"/>
      <c r="E520" s="63"/>
      <c r="F520" s="13"/>
      <c r="G520" s="13"/>
      <c r="H520" s="13" t="s">
        <v>68</v>
      </c>
      <c r="I520" s="101" t="s">
        <v>44</v>
      </c>
      <c r="J520" s="101"/>
      <c r="K520" s="6">
        <f>[9]!'id381?req?SYF_STK_SMART_USD_~/'</f>
        <v>0</v>
      </c>
      <c r="L520" s="6" t="str">
        <f>[9]!id381?orderTypes</f>
        <v>ACTIVETIM,ADJUST,ALERT,ALGO,ALLOC,AON,AVGCOST,BASKET,COND,CONDORDER,DARKONLY,DARKPOLL,DAY,DEACT,DEACTDIS,DEACTEOD,DIS,GAT,GTC,GTD,GTT,HID,IBKRATS,ICE,IMB,IOC,LIT,LMT,LOC,MIT,MKT,MOC,MTL,NGCOMB,NODARK,NONALGO,OCA,OPG,OPGREROUT,PEGBENCH,POSTONLY,PREOPGRTH,R</v>
      </c>
      <c r="M520" s="6" t="str">
        <f>[9]!id381?validExchanges</f>
        <v>SMART,NYSE,CBOE,ISE,CHX,ARCA,ISLAND,DRCTEDGE,NSX,BEX,BATS,EDGEA,CSFBALGO,JEFFALGO,BYX,IEX,TPLUS2,PSX</v>
      </c>
      <c r="N520" s="6">
        <f>[9]!id381?conid</f>
        <v>162231797</v>
      </c>
      <c r="O520" s="6">
        <f>[9]!id381?minTick</f>
        <v>0.01</v>
      </c>
      <c r="P520" s="6">
        <f>[9]!id381?multiplier</f>
        <v>0</v>
      </c>
      <c r="Q520" s="6" t="str">
        <f>[9]!id381?marketName</f>
        <v>SYF</v>
      </c>
      <c r="R520" s="6" t="str">
        <f>[9]!id381?tradingClass</f>
        <v>SYF</v>
      </c>
    </row>
    <row r="521" spans="1:18" hidden="1" x14ac:dyDescent="0.2">
      <c r="A521" s="176" t="s">
        <v>1235</v>
      </c>
      <c r="B521" s="13" t="s">
        <v>12</v>
      </c>
      <c r="C521" s="13" t="b">
        <f t="shared" si="7"/>
        <v>1</v>
      </c>
      <c r="D521" s="13"/>
      <c r="E521" s="63"/>
      <c r="F521" s="13"/>
      <c r="G521" s="13"/>
      <c r="H521" s="13" t="s">
        <v>68</v>
      </c>
      <c r="I521" s="101" t="s">
        <v>44</v>
      </c>
      <c r="J521" s="101"/>
      <c r="K521" s="6">
        <f>[9]!'id382?req?TYC_STK_SMART_USD_~/'</f>
        <v>0</v>
      </c>
      <c r="L521" s="6" t="str">
        <f>[9]!id382?orderTypes</f>
        <v>ACTIVETIM,ADJUST,ALERT,ALGO,ALLOC,AON,AVGCOST,BASKET,COND,CONDORDER,DARKONLY,DARKPOLL,DAY,DEACT,DEACTDIS,DEACTEOD,DIS,GAT,GTC,GTD,GTT,HID,IBKRATS,ICE,IMB,IOC,LIT,LMT,LOC,MIT,MKT,MOC,MTL,NGCOMB,NODARK,NONALGO,OCA,OPG,OPGREROUT,PEGBENCH,POSTONLY,PREOPGRTH,R</v>
      </c>
      <c r="M521" s="6" t="str">
        <f>[9]!id382?validExchanges</f>
        <v>SMART,NYSE,CBOE,ISE,CHX,ARCA,ISLAND,DRCTEDGE,NSX,BEX,BATS,EDGEA,CSFBALGO,JEFFALGO,BYX,IEX,TPLUS2,PSX</v>
      </c>
      <c r="N521" s="6">
        <f>[9]!id382?conid</f>
        <v>173432513</v>
      </c>
      <c r="O521" s="6">
        <f>[9]!id382?minTick</f>
        <v>0.01</v>
      </c>
      <c r="P521" s="6">
        <f>[9]!id382?multiplier</f>
        <v>0</v>
      </c>
      <c r="Q521" s="6" t="str">
        <f>[9]!id382?marketName</f>
        <v>TYC</v>
      </c>
      <c r="R521" s="6" t="str">
        <f>[9]!id382?tradingClass</f>
        <v>TYC</v>
      </c>
    </row>
    <row r="522" spans="1:18" hidden="1" x14ac:dyDescent="0.2">
      <c r="A522" s="176" t="s">
        <v>1236</v>
      </c>
      <c r="B522" s="13" t="s">
        <v>12</v>
      </c>
      <c r="C522" s="13" t="b">
        <f t="shared" si="7"/>
        <v>1</v>
      </c>
      <c r="D522" s="13"/>
      <c r="E522" s="63"/>
      <c r="F522" s="13"/>
      <c r="G522" s="13"/>
      <c r="H522" s="13" t="s">
        <v>68</v>
      </c>
      <c r="I522" s="101" t="s">
        <v>44</v>
      </c>
      <c r="J522" s="101"/>
      <c r="K522" s="6">
        <f>[9]!'id383?req?ANTM_STK_SMART_USD_~/'</f>
        <v>0</v>
      </c>
      <c r="L522" s="6" t="str">
        <f>[9]!id383?orderTypes</f>
        <v>ACTIVETIM,ADJUST,ALERT,ALGO,ALLOC,AON,AVGCOST,BASKET,COND,CONDORDER,DARKONLY,DARKPOLL,DAY,DEACT,DEACTDIS,DEACTEOD,DIS,GAT,GTC,GTD,GTT,HID,IBKRATS,ICE,IMB,IOC,LIT,LMT,LOC,MIT,MKT,MOC,MTL,NGCOMB,NODARK,NONALGO,OCA,OPG,OPGREROUT,PEGBENCH,POSTONLY,PREOPGRTH,R</v>
      </c>
      <c r="M522" s="6" t="str">
        <f>[9]!id383?validExchanges</f>
        <v>SMART,NYSE,CBOE,ISE,CHX,ARCA,ISLAND,VWAP,DRCTEDGE,NSX,BEX,BATS,EDGEA,CSFBALGO,JEFFALGO,BYX,IEX,TPLUS2,PSX</v>
      </c>
      <c r="N522" s="6">
        <f>[9]!id383?conid</f>
        <v>173962302</v>
      </c>
      <c r="O522" s="6">
        <f>[9]!id383?minTick</f>
        <v>0.01</v>
      </c>
      <c r="P522" s="6">
        <f>[9]!id383?multiplier</f>
        <v>0</v>
      </c>
      <c r="Q522" s="6" t="str">
        <f>[9]!id383?marketName</f>
        <v>ANTM</v>
      </c>
      <c r="R522" s="6" t="str">
        <f>[9]!id383?tradingClass</f>
        <v>ANTM</v>
      </c>
    </row>
    <row r="523" spans="1:18" hidden="1" x14ac:dyDescent="0.2">
      <c r="A523" s="176" t="s">
        <v>1237</v>
      </c>
      <c r="B523" s="13" t="s">
        <v>12</v>
      </c>
      <c r="C523" s="13" t="b">
        <f t="shared" si="7"/>
        <v>1</v>
      </c>
      <c r="D523" s="13"/>
      <c r="E523" s="63"/>
      <c r="F523" s="13"/>
      <c r="G523" s="13"/>
      <c r="H523" s="13" t="s">
        <v>68</v>
      </c>
      <c r="I523" s="101" t="s">
        <v>44</v>
      </c>
      <c r="J523" s="101"/>
      <c r="K523" s="6">
        <f>[9]!'id384?req?CCI_STK_SMART_USD_~/'</f>
        <v>0</v>
      </c>
      <c r="L523" s="6" t="str">
        <f>[9]!id384?orderTypes</f>
        <v>ACTIVETIM,ADJUST,ALERT,ALGO,ALLOC,AON,AVGCOST,BASKET,COND,CONDORDER,DARKONLY,DARKPOLL,DAY,DEACT,DEACTDIS,DEACTEOD,DIS,GAT,GTC,GTD,GTT,HID,IBKRATS,ICE,IMB,IOC,LIT,LMT,LOC,MIT,MKT,MOC,MTL,NGCOMB,NODARK,NONALGO,OCA,OPG,OPGREROUT,PEGBENCH,POSTONLY,PREOPGRTH,R</v>
      </c>
      <c r="M523" s="6" t="str">
        <f>[9]!id384?validExchanges</f>
        <v>SMART,NYSE,CBOE,ISE,CHX,ARCA,ISLAND,DRCTEDGE,NSX,BEX,BATS,EDGEA,CSFBALGO,JEFFALGO,BYX,IEX,TPLUS2,PSX</v>
      </c>
      <c r="N523" s="6">
        <f>[9]!id384?conid</f>
        <v>176571182</v>
      </c>
      <c r="O523" s="6">
        <f>[9]!id384?minTick</f>
        <v>0.01</v>
      </c>
      <c r="P523" s="6">
        <f>[9]!id384?multiplier</f>
        <v>0</v>
      </c>
      <c r="Q523" s="6" t="str">
        <f>[9]!id384?marketName</f>
        <v>CCI</v>
      </c>
      <c r="R523" s="6" t="str">
        <f>[9]!id384?tradingClass</f>
        <v>CCI</v>
      </c>
    </row>
    <row r="524" spans="1:18" hidden="1" x14ac:dyDescent="0.2">
      <c r="A524" s="176" t="s">
        <v>1238</v>
      </c>
      <c r="B524" s="13" t="s">
        <v>12</v>
      </c>
      <c r="C524" s="13" t="b">
        <f t="shared" si="7"/>
        <v>1</v>
      </c>
      <c r="D524" s="13"/>
      <c r="E524" s="63"/>
      <c r="F524" s="13"/>
      <c r="G524" s="13"/>
      <c r="H524" s="13" t="s">
        <v>68</v>
      </c>
      <c r="I524" s="101" t="s">
        <v>44</v>
      </c>
      <c r="J524" s="101"/>
      <c r="K524" s="6">
        <f>[9]!'id385?req?MDT_STK_SMART_USD_~/'</f>
        <v>0</v>
      </c>
      <c r="L524" s="6" t="str">
        <f>[9]!id385?orderTypes</f>
        <v>ACTIVETIM,ADJUST,ALERT,ALGO,ALLOC,AON,AVGCOST,BASKET,COND,CONDORDER,DARKONLY,DARKPOLL,DAY,DEACT,DEACTDIS,DEACTEOD,DIS,GAT,GTC,GTD,GTT,HID,IBKRATS,ICE,IMB,IOC,LIT,LMT,LOC,MIT,MKT,MOC,MTL,NGCOMB,NODARK,NONALGO,OCA,OPG,OPGREROUT,PEGBENCH,POSTONLY,PREOPGRTH,R</v>
      </c>
      <c r="M524" s="6" t="str">
        <f>[9]!id385?validExchanges</f>
        <v>SMART,NYSE,CBOE,ISE,CHX,ARCA,ISLAND,VWAP,DRCTEDGE,NSX,BEX,BATS,EDGEA,CSFBALGO,JEFFALGO,BYX,IEX,TPLUS2,PSX</v>
      </c>
      <c r="N524" s="6">
        <f>[9]!id385?conid</f>
        <v>181387075</v>
      </c>
      <c r="O524" s="6">
        <f>[9]!id385?minTick</f>
        <v>0.01</v>
      </c>
      <c r="P524" s="6">
        <f>[9]!id385?multiplier</f>
        <v>0</v>
      </c>
      <c r="Q524" s="6" t="str">
        <f>[9]!id385?marketName</f>
        <v>MDT</v>
      </c>
      <c r="R524" s="6" t="str">
        <f>[9]!id385?tradingClass</f>
        <v>MDT</v>
      </c>
    </row>
    <row r="525" spans="1:18" hidden="1" x14ac:dyDescent="0.2">
      <c r="A525" s="176" t="s">
        <v>1239</v>
      </c>
      <c r="B525" s="13" t="s">
        <v>12</v>
      </c>
      <c r="C525" s="13" t="b">
        <f t="shared" si="7"/>
        <v>0</v>
      </c>
      <c r="D525" s="13"/>
      <c r="E525" s="63"/>
      <c r="F525" s="13"/>
      <c r="G525" s="13"/>
      <c r="H525" s="13" t="s">
        <v>68</v>
      </c>
      <c r="I525" s="101" t="s">
        <v>44</v>
      </c>
      <c r="J525" s="101"/>
      <c r="K525" s="6">
        <f>[9]!'id386?req?WBA_STK_SMART_USD_~/'</f>
        <v>0</v>
      </c>
      <c r="L525" s="6" t="str">
        <f>[9]!id386?orderTypes</f>
        <v>ACTIVETIM,ADJUST,ALERT,ALGO,ALLOC,AON,AVGCOST,BASKET,COND,CONDORDER,DARKONLY,DARKPOLL,DAY,DEACT,DEACTDIS,DEACTEOD,DIS,GAT,GTC,GTD,GTT,HID,IBKRATS,ICE,IMB,IOC,LIT,LMT,LOC,MIT,MKT,MOC,MTL,NGCOMB,NODARK,NONALGO,OCA,OPG,OPGREROUT,PEGBENCH,POSTONLY,PREOPGRTH,R</v>
      </c>
      <c r="M525" s="6" t="str">
        <f>[9]!id386?validExchanges</f>
        <v>SMART,CBOE,ISE,CHX,ARCA,ISLAND,VWAP,DRCTEDGE,NSX,BEX,BATS,EDGEA,CSFBALGO,JEFFALGO,BYX,IEX,TPLUS2,PSX</v>
      </c>
      <c r="N525" s="6">
        <f>[9]!id386?conid</f>
        <v>178634687</v>
      </c>
      <c r="O525" s="6">
        <f>[9]!id386?minTick</f>
        <v>0.01</v>
      </c>
      <c r="P525" s="6">
        <f>[9]!id386?multiplier</f>
        <v>0</v>
      </c>
      <c r="Q525" s="6" t="str">
        <f>[9]!id386?marketName</f>
        <v>NMS</v>
      </c>
      <c r="R525" s="6" t="str">
        <f>[9]!id386?tradingClass</f>
        <v>NMS</v>
      </c>
    </row>
    <row r="526" spans="1:18" hidden="1" x14ac:dyDescent="0.2">
      <c r="A526" s="176" t="s">
        <v>1240</v>
      </c>
      <c r="B526" s="13" t="s">
        <v>12</v>
      </c>
      <c r="C526" s="13" t="b">
        <f t="shared" si="7"/>
        <v>0</v>
      </c>
      <c r="D526" s="13"/>
      <c r="E526" s="63"/>
      <c r="F526" s="13"/>
      <c r="G526" s="13"/>
      <c r="H526" s="13" t="s">
        <v>68</v>
      </c>
      <c r="I526" s="101" t="s">
        <v>44</v>
      </c>
      <c r="J526" s="101"/>
      <c r="K526" s="6">
        <f>[9]!'id387?req?MYL_STK_SMART_USD_~/'</f>
        <v>0</v>
      </c>
      <c r="L526" s="6" t="str">
        <f>[9]!id387?orderTypes</f>
        <v>ACTIVETIM,ADJUST,ALERT,ALGO,ALLOC,AON,AVGCOST,BASKET,COND,CONDORDER,DARKONLY,DARKPOLL,DAY,DEACT,DEACTDIS,DEACTEOD,DIS,GAT,GTC,GTD,GTT,HID,IBKRATS,ICE,IMB,IOC,LIT,LMT,LOC,MIT,MKT,MOC,MTL,NGCOMB,NODARK,NONALGO,OCA,OPG,OPGREROUT,PEGBENCH,POSTONLY,PREOPGRTH,R</v>
      </c>
      <c r="M526" s="6" t="str">
        <f>[9]!id387?validExchanges</f>
        <v>SMART,CBOE,ISE,CHX,ARCA,ISLAND,VWAP,DRCTEDGE,NSX,BEX,BATS,EDGEA,CSFBALGO,JEFFALGO,BYX,IEX,TPLUS2,PSX</v>
      </c>
      <c r="N526" s="6">
        <f>[9]!id387?conid</f>
        <v>185731883</v>
      </c>
      <c r="O526" s="6">
        <f>[9]!id387?minTick</f>
        <v>0.01</v>
      </c>
      <c r="P526" s="6">
        <f>[9]!id387?multiplier</f>
        <v>0</v>
      </c>
      <c r="Q526" s="6" t="str">
        <f>[9]!id387?marketName</f>
        <v>NMS</v>
      </c>
      <c r="R526" s="6" t="str">
        <f>[9]!id387?tradingClass</f>
        <v>NMS</v>
      </c>
    </row>
    <row r="527" spans="1:18" hidden="1" x14ac:dyDescent="0.2">
      <c r="A527" s="176" t="s">
        <v>1241</v>
      </c>
      <c r="B527" s="13" t="s">
        <v>12</v>
      </c>
      <c r="C527" s="13" t="b">
        <f t="shared" si="7"/>
        <v>1</v>
      </c>
      <c r="D527" s="13"/>
      <c r="E527" s="63"/>
      <c r="F527" s="13"/>
      <c r="G527" s="13"/>
      <c r="H527" s="13" t="s">
        <v>68</v>
      </c>
      <c r="I527" s="101" t="s">
        <v>44</v>
      </c>
      <c r="J527" s="101"/>
      <c r="K527" s="6">
        <f>[9]!'id388?req?IRM_STK_SMART_USD_~/'</f>
        <v>0</v>
      </c>
      <c r="L527" s="6" t="str">
        <f>[9]!id388?orderTypes</f>
        <v>ACTIVETIM,ADJUST,ALERT,ALGO,ALLOC,AON,AVGCOST,BASKET,COND,CONDORDER,DARKONLY,DARKPOLL,DAY,DEACT,DEACTDIS,DEACTEOD,DIS,GAT,GTC,GTD,GTT,HID,IBKRATS,ICE,IMB,IOC,LIT,LMT,LOC,MIT,MKT,MOC,MTL,NGCOMB,NODARK,NONALGO,OCA,OPG,OPGREROUT,PEGBENCH,POSTONLY,PREOPGRTH,R</v>
      </c>
      <c r="M527" s="6" t="str">
        <f>[9]!id388?validExchanges</f>
        <v>SMART,NYSE,CBOE,ISE,CHX,ARCA,ISLAND,DRCTEDGE,NSX,BEX,BATS,EDGEA,CSFBALGO,JEFFALGO,BYX,IEX,TPLUS2,PSX</v>
      </c>
      <c r="N527" s="6">
        <f>[9]!id388?conid</f>
        <v>180350774</v>
      </c>
      <c r="O527" s="6">
        <f>[9]!id388?minTick</f>
        <v>0.01</v>
      </c>
      <c r="P527" s="6">
        <f>[9]!id388?multiplier</f>
        <v>0</v>
      </c>
      <c r="Q527" s="6" t="str">
        <f>[9]!id388?marketName</f>
        <v>IRM</v>
      </c>
      <c r="R527" s="6" t="str">
        <f>[9]!id388?tradingClass</f>
        <v>IRM</v>
      </c>
    </row>
    <row r="528" spans="1:18" hidden="1" x14ac:dyDescent="0.2">
      <c r="A528" s="176" t="s">
        <v>1242</v>
      </c>
      <c r="B528" s="13" t="s">
        <v>12</v>
      </c>
      <c r="C528" s="13" t="b">
        <f t="shared" si="7"/>
        <v>0</v>
      </c>
      <c r="D528" s="13"/>
      <c r="E528" s="63"/>
      <c r="F528" s="13"/>
      <c r="G528" s="13"/>
      <c r="H528" s="13" t="s">
        <v>68</v>
      </c>
      <c r="I528" s="101" t="s">
        <v>44</v>
      </c>
      <c r="J528" s="101"/>
      <c r="K528" s="6">
        <f>[9]!'id389?req?EQIX_STK_SMART_USD_~/'</f>
        <v>0</v>
      </c>
      <c r="L528" s="6" t="str">
        <f>[9]!id389?orderTypes</f>
        <v>ACTIVETIM,ADJUST,ALERT,ALGO,ALLOC,AON,AVGCOST,BASKET,COND,CONDORDER,DARKONLY,DARKPOLL,DAY,DEACT,DEACTDIS,DEACTEOD,DIS,GAT,GTC,GTD,GTT,HID,IBKRATS,ICE,IMB,IOC,LIT,LMT,LOC,MIT,MKT,MOC,MTL,NGCOMB,NODARK,NONALGO,OCA,OPG,OPGREROUT,PEGBENCH,POSTONLY,PREOPGRTH,R</v>
      </c>
      <c r="M528" s="6" t="str">
        <f>[9]!id389?validExchanges</f>
        <v>SMART,CBOE,ISE,CHX,ARCA,ISLAND,DRCTEDGE,NSX,BEX,BATS,EDGEA,CSFBALGO,JEFFALGO,BYX,IEX,TPLUS2,PSX</v>
      </c>
      <c r="N528" s="6">
        <f>[9]!id389?conid</f>
        <v>181764593</v>
      </c>
      <c r="O528" s="6">
        <f>[9]!id389?minTick</f>
        <v>0.01</v>
      </c>
      <c r="P528" s="6">
        <f>[9]!id389?multiplier</f>
        <v>0</v>
      </c>
      <c r="Q528" s="6" t="str">
        <f>[9]!id389?marketName</f>
        <v>NMS</v>
      </c>
      <c r="R528" s="6" t="str">
        <f>[9]!id389?tradingClass</f>
        <v>NMS</v>
      </c>
    </row>
    <row r="529" spans="1:18" hidden="1" x14ac:dyDescent="0.2">
      <c r="A529" s="176" t="s">
        <v>1243</v>
      </c>
      <c r="B529" s="13" t="s">
        <v>12</v>
      </c>
      <c r="C529" s="13" t="b">
        <f t="shared" si="7"/>
        <v>1</v>
      </c>
      <c r="D529" s="13"/>
      <c r="E529" s="63"/>
      <c r="F529" s="13"/>
      <c r="G529" s="13"/>
      <c r="H529" s="13" t="s">
        <v>68</v>
      </c>
      <c r="I529" s="101" t="s">
        <v>44</v>
      </c>
      <c r="J529" s="101"/>
      <c r="K529" s="6">
        <f>[9]!'id390?req?NLSN_STK_SMART_USD_~/'</f>
        <v>0</v>
      </c>
      <c r="L529" s="6" t="str">
        <f>[9]!id390?orderTypes</f>
        <v>ACTIVETIM,ADJUST,ALERT,ALGO,ALLOC,AON,AVGCOST,BASKET,COND,CONDORDER,DARKONLY,DARKPOLL,DAY,DEACT,DEACTDIS,DEACTEOD,DIS,GAT,GTC,GTD,GTT,HID,IBKRATS,ICE,IMB,IOC,LIT,LMT,LOC,MIT,MKT,MOC,MTL,NGCOMB,NODARK,NONALGO,OCA,OPG,OPGREROUT,PEGBENCH,POSTONLY,PREOPGRTH,R</v>
      </c>
      <c r="M529" s="6" t="str">
        <f>[9]!id390?validExchanges</f>
        <v>SMART,NYSE,CBOE,ISE,CHX,ARCA,ISLAND,DRCTEDGE,NSX,BEX,BATS,EDGEA,CSFBALGO,JEFFALGO,BYX,IEX,TPLUS2,PSX</v>
      </c>
      <c r="N529" s="6">
        <f>[9]!id390?conid</f>
        <v>204429726</v>
      </c>
      <c r="O529" s="6">
        <f>[9]!id390?minTick</f>
        <v>0.01</v>
      </c>
      <c r="P529" s="6">
        <f>[9]!id390?multiplier</f>
        <v>0</v>
      </c>
      <c r="Q529" s="6" t="str">
        <f>[9]!id390?marketName</f>
        <v>NLSN</v>
      </c>
      <c r="R529" s="6" t="str">
        <f>[9]!id390?tradingClass</f>
        <v>NLSN</v>
      </c>
    </row>
    <row r="530" spans="1:18" hidden="1" x14ac:dyDescent="0.2">
      <c r="A530" s="176" t="s">
        <v>1244</v>
      </c>
      <c r="B530" s="13" t="s">
        <v>12</v>
      </c>
      <c r="C530" s="13" t="b">
        <f t="shared" si="7"/>
        <v>1</v>
      </c>
      <c r="D530" s="13"/>
      <c r="E530" s="63"/>
      <c r="F530" s="13"/>
      <c r="G530" s="13"/>
      <c r="H530" s="13" t="s">
        <v>68</v>
      </c>
      <c r="I530" s="101" t="s">
        <v>44</v>
      </c>
      <c r="J530" s="101"/>
      <c r="K530" s="6">
        <f>[9]!'id391?req?CSRA_STK_SMART_USD_~/'</f>
        <v>0</v>
      </c>
      <c r="L530" s="6" t="str">
        <f>[9]!id391?orderTypes</f>
        <v>ACTIVETIM,ADJUST,ALERT,ALGO,ALLOC,AON,AVGCOST,BASKET,COND,CONDORDER,DARKONLY,DARKPOLL,DAY,DEACT,DEACTDIS,DEACTEOD,DIS,GAT,GTC,GTD,GTT,HID,IBKRATS,ICE,IMB,IOC,LIT,LMT,LOC,MIT,MKT,MOC,MTL,NGCOMB,NODARK,NONALGO,OCA,OPG,OPGREROUT,PEGBENCH,POSTONLY,PREOPGRTH,R</v>
      </c>
      <c r="M530" s="6" t="str">
        <f>[9]!id391?validExchanges</f>
        <v>SMART,NYSE,CBOE,ISE,CHX,ARCA,ISLAND,DRCTEDGE,NSX,BEX,BATS,EDGEA,CSFBALGO,JEFFALGO,BYX,IEX,TPLUS2,PSX</v>
      </c>
      <c r="N530" s="6">
        <f>[9]!id391?conid</f>
        <v>212212843</v>
      </c>
      <c r="O530" s="6">
        <f>[9]!id391?minTick</f>
        <v>0.01</v>
      </c>
      <c r="P530" s="6">
        <f>[9]!id391?multiplier</f>
        <v>0</v>
      </c>
      <c r="Q530" s="6" t="str">
        <f>[9]!id391?marketName</f>
        <v>CSRA</v>
      </c>
      <c r="R530" s="6" t="str">
        <f>[9]!id391?tradingClass</f>
        <v>CSRA</v>
      </c>
    </row>
    <row r="531" spans="1:18" hidden="1" x14ac:dyDescent="0.2">
      <c r="A531" s="176" t="s">
        <v>1245</v>
      </c>
      <c r="B531" s="13" t="s">
        <v>12</v>
      </c>
      <c r="C531" s="13" t="b">
        <f t="shared" si="7"/>
        <v>1</v>
      </c>
      <c r="D531" s="13"/>
      <c r="E531" s="63"/>
      <c r="F531" s="13"/>
      <c r="G531" s="13"/>
      <c r="H531" s="13" t="s">
        <v>68</v>
      </c>
      <c r="I531" s="101" t="s">
        <v>44</v>
      </c>
      <c r="J531" s="101"/>
      <c r="K531" s="6">
        <f>[9]!'id392?req?WRK_STK_SMART_USD_~/'</f>
        <v>0</v>
      </c>
      <c r="L531" s="6" t="str">
        <f>[9]!id392?orderTypes</f>
        <v>ACTIVETIM,ADJUST,ALERT,ALGO,ALLOC,AON,AVGCOST,BASKET,COND,CONDORDER,DARKONLY,DARKPOLL,DAY,DEACT,DEACTDIS,DEACTEOD,DIS,GAT,GTC,GTD,GTT,HID,IBKRATS,ICE,IMB,IOC,LIT,LMT,LOC,MIT,MKT,MOC,MTL,NGCOMB,NODARK,NONALGO,OCA,OPG,OPGREROUT,PEGBENCH,POSTONLY,PREOPGRTH,R</v>
      </c>
      <c r="M531" s="6" t="str">
        <f>[9]!id392?validExchanges</f>
        <v>SMART,NYSE,CBOE,ISE,CHX,ARCA,ISLAND,DRCTEDGE,NSX,BEX,BATS,EDGEA,CSFBALGO,JEFFALGO,BYX,IEX,TPLUS2,PSX</v>
      </c>
      <c r="N531" s="6">
        <f>[9]!id392?conid</f>
        <v>198032496</v>
      </c>
      <c r="O531" s="6">
        <f>[9]!id392?minTick</f>
        <v>0.01</v>
      </c>
      <c r="P531" s="6">
        <f>[9]!id392?multiplier</f>
        <v>0</v>
      </c>
      <c r="Q531" s="6" t="str">
        <f>[9]!id392?marketName</f>
        <v>WRK</v>
      </c>
      <c r="R531" s="6" t="str">
        <f>[9]!id392?tradingClass</f>
        <v>WRK</v>
      </c>
    </row>
    <row r="532" spans="1:18" hidden="1" x14ac:dyDescent="0.2">
      <c r="A532" s="176" t="s">
        <v>1246</v>
      </c>
      <c r="B532" s="13" t="s">
        <v>12</v>
      </c>
      <c r="C532" s="13" t="b">
        <f t="shared" si="7"/>
        <v>0</v>
      </c>
      <c r="D532" s="13"/>
      <c r="E532" s="63"/>
      <c r="F532" s="13"/>
      <c r="G532" s="13"/>
      <c r="H532" s="13" t="s">
        <v>68</v>
      </c>
      <c r="I532" s="101" t="s">
        <v>44</v>
      </c>
      <c r="J532" s="101"/>
      <c r="K532" s="6">
        <f>[9]!'id393?req?KHC_STK_SMART_USD_~/'</f>
        <v>0</v>
      </c>
      <c r="L532" s="6" t="str">
        <f>[9]!id393?orderTypes</f>
        <v>ACTIVETIM,ADJUST,ALERT,ALGO,ALLOC,AON,AVGCOST,BASKET,COND,CONDORDER,DARKONLY,DARKPOLL,DAY,DEACT,DEACTDIS,DEACTEOD,DIS,GAT,GTC,GTD,GTT,HID,IBKRATS,ICE,IMB,IOC,LIT,LMT,LOC,MIT,MKT,MOC,MTL,NGCOMB,NODARK,NONALGO,OCA,OPG,OPGREROUT,PEGBENCH,POSTONLY,PREOPGRTH,R</v>
      </c>
      <c r="M532" s="6" t="str">
        <f>[9]!id393?validExchanges</f>
        <v>SMART,CBOE,ISE,CHX,ARCA,ISLAND,DRCTEDGE,NSX,BEX,BATS,EDGEA,CSFBALGO,JEFFALGO,BYX,IEX,TPLUS2,PSX</v>
      </c>
      <c r="N532" s="6">
        <f>[9]!id393?conid</f>
        <v>199169586</v>
      </c>
      <c r="O532" s="6">
        <f>[9]!id393?minTick</f>
        <v>0.01</v>
      </c>
      <c r="P532" s="6">
        <f>[9]!id393?multiplier</f>
        <v>0</v>
      </c>
      <c r="Q532" s="6" t="str">
        <f>[9]!id393?marketName</f>
        <v>NMS</v>
      </c>
      <c r="R532" s="6" t="str">
        <f>[9]!id393?tradingClass</f>
        <v>NMS</v>
      </c>
    </row>
    <row r="533" spans="1:18" hidden="1" x14ac:dyDescent="0.2">
      <c r="A533" s="176" t="s">
        <v>1247</v>
      </c>
      <c r="B533" s="13" t="s">
        <v>12</v>
      </c>
      <c r="C533" s="13" t="b">
        <f t="shared" si="7"/>
        <v>1</v>
      </c>
      <c r="D533" s="13"/>
      <c r="E533" s="63"/>
      <c r="F533" s="13"/>
      <c r="G533" s="13"/>
      <c r="H533" s="13" t="s">
        <v>68</v>
      </c>
      <c r="I533" s="101" t="s">
        <v>44</v>
      </c>
      <c r="J533" s="101"/>
      <c r="K533" s="6">
        <f>[9]!'id394?req?HCN_STK_SMART_USD_~/'</f>
        <v>0</v>
      </c>
      <c r="L533" s="6" t="str">
        <f>[9]!id394?orderTypes</f>
        <v>ACTIVETIM,ADJUST,ALERT,ALGO,ALLOC,AON,AVGCOST,BASKET,COND,CONDORDER,DARKONLY,DARKPOLL,DAY,DEACT,DEACTDIS,DEACTEOD,DIS,GAT,GTC,GTD,GTT,HID,IBKRATS,ICE,IMB,IOC,LIT,LMT,LOC,MIT,MKT,MOC,MTL,NGCOMB,NODARK,NONALGO,OCA,OPG,OPGREROUT,PEGBENCH,POSTONLY,PREOPGRTH,R</v>
      </c>
      <c r="M533" s="6" t="str">
        <f>[9]!id394?validExchanges</f>
        <v>SMART,NYSE,CBOE,ISE,CHX,ARCA,ISLAND,DRCTEDGE,NSX,BEX,BATS,EDGEA,CSFBALGO,JEFFALGO,BYX,IEX,TPLUS2,PSX</v>
      </c>
      <c r="N533" s="6">
        <f>[9]!id394?conid</f>
        <v>207739931</v>
      </c>
      <c r="O533" s="6">
        <f>[9]!id394?minTick</f>
        <v>0.01</v>
      </c>
      <c r="P533" s="6">
        <f>[9]!id394?multiplier</f>
        <v>0</v>
      </c>
      <c r="Q533" s="6" t="str">
        <f>[9]!id394?marketName</f>
        <v>HCN</v>
      </c>
      <c r="R533" s="6" t="str">
        <f>[9]!id394?tradingClass</f>
        <v>HCN</v>
      </c>
    </row>
    <row r="534" spans="1:18" hidden="1" x14ac:dyDescent="0.2">
      <c r="A534" s="176" t="s">
        <v>1248</v>
      </c>
      <c r="B534" s="13" t="s">
        <v>12</v>
      </c>
      <c r="C534" s="13" t="b">
        <f t="shared" si="7"/>
        <v>1</v>
      </c>
      <c r="D534" s="13"/>
      <c r="E534" s="63"/>
      <c r="F534" s="13"/>
      <c r="G534" s="13"/>
      <c r="H534" s="13" t="s">
        <v>68</v>
      </c>
      <c r="I534" s="101" t="s">
        <v>44</v>
      </c>
      <c r="J534" s="101"/>
      <c r="K534" s="6">
        <f>[9]!'id395?req?HPE_STK_SMART_USD_~/'</f>
        <v>0</v>
      </c>
      <c r="L534" s="6" t="str">
        <f>[9]!id395?orderTypes</f>
        <v>ACTIVETIM,ADJUST,ALERT,ALGO,ALLOC,AON,AVGCOST,BASKET,COND,CONDORDER,DARKONLY,DARKPOLL,DAY,DEACT,DEACTDIS,DEACTEOD,DIS,GAT,GTC,GTD,GTT,HID,IBKRATS,ICE,IMB,IOC,LIT,LMT,LOC,MIT,MKT,MOC,MTL,NGCOMB,NODARK,NONALGO,OCA,OPG,OPGREROUT,PEGBENCH,POSTONLY,PREOPGRTH,R</v>
      </c>
      <c r="M534" s="6" t="str">
        <f>[9]!id395?validExchanges</f>
        <v>SMART,NYSE,CBOE,ISE,CHX,ARCA,ISLAND,DRCTEDGE,NSX,BEX,BATS,EDGEA,CSFBALGO,JEFFALGO,BYX,IEX,TPLUS2,PSX</v>
      </c>
      <c r="N534" s="6">
        <f>[9]!id395?conid</f>
        <v>209411798</v>
      </c>
      <c r="O534" s="6">
        <f>[9]!id395?minTick</f>
        <v>0.01</v>
      </c>
      <c r="P534" s="6">
        <f>[9]!id395?multiplier</f>
        <v>0</v>
      </c>
      <c r="Q534" s="6" t="str">
        <f>[9]!id395?marketName</f>
        <v>HPE</v>
      </c>
      <c r="R534" s="6" t="str">
        <f>[9]!id395?tradingClass</f>
        <v>HPE</v>
      </c>
    </row>
    <row r="535" spans="1:18" hidden="1" x14ac:dyDescent="0.2">
      <c r="A535" s="176" t="s">
        <v>1249</v>
      </c>
      <c r="B535" s="13" t="s">
        <v>12</v>
      </c>
      <c r="C535" s="13" t="b">
        <f t="shared" si="7"/>
        <v>0</v>
      </c>
      <c r="D535" s="13"/>
      <c r="E535" s="63"/>
      <c r="F535" s="13"/>
      <c r="G535" s="13"/>
      <c r="H535" s="13" t="s">
        <v>68</v>
      </c>
      <c r="I535" s="101" t="s">
        <v>44</v>
      </c>
      <c r="J535" s="101"/>
      <c r="K535" s="6">
        <f>[9]!'id396?req?PYPL_STK_SMART_USD_~/'</f>
        <v>0</v>
      </c>
      <c r="L535" s="6" t="str">
        <f>[9]!id396?orderTypes</f>
        <v>ACTIVETIM,ADJUST,ALERT,ALGO,ALLOC,AON,AVGCOST,BASKET,COND,CONDORDER,DARKONLY,DARKPOLL,DAY,DEACT,DEACTDIS,DEACTEOD,DIS,GAT,GTC,GTD,GTT,HID,IBKRATS,ICE,IMB,IOC,LIT,LMT,LOC,MIT,MKT,MOC,MTL,NGCOMB,NODARK,NONALGO,OCA,OPG,OPGREROUT,PEGBENCH,POSTONLY,PREOPGRTH,R</v>
      </c>
      <c r="M535" s="6" t="str">
        <f>[9]!id396?validExchanges</f>
        <v>SMART,CBOE,ISE,CHX,ARCA,ISLAND,DRCTEDGE,NSX,BEX,BATS,EDGEA,CSFBALGO,JEFFALGO,BYX,IEX,TPLUS2,PSX</v>
      </c>
      <c r="N535" s="6">
        <f>[9]!id396?conid</f>
        <v>199169591</v>
      </c>
      <c r="O535" s="6">
        <f>[9]!id396?minTick</f>
        <v>0.01</v>
      </c>
      <c r="P535" s="6">
        <f>[9]!id396?multiplier</f>
        <v>0</v>
      </c>
      <c r="Q535" s="6" t="str">
        <f>[9]!id396?marketName</f>
        <v>NMS</v>
      </c>
      <c r="R535" s="6" t="str">
        <f>[9]!id396?tradingClass</f>
        <v>NMS</v>
      </c>
    </row>
    <row r="536" spans="1:18" hidden="1" x14ac:dyDescent="0.2">
      <c r="A536" s="176" t="s">
        <v>1250</v>
      </c>
      <c r="B536" s="13" t="s">
        <v>12</v>
      </c>
      <c r="C536" s="13" t="b">
        <f t="shared" si="7"/>
        <v>1</v>
      </c>
      <c r="D536" s="13"/>
      <c r="E536" s="63"/>
      <c r="F536" s="13"/>
      <c r="G536" s="13"/>
      <c r="H536" s="13" t="s">
        <v>68</v>
      </c>
      <c r="I536" s="101" t="s">
        <v>44</v>
      </c>
      <c r="J536" s="101"/>
      <c r="K536" s="6">
        <f>[9]!'id397?req?HPQ_STK_SMART_USD_~/'</f>
        <v>0</v>
      </c>
      <c r="L536" s="6" t="str">
        <f>[9]!id397?orderTypes</f>
        <v>ACTIVETIM,ADJUST,ALERT,ALGO,ALLOC,AON,AVGCOST,BASKET,COND,CONDORDER,DARKONLY,DARKPOLL,DAY,DEACT,DEACTDIS,DEACTEOD,DIS,GAT,GTC,GTD,GTT,HID,IBKRATS,ICE,IMB,IOC,LIT,LMT,LOC,MIT,MKT,MOC,MTL,NGCOMB,NODARK,NONALGO,OCA,OPG,OPGREROUT,PEGBENCH,POSTONLY,PREOPGRTH,R</v>
      </c>
      <c r="M536" s="6" t="str">
        <f>[9]!id397?validExchanges</f>
        <v>SMART,NYSE,CBOE,ISE,CHX,ARCA,ISLAND,VWAP,DRCTEDGE,NSX,BEX,BATS,EDGEA,CSFBALGO,JEFFALGO,BYX,IEX,TPLUS2,PSX</v>
      </c>
      <c r="N536" s="6">
        <f>[9]!id397?conid</f>
        <v>209411801</v>
      </c>
      <c r="O536" s="6">
        <f>[9]!id397?minTick</f>
        <v>0.01</v>
      </c>
      <c r="P536" s="6">
        <f>[9]!id397?multiplier</f>
        <v>0</v>
      </c>
      <c r="Q536" s="6" t="str">
        <f>[9]!id397?marketName</f>
        <v>HPQ</v>
      </c>
      <c r="R536" s="6" t="str">
        <f>[9]!id397?tradingClass</f>
        <v>HPQ</v>
      </c>
    </row>
    <row r="537" spans="1:18" hidden="1" x14ac:dyDescent="0.2">
      <c r="A537" s="176" t="s">
        <v>1251</v>
      </c>
      <c r="B537" s="13" t="s">
        <v>12</v>
      </c>
      <c r="C537" s="13" t="b">
        <f t="shared" si="7"/>
        <v>1</v>
      </c>
      <c r="D537" s="13"/>
      <c r="E537" s="63"/>
      <c r="F537" s="13"/>
      <c r="G537" s="13"/>
      <c r="H537" s="13" t="s">
        <v>68</v>
      </c>
      <c r="I537" s="101" t="s">
        <v>44</v>
      </c>
      <c r="J537" s="101"/>
      <c r="K537" s="6">
        <f>[9]!'id398?req?WEC_STK_SMART_USD_~/'</f>
        <v>0</v>
      </c>
      <c r="L537" s="6" t="str">
        <f>[9]!id398?orderTypes</f>
        <v>ACTIVETIM,ADJUST,ALERT,ALGO,ALLOC,AON,AVGCOST,BASKET,COND,CONDORDER,DARKONLY,DARKPOLL,DAY,DEACT,DEACTDIS,DEACTEOD,DIS,GAT,GTC,GTD,GTT,HID,IBKRATS,ICE,IMB,IOC,LIT,LMT,LOC,MIT,MKT,MOC,MTL,NGCOMB,NODARK,NONALGO,OCA,OPG,OPGREROUT,PEGBENCH,POSTONLY,PREOPGRTH,R</v>
      </c>
      <c r="M537" s="6" t="str">
        <f>[9]!id398?validExchanges</f>
        <v>SMART,NYSE,CBOE,ISE,CHX,ARCA,ISLAND,DRCTEDGE,NSX,BEX,BATS,EDGEA,CSFBALGO,JEFFALGO,BYX,IEX,TPLUS2,PSX</v>
      </c>
      <c r="N537" s="6">
        <f>[9]!id398?conid</f>
        <v>198560237</v>
      </c>
      <c r="O537" s="6">
        <f>[9]!id398?minTick</f>
        <v>0.01</v>
      </c>
      <c r="P537" s="6">
        <f>[9]!id398?multiplier</f>
        <v>0</v>
      </c>
      <c r="Q537" s="6" t="str">
        <f>[9]!id398?marketName</f>
        <v>WEC</v>
      </c>
      <c r="R537" s="6" t="str">
        <f>[9]!id398?tradingClass</f>
        <v>WEC</v>
      </c>
    </row>
    <row r="538" spans="1:18" hidden="1" x14ac:dyDescent="0.2">
      <c r="A538" s="176" t="s">
        <v>1252</v>
      </c>
      <c r="B538" s="13" t="s">
        <v>12</v>
      </c>
      <c r="C538" s="13" t="b">
        <f t="shared" si="7"/>
        <v>0</v>
      </c>
      <c r="D538" s="13"/>
      <c r="E538" s="63"/>
      <c r="F538" s="13"/>
      <c r="G538" s="13"/>
      <c r="H538" s="13" t="s">
        <v>68</v>
      </c>
      <c r="I538" s="101" t="s">
        <v>44</v>
      </c>
      <c r="J538" s="101"/>
      <c r="K538" s="6">
        <f>[9]!'id400?req?MNST_STK_SMART_USD_~/'</f>
        <v>0</v>
      </c>
      <c r="L538" s="6" t="str">
        <f>[9]!id400?orderTypes</f>
        <v>ACTIVETIM,ADJUST,ALERT,ALGO,ALLOC,AON,AVGCOST,BASKET,COND,CONDORDER,DARKONLY,DARKPOLL,DAY,DEACT,DEACTDIS,DEACTEOD,DIS,GAT,GTC,GTD,GTT,HID,IBKRATS,ICE,IMB,IOC,LIT,LMT,LOC,MIT,MKT,MOC,MTL,NGCOMB,NODARK,NONALGO,OCA,OPG,OPGREROUT,PEGBENCH,POSTONLY,PREOPGRTH,R</v>
      </c>
      <c r="M538" s="6" t="str">
        <f>[9]!id400?validExchanges</f>
        <v>SMART,CBOE,ISE,CHX,ARCA,ISLAND,DRCTEDGE,NSX,BEX,BATS,EDGEA,CSFBALGO,JEFFALGO,BYX,IEX,TPLUS2,PSX</v>
      </c>
      <c r="N538" s="6">
        <f>[9]!id400?conid</f>
        <v>196986496</v>
      </c>
      <c r="O538" s="6">
        <f>[9]!id400?minTick</f>
        <v>0.01</v>
      </c>
      <c r="P538" s="6">
        <f>[9]!id400?multiplier</f>
        <v>0</v>
      </c>
      <c r="Q538" s="6" t="str">
        <f>[9]!id400?marketName</f>
        <v>NMS</v>
      </c>
      <c r="R538" s="6" t="str">
        <f>[9]!id400?tradingClass</f>
        <v>NMS</v>
      </c>
    </row>
    <row r="539" spans="1:18" hidden="1" x14ac:dyDescent="0.2">
      <c r="A539" s="176" t="s">
        <v>1253</v>
      </c>
      <c r="B539" s="13" t="s">
        <v>12</v>
      </c>
      <c r="C539" s="13" t="b">
        <f t="shared" si="7"/>
        <v>1</v>
      </c>
      <c r="D539" s="13"/>
      <c r="E539" s="63"/>
      <c r="F539" s="13"/>
      <c r="G539" s="13"/>
      <c r="H539" s="13" t="s">
        <v>68</v>
      </c>
      <c r="I539" s="101" t="s">
        <v>44</v>
      </c>
      <c r="J539" s="101"/>
      <c r="K539" s="6">
        <f>[9]!'id401?req?TGNA_STK_SMART_USD_~/'</f>
        <v>0</v>
      </c>
      <c r="L539" s="6" t="str">
        <f>[9]!id401?orderTypes</f>
        <v>ACTIVETIM,ADJUST,ALERT,ALGO,ALLOC,AON,AVGCOST,BASKET,COND,CONDORDER,DARKONLY,DARKPOLL,DAY,DEACT,DEACTDIS,DEACTEOD,DIS,GAT,GTC,GTD,GTT,HID,IBKRATS,ICE,IMB,IOC,LIT,LMT,LOC,MIT,MKT,MOC,MTL,NGCOMB,NODARK,NONALGO,OCA,OPG,OPGREROUT,PEGBENCH,POSTONLY,PREOPGRTH,R</v>
      </c>
      <c r="M539" s="6" t="str">
        <f>[9]!id401?validExchanges</f>
        <v>SMART,NYSE,CBOE,ISE,CHX,ARCA,ISLAND,VWAP,DRCTEDGE,NSX,BEX,BATS,EDGEA,CSFBALGO,JEFFALGO,BYX,IEX,TPLUS2,PSX</v>
      </c>
      <c r="N539" s="6">
        <f>[9]!id401?conid</f>
        <v>196887976</v>
      </c>
      <c r="O539" s="6">
        <f>[9]!id401?minTick</f>
        <v>0.01</v>
      </c>
      <c r="P539" s="6">
        <f>[9]!id401?multiplier</f>
        <v>0</v>
      </c>
      <c r="Q539" s="6" t="str">
        <f>[9]!id401?marketName</f>
        <v>TGNA</v>
      </c>
      <c r="R539" s="6" t="str">
        <f>[9]!id401?tradingClass</f>
        <v>TGNA</v>
      </c>
    </row>
    <row r="540" spans="1:18" hidden="1" x14ac:dyDescent="0.2">
      <c r="A540" s="176" t="s">
        <v>1254</v>
      </c>
      <c r="B540" s="13" t="s">
        <v>12</v>
      </c>
      <c r="C540" s="13" t="b">
        <f t="shared" si="7"/>
        <v>1</v>
      </c>
      <c r="D540" s="13"/>
      <c r="E540" s="63"/>
      <c r="F540" s="13"/>
      <c r="G540" s="13"/>
      <c r="H540" s="13" t="s">
        <v>68</v>
      </c>
      <c r="I540" s="101" t="s">
        <v>44</v>
      </c>
      <c r="J540" s="101"/>
      <c r="K540" s="6">
        <f>[9]!'id402?req?EXR_STK_SMART_USD_~/'</f>
        <v>0</v>
      </c>
      <c r="L540" s="6" t="str">
        <f>[9]!id402?orderTypes</f>
        <v>ACTIVETIM,ADJUST,ALERT,ALGO,ALLOC,AON,AVGCOST,BASKET,COND,CONDORDER,DARKONLY,DARKPOLL,DAY,DEACT,DEACTDIS,DEACTEOD,DIS,GAT,GTC,GTD,GTT,HID,IBKRATS,ICE,IMB,IOC,LIT,LMT,LOC,MIT,MKT,MOC,MTL,NGCOMB,NODARK,NONALGO,OCA,OPG,OPGREROUT,PEGBENCH,POSTONLY,PREOPGRTH,R</v>
      </c>
      <c r="M540" s="6" t="str">
        <f>[9]!id402?validExchanges</f>
        <v>SMART,NYSE,CBOE,ISE,CHX,ARCA,ISLAND,DRCTEDGE,NSX,BEX,BATS,EDGEA,CSFBALGO,JEFFALGO,BYX,IEX,TPLUS2,PSX</v>
      </c>
      <c r="N540" s="6">
        <f>[9]!id402?conid</f>
        <v>30351205</v>
      </c>
      <c r="O540" s="6">
        <f>[9]!id402?minTick</f>
        <v>0.01</v>
      </c>
      <c r="P540" s="6">
        <f>[9]!id402?multiplier</f>
        <v>0</v>
      </c>
      <c r="Q540" s="6" t="str">
        <f>[9]!id402?marketName</f>
        <v>EXR</v>
      </c>
      <c r="R540" s="6" t="str">
        <f>[9]!id402?tradingClass</f>
        <v>EXR</v>
      </c>
    </row>
    <row r="541" spans="1:18" hidden="1" x14ac:dyDescent="0.2">
      <c r="A541" s="176" t="s">
        <v>1255</v>
      </c>
      <c r="B541" s="13" t="s">
        <v>12</v>
      </c>
      <c r="C541" s="13" t="b">
        <f t="shared" si="7"/>
        <v>1</v>
      </c>
      <c r="D541" s="13"/>
      <c r="E541" s="63"/>
      <c r="F541" s="13"/>
      <c r="G541" s="13"/>
      <c r="H541" s="13" t="s">
        <v>68</v>
      </c>
      <c r="I541" s="101" t="s">
        <v>44</v>
      </c>
      <c r="J541" s="101"/>
      <c r="K541" s="6">
        <f>[9]!'id403?req?FRT_STK_SMART_USD_~/'</f>
        <v>0</v>
      </c>
      <c r="L541" s="6" t="str">
        <f>[9]!id403?orderTypes</f>
        <v>ACTIVETIM,ADJUST,ALERT,ALGO,ALLOC,AON,AVGCOST,BASKET,COND,CONDORDER,DARKONLY,DARKPOLL,DAY,DEACT,DEACTDIS,DEACTEOD,DIS,GAT,GTC,GTD,GTT,HID,IBKRATS,ICE,IMB,IOC,LIT,LMT,LOC,MIT,MKT,MOC,MTL,NGCOMB,NODARK,NONALGO,OCA,OPG,OPGREROUT,PEGBENCH,POSTONLY,PREOPGRTH,R</v>
      </c>
      <c r="M541" s="6" t="str">
        <f>[9]!id403?validExchanges</f>
        <v>SMART,NYSE,CBOE,ISE,CHX,ARCA,ISLAND,DRCTEDGE,NSX,BEX,BATS,EDGEA,CSFBALGO,JEFFALGO,BYX,IEX,TPLUS2,PSX</v>
      </c>
      <c r="N541" s="6">
        <f>[9]!id403?conid</f>
        <v>7361</v>
      </c>
      <c r="O541" s="6">
        <f>[9]!id403?minTick</f>
        <v>0.01</v>
      </c>
      <c r="P541" s="6">
        <f>[9]!id403?multiplier</f>
        <v>0</v>
      </c>
      <c r="Q541" s="6" t="str">
        <f>[9]!id403?marketName</f>
        <v>FRT</v>
      </c>
      <c r="R541" s="6" t="str">
        <f>[9]!id403?tradingClass</f>
        <v>FRT</v>
      </c>
    </row>
    <row r="542" spans="1:18" hidden="1" x14ac:dyDescent="0.2">
      <c r="A542" s="176" t="s">
        <v>1256</v>
      </c>
      <c r="B542" s="13" t="s">
        <v>12</v>
      </c>
      <c r="C542" s="13" t="b">
        <f t="shared" si="7"/>
        <v>1</v>
      </c>
      <c r="D542" s="13"/>
      <c r="E542" s="63"/>
      <c r="F542" s="13"/>
      <c r="G542" s="13"/>
      <c r="H542" s="13" t="s">
        <v>68</v>
      </c>
      <c r="I542" s="101" t="s">
        <v>44</v>
      </c>
      <c r="J542" s="101"/>
      <c r="K542" s="6">
        <f>[9]!'id404?req?UDR_STK_SMART_USD_~/'</f>
        <v>0</v>
      </c>
      <c r="L542" s="6" t="str">
        <f>[9]!id404?orderTypes</f>
        <v>ACTIVETIM,ADJUST,ALERT,ALGO,ALLOC,AON,AVGCOST,BASKET,COND,CONDORDER,DARKONLY,DARKPOLL,DAY,DEACT,DEACTDIS,DEACTEOD,DIS,GAT,GTC,GTD,GTT,HID,IBKRATS,ICE,IMB,IOC,LIT,LMT,LOC,MIT,MKT,MOC,MTL,NGCOMB,NODARK,NONALGO,OCA,OPG,OPGREROUT,PEGBENCH,POSTONLY,PREOPGRTH,R</v>
      </c>
      <c r="M542" s="6" t="str">
        <f>[9]!id404?validExchanges</f>
        <v>SMART,NYSE,CBOE,ISE,CHX,ARCA,ISLAND,DRCTEDGE,NSX,BEX,BATS,EDGEA,CSFBALGO,JEFFALGO,BYX,IEX,TPLUS2,PSX</v>
      </c>
      <c r="N542" s="6">
        <f>[9]!id404?conid</f>
        <v>43274444</v>
      </c>
      <c r="O542" s="6">
        <f>[9]!id404?minTick</f>
        <v>0.01</v>
      </c>
      <c r="P542" s="6">
        <f>[9]!id404?multiplier</f>
        <v>0</v>
      </c>
      <c r="Q542" s="6" t="str">
        <f>[9]!id404?marketName</f>
        <v>UDR</v>
      </c>
      <c r="R542" s="6" t="str">
        <f>[9]!id404?tradingClass</f>
        <v>UDR</v>
      </c>
    </row>
    <row r="543" spans="1:18" hidden="1" x14ac:dyDescent="0.2">
      <c r="A543" s="176" t="s">
        <v>1257</v>
      </c>
      <c r="B543" s="13" t="s">
        <v>12</v>
      </c>
      <c r="C543" s="13" t="b">
        <f t="shared" si="7"/>
        <v>1</v>
      </c>
      <c r="D543" s="13"/>
      <c r="E543" s="63"/>
      <c r="F543" s="13"/>
      <c r="G543" s="13"/>
      <c r="H543" s="13" t="s">
        <v>68</v>
      </c>
      <c r="I543" s="101" t="s">
        <v>44</v>
      </c>
      <c r="J543" s="101"/>
      <c r="K543" s="6">
        <f>[9]!'id405?req?CXO_STK_SMART_USD_~/'</f>
        <v>0</v>
      </c>
      <c r="L543" s="6" t="str">
        <f>[9]!id405?orderTypes</f>
        <v>ACTIVETIM,ADJUST,ALERT,ALGO,ALLOC,AON,AVGCOST,BASKET,COND,CONDORDER,DARKONLY,DARKPOLL,DAY,DEACT,DEACTDIS,DEACTEOD,DIS,GAT,GTC,GTD,GTT,HID,IBKRATS,ICE,IMB,IOC,LIT,LMT,LOC,MIT,MKT,MOC,MTL,NGCOMB,NODARK,NONALGO,OCA,OPG,OPGREROUT,PEGBENCH,POSTONLY,PREOPGRTH,R</v>
      </c>
      <c r="M543" s="6" t="str">
        <f>[9]!id405?validExchanges</f>
        <v>SMART,NYSE,CBOE,ISE,CHX,ARCA,ISLAND,DRCTEDGE,NSX,BEX,BATS,EDGEA,CSFBALGO,JEFFALGO,BYX,IEX,TPLUS2,PSX</v>
      </c>
      <c r="N543" s="6">
        <f>[9]!id405?conid</f>
        <v>45182651</v>
      </c>
      <c r="O543" s="6">
        <f>[9]!id405?minTick</f>
        <v>0.01</v>
      </c>
      <c r="P543" s="6">
        <f>[9]!id405?multiplier</f>
        <v>0</v>
      </c>
      <c r="Q543" s="6" t="str">
        <f>[9]!id405?marketName</f>
        <v>CXO</v>
      </c>
      <c r="R543" s="6" t="str">
        <f>[9]!id405?tradingClass</f>
        <v>CXO</v>
      </c>
    </row>
    <row r="544" spans="1:18" hidden="1" x14ac:dyDescent="0.2">
      <c r="A544" s="176" t="s">
        <v>1258</v>
      </c>
      <c r="B544" s="13" t="s">
        <v>12</v>
      </c>
      <c r="C544" s="13" t="b">
        <f t="shared" si="7"/>
        <v>1</v>
      </c>
      <c r="D544" s="13"/>
      <c r="E544" s="63"/>
      <c r="F544" s="13"/>
      <c r="G544" s="13"/>
      <c r="H544" s="13" t="s">
        <v>68</v>
      </c>
      <c r="I544" s="101" t="s">
        <v>44</v>
      </c>
      <c r="J544" s="101"/>
      <c r="K544" s="6">
        <f>[9]!'id406?req?AWK_STK_SMART_USD_~/'</f>
        <v>0</v>
      </c>
      <c r="L544" s="6" t="str">
        <f>[9]!id406?orderTypes</f>
        <v>ACTIVETIM,ADJUST,ALERT,ALGO,ALLOC,AON,AVGCOST,BASKET,COND,CONDORDER,DARKONLY,DARKPOLL,DAY,DEACT,DEACTDIS,DEACTEOD,DIS,GAT,GTC,GTD,GTT,HID,IBKRATS,ICE,IMB,IOC,LIT,LMT,LOC,MIT,MKT,MOC,MTL,NGCOMB,NODARK,NONALGO,OCA,OPG,OPGREROUT,PEGBENCH,POSTONLY,PREOPGRTH,R</v>
      </c>
      <c r="M544" s="6" t="str">
        <f>[9]!id406?validExchanges</f>
        <v>SMART,NYSE,CBOE,ISE,CHX,ARCA,ISLAND,DRCTEDGE,NSX,BEX,BATS,EDGEA,CSFBALGO,JEFFALGO,BYX,IEX,TPLUS2,PSX</v>
      </c>
      <c r="N544" s="6">
        <f>[9]!id406?conid</f>
        <v>50530752</v>
      </c>
      <c r="O544" s="6">
        <f>[9]!id406?minTick</f>
        <v>0.01</v>
      </c>
      <c r="P544" s="6">
        <f>[9]!id406?multiplier</f>
        <v>0</v>
      </c>
      <c r="Q544" s="6" t="str">
        <f>[9]!id406?marketName</f>
        <v>AWK</v>
      </c>
      <c r="R544" s="6" t="str">
        <f>[9]!id406?tradingClass</f>
        <v>AWK</v>
      </c>
    </row>
    <row r="545" spans="1:18" hidden="1" x14ac:dyDescent="0.2">
      <c r="A545" s="176" t="s">
        <v>1259</v>
      </c>
      <c r="B545" s="13" t="s">
        <v>12</v>
      </c>
      <c r="C545" s="13" t="b">
        <f t="shared" si="7"/>
        <v>1</v>
      </c>
      <c r="D545" s="13"/>
      <c r="E545" s="63"/>
      <c r="F545" s="13"/>
      <c r="G545" s="13"/>
      <c r="H545" s="13" t="s">
        <v>68</v>
      </c>
      <c r="I545" s="101" t="s">
        <v>44</v>
      </c>
      <c r="J545" s="101"/>
      <c r="K545" s="6">
        <f>[9]!'id407?req?CFG_STK_SMART_USD_~/'</f>
        <v>0</v>
      </c>
      <c r="L545" s="6" t="str">
        <f>[9]!id407?orderTypes</f>
        <v>ACTIVETIM,ADJUST,ALERT,ALGO,ALLOC,AON,AVGCOST,BASKET,COND,CONDORDER,DARKONLY,DARKPOLL,DAY,DEACT,DEACTDIS,DEACTEOD,DIS,GAT,GTC,GTD,GTT,HID,IBKRATS,ICE,IMB,IOC,LIT,LMT,LOC,MIT,MKT,MOC,MTL,NGCOMB,NODARK,NONALGO,OCA,OPG,OPGREROUT,PEGBENCH,POSTONLY,PREOPGRTH,R</v>
      </c>
      <c r="M545" s="6" t="str">
        <f>[9]!id407?validExchanges</f>
        <v>SMART,NYSE,CBOE,ISE,CHX,ARCA,ISLAND,DRCTEDGE,NSX,BEX,BATS,EDGEA,CSFBALGO,JEFFALGO,BYX,IEX,TPLUS2,PSX</v>
      </c>
      <c r="N545" s="6">
        <f>[9]!id407?conid</f>
        <v>167955370</v>
      </c>
      <c r="O545" s="6">
        <f>[9]!id407?minTick</f>
        <v>0.01</v>
      </c>
      <c r="P545" s="6">
        <f>[9]!id407?multiplier</f>
        <v>0</v>
      </c>
      <c r="Q545" s="6" t="str">
        <f>[9]!id407?marketName</f>
        <v>CFG</v>
      </c>
      <c r="R545" s="6" t="str">
        <f>[9]!id407?tradingClass</f>
        <v>CFG</v>
      </c>
    </row>
    <row r="546" spans="1:18" hidden="1" x14ac:dyDescent="0.2">
      <c r="A546" s="176" t="s">
        <v>1260</v>
      </c>
      <c r="B546" s="13" t="s">
        <v>12</v>
      </c>
      <c r="C546" s="13" t="b">
        <f t="shared" si="7"/>
        <v>0</v>
      </c>
      <c r="D546" s="13"/>
      <c r="E546" s="63"/>
      <c r="F546" s="13"/>
      <c r="G546" s="13"/>
      <c r="H546" s="13" t="s">
        <v>68</v>
      </c>
      <c r="I546" s="101" t="s">
        <v>44</v>
      </c>
      <c r="J546" s="101"/>
      <c r="K546" s="6">
        <f>[9]!'id408?req?HOLX_STK_SMART_USD_~/'</f>
        <v>0</v>
      </c>
      <c r="L546" s="6" t="str">
        <f>[9]!id408?orderTypes</f>
        <v>ACTIVETIM,ADJUST,ALERT,ALGO,ALLOC,AON,AVGCOST,BASKET,COND,CONDORDER,DARKONLY,DARKPOLL,DAY,DEACT,DEACTDIS,DEACTEOD,DIS,GAT,GTC,GTD,GTT,HID,IBKRATS,ICE,IMB,IOC,LIT,LMT,LOC,MIT,MKT,MOC,MTL,NGCOMB,NODARK,NONALGO,OCA,OPG,OPGREROUT,PEGBENCH,POSTONLY,PREOPGRTH,R</v>
      </c>
      <c r="M546" s="6" t="str">
        <f>[9]!id408?validExchanges</f>
        <v>SMART,CBOE,ISE,CHX,ARCA,ISLAND,DRCTEDGE,NSX,BEX,BATS,EDGEA,CSFBALGO,JEFFALGO,BYX,IEX,TPLUS2,PSX</v>
      </c>
      <c r="N546" s="6">
        <f>[9]!id408?conid</f>
        <v>270188</v>
      </c>
      <c r="O546" s="6">
        <f>[9]!id408?minTick</f>
        <v>0.01</v>
      </c>
      <c r="P546" s="6">
        <f>[9]!id408?multiplier</f>
        <v>0</v>
      </c>
      <c r="Q546" s="6" t="str">
        <f>[9]!id408?marketName</f>
        <v>NMS</v>
      </c>
      <c r="R546" s="6" t="str">
        <f>[9]!id408?tradingClass</f>
        <v>NMS</v>
      </c>
    </row>
    <row r="547" spans="1:18" hidden="1" x14ac:dyDescent="0.2">
      <c r="A547" s="176" t="s">
        <v>1261</v>
      </c>
      <c r="B547" s="13" t="s">
        <v>12</v>
      </c>
      <c r="C547" s="13" t="b">
        <f t="shared" si="7"/>
        <v>1</v>
      </c>
      <c r="D547" s="13"/>
      <c r="E547" s="63"/>
      <c r="F547" s="13"/>
      <c r="G547" s="13"/>
      <c r="H547" s="13" t="s">
        <v>68</v>
      </c>
      <c r="I547" s="101" t="s">
        <v>44</v>
      </c>
      <c r="J547" s="101"/>
      <c r="K547" s="6">
        <f>[9]!'id409?req?CNC_STK_SMART_USD_~/'</f>
        <v>0</v>
      </c>
      <c r="L547" s="6" t="str">
        <f>[9]!id409?orderTypes</f>
        <v>ACTIVETIM,ADJUST,ALERT,ALGO,ALLOC,AON,AVGCOST,BASKET,COND,CONDORDER,DARKONLY,DARKPOLL,DAY,DEACT,DEACTDIS,DEACTEOD,DIS,GAT,GTC,GTD,GTT,HID,IBKRATS,ICE,IMB,IOC,LIT,LMT,LOC,MIT,MKT,MOC,MTL,NGCOMB,NODARK,NONALGO,OCA,OPG,OPGREROUT,PEGBENCH,POSTONLY,PREOPGRTH,R</v>
      </c>
      <c r="M547" s="6" t="str">
        <f>[9]!id409?validExchanges</f>
        <v>SMART,NYSE,CBOE,ISE,CHX,ARCA,ISLAND,DRCTEDGE,NSX,BEX,BATS,EDGEA,CSFBALGO,JEFFALGO,BYX,IEX,TPLUS2,PSX</v>
      </c>
      <c r="N547" s="6">
        <f>[9]!id409?conid</f>
        <v>13878278</v>
      </c>
      <c r="O547" s="6">
        <f>[9]!id409?minTick</f>
        <v>0.01</v>
      </c>
      <c r="P547" s="6">
        <f>[9]!id409?multiplier</f>
        <v>0</v>
      </c>
      <c r="Q547" s="6" t="str">
        <f>[9]!id409?marketName</f>
        <v>CNC</v>
      </c>
      <c r="R547" s="6" t="str">
        <f>[9]!id409?tradingClass</f>
        <v>CNC</v>
      </c>
    </row>
    <row r="548" spans="1:18" hidden="1" x14ac:dyDescent="0.2">
      <c r="A548" s="176" t="s">
        <v>1262</v>
      </c>
      <c r="B548" s="13" t="s">
        <v>12</v>
      </c>
      <c r="C548" s="13" t="b">
        <f t="shared" si="7"/>
        <v>1</v>
      </c>
      <c r="D548" s="13"/>
      <c r="E548" s="63"/>
      <c r="F548" s="13"/>
      <c r="G548" s="13"/>
      <c r="H548" s="13" t="s">
        <v>68</v>
      </c>
      <c r="I548" s="101" t="s">
        <v>44</v>
      </c>
      <c r="J548" s="101"/>
      <c r="K548" s="6">
        <f>[9]!'id410?req?FL_STK_SMART_USD_~/'</f>
        <v>0</v>
      </c>
      <c r="L548" s="6" t="str">
        <f>[9]!id410?orderTypes</f>
        <v>ACTIVETIM,ADJUST,ALERT,ALGO,ALLOC,AON,AVGCOST,BASKET,COND,CONDORDER,DARKONLY,DARKPOLL,DAY,DEACT,DEACTDIS,DEACTEOD,DIS,GAT,GTC,GTD,GTT,HID,IBKRATS,ICE,IMB,IOC,LIT,LMT,LOC,MIT,MKT,MOC,MTL,NGCOMB,NODARK,NONALGO,OCA,OPG,OPGREROUT,PEGBENCH,POSTONLY,PREOPGRTH,R</v>
      </c>
      <c r="M548" s="6" t="str">
        <f>[9]!id410?validExchanges</f>
        <v>SMART,NYSE,CBOE,ISE,CHX,ARCA,ISLAND,VWAP,DRCTEDGE,NSX,BEX,BATS,EDGEA,CSFBALGO,JEFFALGO,BYX,IEX,TPLUS2,PSX</v>
      </c>
      <c r="N548" s="6">
        <f>[9]!id410?conid</f>
        <v>14025</v>
      </c>
      <c r="O548" s="6">
        <f>[9]!id410?minTick</f>
        <v>0.01</v>
      </c>
      <c r="P548" s="6">
        <f>[9]!id410?multiplier</f>
        <v>0</v>
      </c>
      <c r="Q548" s="6" t="str">
        <f>[9]!id410?marketName</f>
        <v>FL</v>
      </c>
      <c r="R548" s="6" t="str">
        <f>[9]!id410?tradingClass</f>
        <v>FL</v>
      </c>
    </row>
    <row r="549" spans="1:18" hidden="1" x14ac:dyDescent="0.2">
      <c r="A549" s="176" t="s">
        <v>1263</v>
      </c>
      <c r="B549" s="13" t="s">
        <v>12</v>
      </c>
      <c r="C549" s="13" t="b">
        <f t="shared" si="7"/>
        <v>1</v>
      </c>
      <c r="D549" s="13"/>
      <c r="E549" s="63"/>
      <c r="F549" s="13"/>
      <c r="G549" s="13"/>
      <c r="H549" s="13" t="s">
        <v>68</v>
      </c>
      <c r="I549" s="101" t="s">
        <v>44</v>
      </c>
      <c r="J549" s="101"/>
      <c r="K549" s="6">
        <f>[9]!'id411?req?GPN_STK_SMART_USD_~/'</f>
        <v>0</v>
      </c>
      <c r="L549" s="6" t="str">
        <f>[9]!id411?orderTypes</f>
        <v>ACTIVETIM,ADJUST,ALERT,ALGO,ALLOC,AON,AVGCOST,BASKET,COND,CONDORDER,DARKONLY,DARKPOLL,DAY,DEACT,DEACTDIS,DEACTEOD,DIS,GAT,GTC,GTD,GTT,HID,IBKRATS,ICE,IMB,IOC,LIT,LMT,LOC,MIT,MKT,MOC,MTL,NGCOMB,NODARK,NONALGO,OCA,OPG,OPGREROUT,PEGBENCH,POSTONLY,PREOPGRTH,R</v>
      </c>
      <c r="M549" s="6" t="str">
        <f>[9]!id411?validExchanges</f>
        <v>SMART,NYSE,CBOE,ISE,CHX,ARCA,ISLAND,DRCTEDGE,NSX,BEX,BATS,EDGEA,CSFBALGO,JEFFALGO,BYX,IEX,TPLUS2,PSX</v>
      </c>
      <c r="N549" s="6">
        <f>[9]!id411?conid</f>
        <v>11477774</v>
      </c>
      <c r="O549" s="6">
        <f>[9]!id411?minTick</f>
        <v>0.01</v>
      </c>
      <c r="P549" s="6">
        <f>[9]!id411?multiplier</f>
        <v>0</v>
      </c>
      <c r="Q549" s="6" t="str">
        <f>[9]!id411?marketName</f>
        <v>GPN</v>
      </c>
      <c r="R549" s="6" t="str">
        <f>[9]!id411?tradingClass</f>
        <v>GPN</v>
      </c>
    </row>
    <row r="550" spans="1:18" hidden="1" x14ac:dyDescent="0.2">
      <c r="A550" s="176" t="s">
        <v>1264</v>
      </c>
      <c r="B550" s="13" t="s">
        <v>12</v>
      </c>
      <c r="C550" s="13" t="b">
        <f t="shared" si="7"/>
        <v>1</v>
      </c>
      <c r="D550" s="13"/>
      <c r="E550" s="63"/>
      <c r="F550" s="13"/>
      <c r="G550" s="13"/>
      <c r="H550" s="13" t="s">
        <v>68</v>
      </c>
      <c r="I550" s="101" t="s">
        <v>44</v>
      </c>
      <c r="J550" s="101"/>
      <c r="K550" s="6">
        <f>[9]!'id412?req?AYI_STK_SMART_USD_~/'</f>
        <v>0</v>
      </c>
      <c r="L550" s="6" t="str">
        <f>[9]!id412?orderTypes</f>
        <v>ACTIVETIM,ADJUST,ALERT,ALGO,ALLOC,AON,AVGCOST,BASKET,COND,CONDORDER,DARKONLY,DARKPOLL,DAY,DEACT,DEACTDIS,DEACTEOD,DIS,GAT,GTC,GTD,GTT,HID,IBKRATS,ICE,IMB,IOC,LIT,LMT,LOC,MIT,MKT,MOC,MTL,NGCOMB,NODARK,NONALGO,OCA,OPG,OPGREROUT,PEGBENCH,POSTONLY,PREOPGRTH,R</v>
      </c>
      <c r="M550" s="6" t="str">
        <f>[9]!id412?validExchanges</f>
        <v>SMART,NYSE,CBOE,ISE,CHX,ARCA,ISLAND,VWAP,DRCTEDGE,NSX,BEX,BATS,EDGEA,CSFBALGO,JEFFALGO,BYX,IEX,TPLUS2,PSX</v>
      </c>
      <c r="N550" s="6">
        <f>[9]!id412?conid</f>
        <v>13838371</v>
      </c>
      <c r="O550" s="6">
        <f>[9]!id412?minTick</f>
        <v>0.01</v>
      </c>
      <c r="P550" s="6">
        <f>[9]!id412?multiplier</f>
        <v>0</v>
      </c>
      <c r="Q550" s="6" t="str">
        <f>[9]!id412?marketName</f>
        <v>AYI</v>
      </c>
      <c r="R550" s="6" t="str">
        <f>[9]!id412?tradingClass</f>
        <v>AYI</v>
      </c>
    </row>
    <row r="551" spans="1:18" hidden="1" x14ac:dyDescent="0.2">
      <c r="A551" s="176" t="s">
        <v>1265</v>
      </c>
      <c r="B551" s="13" t="s">
        <v>12</v>
      </c>
      <c r="C551" s="13" t="b">
        <f t="shared" si="7"/>
        <v>0</v>
      </c>
      <c r="D551" s="13"/>
      <c r="E551" s="63"/>
      <c r="F551" s="13"/>
      <c r="G551" s="13"/>
      <c r="H551" s="13" t="s">
        <v>68</v>
      </c>
      <c r="I551" s="101" t="s">
        <v>44</v>
      </c>
      <c r="J551" s="101"/>
      <c r="K551" s="6">
        <f>[9]!'id413?req?ULTA_STK_SMART_USD_~/'</f>
        <v>0</v>
      </c>
      <c r="L551" s="6" t="str">
        <f>[9]!id413?orderTypes</f>
        <v>ACTIVETIM,ADJUST,ALERT,ALGO,ALLOC,AON,AVGCOST,BASKET,COND,CONDORDER,DARKONLY,DARKPOLL,DAY,DEACT,DEACTDIS,DEACTEOD,DIS,GAT,GTC,GTD,GTT,HID,IBKRATS,ICE,IMB,IOC,LIT,LMT,LOC,MIT,MKT,MOC,MTL,NGCOMB,NODARK,NONALGO,OCA,OPG,OPGREROUT,PEGBENCH,POSTONLY,PREOPGRTH,R</v>
      </c>
      <c r="M551" s="6" t="str">
        <f>[9]!id413?validExchanges</f>
        <v>SMART,CBOE,ISE,CHX,ARCA,ISLAND,DRCTEDGE,NSX,BEX,BATS,EDGEA,CSFBALGO,JEFFALGO,BYX,IEX,TPLUS2,PSX</v>
      </c>
      <c r="N551" s="6">
        <f>[9]!id413?conid</f>
        <v>46970422</v>
      </c>
      <c r="O551" s="6">
        <f>[9]!id413?minTick</f>
        <v>0.01</v>
      </c>
      <c r="P551" s="6">
        <f>[9]!id413?multiplier</f>
        <v>0</v>
      </c>
      <c r="Q551" s="6" t="str">
        <f>[9]!id413?marketName</f>
        <v>NMS</v>
      </c>
      <c r="R551" s="6" t="str">
        <f>[9]!id413?tradingClass</f>
        <v>NMS</v>
      </c>
    </row>
    <row r="552" spans="1:18" hidden="1" x14ac:dyDescent="0.2">
      <c r="A552" s="176" t="s">
        <v>1266</v>
      </c>
      <c r="B552" s="13" t="s">
        <v>12</v>
      </c>
      <c r="C552" s="13" t="b">
        <f t="shared" si="7"/>
        <v>1</v>
      </c>
      <c r="D552" s="13"/>
      <c r="E552" s="63"/>
      <c r="F552" s="13"/>
      <c r="G552" s="13"/>
      <c r="H552" s="13" t="s">
        <v>68</v>
      </c>
      <c r="I552" s="101" t="s">
        <v>44</v>
      </c>
      <c r="J552" s="101"/>
      <c r="K552" s="6">
        <f>[9]!'id414?req?ALK_STK_SMART_USD_~/'</f>
        <v>0</v>
      </c>
      <c r="L552" s="6" t="str">
        <f>[9]!id414?orderTypes</f>
        <v>ACTIVETIM,ADJUST,ALERT,ALGO,ALLOC,AON,AVGCOST,BASKET,COND,CONDORDER,DARKONLY,DARKPOLL,DAY,DEACT,DEACTDIS,DEACTEOD,DIS,GAT,GTC,GTD,GTT,HID,IBKRATS,ICE,IMB,IOC,LIT,LMT,LOC,MIT,MKT,MOC,MTL,NGCOMB,NODARK,NONALGO,OCA,OPG,OPGREROUT,PEGBENCH,POSTONLY,PREOPGRTH,R</v>
      </c>
      <c r="M552" s="6" t="str">
        <f>[9]!id414?validExchanges</f>
        <v>SMART,NYSE,CBOE,ISE,CHX,ARCA,ISLAND,DRCTEDGE,NSX,BEX,BATS,EDGEA,CSFBALGO,JEFFALGO,BYX,IEX,TPLUS2,PSX</v>
      </c>
      <c r="N552" s="6">
        <f>[9]!id414?conid</f>
        <v>4352</v>
      </c>
      <c r="O552" s="6">
        <f>[9]!id414?minTick</f>
        <v>0.01</v>
      </c>
      <c r="P552" s="6">
        <f>[9]!id414?multiplier</f>
        <v>0</v>
      </c>
      <c r="Q552" s="6" t="str">
        <f>[9]!id414?marketName</f>
        <v>ALK</v>
      </c>
      <c r="R552" s="6" t="str">
        <f>[9]!id414?tradingClass</f>
        <v>ALK</v>
      </c>
    </row>
    <row r="553" spans="1:18" hidden="1" x14ac:dyDescent="0.2">
      <c r="A553" s="176" t="s">
        <v>1267</v>
      </c>
      <c r="B553" s="13" t="s">
        <v>12</v>
      </c>
      <c r="C553" s="13" t="b">
        <f t="shared" si="7"/>
        <v>0</v>
      </c>
      <c r="D553" s="13"/>
      <c r="E553" s="63"/>
      <c r="F553" s="13"/>
      <c r="G553" s="13"/>
      <c r="H553" s="13" t="s">
        <v>68</v>
      </c>
      <c r="I553" s="101" t="s">
        <v>44</v>
      </c>
      <c r="J553" s="101"/>
      <c r="K553" s="6">
        <f>[9]!'id415?req?LKQ_STK_SMART_USD_~/'</f>
        <v>0</v>
      </c>
      <c r="L553" s="6" t="str">
        <f>[9]!id415?orderTypes</f>
        <v>ACTIVETIM,ADJUST,ALERT,ALGO,ALLOC,AON,AVGCOST,BASKET,COND,CONDORDER,DARKONLY,DARKPOLL,DAY,DEACT,DEACTDIS,DEACTEOD,DIS,GAT,GTC,GTD,GTT,HID,IBKRATS,ICE,IMB,IOC,LIT,LMT,LOC,MIT,MKT,MOC,MTL,NGCOMB,NODARK,NONALGO,OCA,OPG,OPGREROUT,PEGBENCH,POSTONLY,PREOPGRTH,R</v>
      </c>
      <c r="M553" s="6" t="str">
        <f>[9]!id415?validExchanges</f>
        <v>SMART,CBOE,ISE,CHX,ARCA,ISLAND,DRCTEDGE,NSX,BEX,BATS,EDGEA,CSFBALGO,JEFFALGO,BYX,IEX,TPLUS2,PSX</v>
      </c>
      <c r="N553" s="6">
        <f>[9]!id415?conid</f>
        <v>26345312</v>
      </c>
      <c r="O553" s="6">
        <f>[9]!id415?minTick</f>
        <v>0.01</v>
      </c>
      <c r="P553" s="6">
        <f>[9]!id415?multiplier</f>
        <v>0</v>
      </c>
      <c r="Q553" s="6" t="str">
        <f>[9]!id415?marketName</f>
        <v>NMS</v>
      </c>
      <c r="R553" s="6" t="str">
        <f>[9]!id415?tradingClass</f>
        <v>NMS</v>
      </c>
    </row>
    <row r="554" spans="1:18" hidden="1" x14ac:dyDescent="0.2">
      <c r="A554" s="176" t="s">
        <v>1268</v>
      </c>
      <c r="B554" s="13" t="s">
        <v>12</v>
      </c>
      <c r="C554" s="13" t="b">
        <f t="shared" si="7"/>
        <v>1</v>
      </c>
      <c r="D554" s="13"/>
      <c r="E554" s="63"/>
      <c r="F554" s="13"/>
      <c r="G554" s="13"/>
      <c r="H554" s="13" t="s">
        <v>68</v>
      </c>
      <c r="I554" s="101" t="s">
        <v>44</v>
      </c>
      <c r="J554" s="101"/>
      <c r="K554" s="6">
        <f>[9]!'id416?req?DLR_STK_SMART_USD_~/'</f>
        <v>0</v>
      </c>
      <c r="L554" s="6" t="str">
        <f>[9]!id416?orderTypes</f>
        <v>ACTIVETIM,ADJUST,ALERT,ALGO,ALLOC,AON,AVGCOST,BASKET,COND,CONDORDER,DARKONLY,DARKPOLL,DAY,DEACT,DEACTDIS,DEACTEOD,DIS,GAT,GTC,GTD,GTT,HID,IBKRATS,ICE,IMB,IOC,LIT,LMT,LOC,MIT,MKT,MOC,MTL,NGCOMB,NODARK,NONALGO,OCA,OPG,OPGREROUT,PEGBENCH,POSTONLY,PREOPGRTH,R</v>
      </c>
      <c r="M554" s="6" t="str">
        <f>[9]!id416?validExchanges</f>
        <v>SMART,NYSE,CBOE,ISE,CHX,ARCA,ISLAND,DRCTEDGE,NSX,BEX,BATS,EDGEA,CSFBALGO,JEFFALGO,BYX,IEX,TPLUS2,PSX</v>
      </c>
      <c r="N554" s="6">
        <f>[9]!id416?conid</f>
        <v>31832526</v>
      </c>
      <c r="O554" s="6">
        <f>[9]!id416?minTick</f>
        <v>0.01</v>
      </c>
      <c r="P554" s="6">
        <f>[9]!id416?multiplier</f>
        <v>0</v>
      </c>
      <c r="Q554" s="6" t="str">
        <f>[9]!id416?marketName</f>
        <v>DLR</v>
      </c>
      <c r="R554" s="6" t="str">
        <f>[9]!id416?tradingClass</f>
        <v>DLR</v>
      </c>
    </row>
    <row r="555" spans="1:18" hidden="1" x14ac:dyDescent="0.2">
      <c r="A555" s="176" t="s">
        <v>1269</v>
      </c>
      <c r="B555" s="13" t="s">
        <v>12</v>
      </c>
      <c r="C555" s="13" t="b">
        <f t="shared" si="7"/>
        <v>1</v>
      </c>
      <c r="D555" s="13"/>
      <c r="E555" s="63"/>
      <c r="F555" s="13"/>
      <c r="G555" s="13"/>
      <c r="H555" s="13" t="s">
        <v>68</v>
      </c>
      <c r="I555" s="101" t="s">
        <v>44</v>
      </c>
      <c r="J555" s="101"/>
      <c r="K555" s="6">
        <f>[9]!'id417?req?TDG_STK_SMART_USD_~/'</f>
        <v>0</v>
      </c>
      <c r="L555" s="6" t="str">
        <f>[9]!id417?orderTypes</f>
        <v>ACTIVETIM,ADJUST,ALERT,ALGO,ALLOC,AON,AVGCOST,BASKET,COND,CONDORDER,DARKONLY,DARKPOLL,DAY,DEACT,DEACTDIS,DEACTEOD,DIS,GAT,GTC,GTD,GTT,HID,IBKRATS,ICE,IMB,IOC,LIT,LMT,LOC,MIT,MKT,MOC,MTL,NGCOMB,NODARK,NONALGO,OCA,OPG,OPGREROUT,PEGBENCH,POSTONLY,PREOPGRTH,R</v>
      </c>
      <c r="M555" s="6" t="str">
        <f>[9]!id417?validExchanges</f>
        <v>SMART,NYSE,CBOE,ISE,CHX,ARCA,ISLAND,DRCTEDGE,NSX,BEX,BATS,EDGEA,CSFBALGO,JEFFALGO,BYX,IEX,TPLUS2,PSX</v>
      </c>
      <c r="N555" s="6">
        <f>[9]!id417?conid</f>
        <v>38285434</v>
      </c>
      <c r="O555" s="6">
        <f>[9]!id417?minTick</f>
        <v>0.01</v>
      </c>
      <c r="P555" s="6">
        <f>[9]!id417?multiplier</f>
        <v>0</v>
      </c>
      <c r="Q555" s="6" t="str">
        <f>[9]!id417?marketName</f>
        <v>TDG</v>
      </c>
      <c r="R555" s="6" t="str">
        <f>[9]!id417?tradingClass</f>
        <v>TDG</v>
      </c>
    </row>
    <row r="556" spans="1:18" hidden="1" x14ac:dyDescent="0.2">
      <c r="A556" s="176" t="s">
        <v>1270</v>
      </c>
      <c r="B556" s="13" t="s">
        <v>12</v>
      </c>
      <c r="C556" s="13" t="b">
        <f t="shared" si="7"/>
        <v>1</v>
      </c>
      <c r="D556" s="13"/>
      <c r="E556" s="63"/>
      <c r="F556" s="13"/>
      <c r="G556" s="13"/>
      <c r="H556" s="13" t="s">
        <v>68</v>
      </c>
      <c r="I556" s="101" t="s">
        <v>44</v>
      </c>
      <c r="J556" s="101"/>
      <c r="K556" s="6">
        <f>[9]!'id418?req?AJG_STK_SMART_USD_~/'</f>
        <v>0</v>
      </c>
      <c r="L556" s="6" t="str">
        <f>[9]!id418?orderTypes</f>
        <v>ACTIVETIM,ADJUST,ALERT,ALGO,ALLOC,AON,AVGCOST,BASKET,COND,CONDORDER,DARKONLY,DARKPOLL,DAY,DEACT,DEACTDIS,DEACTEOD,DIS,GAT,GTC,GTD,GTT,HID,IBKRATS,ICE,IMB,IOC,LIT,LMT,LOC,MIT,MKT,MOC,MTL,NGCOMB,NODARK,NONALGO,OCA,OPG,OPGREROUT,PEGBENCH,POSTONLY,PREOPGRTH,R</v>
      </c>
      <c r="M556" s="6" t="str">
        <f>[9]!id418?validExchanges</f>
        <v>SMART,NYSE,CBOE,ISE,CHX,ARCA,ISLAND,DRCTEDGE,NSX,BEX,BATS,EDGEA,CSFBALGO,JEFFALGO,BYX,IEX,TPLUS2,PSX</v>
      </c>
      <c r="N556" s="6">
        <f>[9]!id418?conid</f>
        <v>4325</v>
      </c>
      <c r="O556" s="6">
        <f>[9]!id418?minTick</f>
        <v>0.01</v>
      </c>
      <c r="P556" s="6">
        <f>[9]!id418?multiplier</f>
        <v>0</v>
      </c>
      <c r="Q556" s="6" t="str">
        <f>[9]!id418?marketName</f>
        <v>AJG</v>
      </c>
      <c r="R556" s="6" t="str">
        <f>[9]!id418?tradingClass</f>
        <v>AJG</v>
      </c>
    </row>
    <row r="557" spans="1:18" hidden="1" x14ac:dyDescent="0.2">
      <c r="A557" s="176" t="s">
        <v>1271</v>
      </c>
      <c r="B557" s="13" t="s">
        <v>12</v>
      </c>
      <c r="C557" s="13" t="b">
        <f>A557=Q557</f>
        <v>0</v>
      </c>
      <c r="D557" s="13"/>
      <c r="E557" s="63"/>
      <c r="F557" s="13"/>
      <c r="G557" s="13"/>
      <c r="H557" s="13" t="s">
        <v>68</v>
      </c>
      <c r="I557" s="101" t="s">
        <v>44</v>
      </c>
      <c r="J557" s="101"/>
      <c r="K557" s="6">
        <f>[9]!'id420?req?FOX_STK_SMART_USD_~/'</f>
        <v>0</v>
      </c>
      <c r="L557" s="6" t="str">
        <f>[9]!id420?orderTypes</f>
        <v>ACTIVETIM,ADJUST,ALERT,ALGO,ALLOC,AON,AVGCOST,BASKET,COND,CONDORDER,DARKONLY,DARKPOLL,DAY,DEACT,DEACTDIS,DEACTEOD,DIS,GAT,GTC,GTD,GTT,HID,IBKRATS,ICE,IMB,IOC,LIT,LMT,LOC,MIT,MKT,MOC,MTL,NGCOMB,NODARK,NONALGO,OCA,OPG,OPGREROUT,PEGBENCH,POSTONLY,PREOPGRTH,R</v>
      </c>
      <c r="M557" s="6" t="str">
        <f>[9]!id420?validExchanges</f>
        <v>SMART,CBOE,ISE,CHX,ARCA,ISLAND,DRCTEDGE,NSX,BEX,BATS,EDGEA,CSFBALGO,JEFFALGO,BYX,IEX,TPLUS2,PSX</v>
      </c>
      <c r="N557" s="6">
        <f>[9]!id420?conid</f>
        <v>129203964</v>
      </c>
      <c r="O557" s="6">
        <f>[9]!id420?minTick</f>
        <v>0.01</v>
      </c>
      <c r="P557" s="6">
        <f>[9]!id420?multiplier</f>
        <v>0</v>
      </c>
      <c r="Q557" s="6" t="str">
        <f>[9]!id420?marketName</f>
        <v>NMS</v>
      </c>
      <c r="R557" s="6" t="str">
        <f>[9]!id420?tradingClass</f>
        <v>NMS</v>
      </c>
    </row>
    <row r="558" spans="1:18" hidden="1" x14ac:dyDescent="0.2">
      <c r="A558" t="s">
        <v>588</v>
      </c>
      <c r="B558" s="13" t="s">
        <v>12</v>
      </c>
      <c r="C558" s="13" t="b">
        <f t="shared" si="7"/>
        <v>0</v>
      </c>
      <c r="D558" s="13"/>
      <c r="E558" s="63"/>
      <c r="F558" s="13"/>
      <c r="G558" s="13"/>
      <c r="H558" s="13" t="s">
        <v>68</v>
      </c>
      <c r="I558" s="101" t="s">
        <v>44</v>
      </c>
      <c r="J558" s="101"/>
      <c r="K558" s="6">
        <f>[9]!'id421?req?QQQ_STK_SMART_USD_~/'</f>
        <v>0</v>
      </c>
      <c r="L558" s="6" t="str">
        <f>[9]!id421?orderTypes</f>
        <v>ACTIVETIM,ADJUST,ALERT,ALGO,ALLOC,AON,AVGCOST,BASKET,COND,CONDORDER,DARKONLY,DARKPOLL,DAY,DEACT,DEACTDIS,DEACTEOD,DIS,GAT,GTC,GTD,GTT,HID,IBKRATS,ICE,IMB,IOC,LIT,LMT,LOC,MIT,MKT,MOC,MTL,NGCOMB,NODARK,NONALGO,OCA,OPG,OPGREROUT,PEGBENCH,POSTONLY,PREOPGRTH,R</v>
      </c>
      <c r="M558" s="6" t="str">
        <f>[9]!id421?validExchanges</f>
        <v>SMART,CBOE,ISE,CHX,ARCA,ISLAND,DRCTEDGE,NSX,BEX,BATS,EDGEA,CSFBALGO,JEFFALGO,BYX,IEX,TPLUS2,PSX</v>
      </c>
      <c r="N558" s="6">
        <f>[9]!id421?conid</f>
        <v>43661924</v>
      </c>
      <c r="O558" s="6">
        <f>[9]!id421?minTick</f>
        <v>0.01</v>
      </c>
      <c r="P558" s="6">
        <f>[9]!id421?multiplier</f>
        <v>0</v>
      </c>
      <c r="Q558" s="6" t="str">
        <f>[9]!id421?marketName</f>
        <v>NMS</v>
      </c>
      <c r="R558" s="6" t="str">
        <f>[9]!id421?tradingClass</f>
        <v>NMS</v>
      </c>
    </row>
    <row r="559" spans="1:18" hidden="1" x14ac:dyDescent="0.2">
      <c r="A559" t="s">
        <v>589</v>
      </c>
      <c r="B559" s="13" t="s">
        <v>12</v>
      </c>
      <c r="C559" s="13" t="b">
        <f t="shared" si="7"/>
        <v>0</v>
      </c>
      <c r="D559" s="13"/>
      <c r="E559" s="63"/>
      <c r="F559" s="13"/>
      <c r="G559" s="13"/>
      <c r="H559" s="13" t="s">
        <v>68</v>
      </c>
      <c r="I559" s="101" t="s">
        <v>44</v>
      </c>
      <c r="J559" s="101"/>
      <c r="K559" s="6">
        <f>[9]!'id422?req?GOOGL_STK_SMART_USD_~/'</f>
        <v>0</v>
      </c>
      <c r="L559" s="6" t="str">
        <f>[9]!id422?orderTypes</f>
        <v>ACTIVETIM,ADJUST,ALERT,ALGO,ALLOC,AON,AVGCOST,BASKET,COND,CONDORDER,DARKONLY,DARKPOLL,DAY,DEACT,DEACTDIS,DEACTEOD,DIS,GAT,GTC,GTD,GTT,HID,IBKRATS,ICE,IMB,IOC,LIT,LMT,LOC,MIT,MKT,MOC,MTL,NGCOMB,NODARK,NONALGO,OCA,OPG,OPGREROUT,PEGBENCH,POSTONLY,PREOPGRTH,R</v>
      </c>
      <c r="M559" s="6" t="str">
        <f>[9]!id422?validExchanges</f>
        <v>SMART,CBOE,ISE,CHX,ARCA,ISLAND,DRCTEDGE,NSX,BEX,BATS,EDGEA,CSFBALGO,JEFFALGO,BYX,IEX,TPLUS2,PSX</v>
      </c>
      <c r="N559" s="6">
        <f>[9]!id422?conid</f>
        <v>208813719</v>
      </c>
      <c r="O559" s="6">
        <f>[9]!id422?minTick</f>
        <v>0.01</v>
      </c>
      <c r="P559" s="6">
        <f>[9]!id422?multiplier</f>
        <v>0</v>
      </c>
      <c r="Q559" s="6" t="str">
        <f>[9]!id422?marketName</f>
        <v>NMS</v>
      </c>
      <c r="R559" s="6" t="str">
        <f>[9]!id422?tradingClass</f>
        <v>NMS</v>
      </c>
    </row>
    <row r="560" spans="1:18" hidden="1" x14ac:dyDescent="0.2">
      <c r="A560" t="s">
        <v>590</v>
      </c>
      <c r="B560" s="13" t="s">
        <v>12</v>
      </c>
      <c r="C560" s="13" t="b">
        <f t="shared" si="7"/>
        <v>1</v>
      </c>
      <c r="D560" s="13"/>
      <c r="E560" s="63"/>
      <c r="F560" s="13"/>
      <c r="G560" s="13"/>
      <c r="H560" s="13" t="s">
        <v>68</v>
      </c>
      <c r="I560" s="101" t="s">
        <v>44</v>
      </c>
      <c r="J560" s="101"/>
      <c r="K560" s="6">
        <f>[9]!'id423?req?BABA_STK_SMART_USD_~/'</f>
        <v>0</v>
      </c>
      <c r="L560" s="6" t="str">
        <f>[9]!id423?orderTypes</f>
        <v>ACTIVETIM,ADJUST,ALERT,ALGO,ALLOC,AON,AVGCOST,BASKET,COND,CONDORDER,DARKONLY,DARKPOLL,DAY,DEACT,DEACTDIS,DEACTEOD,DIS,GAT,GTC,GTD,GTT,HID,IBKRATS,ICE,IMB,IOC,LIT,LMT,LOC,MIT,MKT,MOC,MTL,NGCOMB,NODARK,NONALGO,OCA,OPG,OPGREROUT,PEGBENCH,POSTONLY,PREOPGRTH,R</v>
      </c>
      <c r="M560" s="6" t="str">
        <f>[9]!id423?validExchanges</f>
        <v>SMART,NYSE,CBOE,ISE,CHX,ARCA,ISLAND,DRCTEDGE,NSX,BEX,BATS,EDGEA,CSFBALGO,JEFFALGO,BYX,IEX,TPLUS2,PSX</v>
      </c>
      <c r="N560" s="6">
        <f>[9]!id423?conid</f>
        <v>166090175</v>
      </c>
      <c r="O560" s="6">
        <f>[9]!id423?minTick</f>
        <v>0.01</v>
      </c>
      <c r="P560" s="6">
        <f>[9]!id423?multiplier</f>
        <v>0</v>
      </c>
      <c r="Q560" s="6" t="str">
        <f>[9]!id423?marketName</f>
        <v>BABA</v>
      </c>
      <c r="R560" s="6" t="str">
        <f>[9]!id423?tradingClass</f>
        <v>BABA</v>
      </c>
    </row>
    <row r="561" spans="1:18" hidden="1" x14ac:dyDescent="0.2">
      <c r="A561" t="s">
        <v>591</v>
      </c>
      <c r="B561" s="13" t="s">
        <v>12</v>
      </c>
      <c r="C561" s="13" t="b">
        <f t="shared" si="7"/>
        <v>0</v>
      </c>
      <c r="D561" s="13"/>
      <c r="E561" s="63"/>
      <c r="F561" s="13"/>
      <c r="G561" s="13"/>
      <c r="H561" s="13" t="s">
        <v>68</v>
      </c>
      <c r="I561" s="101" t="s">
        <v>44</v>
      </c>
      <c r="J561" s="101"/>
      <c r="K561" s="6">
        <f>[9]!'id424?req?TLT_STK_SMART_USD_~/'</f>
        <v>0</v>
      </c>
      <c r="L561" s="6" t="str">
        <f>[9]!id424?orderTypes</f>
        <v>ACTIVETIM,ADJUST,ALERT,ALGO,ALLOC,AON,AVGCOST,BASKET,COND,CONDORDER,DARKONLY,DARKPOLL,DAY,DEACT,DEACTDIS,DEACTEOD,DIS,GAT,GTC,GTD,GTT,HID,IBKRATS,ICE,IMB,IOC,LIT,LMT,LOC,MIT,MKT,MOC,MTL,NGCOMB,NODARK,NONALGO,OCA,OPG,OPGREROUT,PEGBENCH,POSTONLY,PREOPGRTH,R</v>
      </c>
      <c r="M561" s="6" t="str">
        <f>[9]!id424?validExchanges</f>
        <v>SMART,CBOE,ISE,CHX,ARCA,ISLAND,DRCTEDGE,NSX,BEX,BATS,EDGEA,CSFBALGO,JEFFALGO,BYX,IEX,TPLUS2,PSX</v>
      </c>
      <c r="N561" s="6">
        <f>[9]!id424?conid</f>
        <v>15547841</v>
      </c>
      <c r="O561" s="6">
        <f>[9]!id424?minTick</f>
        <v>0.01</v>
      </c>
      <c r="P561" s="6">
        <f>[9]!id424?multiplier</f>
        <v>0</v>
      </c>
      <c r="Q561" s="6" t="str">
        <f>[9]!id424?marketName</f>
        <v>NMS</v>
      </c>
      <c r="R561" s="6" t="str">
        <f>[9]!id424?tradingClass</f>
        <v>NMS</v>
      </c>
    </row>
    <row r="562" spans="1:18" hidden="1" x14ac:dyDescent="0.2">
      <c r="A562" t="s">
        <v>592</v>
      </c>
      <c r="B562" s="13" t="s">
        <v>12</v>
      </c>
      <c r="C562" s="13" t="b">
        <f t="shared" si="7"/>
        <v>0</v>
      </c>
      <c r="D562" s="13"/>
      <c r="E562" s="63"/>
      <c r="F562" s="13"/>
      <c r="G562" s="13"/>
      <c r="H562" s="13" t="s">
        <v>68</v>
      </c>
      <c r="I562" s="101" t="s">
        <v>44</v>
      </c>
      <c r="J562" s="101"/>
      <c r="K562" s="6">
        <f>[9]!'id425?req?TSLA_STK_SMART_USD_~/'</f>
        <v>0</v>
      </c>
      <c r="L562" s="6" t="str">
        <f>[9]!id425?orderTypes</f>
        <v>ACTIVETIM,ADJUST,ALERT,ALGO,ALLOC,AON,AVGCOST,BASKET,COND,CONDORDER,DARKONLY,DARKPOLL,DAY,DEACT,DEACTDIS,DEACTEOD,DIS,GAT,GTC,GTD,GTT,HID,IBKRATS,ICE,IMB,IOC,LIT,LMT,LOC,MIT,MKT,MOC,MTL,NGCOMB,NODARK,NONALGO,OCA,OPG,OPGREROUT,PEGBENCH,POSTONLY,PREOPGRTH,R</v>
      </c>
      <c r="M562" s="6" t="str">
        <f>[9]!id425?validExchanges</f>
        <v>SMART,CBOE,ISE,CHX,ARCA,ISLAND,DRCTEDGE,NSX,BEX,BATS,EDGEA,CSFBALGO,JEFFALGO,BYX,IEX,TPLUS2,PSX</v>
      </c>
      <c r="N562" s="6">
        <f>[9]!id425?conid</f>
        <v>76792991</v>
      </c>
      <c r="O562" s="6">
        <f>[9]!id425?minTick</f>
        <v>0.01</v>
      </c>
      <c r="P562" s="6">
        <f>[9]!id425?multiplier</f>
        <v>0</v>
      </c>
      <c r="Q562" s="6" t="str">
        <f>[9]!id425?marketName</f>
        <v>NMS</v>
      </c>
      <c r="R562" s="6" t="str">
        <f>[9]!id425?tradingClass</f>
        <v>NMS</v>
      </c>
    </row>
    <row r="563" spans="1:18" hidden="1" x14ac:dyDescent="0.2">
      <c r="A563" t="s">
        <v>593</v>
      </c>
      <c r="B563" s="13" t="s">
        <v>12</v>
      </c>
      <c r="C563" s="13" t="b">
        <f t="shared" si="7"/>
        <v>1</v>
      </c>
      <c r="D563" s="13"/>
      <c r="E563" s="63"/>
      <c r="F563" s="13"/>
      <c r="G563" s="13"/>
      <c r="H563" s="13" t="s">
        <v>68</v>
      </c>
      <c r="I563" s="101" t="s">
        <v>44</v>
      </c>
      <c r="J563" s="101"/>
      <c r="K563" s="6">
        <f>[9]!'id426?req?AGN_STK_SMART_USD_~/'</f>
        <v>0</v>
      </c>
      <c r="L563" s="6" t="str">
        <f>[9]!id426?orderTypes</f>
        <v>ACTIVETIM,ADJUST,ALERT,ALGO,ALLOC,AON,AVGCOST,BASKET,COND,CONDORDER,DARKONLY,DARKPOLL,DAY,DEACT,DEACTDIS,DEACTEOD,DIS,GAT,GTC,GTD,GTT,HID,IBKRATS,ICE,IMB,IOC,LIT,LMT,LOC,MIT,MKT,MOC,MTL,NGCOMB,NODARK,NONALGO,OCA,OPG,OPGREROUT,PEGBENCH,POSTONLY,PREOPGRTH,R</v>
      </c>
      <c r="M563" s="6" t="str">
        <f>[9]!id426?validExchanges</f>
        <v>SMART,NYSE,CBOE,ISE,CHX,ARCA,ISLAND,DRCTEDGE,NSX,BEX,BATS,EDGEA,CSFBALGO,JEFFALGO,BYX,IEX,TPLUS2,PSX</v>
      </c>
      <c r="N563" s="6">
        <f>[9]!id426?conid</f>
        <v>196610642</v>
      </c>
      <c r="O563" s="6">
        <f>[9]!id426?minTick</f>
        <v>0.01</v>
      </c>
      <c r="P563" s="6">
        <f>[9]!id426?multiplier</f>
        <v>0</v>
      </c>
      <c r="Q563" s="6" t="str">
        <f>[9]!id426?marketName</f>
        <v>AGN</v>
      </c>
      <c r="R563" s="6" t="str">
        <f>[9]!id426?tradingClass</f>
        <v>AGN</v>
      </c>
    </row>
    <row r="564" spans="1:18" hidden="1" x14ac:dyDescent="0.2">
      <c r="A564" t="s">
        <v>594</v>
      </c>
      <c r="B564" s="13" t="s">
        <v>12</v>
      </c>
      <c r="C564" s="13" t="b">
        <f t="shared" si="7"/>
        <v>1</v>
      </c>
      <c r="D564" s="13"/>
      <c r="E564" s="63"/>
      <c r="F564" s="13"/>
      <c r="G564" s="13"/>
      <c r="H564" s="13" t="s">
        <v>68</v>
      </c>
      <c r="I564" s="101" t="s">
        <v>44</v>
      </c>
      <c r="J564" s="101"/>
      <c r="K564" s="6">
        <f>[9]!'id427?req?VRX_STK_SMART_USD_~/'</f>
        <v>0</v>
      </c>
      <c r="L564" s="6" t="str">
        <f>[9]!id427?orderTypes</f>
        <v>ACTIVETIM,ADJUST,ALERT,ALGO,ALLOC,AON,AVGCOST,BASKET,COND,CONDORDER,DARKONLY,DARKPOLL,DAY,DEACT,DEACTDIS,DEACTEOD,DIS,GAT,GTC,GTD,GTT,HID,IBKRATS,ICE,IMB,IOC,LIT,LMT,LOC,MIT,MKT,MOC,MTL,NGCOMB,NODARK,NONALGO,OCA,OPG,OPGREROUT,PEGBENCH,POSTONLY,PREOPGRTH,R</v>
      </c>
      <c r="M564" s="6" t="str">
        <f>[9]!id427?validExchanges</f>
        <v>SMART,NYSE,CBOE,ISE,CHX,ARCA,ISLAND,DRCTEDGE,NSX,BEX,BATS,EDGEA,CSFBALGO,JEFFALGO,BYX,IEX,TPLUS2,PSX</v>
      </c>
      <c r="N564" s="6">
        <f>[9]!id427?conid</f>
        <v>79431711</v>
      </c>
      <c r="O564" s="6">
        <f>[9]!id427?minTick</f>
        <v>0.01</v>
      </c>
      <c r="P564" s="6">
        <f>[9]!id427?multiplier</f>
        <v>0</v>
      </c>
      <c r="Q564" s="6" t="str">
        <f>[9]!id427?marketName</f>
        <v>VRX</v>
      </c>
      <c r="R564" s="6" t="str">
        <f>[9]!id427?tradingClass</f>
        <v>VRX</v>
      </c>
    </row>
    <row r="565" spans="1:18" hidden="1" x14ac:dyDescent="0.2">
      <c r="A565" t="s">
        <v>595</v>
      </c>
      <c r="B565" s="13" t="s">
        <v>12</v>
      </c>
      <c r="C565" s="13" t="b">
        <f t="shared" si="7"/>
        <v>0</v>
      </c>
      <c r="D565" s="13"/>
      <c r="E565" s="63"/>
      <c r="F565" s="13"/>
      <c r="G565" s="13"/>
      <c r="H565" s="13" t="s">
        <v>68</v>
      </c>
      <c r="I565" s="101" t="s">
        <v>44</v>
      </c>
      <c r="J565" s="101"/>
      <c r="K565" s="6">
        <f>[9]!'id428?req?IBB_STK_SMART_USD_~/'</f>
        <v>0</v>
      </c>
      <c r="L565" s="6" t="str">
        <f>[9]!id428?orderTypes</f>
        <v>ACTIVETIM,ADJUST,ALERT,ALGO,ALLOC,AON,AVGCOST,BASKET,COND,CONDORDER,DARKONLY,DARKPOLL,DAY,DEACT,DEACTDIS,DEACTEOD,DIS,GAT,GTC,GTD,GTT,HID,IBKRATS,ICE,IMB,IOC,LIT,LMT,LOC,MIT,MKT,MOC,MTL,NGCOMB,NODARK,NONALGO,OCA,OPG,OPGREROUT,PEGBENCH,POSTONLY,PREOPGRTH,R</v>
      </c>
      <c r="M565" s="6" t="str">
        <f>[9]!id428?validExchanges</f>
        <v>SMART,CBOE,ISE,CHX,ARCA,ISLAND,VWAP,DRCTEDGE,NSX,BEX,BATS,EDGEA,CSFBALGO,JEFFALGO,BYX,IEX,TPLUS2,PSX</v>
      </c>
      <c r="N565" s="6">
        <f>[9]!id428?conid</f>
        <v>11517520</v>
      </c>
      <c r="O565" s="6">
        <f>[9]!id428?minTick</f>
        <v>0.01</v>
      </c>
      <c r="P565" s="6">
        <f>[9]!id428?multiplier</f>
        <v>0</v>
      </c>
      <c r="Q565" s="6" t="str">
        <f>[9]!id428?marketName</f>
        <v>NMS</v>
      </c>
      <c r="R565" s="6" t="str">
        <f>[9]!id428?tradingClass</f>
        <v>NMS</v>
      </c>
    </row>
    <row r="566" spans="1:18" hidden="1" x14ac:dyDescent="0.2">
      <c r="A566" t="s">
        <v>596</v>
      </c>
      <c r="B566" s="13" t="s">
        <v>12</v>
      </c>
      <c r="C566" s="13" t="b">
        <f t="shared" si="7"/>
        <v>0</v>
      </c>
      <c r="D566" s="13"/>
      <c r="E566" s="63"/>
      <c r="F566" s="13"/>
      <c r="G566" s="13"/>
      <c r="H566" s="13" t="s">
        <v>68</v>
      </c>
      <c r="I566" s="101" t="s">
        <v>44</v>
      </c>
      <c r="J566" s="101"/>
      <c r="K566" s="6">
        <f>[9]!'id429?req?BIDU_STK_SMART_USD_~/'</f>
        <v>0</v>
      </c>
      <c r="L566" s="6" t="str">
        <f>[9]!id429?orderTypes</f>
        <v>ACTIVETIM,ADJUST,ALERT,ALGO,ALLOC,AON,AVGCOST,BASKET,COND,CONDORDER,DARKONLY,DARKPOLL,DAY,DEACT,DEACTDIS,DEACTEOD,DIS,GAT,GTC,GTD,GTT,HID,IBKRATS,ICE,IMB,IOC,LIT,LMT,LOC,MIT,MKT,MOC,MTL,NGCOMB,NODARK,NONALGO,OCA,OPG,OPGREROUT,PEGBENCH,POSTONLY,PREOPGRTH,R</v>
      </c>
      <c r="M566" s="6" t="str">
        <f>[9]!id429?validExchanges</f>
        <v>SMART,CBOE,ISE,CHX,ARCA,ISLAND,DRCTEDGE,NSX,BEX,BATS,EDGEA,CSFBALGO,JEFFALGO,BYX,IEX,TPLUS2,PSX</v>
      </c>
      <c r="N566" s="6">
        <f>[9]!id429?conid</f>
        <v>35359385</v>
      </c>
      <c r="O566" s="6">
        <f>[9]!id429?minTick</f>
        <v>0.01</v>
      </c>
      <c r="P566" s="6">
        <f>[9]!id429?multiplier</f>
        <v>0</v>
      </c>
      <c r="Q566" s="6" t="str">
        <f>[9]!id429?marketName</f>
        <v>NMS</v>
      </c>
      <c r="R566" s="6" t="str">
        <f>[9]!id429?tradingClass</f>
        <v>NMS</v>
      </c>
    </row>
    <row r="567" spans="1:18" hidden="1" x14ac:dyDescent="0.2">
      <c r="A567" t="s">
        <v>597</v>
      </c>
      <c r="B567" s="13" t="s">
        <v>12</v>
      </c>
      <c r="C567" s="13" t="b">
        <f t="shared" si="7"/>
        <v>0</v>
      </c>
      <c r="D567" s="13"/>
      <c r="E567" s="63"/>
      <c r="F567" s="13"/>
      <c r="G567" s="13"/>
      <c r="H567" s="13" t="s">
        <v>68</v>
      </c>
      <c r="I567" s="101" t="s">
        <v>44</v>
      </c>
      <c r="J567" s="101"/>
      <c r="K567" s="6">
        <f>[9]!'id430?req?CHTR_STK_SMART_USD_~/'</f>
        <v>0</v>
      </c>
      <c r="L567" s="6" t="str">
        <f>[9]!id430?orderTypes</f>
        <v>ACTIVETIM,ADJUST,ALERT,ALGO,ALLOC,AON,AVGCOST,BASKET,COND,CONDORDER,DARKONLY,DARKPOLL,DAY,DEACT,DEACTDIS,DEACTEOD,DIS,GAT,GTC,GTD,GTT,HID,IBKRATS,ICE,IMB,IOC,LIT,LMT,LOC,MIT,MKT,MOC,MTL,NGCOMB,NODARK,NONALGO,OCA,OPG,OPGREROUT,PEGBENCH,POSTONLY,PREOPGRTH,R</v>
      </c>
      <c r="M567" s="6" t="str">
        <f>[9]!id430?validExchanges</f>
        <v>SMART,CBOE,ISE,CHX,ARCA,ISLAND,DRCTEDGE,NSX,BEX,BATS,EDGEA,CSFBALGO,JEFFALGO,BYX,IEX,TPLUS2,PSX</v>
      </c>
      <c r="N567" s="6">
        <f>[9]!id430?conid</f>
        <v>233674866</v>
      </c>
      <c r="O567" s="6">
        <f>[9]!id430?minTick</f>
        <v>0.01</v>
      </c>
      <c r="P567" s="6">
        <f>[9]!id430?multiplier</f>
        <v>0</v>
      </c>
      <c r="Q567" s="6" t="str">
        <f>[9]!id430?marketName</f>
        <v>NMS</v>
      </c>
      <c r="R567" s="6" t="str">
        <f>[9]!id430?tradingClass</f>
        <v>NMS</v>
      </c>
    </row>
    <row r="568" spans="1:18" hidden="1" x14ac:dyDescent="0.2">
      <c r="A568" t="s">
        <v>598</v>
      </c>
      <c r="B568" s="13" t="s">
        <v>12</v>
      </c>
      <c r="C568" s="13" t="b">
        <f t="shared" si="7"/>
        <v>0</v>
      </c>
      <c r="D568" s="13"/>
      <c r="E568" s="63"/>
      <c r="F568" s="13"/>
      <c r="G568" s="13"/>
      <c r="H568" s="13" t="s">
        <v>68</v>
      </c>
      <c r="I568" s="101" t="s">
        <v>44</v>
      </c>
      <c r="J568" s="101"/>
      <c r="K568" s="6">
        <f>[9]!'id431?req?SHPG_STK_SMART_USD_~/'</f>
        <v>0</v>
      </c>
      <c r="L568" s="6" t="str">
        <f>[9]!id431?orderTypes</f>
        <v>ACTIVETIM,ADJUST,ALERT,ALGO,ALLOC,AON,AVGCOST,BASKET,COND,CONDORDER,DARKONLY,DARKPOLL,DAY,DEACT,DEACTDIS,DEACTEOD,DIS,GAT,GTC,GTD,GTT,HID,IBKRATS,ICE,IMB,IOC,LIT,LMT,LOC,MIT,MKT,MOC,MTL,NGCOMB,NODARK,NONALGO,OCA,OPG,OPGREROUT,PEGBENCH,POSTONLY,PREOPGRTH,R</v>
      </c>
      <c r="M568" s="6" t="str">
        <f>[9]!id431?validExchanges</f>
        <v>SMART,CBOE,ISE,CHX,ARCA,ISLAND,VWAP,DRCTEDGE,NSX,BEX,BATS,EDGEA,CSFBALGO,JEFFALGO,BYX,IEX,TPLUS2,PSX</v>
      </c>
      <c r="N568" s="6">
        <f>[9]!id431?conid</f>
        <v>4818054</v>
      </c>
      <c r="O568" s="6">
        <f>[9]!id431?minTick</f>
        <v>0.01</v>
      </c>
      <c r="P568" s="6">
        <f>[9]!id431?multiplier</f>
        <v>0</v>
      </c>
      <c r="Q568" s="6" t="str">
        <f>[9]!id431?marketName</f>
        <v>NMS</v>
      </c>
      <c r="R568" s="6" t="str">
        <f>[9]!id431?tradingClass</f>
        <v>NMS</v>
      </c>
    </row>
    <row r="569" spans="1:18" hidden="1" x14ac:dyDescent="0.2">
      <c r="A569" t="s">
        <v>599</v>
      </c>
      <c r="B569" s="13" t="s">
        <v>12</v>
      </c>
      <c r="C569" s="13" t="b">
        <f t="shared" si="7"/>
        <v>1</v>
      </c>
      <c r="D569" s="13"/>
      <c r="E569" s="63"/>
      <c r="F569" s="13"/>
      <c r="G569" s="13"/>
      <c r="H569" s="13" t="s">
        <v>68</v>
      </c>
      <c r="I569" s="101" t="s">
        <v>44</v>
      </c>
      <c r="J569" s="101"/>
      <c r="K569" s="6">
        <f>[9]!'id432?req?LNKD_STK_SMART_USD_~/'</f>
        <v>0</v>
      </c>
      <c r="L569" s="6" t="str">
        <f>[9]!id432?orderTypes</f>
        <v>ACTIVETIM,ADJUST,ALERT,ALGO,ALLOC,AON,AVGCOST,BASKET,COND,CONDORDER,DARKONLY,DARKPOLL,DAY,DEACT,DEACTDIS,DEACTEOD,DIS,GAT,GTC,GTD,GTT,HID,IBKRATS,ICE,IMB,IOC,LIT,LMT,LOC,MIT,MKT,MOC,MTL,NGCOMB,NODARK,NONALGO,OCA,OPG,OPGREROUT,PEGBENCH,POSTONLY,PREOPGRTH,R</v>
      </c>
      <c r="M569" s="6" t="str">
        <f>[9]!id432?validExchanges</f>
        <v>SMART,NYSE,CBOE,ISE,CHX,ARCA,ISLAND,DRCTEDGE,NSX,BEX,BATS,EDGEA,CSFBALGO,JEFFALGO,BYX,IEX,TPLUS2,PSX</v>
      </c>
      <c r="N569" s="6">
        <f>[9]!id432?conid</f>
        <v>88259585</v>
      </c>
      <c r="O569" s="6">
        <f>[9]!id432?minTick</f>
        <v>0.01</v>
      </c>
      <c r="P569" s="6">
        <f>[9]!id432?multiplier</f>
        <v>0</v>
      </c>
      <c r="Q569" s="6" t="str">
        <f>[9]!id432?marketName</f>
        <v>LNKD</v>
      </c>
      <c r="R569" s="6" t="str">
        <f>[9]!id432?tradingClass</f>
        <v>LNKD</v>
      </c>
    </row>
    <row r="570" spans="1:18" hidden="1" x14ac:dyDescent="0.2">
      <c r="A570" t="s">
        <v>600</v>
      </c>
      <c r="B570" s="13" t="s">
        <v>12</v>
      </c>
      <c r="C570" s="13" t="b">
        <f t="shared" si="7"/>
        <v>0</v>
      </c>
      <c r="D570" s="13"/>
      <c r="E570" s="63"/>
      <c r="F570" s="13"/>
      <c r="G570" s="13"/>
      <c r="H570" s="13" t="s">
        <v>68</v>
      </c>
      <c r="I570" s="101" t="s">
        <v>44</v>
      </c>
      <c r="J570" s="101"/>
      <c r="K570" s="6">
        <f>[9]!'id433?req?TQQQ_STK_SMART_USD_~/'</f>
        <v>0</v>
      </c>
      <c r="L570" s="6" t="str">
        <f>[9]!id433?orderTypes</f>
        <v>ACTIVETIM,ADJUST,ALERT,ALGO,ALLOC,AON,AVGCOST,BASKET,COND,CONDORDER,DARKONLY,DARKPOLL,DAY,DEACT,DEACTDIS,DEACTEOD,DIS,GAT,GTC,GTD,GTT,HID,IBKRATS,ICE,IMB,IOC,LIT,LMT,LOC,MIT,MKT,MOC,MTL,NGCOMB,NODARK,NONALGO,OCA,OPG,OPGREROUT,PEGBENCH,POSTONLY,PREOPGRTH,R</v>
      </c>
      <c r="M570" s="6" t="str">
        <f>[9]!id433?validExchanges</f>
        <v>SMART,CBOE,ISE,CHX,ARCA,ISLAND,DRCTEDGE,NSX,BEX,BATS,EDGEA,CSFBALGO,JEFFALGO,BYX,IEX,TPLUS2,PSX</v>
      </c>
      <c r="N570" s="6">
        <f>[9]!id433?conid</f>
        <v>72539702</v>
      </c>
      <c r="O570" s="6">
        <f>[9]!id433?minTick</f>
        <v>0.01</v>
      </c>
      <c r="P570" s="6">
        <f>[9]!id433?multiplier</f>
        <v>0</v>
      </c>
      <c r="Q570" s="6" t="str">
        <f>[9]!id433?marketName</f>
        <v>NMS</v>
      </c>
      <c r="R570" s="6" t="str">
        <f>[9]!id433?tradingClass</f>
        <v>NMS</v>
      </c>
    </row>
    <row r="571" spans="1:18" hidden="1" x14ac:dyDescent="0.2">
      <c r="A571" t="s">
        <v>601</v>
      </c>
      <c r="B571" s="13" t="s">
        <v>12</v>
      </c>
      <c r="C571" s="13" t="b">
        <f t="shared" si="7"/>
        <v>1</v>
      </c>
      <c r="D571" s="13"/>
      <c r="E571" s="63"/>
      <c r="F571" s="13"/>
      <c r="G571" s="13"/>
      <c r="H571" s="13" t="s">
        <v>68</v>
      </c>
      <c r="I571" s="101" t="s">
        <v>44</v>
      </c>
      <c r="J571" s="101"/>
      <c r="K571" s="6">
        <f>[9]!'id434?req?TEVA_STK_SMART_USD_~/'</f>
        <v>0</v>
      </c>
      <c r="L571" s="6" t="str">
        <f>[9]!id434?orderTypes</f>
        <v>ACTIVETIM,ADJUST,ALERT,ALGO,ALLOC,AON,AVGCOST,BASKET,COND,CONDORDER,DARKONLY,DARKPOLL,DAY,DEACT,DEACTDIS,DEACTEOD,DIS,GAT,GTC,GTD,GTT,HID,IBKRATS,ICE,IMB,IOC,LIT,LMT,LOC,MIT,MKT,MOC,MTL,NGCOMB,NODARK,NONALGO,OCA,OPG,OPGREROUT,PEGBENCH,POSTONLY,PREOPGRTH,R</v>
      </c>
      <c r="M571" s="6" t="str">
        <f>[9]!id434?validExchanges</f>
        <v>SMART,NYSE,CBOE,ISE,CHX,ARCA,ISLAND,VWAP,DRCTEDGE,NSX,BEX,BATS,EDGEA,CSFBALGO,JEFFALGO,BYX,IEX,TPLUS2,PSX</v>
      </c>
      <c r="N571" s="6">
        <f>[9]!id434?conid</f>
        <v>275085</v>
      </c>
      <c r="O571" s="6">
        <f>[9]!id434?minTick</f>
        <v>0.01</v>
      </c>
      <c r="P571" s="6">
        <f>[9]!id434?multiplier</f>
        <v>0</v>
      </c>
      <c r="Q571" s="6" t="str">
        <f>[9]!id434?marketName</f>
        <v>TEVA</v>
      </c>
      <c r="R571" s="6" t="str">
        <f>[9]!id434?tradingClass</f>
        <v>TEVA</v>
      </c>
    </row>
    <row r="572" spans="1:18" hidden="1" x14ac:dyDescent="0.2">
      <c r="A572" t="s">
        <v>602</v>
      </c>
      <c r="B572" s="13" t="s">
        <v>12</v>
      </c>
      <c r="C572" s="13" t="b">
        <f t="shared" si="7"/>
        <v>0</v>
      </c>
      <c r="D572" s="13"/>
      <c r="E572" s="63"/>
      <c r="F572" s="13"/>
      <c r="G572" s="13"/>
      <c r="H572" s="13" t="s">
        <v>68</v>
      </c>
      <c r="I572" s="101" t="s">
        <v>44</v>
      </c>
      <c r="J572" s="101"/>
      <c r="K572" s="6">
        <f>[9]!'id435?req?NXPI_STK_SMART_USD_~/'</f>
        <v>0</v>
      </c>
      <c r="L572" s="6" t="str">
        <f>[9]!id435?orderTypes</f>
        <v>ACTIVETIM,ADJUST,ALERT,ALGO,ALLOC,AON,AVGCOST,BASKET,COND,CONDORDER,DARKONLY,DARKPOLL,DAY,DEACT,DEACTDIS,DEACTEOD,DIS,GAT,GTC,GTD,GTT,HID,IBKRATS,ICE,IMB,IOC,LIT,LMT,LOC,MIT,MKT,MOC,MTL,NGCOMB,NODARK,NONALGO,OCA,OPG,OPGREROUT,PEGBENCH,POSTONLY,PREOPGRTH,R</v>
      </c>
      <c r="M572" s="6" t="str">
        <f>[9]!id435?validExchanges</f>
        <v>SMART,CBOE,ISE,CHX,ARCA,ISLAND,DRCTEDGE,NSX,BEX,BATS,EDGEA,CSFBALGO,JEFFALGO,BYX,IEX,TPLUS2,PSX</v>
      </c>
      <c r="N572" s="6">
        <f>[9]!id435?conid</f>
        <v>77791077</v>
      </c>
      <c r="O572" s="6">
        <f>[9]!id435?minTick</f>
        <v>0.01</v>
      </c>
      <c r="P572" s="6">
        <f>[9]!id435?multiplier</f>
        <v>0</v>
      </c>
      <c r="Q572" s="6" t="str">
        <f>[9]!id435?marketName</f>
        <v>NMS</v>
      </c>
      <c r="R572" s="6" t="str">
        <f>[9]!id435?tradingClass</f>
        <v>NMS</v>
      </c>
    </row>
    <row r="573" spans="1:18" hidden="1" x14ac:dyDescent="0.2">
      <c r="A573" t="s">
        <v>603</v>
      </c>
      <c r="B573" s="13" t="s">
        <v>12</v>
      </c>
      <c r="C573" s="13" t="b">
        <f t="shared" ref="C573:C577" si="8">A573=Q573</f>
        <v>1</v>
      </c>
      <c r="D573" s="13"/>
      <c r="E573" s="63"/>
      <c r="F573" s="13"/>
      <c r="G573" s="13"/>
      <c r="H573" s="13" t="s">
        <v>68</v>
      </c>
      <c r="I573" s="101" t="s">
        <v>44</v>
      </c>
      <c r="J573" s="101"/>
      <c r="K573" s="6">
        <f>[9]!'id436?req?PANW_STK_SMART_USD_~/'</f>
        <v>0</v>
      </c>
      <c r="L573" s="6" t="str">
        <f>[9]!id436?orderTypes</f>
        <v>ACTIVETIM,ADJUST,ALERT,ALGO,ALLOC,AON,AVGCOST,BASKET,COND,CONDORDER,DARKONLY,DARKPOLL,DAY,DEACT,DEACTDIS,DEACTEOD,DIS,GAT,GTC,GTD,GTT,HID,IBKRATS,ICE,IMB,IOC,LIT,LMT,LOC,MIT,MKT,MOC,MTL,NGCOMB,NODARK,NONALGO,OCA,OPG,OPGREROUT,PEGBENCH,POSTONLY,PREOPGRTH,R</v>
      </c>
      <c r="M573" s="6" t="str">
        <f>[9]!id436?validExchanges</f>
        <v>SMART,NYSE,CBOE,ISE,CHX,ARCA,ISLAND,DRCTEDGE,NSX,BEX,BATS,EDGEA,CSFBALGO,JEFFALGO,BYX,IEX,TPLUS2,PSX</v>
      </c>
      <c r="N573" s="6">
        <f>[9]!id436?conid</f>
        <v>110619459</v>
      </c>
      <c r="O573" s="6">
        <f>[9]!id436?minTick</f>
        <v>0.01</v>
      </c>
      <c r="P573" s="6">
        <f>[9]!id436?multiplier</f>
        <v>0</v>
      </c>
      <c r="Q573" s="6" t="str">
        <f>[9]!id436?marketName</f>
        <v>PANW</v>
      </c>
      <c r="R573" s="6" t="str">
        <f>[9]!id436?tradingClass</f>
        <v>PANW</v>
      </c>
    </row>
    <row r="574" spans="1:18" hidden="1" x14ac:dyDescent="0.2">
      <c r="A574" t="s">
        <v>604</v>
      </c>
      <c r="B574" s="13" t="s">
        <v>12</v>
      </c>
      <c r="C574" s="13" t="b">
        <f t="shared" si="8"/>
        <v>1</v>
      </c>
      <c r="D574" s="13"/>
      <c r="E574" s="63"/>
      <c r="F574" s="13"/>
      <c r="G574" s="13"/>
      <c r="H574" s="13" t="s">
        <v>68</v>
      </c>
      <c r="I574" s="101" t="s">
        <v>44</v>
      </c>
      <c r="J574" s="101"/>
      <c r="K574" s="6">
        <f>[9]!'id437?req?CB_STK_SMART_USD_~/'</f>
        <v>0</v>
      </c>
      <c r="L574" s="6" t="str">
        <f>[9]!id437?orderTypes</f>
        <v>ACTIVETIM,ADJUST,ALERT,ALGO,ALLOC,AON,AVGCOST,BASKET,COND,CONDORDER,DARKONLY,DARKPOLL,DAY,DEACT,DEACTDIS,DEACTEOD,DIS,GAT,GTC,GTD,GTT,HID,IBKRATS,ICE,IMB,IOC,LIT,LMT,LOC,MIT,MKT,MOC,MTL,NGCOMB,NODARK,NONALGO,OCA,OPG,OPGREROUT,PEGBENCH,POSTONLY,PREOPGRTH,R</v>
      </c>
      <c r="M574" s="6" t="str">
        <f>[9]!id437?validExchanges</f>
        <v>SMART,NYSE,CBOE,ISE,CHX,ARCA,ISLAND,VWAP,DRCTEDGE,NSX,BEX,BATS,EDGEA,CSFBALGO,JEFFALGO,BYX,IEX,TPLUS2,PSX</v>
      </c>
      <c r="N574" s="6">
        <f>[9]!id437?conid</f>
        <v>218939694</v>
      </c>
      <c r="O574" s="6">
        <f>[9]!id437?minTick</f>
        <v>0.01</v>
      </c>
      <c r="P574" s="6">
        <f>[9]!id437?multiplier</f>
        <v>0</v>
      </c>
      <c r="Q574" s="6" t="str">
        <f>[9]!id437?marketName</f>
        <v>CB</v>
      </c>
      <c r="R574" s="6" t="str">
        <f>[9]!id437?tradingClass</f>
        <v>CB</v>
      </c>
    </row>
    <row r="575" spans="1:18" hidden="1" x14ac:dyDescent="0.2">
      <c r="A575" t="s">
        <v>605</v>
      </c>
      <c r="B575" s="13" t="s">
        <v>12</v>
      </c>
      <c r="C575" s="13" t="b">
        <f t="shared" si="8"/>
        <v>1</v>
      </c>
      <c r="D575" s="13"/>
      <c r="E575" s="63"/>
      <c r="F575" s="13"/>
      <c r="G575" s="13"/>
      <c r="H575" s="13" t="s">
        <v>68</v>
      </c>
      <c r="I575" s="101" t="s">
        <v>44</v>
      </c>
      <c r="J575" s="101"/>
      <c r="K575" s="6">
        <f>[9]!'id438?req?BUD_STK_SMART_USD_~/'</f>
        <v>0</v>
      </c>
      <c r="L575" s="6" t="str">
        <f>[9]!id438?orderTypes</f>
        <v>ACTIVETIM,ADJUST,ALERT,ALGO,ALLOC,AON,AVGCOST,BASKET,COND,CONDORDER,DARKONLY,DARKPOLL,DAY,DEACT,DEACTDIS,DEACTEOD,DIS,GAT,GTC,GTD,GTT,HID,IBKRATS,ICE,IMB,IOC,LIT,LMT,LOC,MIT,MKT,MOC,MTL,NGCOMB,NODARK,NONALGO,OCA,OPG,OPGREROUT,PEGBENCH,POSTONLY,PREOPGRTH,R</v>
      </c>
      <c r="M575" s="6" t="str">
        <f>[9]!id438?validExchanges</f>
        <v>SMART,NYSE,CBOE,ISE,CHX,ARCA,ISLAND,DRCTEDGE,NSX,BEX,BATS,EDGEA,CSFBALGO,JEFFALGO,BYX,IEX,TPLUS2,PSX</v>
      </c>
      <c r="N575" s="6">
        <f>[9]!id438?conid</f>
        <v>61481454</v>
      </c>
      <c r="O575" s="6">
        <f>[9]!id438?minTick</f>
        <v>0.01</v>
      </c>
      <c r="P575" s="6">
        <f>[9]!id438?multiplier</f>
        <v>0</v>
      </c>
      <c r="Q575" s="6" t="str">
        <f>[9]!id438?marketName</f>
        <v>BUD</v>
      </c>
      <c r="R575" s="6" t="str">
        <f>[9]!id438?tradingClass</f>
        <v>BUD</v>
      </c>
    </row>
    <row r="576" spans="1:18" hidden="1" x14ac:dyDescent="0.2">
      <c r="A576" t="s">
        <v>606</v>
      </c>
      <c r="B576" s="13" t="s">
        <v>12</v>
      </c>
      <c r="C576" s="13" t="b">
        <f t="shared" si="8"/>
        <v>0</v>
      </c>
      <c r="D576" s="13"/>
      <c r="E576" s="63"/>
      <c r="F576" s="13"/>
      <c r="G576" s="13"/>
      <c r="H576" s="13" t="s">
        <v>68</v>
      </c>
      <c r="I576" s="101" t="s">
        <v>44</v>
      </c>
      <c r="J576" s="101"/>
      <c r="K576" s="6">
        <f>[9]!'id439?req?NTES_STK_SMART_USD_~/'</f>
        <v>0</v>
      </c>
      <c r="L576" s="6" t="str">
        <f>[9]!id439?orderTypes</f>
        <v>ACTIVETIM,ADJUST,ALERT,ALGO,ALLOC,AON,AVGCOST,BASKET,COND,CONDORDER,DARKONLY,DARKPOLL,DAY,DEACT,DEACTDIS,DEACTEOD,DIS,GAT,GTC,GTD,GTT,HID,IBKRATS,ICE,IMB,IOC,LIT,LMT,LOC,MIT,MKT,MOC,MTL,NGCOMB,NODARK,NONALGO,OCA,OPG,OPGREROUT,PEGBENCH,POSTONLY,PREOPGRTH,R</v>
      </c>
      <c r="M576" s="6" t="str">
        <f>[9]!id439?validExchanges</f>
        <v>SMART,CBOE,ISE,CHX,ARCA,ISLAND,DRCTEDGE,NSX,BEX,BATS,EDGEA,CSFBALGO,JEFFALGO,BYX,IEX,TPLUS2,PSX</v>
      </c>
      <c r="N576" s="6">
        <f>[9]!id439?conid</f>
        <v>9541698</v>
      </c>
      <c r="O576" s="6">
        <f>[9]!id439?minTick</f>
        <v>0.01</v>
      </c>
      <c r="P576" s="6">
        <f>[9]!id439?multiplier</f>
        <v>0</v>
      </c>
      <c r="Q576" s="6" t="str">
        <f>[9]!id439?marketName</f>
        <v>NMS</v>
      </c>
      <c r="R576" s="6" t="str">
        <f>[9]!id439?tradingClass</f>
        <v>NMS</v>
      </c>
    </row>
    <row r="577" spans="1:18" hidden="1" x14ac:dyDescent="0.2">
      <c r="A577" t="s">
        <v>607</v>
      </c>
      <c r="B577" s="13" t="s">
        <v>12</v>
      </c>
      <c r="C577" s="13" t="b">
        <f t="shared" si="8"/>
        <v>1</v>
      </c>
      <c r="D577" s="13"/>
      <c r="E577" s="63"/>
      <c r="F577" s="13"/>
      <c r="G577" s="13"/>
      <c r="H577" s="13" t="s">
        <v>68</v>
      </c>
      <c r="I577" s="101" t="s">
        <v>44</v>
      </c>
      <c r="J577" s="101"/>
      <c r="K577" s="6">
        <f>[9]!'id440?req?NVS_STK_SMART_USD_~/'</f>
        <v>0</v>
      </c>
      <c r="L577" s="6" t="str">
        <f>[9]!id440?orderTypes</f>
        <v>ACTIVETIM,ADJUST,ALERT,ALGO,ALLOC,AON,AVGCOST,BASKET,COND,CONDORDER,DARKONLY,DARKPOLL,DAY,DEACT,DEACTDIS,DEACTEOD,DIS,GAT,GTC,GTD,GTT,HID,IBKRATS,ICE,IMB,IOC,LIT,LMT,LOC,MIT,MKT,MOC,MTL,NGCOMB,NODARK,NONALGO,OCA,OPG,OPGREROUT,PEGBENCH,POSTONLY,PREOPGRTH,R</v>
      </c>
      <c r="M577" s="6" t="str">
        <f>[9]!id440?validExchanges</f>
        <v>SMART,NYSE,CBOE,ISE,CHX,ARCA,ISLAND,VWAP,DRCTEDGE,NSX,BEX,BATS,EDGEA,CSFBALGO,JEFFALGO,BYX,IEX,TPLUS2,PSX</v>
      </c>
      <c r="N577" s="6">
        <f>[9]!id440?conid</f>
        <v>8794522</v>
      </c>
      <c r="O577" s="6">
        <f>[9]!id440?minTick</f>
        <v>0.01</v>
      </c>
      <c r="P577" s="6">
        <f>[9]!id440?multiplier</f>
        <v>0</v>
      </c>
      <c r="Q577" s="6" t="str">
        <f>[9]!id440?marketName</f>
        <v>NVS</v>
      </c>
      <c r="R577" s="6" t="str">
        <f>[9]!id440?tradingClass</f>
        <v>NVS</v>
      </c>
    </row>
    <row r="578" spans="1:18" hidden="1" x14ac:dyDescent="0.2">
      <c r="A578" t="s">
        <v>608</v>
      </c>
      <c r="B578" s="13" t="s">
        <v>12</v>
      </c>
      <c r="C578" s="13" t="b">
        <f t="shared" ref="C578:C641" si="9">A578=Q578</f>
        <v>0</v>
      </c>
      <c r="D578" s="13"/>
      <c r="E578" s="63"/>
      <c r="F578" s="13"/>
      <c r="G578" s="13"/>
      <c r="H578" s="13" t="s">
        <v>68</v>
      </c>
      <c r="I578" s="101" t="s">
        <v>44</v>
      </c>
      <c r="J578" s="101"/>
      <c r="K578" s="6">
        <f>[9]!'id441?req?BMRN_STK_SMART_USD_~/'</f>
        <v>0</v>
      </c>
      <c r="L578" s="6" t="str">
        <f>[9]!id441?orderTypes</f>
        <v>ACTIVETIM,ADJUST,ALERT,ALGO,ALLOC,AON,AVGCOST,BASKET,COND,CONDORDER,DARKONLY,DARKPOLL,DAY,DEACT,DEACTDIS,DEACTEOD,DIS,GAT,GTC,GTD,GTT,HID,IBKRATS,ICE,IMB,IOC,LIT,LMT,LOC,MIT,MKT,MOC,MTL,NGCOMB,NODARK,NONALGO,OCA,OPG,OPGREROUT,PEGBENCH,POSTONLY,PREOPGRTH,R</v>
      </c>
      <c r="M578" s="6" t="str">
        <f>[9]!id441?validExchanges</f>
        <v>SMART,CBOE,ISE,CHX,ARCA,ISLAND,DRCTEDGE,NSX,BEX,BATS,EDGEA,CSFBALGO,JEFFALGO,BYX,IEX,TPLUS2,PSX</v>
      </c>
      <c r="N578" s="6">
        <f>[9]!id441?conid</f>
        <v>6857447</v>
      </c>
      <c r="O578" s="6">
        <f>[9]!id441?minTick</f>
        <v>0.01</v>
      </c>
      <c r="P578" s="6">
        <f>[9]!id441?multiplier</f>
        <v>0</v>
      </c>
      <c r="Q578" s="6" t="str">
        <f>[9]!id441?marketName</f>
        <v>NMS</v>
      </c>
      <c r="R578" s="6" t="str">
        <f>[9]!id441?tradingClass</f>
        <v>NMS</v>
      </c>
    </row>
    <row r="579" spans="1:18" hidden="1" x14ac:dyDescent="0.2">
      <c r="A579" t="s">
        <v>609</v>
      </c>
      <c r="B579" s="13" t="s">
        <v>12</v>
      </c>
      <c r="C579" s="13" t="b">
        <f t="shared" si="9"/>
        <v>0</v>
      </c>
      <c r="D579" s="13"/>
      <c r="E579" s="63"/>
      <c r="F579" s="13"/>
      <c r="G579" s="13"/>
      <c r="H579" s="13" t="s">
        <v>68</v>
      </c>
      <c r="I579" s="101" t="s">
        <v>44</v>
      </c>
      <c r="J579" s="101"/>
      <c r="K579" s="6">
        <f>[9]!'id442?req?LULU_STK_SMART_USD_~/'</f>
        <v>0</v>
      </c>
      <c r="L579" s="6" t="str">
        <f>[9]!id442?orderTypes</f>
        <v>ACTIVETIM,ADJUST,ALERT,ALGO,ALLOC,AON,AVGCOST,BASKET,COND,CONDORDER,DARKONLY,DARKPOLL,DAY,DEACT,DEACTDIS,DEACTEOD,DIS,GAT,GTC,GTD,GTT,HID,IBKRATS,ICE,IMB,IOC,LIT,LMT,LOC,MIT,MKT,MOC,MTL,NGCOMB,NODARK,NONALGO,OCA,OPG,OPGREROUT,PEGBENCH,POSTONLY,PREOPGRTH,R</v>
      </c>
      <c r="M579" s="6" t="str">
        <f>[9]!id442?validExchanges</f>
        <v>SMART,CBOE,ISE,CHX,ARCA,ISLAND,DRCTEDGE,NSX,BEX,BATS,EDGEA,CSFBALGO,JEFFALGO,BYX,IEX,TPLUS2,PSX</v>
      </c>
      <c r="N579" s="6">
        <f>[9]!id442?conid</f>
        <v>45157951</v>
      </c>
      <c r="O579" s="6">
        <f>[9]!id442?minTick</f>
        <v>0.01</v>
      </c>
      <c r="P579" s="6">
        <f>[9]!id442?multiplier</f>
        <v>0</v>
      </c>
      <c r="Q579" s="6" t="str">
        <f>[9]!id442?marketName</f>
        <v>NMS</v>
      </c>
      <c r="R579" s="6" t="str">
        <f>[9]!id442?tradingClass</f>
        <v>NMS</v>
      </c>
    </row>
    <row r="580" spans="1:18" hidden="1" x14ac:dyDescent="0.2">
      <c r="A580" t="s">
        <v>610</v>
      </c>
      <c r="B580" s="13" t="s">
        <v>12</v>
      </c>
      <c r="C580" s="13" t="b">
        <f t="shared" si="9"/>
        <v>1</v>
      </c>
      <c r="D580" s="13"/>
      <c r="E580" s="63"/>
      <c r="F580" s="13"/>
      <c r="G580" s="13"/>
      <c r="H580" s="13" t="s">
        <v>68</v>
      </c>
      <c r="I580" s="101" t="s">
        <v>44</v>
      </c>
      <c r="J580" s="101"/>
      <c r="K580" s="6">
        <f>[9]!'id443?req?WDAY_STK_SMART_USD_~/'</f>
        <v>0</v>
      </c>
      <c r="L580" s="6" t="str">
        <f>[9]!id443?orderTypes</f>
        <v>ACTIVETIM,ADJUST,ALERT,ALGO,ALLOC,AON,AVGCOST,BASKET,COND,CONDORDER,DARKONLY,DARKPOLL,DAY,DEACT,DEACTDIS,DEACTEOD,DIS,GAT,GTC,GTD,GTT,HID,IBKRATS,ICE,IMB,IOC,LIT,LMT,LOC,MIT,MKT,MOC,MTL,NGCOMB,NODARK,NONALGO,OCA,OPG,OPGREROUT,PEGBENCH,POSTONLY,PREOPGRTH,R</v>
      </c>
      <c r="M580" s="6" t="str">
        <f>[9]!id443?validExchanges</f>
        <v>SMART,NYSE,CBOE,ISE,CHX,ARCA,ISLAND,DRCTEDGE,NSX,BEX,BATS,EDGEA,CSFBALGO,JEFFALGO,BYX,IEX,TPLUS2,PSX</v>
      </c>
      <c r="N580" s="6">
        <f>[9]!id443?conid</f>
        <v>115324104</v>
      </c>
      <c r="O580" s="6">
        <f>[9]!id443?minTick</f>
        <v>0.01</v>
      </c>
      <c r="P580" s="6">
        <f>[9]!id443?multiplier</f>
        <v>0</v>
      </c>
      <c r="Q580" s="6" t="str">
        <f>[9]!id443?marketName</f>
        <v>WDAY</v>
      </c>
      <c r="R580" s="6" t="str">
        <f>[9]!id443?tradingClass</f>
        <v>WDAY</v>
      </c>
    </row>
    <row r="581" spans="1:18" hidden="1" x14ac:dyDescent="0.2">
      <c r="A581" t="s">
        <v>611</v>
      </c>
      <c r="B581" s="13" t="s">
        <v>12</v>
      </c>
      <c r="C581" s="13" t="b">
        <f t="shared" si="9"/>
        <v>1</v>
      </c>
      <c r="D581" s="13"/>
      <c r="E581" s="63"/>
      <c r="F581" s="13"/>
      <c r="G581" s="13"/>
      <c r="H581" s="13" t="s">
        <v>68</v>
      </c>
      <c r="I581" s="101" t="s">
        <v>44</v>
      </c>
      <c r="J581" s="101"/>
      <c r="K581" s="6">
        <f>[9]!'id444?req?NOW_STK_SMART_USD_~/'</f>
        <v>0</v>
      </c>
      <c r="L581" s="6" t="str">
        <f>[9]!id444?orderTypes</f>
        <v>ACTIVETIM,ADJUST,ALERT,ALGO,ALLOC,AON,AVGCOST,BASKET,COND,CONDORDER,DARKONLY,DARKPOLL,DAY,DEACT,DEACTDIS,DEACTEOD,DIS,GAT,GTC,GTD,GTT,HID,IBKRATS,ICE,IMB,IOC,LIT,LMT,LOC,MIT,MKT,MOC,MTL,NGCOMB,NODARK,NONALGO,OCA,OPG,OPGREROUT,PEGBENCH,POSTONLY,PREOPGRTH,R</v>
      </c>
      <c r="M581" s="6" t="str">
        <f>[9]!id444?validExchanges</f>
        <v>SMART,NYSE,CBOE,ISE,CHX,ARCA,ISLAND,DRCTEDGE,NSX,BEX,BATS,EDGEA,CSFBALGO,JEFFALGO,BYX,IEX,TPLUS2,PSX</v>
      </c>
      <c r="N581" s="6">
        <f>[9]!id444?conid</f>
        <v>109911821</v>
      </c>
      <c r="O581" s="6">
        <f>[9]!id444?minTick</f>
        <v>0.01</v>
      </c>
      <c r="P581" s="6">
        <f>[9]!id444?multiplier</f>
        <v>0</v>
      </c>
      <c r="Q581" s="6" t="str">
        <f>[9]!id444?marketName</f>
        <v>NOW</v>
      </c>
      <c r="R581" s="6" t="str">
        <f>[9]!id444?tradingClass</f>
        <v>NOW</v>
      </c>
    </row>
    <row r="582" spans="1:18" hidden="1" x14ac:dyDescent="0.2">
      <c r="A582" t="s">
        <v>612</v>
      </c>
      <c r="B582" s="13" t="s">
        <v>12</v>
      </c>
      <c r="C582" s="13" t="b">
        <f t="shared" si="9"/>
        <v>1</v>
      </c>
      <c r="D582" s="13"/>
      <c r="E582" s="63"/>
      <c r="F582" s="13"/>
      <c r="G582" s="13"/>
      <c r="H582" s="13" t="s">
        <v>68</v>
      </c>
      <c r="I582" s="101" t="s">
        <v>44</v>
      </c>
      <c r="J582" s="101"/>
      <c r="K582" s="6">
        <f>[9]!'id445?req?CP_STK_SMART_USD_~/'</f>
        <v>0</v>
      </c>
      <c r="L582" s="6" t="str">
        <f>[9]!id445?orderTypes</f>
        <v>ACTIVETIM,ADJUST,ALERT,ALGO,ALLOC,AON,AVGCOST,BASKET,COND,CONDORDER,DARKONLY,DARKPOLL,DAY,DEACT,DEACTDIS,DEACTEOD,DIS,GAT,GTC,GTD,GTT,HID,IBKRATS,ICE,IMB,IOC,LIT,LMT,LOC,MIT,MKT,MOC,MTL,NGCOMB,NODARK,NONALGO,OCA,OPG,OPGREROUT,PEGBENCH,POSTONLY,PREOPGRTH,R</v>
      </c>
      <c r="M582" s="6" t="str">
        <f>[9]!id445?validExchanges</f>
        <v>SMART,NYSE,CBOE,ISE,CHX,ARCA,ISLAND,VWAP,DRCTEDGE,NSX,BEX,BATS,EDGEA,CSFBALGO,JEFFALGO,BYX,IEX,TPLUS2,PSX</v>
      </c>
      <c r="N582" s="6">
        <f>[9]!id445?conid</f>
        <v>13432503</v>
      </c>
      <c r="O582" s="6">
        <f>[9]!id445?minTick</f>
        <v>0.01</v>
      </c>
      <c r="P582" s="6">
        <f>[9]!id445?multiplier</f>
        <v>0</v>
      </c>
      <c r="Q582" s="6" t="str">
        <f>[9]!id445?marketName</f>
        <v>CP</v>
      </c>
      <c r="R582" s="6" t="str">
        <f>[9]!id445?tradingClass</f>
        <v>CP</v>
      </c>
    </row>
    <row r="583" spans="1:18" hidden="1" x14ac:dyDescent="0.2">
      <c r="A583" t="s">
        <v>613</v>
      </c>
      <c r="B583" s="13" t="s">
        <v>12</v>
      </c>
      <c r="C583" s="13" t="b">
        <f t="shared" si="9"/>
        <v>0</v>
      </c>
      <c r="D583" s="13"/>
      <c r="E583" s="63"/>
      <c r="F583" s="13"/>
      <c r="G583" s="13"/>
      <c r="H583" s="13" t="s">
        <v>68</v>
      </c>
      <c r="I583" s="101" t="s">
        <v>44</v>
      </c>
      <c r="J583" s="101"/>
      <c r="K583" s="6">
        <f>[9]!'id446?req?CHKP_STK_SMART_USD_~/'</f>
        <v>0</v>
      </c>
      <c r="L583" s="6" t="str">
        <f>[9]!id446?orderTypes</f>
        <v>ACTIVETIM,ADJUST,ALERT,ALGO,ALLOC,AON,AVGCOST,BASKET,COND,CONDORDER,DARKONLY,DARKPOLL,DAY,DEACT,DEACTDIS,DEACTEOD,DIS,GAT,GTC,GTD,GTT,HID,IBKRATS,ICE,IMB,IOC,LIT,LMT,LOC,MIT,MKT,MOC,MTL,NGCOMB,NODARK,NONALGO,OCA,OPG,OPGREROUT,PEGBENCH,POSTONLY,PREOPGRTH,R</v>
      </c>
      <c r="M583" s="6" t="str">
        <f>[9]!id446?validExchanges</f>
        <v>SMART,CBOE,ISE,CHX,ARCA,ISLAND,VWAP,DRCTEDGE,NSX,BEX,BATS,EDGEA,CSFBALGO,JEFFALGO,BYX,IEX,TPLUS2,PSX</v>
      </c>
      <c r="N583" s="6">
        <f>[9]!id446?conid</f>
        <v>4172987</v>
      </c>
      <c r="O583" s="6">
        <f>[9]!id446?minTick</f>
        <v>0.01</v>
      </c>
      <c r="P583" s="6">
        <f>[9]!id446?multiplier</f>
        <v>0</v>
      </c>
      <c r="Q583" s="6" t="str">
        <f>[9]!id446?marketName</f>
        <v>NMS</v>
      </c>
      <c r="R583" s="6" t="str">
        <f>[9]!id446?tradingClass</f>
        <v>NMS</v>
      </c>
    </row>
    <row r="584" spans="1:18" hidden="1" x14ac:dyDescent="0.2">
      <c r="A584" t="s">
        <v>614</v>
      </c>
      <c r="B584" s="13" t="s">
        <v>12</v>
      </c>
      <c r="C584" s="13" t="b">
        <f t="shared" si="9"/>
        <v>0</v>
      </c>
      <c r="D584" s="13"/>
      <c r="E584" s="63"/>
      <c r="F584" s="13"/>
      <c r="G584" s="13"/>
      <c r="H584" s="13" t="s">
        <v>68</v>
      </c>
      <c r="I584" s="101" t="s">
        <v>44</v>
      </c>
      <c r="J584" s="101"/>
      <c r="K584" s="6">
        <f>[9]!'id447?req?INCY_STK_SMART_USD_~/'</f>
        <v>0</v>
      </c>
      <c r="L584" s="6" t="str">
        <f>[9]!id447?orderTypes</f>
        <v>ACTIVETIM,ADJUST,ALERT,ALGO,ALLOC,AON,AVGCOST,BASKET,COND,CONDORDER,DARKONLY,DARKPOLL,DAY,DEACT,DEACTDIS,DEACTEOD,DIS,GAT,GTC,GTD,GTT,HID,IBKRATS,ICE,IMB,IOC,LIT,LMT,LOC,MIT,MKT,MOC,MTL,NGCOMB,NODARK,NONALGO,OCA,OPG,OPGREROUT,PEGBENCH,POSTONLY,PREOPGRTH,R</v>
      </c>
      <c r="M584" s="6" t="str">
        <f>[9]!id447?validExchanges</f>
        <v>SMART,CBOE,ISE,CHX,ARCA,ISLAND,VWAP,DRCTEDGE,NSX,BEX,BATS,EDGEA,CSFBALGO,JEFFALGO,BYX,IEX,TPLUS2,PSX</v>
      </c>
      <c r="N584" s="6">
        <f>[9]!id447?conid</f>
        <v>4369855</v>
      </c>
      <c r="O584" s="6">
        <f>[9]!id447?minTick</f>
        <v>0.01</v>
      </c>
      <c r="P584" s="6">
        <f>[9]!id447?multiplier</f>
        <v>0</v>
      </c>
      <c r="Q584" s="6" t="str">
        <f>[9]!id447?marketName</f>
        <v>NMS</v>
      </c>
      <c r="R584" s="6" t="str">
        <f>[9]!id447?tradingClass</f>
        <v>NMS</v>
      </c>
    </row>
    <row r="585" spans="1:18" hidden="1" x14ac:dyDescent="0.2">
      <c r="A585" t="s">
        <v>615</v>
      </c>
      <c r="B585" s="13" t="s">
        <v>12</v>
      </c>
      <c r="C585" s="13" t="b">
        <f t="shared" si="9"/>
        <v>0</v>
      </c>
      <c r="D585" s="13"/>
      <c r="E585" s="63"/>
      <c r="F585" s="13"/>
      <c r="G585" s="13"/>
      <c r="H585" s="13" t="s">
        <v>68</v>
      </c>
      <c r="I585" s="101" t="s">
        <v>44</v>
      </c>
      <c r="J585" s="101"/>
      <c r="K585" s="6">
        <f>[9]!'id448?req?DISH_STK_SMART_USD_~/'</f>
        <v>0</v>
      </c>
      <c r="L585" s="6" t="str">
        <f>[9]!id448?orderTypes</f>
        <v>ACTIVETIM,ADJUST,ALERT,ALGO,ALLOC,AON,AVGCOST,BASKET,COND,CONDORDER,DARKONLY,DARKPOLL,DAY,DEACT,DEACTDIS,DEACTEOD,DIS,GAT,GTC,GTD,GTT,HID,IBKRATS,ICE,IMB,IOC,LIT,LMT,LOC,MIT,MKT,MOC,MTL,NGCOMB,NODARK,NONALGO,OCA,OPG,OPGREROUT,PEGBENCH,POSTONLY,PREOPGRTH,R</v>
      </c>
      <c r="M585" s="6" t="str">
        <f>[9]!id448?validExchanges</f>
        <v>SMART,CBOE,ISE,CHX,ARCA,ISLAND,VWAP,DRCTEDGE,NSX,BEX,BATS,EDGEA,CSFBALGO,JEFFALGO,BYX,IEX,TPLUS2,PSX</v>
      </c>
      <c r="N585" s="6">
        <f>[9]!id448?conid</f>
        <v>48410287</v>
      </c>
      <c r="O585" s="6">
        <f>[9]!id448?minTick</f>
        <v>0.01</v>
      </c>
      <c r="P585" s="6">
        <f>[9]!id448?multiplier</f>
        <v>0</v>
      </c>
      <c r="Q585" s="6" t="str">
        <f>[9]!id448?marketName</f>
        <v>NMS</v>
      </c>
      <c r="R585" s="6" t="str">
        <f>[9]!id448?tradingClass</f>
        <v>NMS</v>
      </c>
    </row>
    <row r="586" spans="1:18" hidden="1" x14ac:dyDescent="0.2">
      <c r="A586" t="s">
        <v>616</v>
      </c>
      <c r="B586" s="13" t="s">
        <v>12</v>
      </c>
      <c r="C586" s="13" t="b">
        <f t="shared" si="9"/>
        <v>1</v>
      </c>
      <c r="D586" s="13"/>
      <c r="E586" s="63"/>
      <c r="F586" s="13"/>
      <c r="G586" s="13"/>
      <c r="H586" s="13" t="s">
        <v>68</v>
      </c>
      <c r="I586" s="101" t="s">
        <v>44</v>
      </c>
      <c r="J586" s="101"/>
      <c r="K586" s="6">
        <f>[9]!'id449?req?VMW_STK_SMART_USD_~/'</f>
        <v>0</v>
      </c>
      <c r="L586" s="6" t="str">
        <f>[9]!id449?orderTypes</f>
        <v>ACTIVETIM,ADJUST,ALERT,ALGO,ALLOC,AON,AVGCOST,BASKET,COND,CONDORDER,DARKONLY,DARKPOLL,DAY,DEACT,DEACTDIS,DEACTEOD,DIS,GAT,GTC,GTD,GTT,HID,IBKRATS,ICE,IMB,IOC,LIT,LMT,LOC,MIT,MKT,MOC,MTL,NGCOMB,NODARK,NONALGO,OCA,OPG,OPGREROUT,PEGBENCH,POSTONLY,PREOPGRTH,R</v>
      </c>
      <c r="M586" s="6" t="str">
        <f>[9]!id449?validExchanges</f>
        <v>SMART,NYSE,CBOE,ISE,CHX,ARCA,ISLAND,DRCTEDGE,NSX,BEX,BATS,EDGEA,CSFBALGO,JEFFALGO,BYX,IEX,TPLUS2,PSX</v>
      </c>
      <c r="N586" s="6">
        <f>[9]!id449?conid</f>
        <v>45642839</v>
      </c>
      <c r="O586" s="6">
        <f>[9]!id449?minTick</f>
        <v>0.01</v>
      </c>
      <c r="P586" s="6">
        <f>[9]!id449?multiplier</f>
        <v>0</v>
      </c>
      <c r="Q586" s="6" t="str">
        <f>[9]!id449?marketName</f>
        <v>VMW</v>
      </c>
      <c r="R586" s="6" t="str">
        <f>[9]!id449?tradingClass</f>
        <v>VMW</v>
      </c>
    </row>
    <row r="587" spans="1:18" hidden="1" x14ac:dyDescent="0.2">
      <c r="A587" t="s">
        <v>617</v>
      </c>
      <c r="B587" s="13" t="s">
        <v>12</v>
      </c>
      <c r="C587" s="13" t="b">
        <f t="shared" si="9"/>
        <v>0</v>
      </c>
      <c r="D587" s="13"/>
      <c r="E587" s="63"/>
      <c r="F587" s="13"/>
      <c r="G587" s="13"/>
      <c r="H587" s="13" t="s">
        <v>68</v>
      </c>
      <c r="I587" s="101" t="s">
        <v>44</v>
      </c>
      <c r="J587" s="101"/>
      <c r="K587" s="6">
        <f>[9]!'id450?req?ACWI_STK_SMART_USD_~/'</f>
        <v>0</v>
      </c>
      <c r="L587" s="6" t="str">
        <f>[9]!id450?orderTypes</f>
        <v>ACTIVETIM,ADJUST,ALERT,ALGO,ALLOC,AON,AVGCOST,BASKET,COND,CONDORDER,DARKONLY,DARKPOLL,DAY,DEACT,DEACTDIS,DEACTEOD,DIS,GAT,GTC,GTD,GTT,HID,IBKRATS,ICE,IMB,IOC,LIT,LMT,LOC,MIT,MKT,MOC,MTL,NGCOMB,NODARK,NONALGO,OCA,OPG,OPGREROUT,PEGBENCH,POSTONLY,PREOPGRTH,R</v>
      </c>
      <c r="M587" s="6" t="str">
        <f>[9]!id450?validExchanges</f>
        <v>SMART,CBOE,ISE,CHX,ARCA,ISLAND,DRCTEDGE,NSX,BEX,BATS,EDGEA,CSFBALGO,JEFFALGO,BYX,IEX,TPLUS2,PSX</v>
      </c>
      <c r="N587" s="6">
        <f>[9]!id450?conid</f>
        <v>49954154</v>
      </c>
      <c r="O587" s="6">
        <f>[9]!id450?minTick</f>
        <v>0.01</v>
      </c>
      <c r="P587" s="6">
        <f>[9]!id450?multiplier</f>
        <v>0</v>
      </c>
      <c r="Q587" s="6" t="str">
        <f>[9]!id450?marketName</f>
        <v>NMS</v>
      </c>
      <c r="R587" s="6" t="str">
        <f>[9]!id450?tradingClass</f>
        <v>NMS</v>
      </c>
    </row>
    <row r="588" spans="1:18" hidden="1" x14ac:dyDescent="0.2">
      <c r="A588" t="s">
        <v>618</v>
      </c>
      <c r="B588" s="13" t="s">
        <v>12</v>
      </c>
      <c r="C588" s="13" t="b">
        <f t="shared" si="9"/>
        <v>1</v>
      </c>
      <c r="D588" s="13"/>
      <c r="E588" s="63"/>
      <c r="F588" s="13"/>
      <c r="G588" s="13"/>
      <c r="H588" s="13" t="s">
        <v>68</v>
      </c>
      <c r="I588" s="101" t="s">
        <v>44</v>
      </c>
      <c r="J588" s="101"/>
      <c r="K588" s="6">
        <f>[9]!'id451?req?SPGI_STK_SMART_USD_~/'</f>
        <v>0</v>
      </c>
      <c r="L588" s="6" t="str">
        <f>[9]!id451?orderTypes</f>
        <v>ACTIVETIM,ADJUST,ALERT,ALGO,ALLOC,AON,AVGCOST,BASKET,COND,CONDORDER,DARKONLY,DARKPOLL,DAY,DEACT,DEACTDIS,DEACTEOD,DIS,GAT,GTC,GTD,GTT,HID,IBKRATS,ICE,IMB,IOC,LIT,LMT,LOC,MIT,MKT,MOC,MTL,NGCOMB,NODARK,NONALGO,OCA,OPG,OPGREROUT,PEGBENCH,POSTONLY,PREOPGRTH,R</v>
      </c>
      <c r="M588" s="6" t="str">
        <f>[9]!id451?validExchanges</f>
        <v>SMART,NYSE,CBOE,ISE,CHX,ARCA,ISLAND,VWAP,DRCTEDGE,NSX,BEX,BATS,EDGEA,CSFBALGO,JEFFALGO,BYX,IEX,TPLUS2,PSX</v>
      </c>
      <c r="N588" s="6">
        <f>[9]!id451?conid</f>
        <v>229629397</v>
      </c>
      <c r="O588" s="6">
        <f>[9]!id451?minTick</f>
        <v>0.01</v>
      </c>
      <c r="P588" s="6">
        <f>[9]!id451?multiplier</f>
        <v>0</v>
      </c>
      <c r="Q588" s="6" t="str">
        <f>[9]!id451?marketName</f>
        <v>SPGI</v>
      </c>
      <c r="R588" s="6" t="str">
        <f>[9]!id451?tradingClass</f>
        <v>SPGI</v>
      </c>
    </row>
    <row r="589" spans="1:18" hidden="1" x14ac:dyDescent="0.2">
      <c r="A589" t="s">
        <v>619</v>
      </c>
      <c r="B589" s="13" t="s">
        <v>12</v>
      </c>
      <c r="C589" s="13" t="b">
        <f t="shared" si="9"/>
        <v>0</v>
      </c>
      <c r="D589" s="13"/>
      <c r="E589" s="63"/>
      <c r="F589" s="13"/>
      <c r="G589" s="13"/>
      <c r="H589" s="13" t="s">
        <v>68</v>
      </c>
      <c r="I589" s="101" t="s">
        <v>44</v>
      </c>
      <c r="J589" s="101"/>
      <c r="K589" s="6">
        <f>[9]!'id452?req?SBAC_STK_SMART_USD_~/'</f>
        <v>0</v>
      </c>
      <c r="L589" s="6" t="str">
        <f>[9]!id452?orderTypes</f>
        <v>ACTIVETIM,ADJUST,ALERT,ALGO,ALLOC,AON,AVGCOST,BASKET,COND,CONDORDER,DARKONLY,DARKPOLL,DAY,DEACT,DEACTDIS,DEACTEOD,DIS,GAT,GTC,GTD,GTT,HID,IBKRATS,ICE,IMB,IOC,LIT,LMT,LOC,MIT,MKT,MOC,MTL,NGCOMB,NODARK,NONALGO,OCA,OPG,OPGREROUT,PEGBENCH,POSTONLY,PREOPGRTH,R</v>
      </c>
      <c r="M589" s="6" t="str">
        <f>[9]!id452?validExchanges</f>
        <v>SMART,CBOE,ISE,CHX,ARCA,ISLAND,DRCTEDGE,NSX,BEX,BATS,EDGEA,CSFBALGO,JEFFALGO,BYX,IEX,TPLUS2,PSX</v>
      </c>
      <c r="N589" s="6">
        <f>[9]!id452?conid</f>
        <v>6246667</v>
      </c>
      <c r="O589" s="6">
        <f>[9]!id452?minTick</f>
        <v>0.01</v>
      </c>
      <c r="P589" s="6">
        <f>[9]!id452?multiplier</f>
        <v>0</v>
      </c>
      <c r="Q589" s="6" t="str">
        <f>[9]!id452?marketName</f>
        <v>NMS</v>
      </c>
      <c r="R589" s="6" t="str">
        <f>[9]!id452?tradingClass</f>
        <v>NMS</v>
      </c>
    </row>
    <row r="590" spans="1:18" hidden="1" x14ac:dyDescent="0.2">
      <c r="A590" t="s">
        <v>620</v>
      </c>
      <c r="B590" s="13" t="s">
        <v>12</v>
      </c>
      <c r="C590" s="13" t="b">
        <f t="shared" si="9"/>
        <v>1</v>
      </c>
      <c r="D590" s="13"/>
      <c r="E590" s="63"/>
      <c r="F590" s="13"/>
      <c r="G590" s="13"/>
      <c r="H590" s="13" t="s">
        <v>68</v>
      </c>
      <c r="I590" s="101" t="s">
        <v>44</v>
      </c>
      <c r="J590" s="101"/>
      <c r="K590" s="6">
        <f>[9]!'id453?req?PII_STK_SMART_USD_~/'</f>
        <v>0</v>
      </c>
      <c r="L590" s="6" t="str">
        <f>[9]!id453?orderTypes</f>
        <v>ACTIVETIM,ADJUST,ALERT,ALGO,ALLOC,AON,AVGCOST,BASKET,COND,CONDORDER,DARKONLY,DARKPOLL,DAY,DEACT,DEACTDIS,DEACTEOD,DIS,GAT,GTC,GTD,GTT,HID,IBKRATS,ICE,IMB,IOC,LIT,LMT,LOC,MIT,MKT,MOC,MTL,NGCOMB,NODARK,NONALGO,OCA,OPG,OPGREROUT,PEGBENCH,POSTONLY,PREOPGRTH,R</v>
      </c>
      <c r="M590" s="6" t="str">
        <f>[9]!id453?validExchanges</f>
        <v>SMART,NYSE,CBOE,ISE,CHX,ARCA,ISLAND,DRCTEDGE,NSX,BEX,BATS,EDGEA,CSFBALGO,JEFFALGO,BYX,IEX,TPLUS2,PSX</v>
      </c>
      <c r="N590" s="6">
        <f>[9]!id453?conid</f>
        <v>611242</v>
      </c>
      <c r="O590" s="6">
        <f>[9]!id453?minTick</f>
        <v>0.01</v>
      </c>
      <c r="P590" s="6">
        <f>[9]!id453?multiplier</f>
        <v>0</v>
      </c>
      <c r="Q590" s="6" t="str">
        <f>[9]!id453?marketName</f>
        <v>PII</v>
      </c>
      <c r="R590" s="6" t="str">
        <f>[9]!id453?tradingClass</f>
        <v>PII</v>
      </c>
    </row>
    <row r="591" spans="1:18" hidden="1" x14ac:dyDescent="0.2">
      <c r="A591" t="s">
        <v>621</v>
      </c>
      <c r="B591" s="13" t="s">
        <v>12</v>
      </c>
      <c r="C591" s="13" t="b">
        <f t="shared" si="9"/>
        <v>1</v>
      </c>
      <c r="D591" s="13"/>
      <c r="E591" s="63"/>
      <c r="F591" s="13"/>
      <c r="G591" s="13"/>
      <c r="H591" s="13" t="s">
        <v>68</v>
      </c>
      <c r="I591" s="101" t="s">
        <v>44</v>
      </c>
      <c r="J591" s="101"/>
      <c r="K591" s="6">
        <f>[9]!'id454?req?FLT_STK_SMART_USD_~/'</f>
        <v>0</v>
      </c>
      <c r="L591" s="6" t="str">
        <f>[9]!id454?orderTypes</f>
        <v>ACTIVETIM,ADJUST,ALERT,ALGO,ALLOC,AON,AVGCOST,BASKET,COND,CONDORDER,DARKONLY,DARKPOLL,DAY,DEACT,DEACTDIS,DEACTEOD,DIS,GAT,GTC,GTD,GTT,HID,IBKRATS,ICE,IMB,IOC,LIT,LMT,LOC,MIT,MKT,MOC,MTL,NGCOMB,NODARK,NONALGO,OCA,OPG,OPGREROUT,PEGBENCH,POSTONLY,PREOPGRTH,R</v>
      </c>
      <c r="M591" s="6" t="str">
        <f>[9]!id454?validExchanges</f>
        <v>SMART,NYSE,CBOE,ISE,CHX,ARCA,ISLAND,DRCTEDGE,NSX,BEX,BATS,EDGEA,CSFBALGO,JEFFALGO,BYX,IEX,TPLUS2,PSX</v>
      </c>
      <c r="N591" s="6">
        <f>[9]!id454?conid</f>
        <v>81835582</v>
      </c>
      <c r="O591" s="6">
        <f>[9]!id454?minTick</f>
        <v>0.01</v>
      </c>
      <c r="P591" s="6">
        <f>[9]!id454?multiplier</f>
        <v>0</v>
      </c>
      <c r="Q591" s="6" t="str">
        <f>[9]!id454?marketName</f>
        <v>FLT</v>
      </c>
      <c r="R591" s="6" t="str">
        <f>[9]!id454?tradingClass</f>
        <v>FLT</v>
      </c>
    </row>
    <row r="592" spans="1:18" hidden="1" x14ac:dyDescent="0.2">
      <c r="A592" t="s">
        <v>622</v>
      </c>
      <c r="B592" s="13" t="s">
        <v>12</v>
      </c>
      <c r="C592" s="13" t="b">
        <f t="shared" si="9"/>
        <v>1</v>
      </c>
      <c r="D592" s="13"/>
      <c r="E592" s="63"/>
      <c r="F592" s="13"/>
      <c r="G592" s="13"/>
      <c r="H592" s="13" t="s">
        <v>68</v>
      </c>
      <c r="I592" s="101" t="s">
        <v>44</v>
      </c>
      <c r="J592" s="101"/>
      <c r="K592" s="6">
        <f>[9]!'id455?req?HLF_STK_SMART_USD_~/'</f>
        <v>0</v>
      </c>
      <c r="L592" s="6" t="str">
        <f>[9]!id455?orderTypes</f>
        <v>ACTIVETIM,ADJUST,ALERT,ALGO,ALLOC,AON,AVGCOST,BASKET,COND,CONDORDER,DARKONLY,DARKPOLL,DAY,DEACT,DEACTDIS,DEACTEOD,DIS,GAT,GTC,GTD,GTT,HID,IBKRATS,ICE,IMB,IOC,LIT,LMT,LOC,MIT,MKT,MOC,MTL,NGCOMB,NODARK,NONALGO,OCA,OPG,OPGREROUT,PEGBENCH,POSTONLY,PREOPGRTH,R</v>
      </c>
      <c r="M592" s="6" t="str">
        <f>[9]!id455?validExchanges</f>
        <v>SMART,NYSE,CBOE,ISE,CHX,ARCA,ISLAND,DRCTEDGE,NSX,BEX,BATS,EDGEA,CSFBALGO,JEFFALGO,BYX,IEX,TPLUS2,PSX</v>
      </c>
      <c r="N592" s="6">
        <f>[9]!id455?conid</f>
        <v>32618459</v>
      </c>
      <c r="O592" s="6">
        <f>[9]!id455?minTick</f>
        <v>0.01</v>
      </c>
      <c r="P592" s="6">
        <f>[9]!id455?multiplier</f>
        <v>0</v>
      </c>
      <c r="Q592" s="6" t="str">
        <f>[9]!id455?marketName</f>
        <v>HLF</v>
      </c>
      <c r="R592" s="6" t="str">
        <f>[9]!id455?tradingClass</f>
        <v>HLF</v>
      </c>
    </row>
    <row r="593" spans="1:18" hidden="1" x14ac:dyDescent="0.2">
      <c r="A593" t="s">
        <v>623</v>
      </c>
      <c r="B593" s="13" t="s">
        <v>12</v>
      </c>
      <c r="C593" s="13" t="b">
        <f t="shared" si="9"/>
        <v>1</v>
      </c>
      <c r="D593" s="13"/>
      <c r="E593" s="63"/>
      <c r="F593" s="13"/>
      <c r="G593" s="13"/>
      <c r="H593" s="13" t="s">
        <v>68</v>
      </c>
      <c r="I593" s="101" t="s">
        <v>44</v>
      </c>
      <c r="J593" s="101"/>
      <c r="K593" s="6">
        <f>[9]!'id456?req?DPZ_STK_SMART_USD_~/'</f>
        <v>0</v>
      </c>
      <c r="L593" s="6" t="str">
        <f>[9]!id456?orderTypes</f>
        <v>ACTIVETIM,ADJUST,ALERT,ALGO,ALLOC,AON,AVGCOST,BASKET,COND,CONDORDER,DARKONLY,DARKPOLL,DAY,DEACT,DEACTDIS,DEACTEOD,DIS,GAT,GTC,GTD,GTT,HID,IBKRATS,ICE,IMB,IOC,LIT,LMT,LOC,MIT,MKT,MOC,MTL,NGCOMB,NODARK,NONALGO,OCA,OPG,OPGREROUT,PEGBENCH,POSTONLY,PREOPGRTH,R</v>
      </c>
      <c r="M593" s="6" t="str">
        <f>[9]!id456?validExchanges</f>
        <v>SMART,NYSE,CBOE,ISE,CHX,ARCA,ISLAND,DRCTEDGE,NSX,BEX,BATS,EDGEA,CSFBALGO,JEFFALGO,BYX,IEX,TPLUS2,PSX</v>
      </c>
      <c r="N593" s="6">
        <f>[9]!id456?conid</f>
        <v>29831612</v>
      </c>
      <c r="O593" s="6">
        <f>[9]!id456?minTick</f>
        <v>0.01</v>
      </c>
      <c r="P593" s="6">
        <f>[9]!id456?multiplier</f>
        <v>0</v>
      </c>
      <c r="Q593" s="6" t="str">
        <f>[9]!id456?marketName</f>
        <v>DPZ</v>
      </c>
      <c r="R593" s="6" t="str">
        <f>[9]!id456?tradingClass</f>
        <v>DPZ</v>
      </c>
    </row>
    <row r="594" spans="1:18" hidden="1" x14ac:dyDescent="0.2">
      <c r="A594" t="s">
        <v>624</v>
      </c>
      <c r="B594" s="13" t="s">
        <v>12</v>
      </c>
      <c r="C594" s="13" t="b">
        <f t="shared" si="9"/>
        <v>1</v>
      </c>
      <c r="D594" s="13"/>
      <c r="E594" s="63"/>
      <c r="F594" s="13"/>
      <c r="G594" s="13"/>
      <c r="H594" s="13" t="s">
        <v>68</v>
      </c>
      <c r="I594" s="101" t="s">
        <v>44</v>
      </c>
      <c r="J594" s="101"/>
      <c r="K594" s="6">
        <f>[9]!'id457?req?ALB_STK_SMART_USD_~/'</f>
        <v>0</v>
      </c>
      <c r="L594" s="6" t="str">
        <f>[9]!id457?orderTypes</f>
        <v>ACTIVETIM,ADJUST,ALERT,ALGO,ALLOC,AON,AVGCOST,BASKET,COND,CONDORDER,DARKONLY,DARKPOLL,DAY,DEACT,DEACTDIS,DEACTEOD,DIS,GAT,GTC,GTD,GTT,HID,IBKRATS,ICE,IMB,IOC,LIT,LMT,LOC,MIT,MKT,MOC,MTL,NGCOMB,NODARK,NONALGO,OCA,OPG,OPGREROUT,PEGBENCH,POSTONLY,PREOPGRTH,R</v>
      </c>
      <c r="M594" s="6" t="str">
        <f>[9]!id457?validExchanges</f>
        <v>SMART,NYSE,CBOE,ISE,CHX,ARCA,ISLAND,DRCTEDGE,NSX,BEX,BATS,EDGEA,CSFBALGO,JEFFALGO,BYX,IEX,TPLUS2,PSX</v>
      </c>
      <c r="N594" s="6">
        <f>[9]!id457?conid</f>
        <v>4347</v>
      </c>
      <c r="O594" s="6">
        <f>[9]!id457?minTick</f>
        <v>0.01</v>
      </c>
      <c r="P594" s="6">
        <f>[9]!id457?multiplier</f>
        <v>0</v>
      </c>
      <c r="Q594" s="6" t="str">
        <f>[9]!id457?marketName</f>
        <v>ALB</v>
      </c>
      <c r="R594" s="6" t="str">
        <f>[9]!id457?tradingClass</f>
        <v>ALB</v>
      </c>
    </row>
    <row r="595" spans="1:18" hidden="1" x14ac:dyDescent="0.2">
      <c r="A595" t="s">
        <v>625</v>
      </c>
      <c r="B595" s="13" t="s">
        <v>12</v>
      </c>
      <c r="C595" s="13" t="b">
        <f t="shared" si="9"/>
        <v>0</v>
      </c>
      <c r="D595" s="13"/>
      <c r="E595" s="63"/>
      <c r="F595" s="13"/>
      <c r="G595" s="13"/>
      <c r="H595" s="13" t="s">
        <v>68</v>
      </c>
      <c r="I595" s="101" t="s">
        <v>44</v>
      </c>
      <c r="J595" s="101"/>
      <c r="K595" s="6">
        <f>[9]!'id458?req?FANG_STK_SMART_USD_~/'</f>
        <v>0</v>
      </c>
      <c r="L595" s="6" t="str">
        <f>[9]!id458?orderTypes</f>
        <v>ACTIVETIM,ADJUST,ALERT,ALGO,ALLOC,AON,AVGCOST,BASKET,COND,CONDORDER,DARKONLY,DARKPOLL,DAY,DEACT,DEACTDIS,DEACTEOD,DIS,GAT,GTC,GTD,GTT,HID,IBKRATS,ICE,IMB,IOC,LIT,LMT,LOC,MIT,MKT,MOC,MTL,NGCOMB,NODARK,NONALGO,OCA,OPG,OPGREROUT,PEGBENCH,POSTONLY,PREOPGRTH,R</v>
      </c>
      <c r="M595" s="6" t="str">
        <f>[9]!id458?validExchanges</f>
        <v>SMART,CBOE,ISE,CHX,ARCA,ISLAND,DRCTEDGE,NSX,BEX,BATS,EDGEA,CSFBALGO,JEFFALGO,BYX,IEX,TPLUS2,PSX</v>
      </c>
      <c r="N595" s="6">
        <f>[9]!id458?conid</f>
        <v>115441080</v>
      </c>
      <c r="O595" s="6">
        <f>[9]!id458?minTick</f>
        <v>0.01</v>
      </c>
      <c r="P595" s="6">
        <f>[9]!id458?multiplier</f>
        <v>0</v>
      </c>
      <c r="Q595" s="6" t="str">
        <f>[9]!id458?marketName</f>
        <v>NMS</v>
      </c>
      <c r="R595" s="6" t="str">
        <f>[9]!id458?tradingClass</f>
        <v>NMS</v>
      </c>
    </row>
    <row r="596" spans="1:18" hidden="1" x14ac:dyDescent="0.2">
      <c r="A596" t="s">
        <v>626</v>
      </c>
      <c r="B596" s="13" t="s">
        <v>12</v>
      </c>
      <c r="C596" s="13" t="b">
        <f t="shared" si="9"/>
        <v>0</v>
      </c>
      <c r="D596" s="13"/>
      <c r="E596" s="63"/>
      <c r="F596" s="13"/>
      <c r="G596" s="13"/>
      <c r="H596" s="13" t="s">
        <v>68</v>
      </c>
      <c r="I596" s="101" t="s">
        <v>44</v>
      </c>
      <c r="J596" s="101"/>
      <c r="K596" s="6">
        <f>[9]!'id459?req?JAZZ_STK_SMART_USD_~/'</f>
        <v>0</v>
      </c>
      <c r="L596" s="6" t="str">
        <f>[9]!id459?orderTypes</f>
        <v>ACTIVETIM,ADJUST,ALERT,ALGO,ALLOC,AON,AVGCOST,BASKET,COND,CONDORDER,DARKONLY,DARKPOLL,DAY,DEACT,DEACTDIS,DEACTEOD,DIS,GAT,GTC,GTD,GTT,HID,IBKRATS,ICE,IMB,IOC,LIT,LMT,LOC,MIT,MKT,MOC,MTL,NGCOMB,NODARK,NONALGO,OCA,OPG,OPGREROUT,PEGBENCH,POSTONLY,PREOPGRTH,R</v>
      </c>
      <c r="M596" s="6" t="str">
        <f>[9]!id459?validExchanges</f>
        <v>SMART,CBOE,ISE,CHX,ARCA,ISLAND,DRCTEDGE,NSX,BEX,BATS,EDGEA,CSFBALGO,JEFFALGO,BYX,IEX,TPLUS2,PSX</v>
      </c>
      <c r="N596" s="6">
        <f>[9]!id459?conid</f>
        <v>100430853</v>
      </c>
      <c r="O596" s="6">
        <f>[9]!id459?minTick</f>
        <v>0.01</v>
      </c>
      <c r="P596" s="6">
        <f>[9]!id459?multiplier</f>
        <v>0</v>
      </c>
      <c r="Q596" s="6" t="str">
        <f>[9]!id459?marketName</f>
        <v>NMS</v>
      </c>
      <c r="R596" s="6" t="str">
        <f>[9]!id459?tradingClass</f>
        <v>NMS</v>
      </c>
    </row>
    <row r="597" spans="1:18" hidden="1" x14ac:dyDescent="0.2">
      <c r="A597" t="s">
        <v>627</v>
      </c>
      <c r="B597" s="13" t="s">
        <v>12</v>
      </c>
      <c r="C597" s="13" t="b">
        <f t="shared" si="9"/>
        <v>0</v>
      </c>
      <c r="D597" s="13"/>
      <c r="E597" s="63"/>
      <c r="F597" s="13"/>
      <c r="G597" s="13"/>
      <c r="H597" s="13" t="s">
        <v>68</v>
      </c>
      <c r="I597" s="101" t="s">
        <v>44</v>
      </c>
      <c r="J597" s="101"/>
      <c r="K597" s="6">
        <f>[9]!'id460?req?PNRA_STK_SMART_USD_~/'</f>
        <v>0</v>
      </c>
      <c r="L597" s="6" t="str">
        <f>[9]!id460?orderTypes</f>
        <v>ACTIVETIM,ADJUST,ALERT,ALGO,ALLOC,AON,AVGCOST,BASKET,COND,CONDORDER,DARKONLY,DARKPOLL,DAY,DEACT,DEACTDIS,DEACTEOD,DIS,GAT,GTC,GTD,GTT,HID,IBKRATS,ICE,IMB,IOC,LIT,LMT,LOC,MIT,MKT,MOC,MTL,NGCOMB,NODARK,NONALGO,OCA,OPG,OPGREROUT,PEGBENCH,POSTONLY,PREOPGRTH,R</v>
      </c>
      <c r="M597" s="6" t="str">
        <f>[9]!id460?validExchanges</f>
        <v>SMART,CBOE,ISE,CHX,ARCA,ISLAND,DRCTEDGE,NSX,BEX,BATS,EDGEA,CSFBALGO,JEFFALGO,BYX,IEX,TPLUS2,PSX</v>
      </c>
      <c r="N597" s="6">
        <f>[9]!id460?conid</f>
        <v>6477985</v>
      </c>
      <c r="O597" s="6">
        <f>[9]!id460?minTick</f>
        <v>0.01</v>
      </c>
      <c r="P597" s="6">
        <f>[9]!id460?multiplier</f>
        <v>0</v>
      </c>
      <c r="Q597" s="6" t="str">
        <f>[9]!id460?marketName</f>
        <v>NMS</v>
      </c>
      <c r="R597" s="6" t="str">
        <f>[9]!id460?tradingClass</f>
        <v>NMS</v>
      </c>
    </row>
    <row r="598" spans="1:18" hidden="1" x14ac:dyDescent="0.2">
      <c r="A598" t="s">
        <v>390</v>
      </c>
      <c r="B598" s="13" t="s">
        <v>12</v>
      </c>
      <c r="C598" s="13" t="b">
        <f t="shared" si="9"/>
        <v>1</v>
      </c>
      <c r="D598" s="13"/>
      <c r="E598" s="63"/>
      <c r="F598" s="13"/>
      <c r="G598" s="13"/>
      <c r="H598" s="13" t="s">
        <v>68</v>
      </c>
      <c r="I598" s="101" t="s">
        <v>44</v>
      </c>
      <c r="J598" s="101"/>
      <c r="K598" s="6">
        <f>[9]!'id461?req?ES_STK_SMART_USD_~/'</f>
        <v>0</v>
      </c>
      <c r="L598" s="6" t="str">
        <f>[9]!id461?orderTypes</f>
        <v>ACTIVETIM,ADJUST,ALERT,ALGO,ALLOC,AON,AVGCOST,BASKET,COND,CONDORDER,DARKONLY,DARKPOLL,DAY,DEACT,DEACTDIS,DEACTEOD,DIS,GAT,GTC,GTD,GTT,HID,IBKRATS,ICE,IMB,IOC,LIT,LMT,LOC,MIT,MKT,MOC,MTL,NGCOMB,NODARK,NONALGO,OCA,OPG,OPGREROUT,PEGBENCH,POSTONLY,PREOPGRTH,R</v>
      </c>
      <c r="M598" s="6" t="str">
        <f>[9]!id461?validExchanges</f>
        <v>SMART,NYSE,CBOE,ISE,CHX,ARCA,ISLAND,VWAP,DRCTEDGE,NSX,BEX,BATS,EDGEA,CSFBALGO,JEFFALGO,BYX,IEX,TPLUS2,PSX</v>
      </c>
      <c r="N598" s="6">
        <f>[9]!id461?conid</f>
        <v>182880167</v>
      </c>
      <c r="O598" s="6">
        <f>[9]!id461?minTick</f>
        <v>0.01</v>
      </c>
      <c r="P598" s="6">
        <f>[9]!id461?multiplier</f>
        <v>0</v>
      </c>
      <c r="Q598" s="6" t="str">
        <f>[9]!id461?marketName</f>
        <v>ES</v>
      </c>
      <c r="R598" s="6" t="str">
        <f>[9]!id461?tradingClass</f>
        <v>ES</v>
      </c>
    </row>
    <row r="599" spans="1:18" hidden="1" x14ac:dyDescent="0.2">
      <c r="A599" t="s">
        <v>628</v>
      </c>
      <c r="B599" s="13" t="s">
        <v>12</v>
      </c>
      <c r="C599" s="13" t="b">
        <f t="shared" si="9"/>
        <v>0</v>
      </c>
      <c r="D599" s="13"/>
      <c r="E599" s="63"/>
      <c r="F599" s="13"/>
      <c r="G599" s="13"/>
      <c r="H599" s="13" t="s">
        <v>68</v>
      </c>
      <c r="I599" s="101" t="s">
        <v>44</v>
      </c>
      <c r="J599" s="101"/>
      <c r="K599" s="6">
        <f>[9]!'id462?req?SPLK_STK_SMART_USD_~/'</f>
        <v>0</v>
      </c>
      <c r="L599" s="6" t="str">
        <f>[9]!id462?orderTypes</f>
        <v>ACTIVETIM,ADJUST,ALERT,ALGO,ALLOC,AON,AVGCOST,BASKET,COND,CONDORDER,DARKONLY,DARKPOLL,DAY,DEACT,DEACTDIS,DEACTEOD,DIS,GAT,GTC,GTD,GTT,HID,IBKRATS,ICE,IMB,IOC,LIT,LMT,LOC,MIT,MKT,MOC,MTL,NGCOMB,NODARK,NONALGO,OCA,OPG,OPGREROUT,PEGBENCH,POSTONLY,PREOPGRTH,R</v>
      </c>
      <c r="M599" s="6" t="str">
        <f>[9]!id462?validExchanges</f>
        <v>SMART,CBOE,ISE,CHX,ARCA,ISLAND,DRCTEDGE,NSX,BEX,BATS,EDGEA,CSFBALGO,JEFFALGO,BYX,IEX,TPLUS2,PSX</v>
      </c>
      <c r="N599" s="6">
        <f>[9]!id462?conid</f>
        <v>105955748</v>
      </c>
      <c r="O599" s="6">
        <f>[9]!id462?minTick</f>
        <v>0.01</v>
      </c>
      <c r="P599" s="6">
        <f>[9]!id462?multiplier</f>
        <v>0</v>
      </c>
      <c r="Q599" s="6" t="str">
        <f>[9]!id462?marketName</f>
        <v>NMS</v>
      </c>
      <c r="R599" s="6" t="str">
        <f>[9]!id462?tradingClass</f>
        <v>NMS</v>
      </c>
    </row>
    <row r="600" spans="1:18" hidden="1" x14ac:dyDescent="0.2">
      <c r="A600" t="s">
        <v>629</v>
      </c>
      <c r="B600" s="13" t="s">
        <v>12</v>
      </c>
      <c r="C600" s="13" t="b">
        <f t="shared" si="9"/>
        <v>1</v>
      </c>
      <c r="D600" s="13"/>
      <c r="E600" s="63"/>
      <c r="F600" s="13"/>
      <c r="G600" s="13"/>
      <c r="H600" s="13" t="s">
        <v>68</v>
      </c>
      <c r="I600" s="101" t="s">
        <v>44</v>
      </c>
      <c r="J600" s="101"/>
      <c r="K600" s="6">
        <f>[9]!'id463?req?LEA_STK_SMART_USD_~/'</f>
        <v>0</v>
      </c>
      <c r="L600" s="6" t="str">
        <f>[9]!id463?orderTypes</f>
        <v>ACTIVETIM,ADJUST,ALERT,ALGO,ALLOC,AON,AVGCOST,BASKET,COND,CONDORDER,DARKONLY,DARKPOLL,DAY,DEACT,DEACTDIS,DEACTEOD,DIS,GAT,GTC,GTD,GTT,HID,IBKRATS,ICE,IMB,IOC,LIT,LMT,LOC,MIT,MKT,MOC,MTL,NGCOMB,NODARK,NONALGO,OCA,OPG,OPGREROUT,PEGBENCH,POSTONLY,PREOPGRTH,R</v>
      </c>
      <c r="M600" s="6" t="str">
        <f>[9]!id463?validExchanges</f>
        <v>SMART,NYSE,CBOE,ISE,CHX,ARCA,ISLAND,DRCTEDGE,NSX,BEX,BATS,EDGEA,CSFBALGO,JEFFALGO,BYX,IEX,TPLUS2,PSX</v>
      </c>
      <c r="N600" s="6">
        <f>[9]!id463?conid</f>
        <v>70152668</v>
      </c>
      <c r="O600" s="6">
        <f>[9]!id463?minTick</f>
        <v>0.01</v>
      </c>
      <c r="P600" s="6">
        <f>[9]!id463?multiplier</f>
        <v>0</v>
      </c>
      <c r="Q600" s="6" t="str">
        <f>[9]!id463?marketName</f>
        <v>LEA</v>
      </c>
      <c r="R600" s="6" t="str">
        <f>[9]!id463?tradingClass</f>
        <v>LEA</v>
      </c>
    </row>
    <row r="601" spans="1:18" hidden="1" x14ac:dyDescent="0.2">
      <c r="A601" t="s">
        <v>630</v>
      </c>
      <c r="B601" s="13" t="s">
        <v>12</v>
      </c>
      <c r="C601" s="13" t="b">
        <f t="shared" si="9"/>
        <v>1</v>
      </c>
      <c r="D601" s="13"/>
      <c r="E601" s="63"/>
      <c r="F601" s="13"/>
      <c r="G601" s="13"/>
      <c r="H601" s="13" t="s">
        <v>68</v>
      </c>
      <c r="I601" s="101" t="s">
        <v>44</v>
      </c>
      <c r="J601" s="101"/>
      <c r="K601" s="6">
        <f>[9]!'id464?req?WSM_STK_SMART_USD_~/'</f>
        <v>0</v>
      </c>
      <c r="L601" s="6" t="str">
        <f>[9]!id464?orderTypes</f>
        <v>ACTIVETIM,ADJUST,ALERT,ALGO,ALLOC,AON,AVGCOST,BASKET,COND,CONDORDER,DARKONLY,DARKPOLL,DAY,DEACT,DEACTDIS,DEACTEOD,DIS,GAT,GTC,GTD,GTT,HID,IBKRATS,ICE,IMB,IOC,LIT,LMT,LOC,MIT,MKT,MOC,MTL,NGCOMB,NODARK,NONALGO,OCA,OPG,OPGREROUT,PEGBENCH,POSTONLY,PREOPGRTH,R</v>
      </c>
      <c r="M601" s="6" t="str">
        <f>[9]!id464?validExchanges</f>
        <v>SMART,NYSE,CBOE,ISE,CHX,ARCA,ISLAND,VWAP,DRCTEDGE,NSX,BEX,BATS,EDGEA,CSFBALGO,JEFFALGO,BYX,IEX,TPLUS2,PSX</v>
      </c>
      <c r="N601" s="6">
        <f>[9]!id464?conid</f>
        <v>5019164</v>
      </c>
      <c r="O601" s="6">
        <f>[9]!id464?minTick</f>
        <v>0.01</v>
      </c>
      <c r="P601" s="6">
        <f>[9]!id464?multiplier</f>
        <v>0</v>
      </c>
      <c r="Q601" s="6" t="str">
        <f>[9]!id464?marketName</f>
        <v>WSM</v>
      </c>
      <c r="R601" s="6" t="str">
        <f>[9]!id464?tradingClass</f>
        <v>WSM</v>
      </c>
    </row>
    <row r="602" spans="1:18" hidden="1" x14ac:dyDescent="0.2">
      <c r="A602" t="s">
        <v>631</v>
      </c>
      <c r="B602" s="13" t="s">
        <v>12</v>
      </c>
      <c r="C602" s="13" t="b">
        <f t="shared" si="9"/>
        <v>1</v>
      </c>
      <c r="D602" s="13"/>
      <c r="E602" s="63"/>
      <c r="F602" s="13"/>
      <c r="G602" s="13"/>
      <c r="H602" s="13" t="s">
        <v>68</v>
      </c>
      <c r="I602" s="101" t="s">
        <v>44</v>
      </c>
      <c r="J602" s="101"/>
      <c r="K602" s="6">
        <f>[9]!'id465?req?DATA_STK_SMART_USD_~/'</f>
        <v>0</v>
      </c>
      <c r="L602" s="6" t="str">
        <f>[9]!id465?orderTypes</f>
        <v>ACTIVETIM,ADJUST,ALERT,ALGO,ALLOC,AON,AVGCOST,BASKET,COND,CONDORDER,DARKONLY,DARKPOLL,DAY,DEACT,DEACTDIS,DEACTEOD,DIS,GAT,GTC,GTD,GTT,HID,IBKRATS,ICE,IMB,IOC,LIT,LMT,LOC,MIT,MKT,MOC,MTL,NGCOMB,NODARK,NONALGO,OCA,OPG,OPGREROUT,PEGBENCH,POSTONLY,PREOPGRTH,R</v>
      </c>
      <c r="M602" s="6" t="str">
        <f>[9]!id465?validExchanges</f>
        <v>SMART,NYSE,CBOE,ISE,CHX,ARCA,ISLAND,DRCTEDGE,NSX,BEX,BATS,EDGEA,CSFBALGO,JEFFALGO,BYX,IEX,TPLUS2,PSX</v>
      </c>
      <c r="N602" s="6">
        <f>[9]!id465?conid</f>
        <v>127670820</v>
      </c>
      <c r="O602" s="6">
        <f>[9]!id465?minTick</f>
        <v>0.01</v>
      </c>
      <c r="P602" s="6">
        <f>[9]!id465?multiplier</f>
        <v>0</v>
      </c>
      <c r="Q602" s="6" t="str">
        <f>[9]!id465?marketName</f>
        <v>DATA</v>
      </c>
      <c r="R602" s="6" t="str">
        <f>[9]!id465?tradingClass</f>
        <v>DATA</v>
      </c>
    </row>
    <row r="603" spans="1:18" hidden="1" x14ac:dyDescent="0.2">
      <c r="A603" t="s">
        <v>632</v>
      </c>
      <c r="B603" s="13" t="s">
        <v>12</v>
      </c>
      <c r="C603" s="13" t="b">
        <f t="shared" si="9"/>
        <v>0</v>
      </c>
      <c r="D603" s="13"/>
      <c r="E603" s="63"/>
      <c r="F603" s="13"/>
      <c r="G603" s="13"/>
      <c r="H603" s="13" t="s">
        <v>68</v>
      </c>
      <c r="I603" s="101" t="s">
        <v>44</v>
      </c>
      <c r="J603" s="101"/>
      <c r="K603" s="6">
        <f>[9]!'id466?req?GOLD_STK_SMART_USD_~/'</f>
        <v>0</v>
      </c>
      <c r="L603" s="6" t="str">
        <f>[9]!id466?orderTypes</f>
        <v>ACTIVETIM,ADJUST,ALERT,ALGO,ALLOC,AON,AVGCOST,BASKET,COND,CONDORDER,DARKONLY,DARKPOLL,DAY,DEACT,DEACTDIS,DEACTEOD,DIS,GAT,GTC,GTD,GTT,HID,IBKRATS,ICE,IMB,IOC,LIT,LMT,LOC,MIT,MKT,MOC,MTL,NGCOMB,NODARK,NONALGO,OCA,OPG,OPGREROUT,PEGBENCH,POSTONLY,PREOPGRTH,R</v>
      </c>
      <c r="M603" s="6" t="str">
        <f>[9]!id466?validExchanges</f>
        <v>SMART,CBOE,ISE,CHX,ARCA,ISLAND,DRCTEDGE,NSX,BEX,BATS,EDGEA,CSFBALGO,JEFFALGO,BYX,IEX,TPLUS2,PSX</v>
      </c>
      <c r="N603" s="6">
        <f>[9]!id466?conid</f>
        <v>15468463</v>
      </c>
      <c r="O603" s="6">
        <f>[9]!id466?minTick</f>
        <v>0.01</v>
      </c>
      <c r="P603" s="6">
        <f>[9]!id466?multiplier</f>
        <v>0</v>
      </c>
      <c r="Q603" s="6" t="str">
        <f>[9]!id466?marketName</f>
        <v>NMS</v>
      </c>
      <c r="R603" s="6" t="str">
        <f>[9]!id466?tradingClass</f>
        <v>NMS</v>
      </c>
    </row>
    <row r="604" spans="1:18" hidden="1" x14ac:dyDescent="0.2">
      <c r="A604" t="s">
        <v>633</v>
      </c>
      <c r="B604" s="13" t="s">
        <v>12</v>
      </c>
      <c r="C604" s="13" t="b">
        <f t="shared" si="9"/>
        <v>0</v>
      </c>
      <c r="D604" s="13"/>
      <c r="E604" s="63"/>
      <c r="F604" s="13"/>
      <c r="G604" s="13"/>
      <c r="H604" s="13" t="s">
        <v>68</v>
      </c>
      <c r="I604" s="101" t="s">
        <v>44</v>
      </c>
      <c r="J604" s="101"/>
      <c r="K604" s="6">
        <f>[9]!'id467?req?VCSH_STK_SMART_USD_~/'</f>
        <v>0</v>
      </c>
      <c r="L604" s="6" t="str">
        <f>[9]!id467?orderTypes</f>
        <v>ACTIVETIM,ADJUST,ALERT,ALGO,ALLOC,AON,AVGCOST,BASKET,COND,CONDORDER,DARKONLY,DARKPOLL,DAY,DEACT,DEACTDIS,DEACTEOD,DIS,GAT,GTC,GTD,GTT,HID,IBKRATS,ICE,IMB,IOC,LIT,LMT,LOC,MIT,MKT,MOC,MTL,NGCOMB,NODARK,NONALGO,OCA,OPG,OPGREROUT,PEGBENCH,POSTONLY,PREOPGRTH,R</v>
      </c>
      <c r="M604" s="6" t="str">
        <f>[9]!id467?validExchanges</f>
        <v>SMART,ISE,CHX,ARCA,ISLAND,DRCTEDGE,NSX,BEX,BATS,EDGEA,CSFBALGO,JEFFALGO,BYX,IEX,TPLUS2,PSX</v>
      </c>
      <c r="N604" s="6">
        <f>[9]!id467?conid</f>
        <v>70363037</v>
      </c>
      <c r="O604" s="6">
        <f>[9]!id467?minTick</f>
        <v>0.01</v>
      </c>
      <c r="P604" s="6">
        <f>[9]!id467?multiplier</f>
        <v>0</v>
      </c>
      <c r="Q604" s="6" t="str">
        <f>[9]!id467?marketName</f>
        <v>NMS</v>
      </c>
      <c r="R604" s="6" t="str">
        <f>[9]!id467?tradingClass</f>
        <v>NMS</v>
      </c>
    </row>
    <row r="605" spans="1:18" hidden="1" x14ac:dyDescent="0.2">
      <c r="A605" t="s">
        <v>634</v>
      </c>
      <c r="B605" s="13" t="s">
        <v>12</v>
      </c>
      <c r="C605" s="13" t="b">
        <f t="shared" si="9"/>
        <v>1</v>
      </c>
      <c r="D605" s="13"/>
      <c r="E605" s="63"/>
      <c r="F605" s="13"/>
      <c r="G605" s="13"/>
      <c r="H605" s="13" t="s">
        <v>68</v>
      </c>
      <c r="I605" s="101" t="s">
        <v>44</v>
      </c>
      <c r="J605" s="101"/>
      <c r="K605" s="6">
        <f>[9]!'id468?req?VNTV_STK_SMART_USD_~/'</f>
        <v>0</v>
      </c>
      <c r="L605" s="6" t="str">
        <f>[9]!id468?orderTypes</f>
        <v>ACTIVETIM,ADJUST,ALERT,ALGO,ALLOC,AON,AVGCOST,BASKET,COND,CONDORDER,DARKONLY,DARKPOLL,DAY,DEACT,DEACTDIS,DEACTEOD,DIS,GAT,GTC,GTD,GTT,HID,IBKRATS,ICE,IMB,IOC,LIT,LMT,LOC,MIT,MKT,MOC,MTL,NGCOMB,NODARK,NONALGO,OCA,OPG,OPGREROUT,PEGBENCH,POSTONLY,PREOPGRTH,R</v>
      </c>
      <c r="M605" s="6" t="str">
        <f>[9]!id468?validExchanges</f>
        <v>SMART,NYSE,CBOE,ISE,CHX,ARCA,ISLAND,DRCTEDGE,NSX,BEX,BATS,EDGEA,CSFBALGO,JEFFALGO,BYX,IEX,TPLUS2,PSX</v>
      </c>
      <c r="N605" s="6">
        <f>[9]!id468?conid</f>
        <v>104791597</v>
      </c>
      <c r="O605" s="6">
        <f>[9]!id468?minTick</f>
        <v>0.01</v>
      </c>
      <c r="P605" s="6">
        <f>[9]!id468?multiplier</f>
        <v>0</v>
      </c>
      <c r="Q605" s="6" t="str">
        <f>[9]!id468?marketName</f>
        <v>VNTV</v>
      </c>
      <c r="R605" s="6" t="str">
        <f>[9]!id468?tradingClass</f>
        <v>VNTV</v>
      </c>
    </row>
    <row r="606" spans="1:18" hidden="1" x14ac:dyDescent="0.2">
      <c r="A606" t="s">
        <v>635</v>
      </c>
      <c r="B606" s="13" t="s">
        <v>12</v>
      </c>
      <c r="C606" s="13" t="b">
        <f t="shared" si="9"/>
        <v>0</v>
      </c>
      <c r="D606" s="13"/>
      <c r="E606" s="63"/>
      <c r="F606" s="13"/>
      <c r="G606" s="13"/>
      <c r="H606" s="13" t="s">
        <v>68</v>
      </c>
      <c r="I606" s="101" t="s">
        <v>44</v>
      </c>
      <c r="J606" s="101"/>
      <c r="K606" s="6">
        <f>[9]!'id478?req?BWLD_STK_SMART_USD_~/'</f>
        <v>0</v>
      </c>
      <c r="L606" s="6" t="str">
        <f>[9]!id478?orderTypes</f>
        <v>ACTIVETIM,ADJUST,ALERT,ALGO,ALLOC,AON,AVGCOST,BASKET,COND,CONDORDER,DARKONLY,DARKPOLL,DAY,DEACT,DEACTDIS,DEACTEOD,DIS,GAT,GTC,GTD,GTT,HID,IBKRATS,ICE,IMB,IOC,LIT,LMT,LOC,MIT,MKT,MOC,MTL,NGCOMB,NODARK,NONALGO,OCA,OPG,OPGREROUT,PEGBENCH,POSTONLY,PREOPGRTH,R</v>
      </c>
      <c r="M606" s="6" t="str">
        <f>[9]!id478?validExchanges</f>
        <v>SMART,CBOE,ISE,CHX,ARCA,ISLAND,DRCTEDGE,NSX,BEX,BATS,EDGEA,CSFBALGO,JEFFALGO,BYX,IEX,TPLUS2,PSX</v>
      </c>
      <c r="N606" s="6">
        <f>[9]!id478?conid</f>
        <v>26796053</v>
      </c>
      <c r="O606" s="6">
        <f>[9]!id478?minTick</f>
        <v>0.01</v>
      </c>
      <c r="P606" s="6">
        <f>[9]!id478?multiplier</f>
        <v>0</v>
      </c>
      <c r="Q606" s="6" t="str">
        <f>[9]!id478?marketName</f>
        <v>NMS</v>
      </c>
      <c r="R606" s="6" t="str">
        <f>[9]!id478?tradingClass</f>
        <v>NMS</v>
      </c>
    </row>
    <row r="607" spans="1:18" hidden="1" x14ac:dyDescent="0.2">
      <c r="A607" t="s">
        <v>636</v>
      </c>
      <c r="B607" s="13" t="s">
        <v>12</v>
      </c>
      <c r="C607" s="13" t="b">
        <f t="shared" si="9"/>
        <v>0</v>
      </c>
      <c r="D607" s="13"/>
      <c r="E607" s="63"/>
      <c r="F607" s="13"/>
      <c r="G607" s="13"/>
      <c r="H607" s="13" t="s">
        <v>68</v>
      </c>
      <c r="I607" s="101" t="s">
        <v>44</v>
      </c>
      <c r="J607" s="101"/>
      <c r="K607" s="6">
        <f>[9]!'id479?req?QRVO_STK_SMART_USD_~/'</f>
        <v>0</v>
      </c>
      <c r="L607" s="6" t="str">
        <f>[9]!id479?orderTypes</f>
        <v>ACTIVETIM,ADJUST,ALERT,ALGO,ALLOC,AON,AVGCOST,BASKET,COND,CONDORDER,DARKONLY,DARKPOLL,DAY,DEACT,DEACTDIS,DEACTEOD,DIS,GAT,GTC,GTD,GTT,HID,IBKRATS,ICE,IMB,IOC,LIT,LMT,LOC,MIT,MKT,MOC,MTL,NGCOMB,NODARK,NONALGO,OCA,OPG,OPGREROUT,PEGBENCH,POSTONLY,PREOPGRTH,R</v>
      </c>
      <c r="M607" s="6" t="str">
        <f>[9]!id479?validExchanges</f>
        <v>SMART,CBOE,ISE,CHX,ARCA,ISLAND,DRCTEDGE,NSX,BEX,BATS,EDGEA,CSFBALGO,JEFFALGO,BYX,IEX,TPLUS2,PSX</v>
      </c>
      <c r="N607" s="6">
        <f>[9]!id479?conid</f>
        <v>179002152</v>
      </c>
      <c r="O607" s="6">
        <f>[9]!id479?minTick</f>
        <v>0.01</v>
      </c>
      <c r="P607" s="6">
        <f>[9]!id479?multiplier</f>
        <v>0</v>
      </c>
      <c r="Q607" s="6" t="str">
        <f>[9]!id479?marketName</f>
        <v>NMS</v>
      </c>
      <c r="R607" s="6" t="str">
        <f>[9]!id479?tradingClass</f>
        <v>NMS</v>
      </c>
    </row>
    <row r="608" spans="1:18" hidden="1" x14ac:dyDescent="0.2">
      <c r="A608" t="s">
        <v>637</v>
      </c>
      <c r="B608" s="13" t="s">
        <v>12</v>
      </c>
      <c r="C608" s="13" t="b">
        <f t="shared" si="9"/>
        <v>1</v>
      </c>
      <c r="D608" s="13"/>
      <c r="E608" s="63"/>
      <c r="F608" s="13"/>
      <c r="G608" s="13"/>
      <c r="H608" s="13" t="s">
        <v>68</v>
      </c>
      <c r="I608" s="101" t="s">
        <v>44</v>
      </c>
      <c r="J608" s="101"/>
      <c r="K608" s="6">
        <f>[9]!'id480?req?SAP_STK_SMART_USD_~/'</f>
        <v>0</v>
      </c>
      <c r="L608" s="6" t="str">
        <f>[9]!id480?orderTypes</f>
        <v>ACTIVETIM,ADJUST,ALERT,ALGO,ALLOC,AON,AVGCOST,BASKET,COND,CONDORDER,DARKONLY,DARKPOLL,DAY,DEACT,DEACTDIS,DEACTEOD,DIS,GAT,GTC,GTD,GTT,HID,IBKRATS,ICE,IMB,IOC,LIT,LMT,LOC,MIT,MKT,MOC,MTL,NGCOMB,NODARK,NONALGO,OCA,OPG,OPGREROUT,PEGBENCH,POSTONLY,PREOPGRTH,R</v>
      </c>
      <c r="M608" s="6" t="str">
        <f>[9]!id480?validExchanges</f>
        <v>SMART,NYSE,CBOE,ISE,CHX,ARCA,ISLAND,VWAP,DRCTEDGE,NSX,BEX,BATS,EDGEA,CSFBALGO,JEFFALGO,BYX,IEX,TPLUS2,PSX</v>
      </c>
      <c r="N608" s="6">
        <f>[9]!id480?conid</f>
        <v>3804335</v>
      </c>
      <c r="O608" s="6">
        <f>[9]!id480?minTick</f>
        <v>0.01</v>
      </c>
      <c r="P608" s="6">
        <f>[9]!id480?multiplier</f>
        <v>0</v>
      </c>
      <c r="Q608" s="6" t="str">
        <f>[9]!id480?marketName</f>
        <v>SAP</v>
      </c>
      <c r="R608" s="6" t="str">
        <f>[9]!id480?tradingClass</f>
        <v>SAP</v>
      </c>
    </row>
    <row r="609" spans="1:18" hidden="1" x14ac:dyDescent="0.2">
      <c r="A609" t="s">
        <v>638</v>
      </c>
      <c r="B609" s="13" t="s">
        <v>12</v>
      </c>
      <c r="C609" s="13" t="b">
        <f t="shared" si="9"/>
        <v>1</v>
      </c>
      <c r="D609" s="13"/>
      <c r="E609" s="63"/>
      <c r="F609" s="13"/>
      <c r="G609" s="13"/>
      <c r="H609" s="13" t="s">
        <v>68</v>
      </c>
      <c r="I609" s="101" t="s">
        <v>44</v>
      </c>
      <c r="J609" s="101"/>
      <c r="K609" s="6">
        <f>[9]!'id481?req?NVO_STK_SMART_USD_~/'</f>
        <v>0</v>
      </c>
      <c r="L609" s="6" t="str">
        <f>[9]!id481?orderTypes</f>
        <v>ACTIVETIM,ADJUST,ALERT,ALGO,ALLOC,AON,AVGCOST,BASKET,COND,CONDORDER,DARKONLY,DARKPOLL,DAY,DEACT,DEACTDIS,DEACTEOD,DIS,GAT,GTC,GTD,GTT,HID,IBKRATS,ICE,IMB,IOC,LIT,LMT,LOC,MIT,MKT,MOC,MTL,NGCOMB,NODARK,NONALGO,OCA,OPG,OPGREROUT,PEGBENCH,POSTONLY,PREOPGRTH,R</v>
      </c>
      <c r="M609" s="6" t="str">
        <f>[9]!id481?validExchanges</f>
        <v>SMART,NYSE,CBOE,ISE,CHX,ARCA,ISLAND,DRCTEDGE,NSX,BEX,BATS,EDGEA,CSFBALGO,JEFFALGO,BYX,IEX,TPLUS2,PSX</v>
      </c>
      <c r="N609" s="6">
        <f>[9]!id481?conid</f>
        <v>10611</v>
      </c>
      <c r="O609" s="6">
        <f>[9]!id481?minTick</f>
        <v>0.01</v>
      </c>
      <c r="P609" s="6">
        <f>[9]!id481?multiplier</f>
        <v>0</v>
      </c>
      <c r="Q609" s="6" t="str">
        <f>[9]!id481?marketName</f>
        <v>NVO</v>
      </c>
      <c r="R609" s="6" t="str">
        <f>[9]!id481?tradingClass</f>
        <v>NVO</v>
      </c>
    </row>
    <row r="610" spans="1:18" hidden="1" x14ac:dyDescent="0.2">
      <c r="A610" t="s">
        <v>639</v>
      </c>
      <c r="B610" s="13" t="s">
        <v>12</v>
      </c>
      <c r="C610" s="13" t="b">
        <f t="shared" si="9"/>
        <v>1</v>
      </c>
      <c r="D610" s="13"/>
      <c r="E610" s="63"/>
      <c r="F610" s="13"/>
      <c r="G610" s="13"/>
      <c r="H610" s="13" t="s">
        <v>68</v>
      </c>
      <c r="I610" s="101" t="s">
        <v>44</v>
      </c>
      <c r="J610" s="101"/>
      <c r="K610" s="6">
        <f>[9]!'id482?req?TPX_STK_SMART_USD_~/'</f>
        <v>0</v>
      </c>
      <c r="L610" s="6" t="str">
        <f>[9]!id482?orderTypes</f>
        <v>ACTIVETIM,ADJUST,ALERT,ALGO,ALLOC,AON,AVGCOST,BASKET,COND,CONDORDER,DARKONLY,DARKPOLL,DAY,DEACT,DEACTDIS,DEACTEOD,DIS,GAT,GTC,GTD,GTT,HID,IBKRATS,ICE,IMB,IOC,LIT,LMT,LOC,MIT,MKT,MOC,MTL,NGCOMB,NODARK,NONALGO,OCA,OPG,OPGREROUT,PEGBENCH,POSTONLY,PREOPGRTH,R</v>
      </c>
      <c r="M610" s="6" t="str">
        <f>[9]!id482?validExchanges</f>
        <v>SMART,NYSE,CBOE,ISE,CHX,ARCA,ISLAND,DRCTEDGE,NSX,BEX,BATS,EDGEA,CSFBALGO,JEFFALGO,BYX,IEX,TPLUS2,PSX</v>
      </c>
      <c r="N610" s="6">
        <f>[9]!id482?conid</f>
        <v>27059190</v>
      </c>
      <c r="O610" s="6">
        <f>[9]!id482?minTick</f>
        <v>0.01</v>
      </c>
      <c r="P610" s="6">
        <f>[9]!id482?multiplier</f>
        <v>0</v>
      </c>
      <c r="Q610" s="6" t="str">
        <f>[9]!id482?marketName</f>
        <v>TPX</v>
      </c>
      <c r="R610" s="6" t="str">
        <f>[9]!id482?tradingClass</f>
        <v>TPX</v>
      </c>
    </row>
    <row r="611" spans="1:18" hidden="1" x14ac:dyDescent="0.2">
      <c r="A611" t="s">
        <v>640</v>
      </c>
      <c r="B611" s="13" t="s">
        <v>12</v>
      </c>
      <c r="C611" s="13" t="b">
        <f t="shared" si="9"/>
        <v>1</v>
      </c>
      <c r="D611" s="13"/>
      <c r="E611" s="63"/>
      <c r="F611" s="13"/>
      <c r="G611" s="13"/>
      <c r="H611" s="13" t="s">
        <v>68</v>
      </c>
      <c r="I611" s="101" t="s">
        <v>44</v>
      </c>
      <c r="J611" s="101"/>
      <c r="K611" s="6">
        <f>[9]!'id483?req?FBHS_STK_SMART_USD_~/'</f>
        <v>0</v>
      </c>
      <c r="L611" s="6" t="str">
        <f>[9]!id483?orderTypes</f>
        <v>ACTIVETIM,ADJUST,ALERT,ALGO,ALLOC,AON,AVGCOST,BASKET,COND,CONDORDER,DARKONLY,DARKPOLL,DAY,DEACT,DEACTDIS,DEACTEOD,DIS,GAT,GTC,GTD,GTT,HID,IBKRATS,ICE,IMB,IOC,LIT,LMT,LOC,MIT,MKT,MOC,MTL,NGCOMB,NODARK,NONALGO,OCA,OPG,OPGREROUT,PEGBENCH,POSTONLY,PREOPGRTH,R</v>
      </c>
      <c r="M611" s="6" t="str">
        <f>[9]!id483?validExchanges</f>
        <v>SMART,NYSE,CBOE,ISE,CHX,ARCA,ISLAND,DRCTEDGE,NSX,BEX,BATS,EDGEA,CSFBALGO,JEFFALGO,BYX,IEX,TPLUS2,PSX</v>
      </c>
      <c r="N611" s="6">
        <f>[9]!id483?conid</f>
        <v>94078796</v>
      </c>
      <c r="O611" s="6">
        <f>[9]!id483?minTick</f>
        <v>0.01</v>
      </c>
      <c r="P611" s="6">
        <f>[9]!id483?multiplier</f>
        <v>0</v>
      </c>
      <c r="Q611" s="6" t="str">
        <f>[9]!id483?marketName</f>
        <v>FBHS</v>
      </c>
      <c r="R611" s="6" t="str">
        <f>[9]!id483?tradingClass</f>
        <v>FBHS</v>
      </c>
    </row>
    <row r="612" spans="1:18" hidden="1" x14ac:dyDescent="0.2">
      <c r="A612" t="s">
        <v>641</v>
      </c>
      <c r="B612" s="13" t="s">
        <v>12</v>
      </c>
      <c r="C612" s="13" t="b">
        <f t="shared" si="9"/>
        <v>0</v>
      </c>
      <c r="D612" s="13"/>
      <c r="E612" s="63"/>
      <c r="F612" s="13"/>
      <c r="G612" s="13"/>
      <c r="H612" s="13" t="s">
        <v>68</v>
      </c>
      <c r="I612" s="101" t="s">
        <v>44</v>
      </c>
      <c r="J612" s="101"/>
      <c r="K612" s="6">
        <f>[9]!'id484?req?ICPT_STK_SMART_USD_~/'</f>
        <v>0</v>
      </c>
      <c r="L612" s="6" t="str">
        <f>[9]!id484?orderTypes</f>
        <v>ACTIVETIM,ADJUST,ALERT,ALGO,ALLOC,AON,AVGCOST,BASKET,COND,CONDORDER,DARKONLY,DARKPOLL,DAY,DEACT,DEACTDIS,DEACTEOD,DIS,GAT,GTC,GTD,GTT,HID,IBKRATS,ICE,IMB,IOC,LIT,LMT,LOC,MIT,MKT,MOC,MTL,NGCOMB,NODARK,NONALGO,OCA,OPG,OPGREROUT,PEGBENCH,POSTONLY,PREOPGRTH,R</v>
      </c>
      <c r="M612" s="6" t="str">
        <f>[9]!id484?validExchanges</f>
        <v>SMART,CBOE,ISE,CHX,ARCA,ISLAND,DRCTEDGE,NSX,BEX,BATS,EDGEA,CSFBALGO,JEFFALGO,BYX,IEX,TPLUS2,PSX</v>
      </c>
      <c r="N612" s="6">
        <f>[9]!id484?conid</f>
        <v>115353758</v>
      </c>
      <c r="O612" s="6">
        <f>[9]!id484?minTick</f>
        <v>0.01</v>
      </c>
      <c r="P612" s="6">
        <f>[9]!id484?multiplier</f>
        <v>0</v>
      </c>
      <c r="Q612" s="6" t="str">
        <f>[9]!id484?marketName</f>
        <v>NMS</v>
      </c>
      <c r="R612" s="6" t="str">
        <f>[9]!id484?tradingClass</f>
        <v>NMS</v>
      </c>
    </row>
    <row r="613" spans="1:18" hidden="1" x14ac:dyDescent="0.2">
      <c r="A613" t="s">
        <v>642</v>
      </c>
      <c r="B613" s="13" t="s">
        <v>12</v>
      </c>
      <c r="C613" s="13" t="b">
        <f t="shared" si="9"/>
        <v>0</v>
      </c>
      <c r="D613" s="13"/>
      <c r="E613" s="63"/>
      <c r="F613" s="13"/>
      <c r="G613" s="13"/>
      <c r="H613" s="13" t="s">
        <v>68</v>
      </c>
      <c r="I613" s="101" t="s">
        <v>44</v>
      </c>
      <c r="J613" s="101"/>
      <c r="K613" s="6">
        <f>[9]!'id485?req?UTHR_STK_SMART_USD_~/'</f>
        <v>0</v>
      </c>
      <c r="L613" s="6" t="str">
        <f>[9]!id485?orderTypes</f>
        <v>ACTIVETIM,ADJUST,ALERT,ALGO,ALLOC,AON,AVGCOST,BASKET,COND,CONDORDER,DARKONLY,DARKPOLL,DAY,DEACT,DEACTDIS,DEACTEOD,DIS,GAT,GTC,GTD,GTT,HID,IBKRATS,ICE,IMB,IOC,LIT,LMT,LOC,MIT,MKT,MOC,MTL,NGCOMB,NODARK,NONALGO,OCA,OPG,OPGREROUT,PEGBENCH,POSTONLY,PREOPGRTH,R</v>
      </c>
      <c r="M613" s="6" t="str">
        <f>[9]!id485?validExchanges</f>
        <v>SMART,CBOE,ISE,CHX,ARCA,ISLAND,DRCTEDGE,NSX,BEX,BATS,EDGEA,CSFBALGO,JEFFALGO,BYX,IEX,TPLUS2,PSX</v>
      </c>
      <c r="N613" s="6">
        <f>[9]!id485?conid</f>
        <v>6746357</v>
      </c>
      <c r="O613" s="6">
        <f>[9]!id485?minTick</f>
        <v>0.01</v>
      </c>
      <c r="P613" s="6">
        <f>[9]!id485?multiplier</f>
        <v>0</v>
      </c>
      <c r="Q613" s="6" t="str">
        <f>[9]!id485?marketName</f>
        <v>NMS</v>
      </c>
      <c r="R613" s="6" t="str">
        <f>[9]!id485?tradingClass</f>
        <v>NMS</v>
      </c>
    </row>
    <row r="614" spans="1:18" hidden="1" x14ac:dyDescent="0.2">
      <c r="A614" t="s">
        <v>643</v>
      </c>
      <c r="B614" s="13" t="s">
        <v>12</v>
      </c>
      <c r="C614" s="13" t="b">
        <f t="shared" si="9"/>
        <v>1</v>
      </c>
      <c r="D614" s="13"/>
      <c r="E614" s="63"/>
      <c r="F614" s="13"/>
      <c r="G614" s="13"/>
      <c r="H614" s="13" t="s">
        <v>68</v>
      </c>
      <c r="I614" s="101" t="s">
        <v>44</v>
      </c>
      <c r="J614" s="101"/>
      <c r="K614" s="6">
        <f>[9]!'id486?req?WCN_STK_SMART_USD_~/'</f>
        <v>0</v>
      </c>
      <c r="L614" s="6" t="str">
        <f>[9]!id486?orderTypes</f>
        <v>ACTIVETIM,ADJUST,ALERT,ALGO,ALLOC,AON,AVGCOST,BASKET,COND,CONDORDER,DARKONLY,DARKPOLL,DAY,DEACT,DEACTDIS,DEACTEOD,DIS,GAT,GTC,GTD,GTT,HID,IBKRATS,ICE,IMB,IOC,LIT,LMT,LOC,MIT,MKT,MOC,MTL,NGCOMB,NODARK,NONALGO,OCA,OPG,OPGREROUT,PEGBENCH,POSTONLY,PREOPGRTH,R</v>
      </c>
      <c r="M614" s="6" t="str">
        <f>[9]!id486?validExchanges</f>
        <v>SMART,NYSE,CBOE,ISE,CHX,ARCA,ISLAND,DRCTEDGE,NSX,BEX,BATS,EDGEA,CSFBALGO,JEFFALGO,BYX,IEX,TPLUS2,PSX</v>
      </c>
      <c r="N614" s="6">
        <f>[9]!id486?conid</f>
        <v>235248586</v>
      </c>
      <c r="O614" s="6">
        <f>[9]!id486?minTick</f>
        <v>0.01</v>
      </c>
      <c r="P614" s="6">
        <f>[9]!id486?multiplier</f>
        <v>0</v>
      </c>
      <c r="Q614" s="6" t="str">
        <f>[9]!id486?marketName</f>
        <v>WCN</v>
      </c>
      <c r="R614" s="6" t="str">
        <f>[9]!id486?tradingClass</f>
        <v>WCN</v>
      </c>
    </row>
    <row r="615" spans="1:18" hidden="1" x14ac:dyDescent="0.2">
      <c r="A615" t="s">
        <v>644</v>
      </c>
      <c r="B615" s="13" t="s">
        <v>12</v>
      </c>
      <c r="C615" s="13" t="b">
        <f t="shared" si="9"/>
        <v>1</v>
      </c>
      <c r="D615" s="13"/>
      <c r="E615" s="63"/>
      <c r="F615" s="13"/>
      <c r="G615" s="13"/>
      <c r="H615" s="13" t="s">
        <v>68</v>
      </c>
      <c r="I615" s="101" t="s">
        <v>44</v>
      </c>
      <c r="J615" s="101"/>
      <c r="K615" s="6">
        <f>[9]!'id487?req?BURL_STK_SMART_USD_~/'</f>
        <v>0</v>
      </c>
      <c r="L615" s="6" t="str">
        <f>[9]!id487?orderTypes</f>
        <v>ACTIVETIM,ADJUST,ALERT,ALGO,ALLOC,AON,AVGCOST,BASKET,COND,CONDORDER,DARKONLY,DARKPOLL,DAY,DEACT,DEACTDIS,DEACTEOD,DIS,GAT,GTC,GTD,GTT,HID,IBKRATS,ICE,IMB,IOC,LIT,LMT,LOC,MIT,MKT,MOC,MTL,NGCOMB,NODARK,NONALGO,OCA,OPG,OPGREROUT,PEGBENCH,POSTONLY,PREOPGRTH,R</v>
      </c>
      <c r="M615" s="6" t="str">
        <f>[9]!id487?validExchanges</f>
        <v>SMART,NYSE,CBOE,ISE,CHX,ARCA,ISLAND,DRCTEDGE,NSX,BEX,BATS,EDGEA,CSFBALGO,JEFFALGO,BYX,IEX,TPLUS2,PSX</v>
      </c>
      <c r="N615" s="6">
        <f>[9]!id487?conid</f>
        <v>135699190</v>
      </c>
      <c r="O615" s="6">
        <f>[9]!id487?minTick</f>
        <v>0.01</v>
      </c>
      <c r="P615" s="6">
        <f>[9]!id487?multiplier</f>
        <v>0</v>
      </c>
      <c r="Q615" s="6" t="str">
        <f>[9]!id487?marketName</f>
        <v>BURL</v>
      </c>
      <c r="R615" s="6" t="str">
        <f>[9]!id487?tradingClass</f>
        <v>BURL</v>
      </c>
    </row>
    <row r="616" spans="1:18" hidden="1" x14ac:dyDescent="0.2">
      <c r="A616" t="s">
        <v>645</v>
      </c>
      <c r="B616" s="13" t="s">
        <v>12</v>
      </c>
      <c r="C616" s="13" t="b">
        <f t="shared" si="9"/>
        <v>0</v>
      </c>
      <c r="D616" s="13"/>
      <c r="E616" s="63"/>
      <c r="F616" s="13"/>
      <c r="G616" s="13"/>
      <c r="H616" s="13" t="s">
        <v>68</v>
      </c>
      <c r="I616" s="101" t="s">
        <v>44</v>
      </c>
      <c r="J616" s="101"/>
      <c r="K616" s="6">
        <f>[9]!'id488?req?ASML_STK_SMART_USD_~/'</f>
        <v>0</v>
      </c>
      <c r="L616" s="6" t="str">
        <f>[9]!id488?orderTypes</f>
        <v>ACTIVETIM,ADJUST,ALERT,ALGO,ALLOC,AON,AVGCOST,BASKET,COND,CONDORDER,DARKONLY,DARKPOLL,DAY,DEACT,DEACTDIS,DEACTEOD,DIS,GAT,GTC,GTD,GTT,HID,IBKRATS,ICE,IMB,IOC,LIT,LMT,LOC,MIT,MKT,MOC,MTL,NGCOMB,NODARK,NONALGO,OCA,OPG,OPGREROUT,PEGBENCH,POSTONLY,PREOPGRTH,R</v>
      </c>
      <c r="M616" s="6" t="str">
        <f>[9]!id488?validExchanges</f>
        <v>SMART,CBOE,ISE,CHX,ARCA,ISLAND,DRCTEDGE,NSX,BEX,BATS,EDGEA,CSFBALGO,JEFFALGO,BYX,IEX,TPLUS2,PSX</v>
      </c>
      <c r="N616" s="6">
        <f>[9]!id488?conid</f>
        <v>117902840</v>
      </c>
      <c r="O616" s="6">
        <f>[9]!id488?minTick</f>
        <v>0.01</v>
      </c>
      <c r="P616" s="6">
        <f>[9]!id488?multiplier</f>
        <v>0</v>
      </c>
      <c r="Q616" s="6" t="str">
        <f>[9]!id488?marketName</f>
        <v>NMS</v>
      </c>
      <c r="R616" s="6" t="str">
        <f>[9]!id488?tradingClass</f>
        <v>NMS</v>
      </c>
    </row>
    <row r="617" spans="1:18" hidden="1" x14ac:dyDescent="0.2">
      <c r="A617" t="s">
        <v>646</v>
      </c>
      <c r="B617" s="13" t="s">
        <v>12</v>
      </c>
      <c r="C617" s="13" t="b">
        <f t="shared" si="9"/>
        <v>1</v>
      </c>
      <c r="D617" s="13"/>
      <c r="E617" s="63"/>
      <c r="F617" s="13"/>
      <c r="G617" s="13"/>
      <c r="H617" s="13" t="s">
        <v>68</v>
      </c>
      <c r="I617" s="101" t="s">
        <v>44</v>
      </c>
      <c r="J617" s="101"/>
      <c r="K617" s="6">
        <f>[9]!'id489?req?BG_STK_SMART_USD_~/'</f>
        <v>0</v>
      </c>
      <c r="L617" s="6" t="str">
        <f>[9]!id489?orderTypes</f>
        <v>ACTIVETIM,ADJUST,ALERT,ALGO,ALLOC,AON,AVGCOST,BASKET,COND,CONDORDER,DARKONLY,DARKPOLL,DAY,DEACT,DEACTDIS,DEACTEOD,DIS,GAT,GTC,GTD,GTT,HID,IBKRATS,ICE,IMB,IOC,LIT,LMT,LOC,MIT,MKT,MOC,MTL,NGCOMB,NODARK,NONALGO,OCA,OPG,OPGREROUT,PEGBENCH,POSTONLY,PREOPGRTH,R</v>
      </c>
      <c r="M617" s="6" t="str">
        <f>[9]!id489?validExchanges</f>
        <v>SMART,NYSE,CBOE,ISE,CHX,ARCA,ISLAND,DRCTEDGE,NSX,BEX,BATS,EDGEA,CSFBALGO,JEFFALGO,BYX,IEX,TPLUS2,PSX</v>
      </c>
      <c r="N617" s="6">
        <f>[9]!id489?conid</f>
        <v>12844443</v>
      </c>
      <c r="O617" s="6">
        <f>[9]!id489?minTick</f>
        <v>0.01</v>
      </c>
      <c r="P617" s="6">
        <f>[9]!id489?multiplier</f>
        <v>0</v>
      </c>
      <c r="Q617" s="6" t="str">
        <f>[9]!id489?marketName</f>
        <v>BG</v>
      </c>
      <c r="R617" s="6" t="str">
        <f>[9]!id489?tradingClass</f>
        <v>BG</v>
      </c>
    </row>
    <row r="618" spans="1:18" hidden="1" x14ac:dyDescent="0.2">
      <c r="A618" t="s">
        <v>647</v>
      </c>
      <c r="B618" s="13" t="s">
        <v>12</v>
      </c>
      <c r="C618" s="13" t="b">
        <f t="shared" si="9"/>
        <v>1</v>
      </c>
      <c r="D618" s="13"/>
      <c r="E618" s="63"/>
      <c r="F618" s="13"/>
      <c r="G618" s="13"/>
      <c r="H618" s="13" t="s">
        <v>68</v>
      </c>
      <c r="I618" s="101" t="s">
        <v>44</v>
      </c>
      <c r="J618" s="101"/>
      <c r="K618" s="6">
        <f>[9]!'id490?req?AGU_STK_SMART_USD_~/'</f>
        <v>0</v>
      </c>
      <c r="L618" s="6" t="str">
        <f>[9]!id490?orderTypes</f>
        <v>ACTIVETIM,ADJUST,ALERT,ALGO,ALLOC,AON,AVGCOST,BASKET,COND,CONDORDER,DARKONLY,DARKPOLL,DAY,DEACT,DEACTDIS,DEACTEOD,DIS,GAT,GTC,GTD,GTT,HID,IBKRATS,ICE,IMB,IOC,LIT,LMT,LOC,MIT,MKT,MOC,MTL,NGCOMB,NODARK,NONALGO,OCA,OPG,OPGREROUT,PEGBENCH,POSTONLY,PREOPGRTH,R</v>
      </c>
      <c r="M618" s="6" t="str">
        <f>[9]!id490?validExchanges</f>
        <v>SMART,NYSE,CBOE,ISE,CHX,ARCA,ISLAND,VWAP,DRCTEDGE,NSX,BEX,BATS,EDGEA,CSFBALGO,JEFFALGO,BYX,IEX,TPLUS2,PSX</v>
      </c>
      <c r="N618" s="6">
        <f>[9]!id490?conid</f>
        <v>2585438</v>
      </c>
      <c r="O618" s="6">
        <f>[9]!id490?minTick</f>
        <v>0.01</v>
      </c>
      <c r="P618" s="6">
        <f>[9]!id490?multiplier</f>
        <v>0</v>
      </c>
      <c r="Q618" s="6" t="str">
        <f>[9]!id490?marketName</f>
        <v>AGU</v>
      </c>
      <c r="R618" s="6" t="str">
        <f>[9]!id490?tradingClass</f>
        <v>AGU</v>
      </c>
    </row>
    <row r="619" spans="1:18" hidden="1" x14ac:dyDescent="0.2">
      <c r="A619" t="s">
        <v>648</v>
      </c>
      <c r="B619" s="13" t="s">
        <v>12</v>
      </c>
      <c r="C619" s="13" t="b">
        <f t="shared" si="9"/>
        <v>1</v>
      </c>
      <c r="D619" s="13"/>
      <c r="E619" s="63"/>
      <c r="F619" s="13"/>
      <c r="G619" s="13"/>
      <c r="H619" s="13" t="s">
        <v>68</v>
      </c>
      <c r="I619" s="101" t="s">
        <v>44</v>
      </c>
      <c r="J619" s="101"/>
      <c r="K619" s="6">
        <f>[9]!'id491?req?DEO_STK_SMART_USD_~/'</f>
        <v>0</v>
      </c>
      <c r="L619" s="6" t="str">
        <f>[9]!id491?orderTypes</f>
        <v>ACTIVETIM,ADJUST,ALERT,ALGO,ALLOC,AON,AVGCOST,BASKET,COND,CONDORDER,DARKONLY,DARKPOLL,DAY,DEACT,DEACTDIS,DEACTEOD,DIS,GAT,GTC,GTD,GTT,HID,IBKRATS,ICE,IMB,IOC,LIT,LMT,LOC,MIT,MKT,MOC,MTL,NGCOMB,NODARK,NONALGO,OCA,OPG,OPGREROUT,PEGBENCH,POSTONLY,PREOPGRTH,R</v>
      </c>
      <c r="M619" s="6" t="str">
        <f>[9]!id491?validExchanges</f>
        <v>SMART,NYSE,CBOE,ISE,CHX,ARCA,ISLAND,VWAP,DRCTEDGE,NSX,BEX,BATS,EDGEA,CSFBALGO,JEFFALGO,BYX,IEX,TPLUS2,PSX</v>
      </c>
      <c r="N619" s="6">
        <f>[9]!id491?conid</f>
        <v>7788</v>
      </c>
      <c r="O619" s="6">
        <f>[9]!id491?minTick</f>
        <v>0.01</v>
      </c>
      <c r="P619" s="6">
        <f>[9]!id491?multiplier</f>
        <v>0</v>
      </c>
      <c r="Q619" s="6" t="str">
        <f>[9]!id491?marketName</f>
        <v>DEO</v>
      </c>
      <c r="R619" s="6" t="str">
        <f>[9]!id491?tradingClass</f>
        <v>DEO</v>
      </c>
    </row>
    <row r="620" spans="1:18" hidden="1" x14ac:dyDescent="0.2">
      <c r="A620" t="s">
        <v>649</v>
      </c>
      <c r="B620" s="13" t="s">
        <v>12</v>
      </c>
      <c r="C620" s="13" t="b">
        <f t="shared" si="9"/>
        <v>1</v>
      </c>
      <c r="D620" s="13"/>
      <c r="E620" s="63"/>
      <c r="F620" s="13"/>
      <c r="G620" s="13"/>
      <c r="H620" s="13" t="s">
        <v>68</v>
      </c>
      <c r="I620" s="101" t="s">
        <v>44</v>
      </c>
      <c r="J620" s="101"/>
      <c r="K620" s="6">
        <f>[9]!'id492?req?Q_STK_SMART_USD_~/'</f>
        <v>0</v>
      </c>
      <c r="L620" s="6" t="str">
        <f>[9]!id492?orderTypes</f>
        <v>ACTIVETIM,ADJUST,ALERT,ALGO,ALLOC,AON,AVGCOST,BASKET,COND,CONDORDER,DARKONLY,DARKPOLL,DAY,DEACT,DEACTDIS,DEACTEOD,DIS,GAT,GTC,GTD,GTT,HID,IBKRATS,ICE,IMB,IOC,LIT,LMT,LOC,MIT,MKT,MOC,MTL,NGCOMB,NODARK,NONALGO,OCA,OPG,OPGREROUT,PEGBENCH,POSTONLY,PREOPGRTH,R</v>
      </c>
      <c r="M620" s="6" t="str">
        <f>[9]!id492?validExchanges</f>
        <v>SMART,NYSE,CBOE,ISE,CHX,ARCA,ISLAND,DRCTEDGE,NSX,BEX,BATS,EDGEA,CSFBALGO,JEFFALGO,BYX,IEX,TPLUS2,PSX</v>
      </c>
      <c r="N620" s="6">
        <f>[9]!id492?conid</f>
        <v>127284359</v>
      </c>
      <c r="O620" s="6">
        <f>[9]!id492?minTick</f>
        <v>0.01</v>
      </c>
      <c r="P620" s="6">
        <f>[9]!id492?multiplier</f>
        <v>0</v>
      </c>
      <c r="Q620" s="6" t="str">
        <f>[9]!id492?marketName</f>
        <v>Q</v>
      </c>
      <c r="R620" s="6" t="str">
        <f>[9]!id492?tradingClass</f>
        <v>Q</v>
      </c>
    </row>
    <row r="621" spans="1:18" hidden="1" x14ac:dyDescent="0.2">
      <c r="A621" t="s">
        <v>650</v>
      </c>
      <c r="B621" s="13" t="s">
        <v>12</v>
      </c>
      <c r="C621" s="13" t="b">
        <f t="shared" si="9"/>
        <v>0</v>
      </c>
      <c r="D621" s="13"/>
      <c r="E621" s="63"/>
      <c r="F621" s="13"/>
      <c r="G621" s="13"/>
      <c r="H621" s="13" t="s">
        <v>68</v>
      </c>
      <c r="I621" s="101" t="s">
        <v>44</v>
      </c>
      <c r="J621" s="101"/>
      <c r="K621" s="6">
        <f>[9]!'id493?req?SBNY_STK_SMART_USD_~/'</f>
        <v>0</v>
      </c>
      <c r="L621" s="6" t="str">
        <f>[9]!id493?orderTypes</f>
        <v>ACTIVETIM,ADJUST,ALERT,ALGO,ALLOC,AON,AVGCOST,BASKET,COND,CONDORDER,DARKONLY,DARKPOLL,DAY,DEACT,DEACTDIS,DEACTEOD,DIS,GAT,GTC,GTD,GTT,HID,IBKRATS,ICE,IMB,IOC,LIT,LMT,LOC,MIT,MKT,MOC,MTL,NGCOMB,NODARK,NONALGO,OCA,OPG,OPGREROUT,PEGBENCH,POSTONLY,PREOPGRTH,R</v>
      </c>
      <c r="M621" s="6" t="str">
        <f>[9]!id493?validExchanges</f>
        <v>SMART,CBOE,ISE,CHX,ARCA,ISLAND,DRCTEDGE,NSX,BEX,BATS,EDGEA,CSFBALGO,JEFFALGO,BYX,IEX,TPLUS2,PSX</v>
      </c>
      <c r="N621" s="6">
        <f>[9]!id493?conid</f>
        <v>28488706</v>
      </c>
      <c r="O621" s="6">
        <f>[9]!id493?minTick</f>
        <v>0.01</v>
      </c>
      <c r="P621" s="6">
        <f>[9]!id493?multiplier</f>
        <v>0</v>
      </c>
      <c r="Q621" s="6" t="str">
        <f>[9]!id493?marketName</f>
        <v>NMS</v>
      </c>
      <c r="R621" s="6" t="str">
        <f>[9]!id493?tradingClass</f>
        <v>NMS</v>
      </c>
    </row>
    <row r="622" spans="1:18" hidden="1" x14ac:dyDescent="0.2">
      <c r="A622" t="s">
        <v>651</v>
      </c>
      <c r="B622" s="13" t="s">
        <v>12</v>
      </c>
      <c r="C622" s="13" t="b">
        <f t="shared" si="9"/>
        <v>1</v>
      </c>
      <c r="D622" s="13"/>
      <c r="E622" s="63"/>
      <c r="F622" s="13"/>
      <c r="G622" s="13"/>
      <c r="H622" s="13" t="s">
        <v>68</v>
      </c>
      <c r="I622" s="101" t="s">
        <v>44</v>
      </c>
      <c r="J622" s="101"/>
      <c r="K622" s="6">
        <f>[9]!'id494?req?N_STK_SMART_USD_~/'</f>
        <v>0</v>
      </c>
      <c r="L622" s="6" t="str">
        <f>[9]!id494?orderTypes</f>
        <v>ACTIVETIM,ADJUST,ALERT,ALGO,ALLOC,AON,AVGCOST,BASKET,COND,CONDORDER,DARKONLY,DARKPOLL,DAY,DEACT,DEACTDIS,DEACTEOD,DIS,GAT,GTC,GTD,GTT,HID,IBKRATS,ICE,IMB,IOC,LIT,LMT,LOC,MIT,MKT,MOC,MTL,NGCOMB,NODARK,NONALGO,OCA,OPG,OPGREROUT,PEGBENCH,POSTONLY,PREOPGRTH,R</v>
      </c>
      <c r="M622" s="6" t="str">
        <f>[9]!id494?validExchanges</f>
        <v>SMART,NYSE,CBOE,ISE,CHX,ARCA,ISLAND,DRCTEDGE,NSX,BEX,BATS,EDGEA,CSFBALGO,JEFFALGO,BYX,IEX,TPLUS2,PSX</v>
      </c>
      <c r="N622" s="6">
        <f>[9]!id494?conid</f>
        <v>47619244</v>
      </c>
      <c r="O622" s="6">
        <f>[9]!id494?minTick</f>
        <v>0.01</v>
      </c>
      <c r="P622" s="6">
        <f>[9]!id494?multiplier</f>
        <v>0</v>
      </c>
      <c r="Q622" s="6" t="str">
        <f>[9]!id494?marketName</f>
        <v>N</v>
      </c>
      <c r="R622" s="6" t="str">
        <f>[9]!id494?tradingClass</f>
        <v>N</v>
      </c>
    </row>
    <row r="623" spans="1:18" hidden="1" x14ac:dyDescent="0.2">
      <c r="A623" t="s">
        <v>652</v>
      </c>
      <c r="B623" s="13" t="s">
        <v>12</v>
      </c>
      <c r="C623" s="13" t="b">
        <f t="shared" si="9"/>
        <v>1</v>
      </c>
      <c r="D623" s="13"/>
      <c r="E623" s="63"/>
      <c r="F623" s="13"/>
      <c r="G623" s="13"/>
      <c r="H623" s="13" t="s">
        <v>68</v>
      </c>
      <c r="I623" s="101" t="s">
        <v>44</v>
      </c>
      <c r="J623" s="101"/>
      <c r="K623" s="6">
        <f>[9]!'id495?req?WAB_STK_SMART_USD_~/'</f>
        <v>0</v>
      </c>
      <c r="L623" s="6" t="str">
        <f>[9]!id495?orderTypes</f>
        <v>ACTIVETIM,ADJUST,ALERT,ALGO,ALLOC,AON,AVGCOST,BASKET,COND,CONDORDER,DARKONLY,DARKPOLL,DAY,DEACT,DEACTDIS,DEACTEOD,DIS,GAT,GTC,GTD,GTT,HID,IBKRATS,ICE,IMB,IOC,LIT,LMT,LOC,MIT,MKT,MOC,MTL,NGCOMB,NODARK,NONALGO,OCA,OPG,OPGREROUT,PEGBENCH,POSTONLY,PREOPGRTH,R</v>
      </c>
      <c r="M623" s="6" t="str">
        <f>[9]!id495?validExchanges</f>
        <v>SMART,NYSE,CBOE,ISE,CHX,ARCA,ISLAND,DRCTEDGE,NSX,BEX,BATS,EDGEA,CSFBALGO,JEFFALGO,BYX,IEX,TPLUS2,PSX</v>
      </c>
      <c r="N623" s="6">
        <f>[9]!id495?conid</f>
        <v>661633</v>
      </c>
      <c r="O623" s="6">
        <f>[9]!id495?minTick</f>
        <v>0.01</v>
      </c>
      <c r="P623" s="6">
        <f>[9]!id495?multiplier</f>
        <v>0</v>
      </c>
      <c r="Q623" s="6" t="str">
        <f>[9]!id495?marketName</f>
        <v>WAB</v>
      </c>
      <c r="R623" s="6" t="str">
        <f>[9]!id495?tradingClass</f>
        <v>WAB</v>
      </c>
    </row>
    <row r="624" spans="1:18" hidden="1" x14ac:dyDescent="0.2">
      <c r="A624" t="s">
        <v>653</v>
      </c>
      <c r="B624" s="13" t="s">
        <v>12</v>
      </c>
      <c r="C624" s="13" t="b">
        <f t="shared" si="9"/>
        <v>0</v>
      </c>
      <c r="D624" s="13"/>
      <c r="E624" s="63"/>
      <c r="F624" s="13"/>
      <c r="G624" s="13"/>
      <c r="H624" s="13" t="s">
        <v>68</v>
      </c>
      <c r="I624" s="101" t="s">
        <v>44</v>
      </c>
      <c r="J624" s="101"/>
      <c r="K624" s="6">
        <f>[9]!'id496?req?PDCE_STK_SMART_USD_~/'</f>
        <v>0</v>
      </c>
      <c r="L624" s="6" t="str">
        <f>[9]!id496?orderTypes</f>
        <v>ACTIVETIM,ADJUST,ALERT,ALGO,ALLOC,AON,AVGCOST,BASKET,COND,CONDORDER,DARKONLY,DARKPOLL,DAY,DEACT,DEACTDIS,DEACTEOD,DIS,GAT,GTC,GTD,GTT,HID,IBKRATS,ICE,IMB,IOC,LIT,LMT,LOC,MIT,MKT,MOC,MTL,NGCOMB,NODARK,NONALGO,OCA,OPG,OPGREROUT,PEGBENCH,POSTONLY,PREOPGRTH,R</v>
      </c>
      <c r="M624" s="6" t="str">
        <f>[9]!id496?validExchanges</f>
        <v>SMART,CBOE,ISE,CHX,ARCA,ISLAND,DRCTEDGE,NSX,BEX,BATS,EDGEA,CSFBALGO,JEFFALGO,BYX,IEX,TPLUS2,PSX</v>
      </c>
      <c r="N624" s="6">
        <f>[9]!id496?conid</f>
        <v>108773515</v>
      </c>
      <c r="O624" s="6">
        <f>[9]!id496?minTick</f>
        <v>0.01</v>
      </c>
      <c r="P624" s="6">
        <f>[9]!id496?multiplier</f>
        <v>0</v>
      </c>
      <c r="Q624" s="6" t="str">
        <f>[9]!id496?marketName</f>
        <v>NMS</v>
      </c>
      <c r="R624" s="6" t="str">
        <f>[9]!id496?tradingClass</f>
        <v>NMS</v>
      </c>
    </row>
    <row r="625" spans="1:18" hidden="1" x14ac:dyDescent="0.2">
      <c r="A625" t="s">
        <v>654</v>
      </c>
      <c r="B625" s="13" t="s">
        <v>12</v>
      </c>
      <c r="C625" s="13" t="b">
        <f t="shared" si="9"/>
        <v>1</v>
      </c>
      <c r="D625" s="13"/>
      <c r="E625" s="63"/>
      <c r="F625" s="13"/>
      <c r="G625" s="13"/>
      <c r="H625" s="13" t="s">
        <v>68</v>
      </c>
      <c r="I625" s="101" t="s">
        <v>44</v>
      </c>
      <c r="J625" s="101"/>
      <c r="K625" s="6">
        <f>[9]!'id497?req?VAL_STK_SMART_USD_~/'</f>
        <v>0</v>
      </c>
      <c r="L625" s="6" t="str">
        <f>[9]!id497?orderTypes</f>
        <v>ACTIVETIM,ADJUST,ALERT,ALGO,ALLOC,AON,AVGCOST,BASKET,COND,CONDORDER,DARKONLY,DARKPOLL,DAY,DEACT,DEACTDIS,DEACTEOD,DIS,GAT,GTC,GTD,GTT,HID,IBKRATS,ICE,IMB,IOC,LIT,LMT,LOC,MIT,MKT,MOC,MTL,NGCOMB,NODARK,NONALGO,OCA,OPG,OPGREROUT,PEGBENCH,POSTONLY,PREOPGRTH,R</v>
      </c>
      <c r="M625" s="6" t="str">
        <f>[9]!id497?validExchanges</f>
        <v>SMART,NYSE,CBOE,ISE,CHX,ARCA,ISLAND,VWAP,DRCTEDGE,NSX,BEX,BATS,EDGEA,CSFBALGO,JEFFALGO,BYX,IEX,TPLUS2,PSX</v>
      </c>
      <c r="N625" s="6">
        <f>[9]!id497?conid</f>
        <v>13394</v>
      </c>
      <c r="O625" s="6">
        <f>[9]!id497?minTick</f>
        <v>0.01</v>
      </c>
      <c r="P625" s="6">
        <f>[9]!id497?multiplier</f>
        <v>0</v>
      </c>
      <c r="Q625" s="6" t="str">
        <f>[9]!id497?marketName</f>
        <v>VAL</v>
      </c>
      <c r="R625" s="6" t="str">
        <f>[9]!id497?tradingClass</f>
        <v>VAL</v>
      </c>
    </row>
    <row r="626" spans="1:18" hidden="1" x14ac:dyDescent="0.2">
      <c r="A626" t="s">
        <v>655</v>
      </c>
      <c r="B626" s="13" t="s">
        <v>12</v>
      </c>
      <c r="C626" s="13" t="b">
        <f t="shared" si="9"/>
        <v>0</v>
      </c>
      <c r="D626" s="13"/>
      <c r="E626" s="63"/>
      <c r="F626" s="13"/>
      <c r="G626" s="13"/>
      <c r="H626" s="13" t="s">
        <v>68</v>
      </c>
      <c r="I626" s="101" t="s">
        <v>44</v>
      </c>
      <c r="J626" s="101"/>
      <c r="K626" s="6">
        <f>[9]!'id498?req?SIVB_STK_SMART_USD_~/'</f>
        <v>0</v>
      </c>
      <c r="L626" s="6" t="str">
        <f>[9]!id498?orderTypes</f>
        <v>ACTIVETIM,ADJUST,ALERT,ALGO,ALLOC,AON,AVGCOST,BASKET,COND,CONDORDER,DARKONLY,DARKPOLL,DAY,DEACT,DEACTDIS,DEACTEOD,DIS,GAT,GTC,GTD,GTT,HID,IBKRATS,ICE,IMB,IOC,LIT,LMT,LOC,MIT,MKT,MOC,MTL,NGCOMB,NODARK,NONALGO,OCA,OPG,OPGREROUT,PEGBENCH,POSTONLY,PREOPGRTH,R</v>
      </c>
      <c r="M626" s="6" t="str">
        <f>[9]!id498?validExchanges</f>
        <v>SMART,CBOE,ISE,CHX,ARCA,ISLAND,VWAP,DRCTEDGE,NSX,BEX,BATS,EDGEA,CSFBALGO,JEFFALGO,BYX,IEX,TPLUS2,PSX</v>
      </c>
      <c r="N626" s="6">
        <f>[9]!id498?conid</f>
        <v>274385</v>
      </c>
      <c r="O626" s="6">
        <f>[9]!id498?minTick</f>
        <v>0.01</v>
      </c>
      <c r="P626" s="6">
        <f>[9]!id498?multiplier</f>
        <v>0</v>
      </c>
      <c r="Q626" s="6" t="str">
        <f>[9]!id498?marketName</f>
        <v>NMS</v>
      </c>
      <c r="R626" s="6" t="str">
        <f>[9]!id498?tradingClass</f>
        <v>NMS</v>
      </c>
    </row>
    <row r="627" spans="1:18" hidden="1" x14ac:dyDescent="0.2">
      <c r="A627" t="s">
        <v>656</v>
      </c>
      <c r="B627" s="13" t="s">
        <v>12</v>
      </c>
      <c r="C627" s="13" t="b">
        <f t="shared" si="9"/>
        <v>1</v>
      </c>
      <c r="D627" s="13"/>
      <c r="E627" s="63"/>
      <c r="F627" s="13"/>
      <c r="G627" s="13"/>
      <c r="H627" s="13" t="s">
        <v>68</v>
      </c>
      <c r="I627" s="101" t="s">
        <v>44</v>
      </c>
      <c r="J627" s="101"/>
      <c r="K627" s="6">
        <f>[9]!'id499?req?CLB_STK_SMART_USD_~/'</f>
        <v>0</v>
      </c>
      <c r="L627" s="6" t="str">
        <f>[9]!id499?orderTypes</f>
        <v>ACTIVETIM,ADJUST,ALERT,ALGO,ALLOC,AON,AVGCOST,BASKET,COND,CONDORDER,DARKONLY,DARKPOLL,DAY,DEACT,DEACTDIS,DEACTEOD,DIS,GAT,GTC,GTD,GTT,HID,IBKRATS,ICE,IMB,IOC,LIT,LMT,LOC,MIT,MKT,MOC,MTL,NGCOMB,NODARK,NONALGO,OCA,OPG,OPGREROUT,PEGBENCH,POSTONLY,PREOPGRTH,R</v>
      </c>
      <c r="M627" s="6" t="str">
        <f>[9]!id499?validExchanges</f>
        <v>SMART,NYSE,CBOE,ISE,CHX,ARCA,ISLAND,DRCTEDGE,NSX,BEX,BATS,EDGEA,CSFBALGO,JEFFALGO,BYX,IEX,TPLUS2,PSX</v>
      </c>
      <c r="N627" s="6">
        <f>[9]!id499?conid</f>
        <v>5754</v>
      </c>
      <c r="O627" s="6">
        <f>[9]!id499?minTick</f>
        <v>0.01</v>
      </c>
      <c r="P627" s="6">
        <f>[9]!id499?multiplier</f>
        <v>0</v>
      </c>
      <c r="Q627" s="6" t="str">
        <f>[9]!id499?marketName</f>
        <v>CLB</v>
      </c>
      <c r="R627" s="6" t="str">
        <f>[9]!id499?tradingClass</f>
        <v>CLB</v>
      </c>
    </row>
    <row r="628" spans="1:18" hidden="1" x14ac:dyDescent="0.2">
      <c r="A628" t="s">
        <v>657</v>
      </c>
      <c r="B628" s="13" t="s">
        <v>12</v>
      </c>
      <c r="C628" s="13" t="b">
        <f t="shared" si="9"/>
        <v>1</v>
      </c>
      <c r="D628" s="13"/>
      <c r="E628" s="63"/>
      <c r="F628" s="13"/>
      <c r="G628" s="13"/>
      <c r="H628" s="13" t="s">
        <v>68</v>
      </c>
      <c r="I628" s="101" t="s">
        <v>44</v>
      </c>
      <c r="J628" s="101"/>
      <c r="K628" s="6">
        <f>[9]!'id500?req?CRI_STK_SMART_USD_~/'</f>
        <v>0</v>
      </c>
      <c r="L628" s="6" t="str">
        <f>[9]!id500?orderTypes</f>
        <v>ACTIVETIM,ADJUST,ALERT,ALGO,ALLOC,AON,AVGCOST,BASKET,COND,CONDORDER,DARKONLY,DARKPOLL,DAY,DEACT,DEACTDIS,DEACTEOD,DIS,GAT,GTC,GTD,GTT,HID,IBKRATS,ICE,IMB,IOC,LIT,LMT,LOC,MIT,MKT,MOC,MTL,NGCOMB,NODARK,NONALGO,OCA,OPG,OPGREROUT,PEGBENCH,POSTONLY,PREOPGRTH,R</v>
      </c>
      <c r="M628" s="6" t="str">
        <f>[9]!id500?validExchanges</f>
        <v>SMART,NYSE,CBOE,ISE,CHX,ARCA,ISLAND,DRCTEDGE,NSX,BEX,BATS,EDGEA,CSFBALGO,JEFFALGO,BYX,IEX,TPLUS2,PSX</v>
      </c>
      <c r="N628" s="6">
        <f>[9]!id500?conid</f>
        <v>26593783</v>
      </c>
      <c r="O628" s="6">
        <f>[9]!id500?minTick</f>
        <v>0.01</v>
      </c>
      <c r="P628" s="6">
        <f>[9]!id500?multiplier</f>
        <v>0</v>
      </c>
      <c r="Q628" s="6" t="str">
        <f>[9]!id500?marketName</f>
        <v>CRI</v>
      </c>
      <c r="R628" s="6" t="str">
        <f>[9]!id500?tradingClass</f>
        <v>CRI</v>
      </c>
    </row>
    <row r="629" spans="1:18" hidden="1" x14ac:dyDescent="0.2">
      <c r="A629" t="s">
        <v>658</v>
      </c>
      <c r="B629" s="13" t="s">
        <v>12</v>
      </c>
      <c r="C629" s="13" t="b">
        <f t="shared" si="9"/>
        <v>1</v>
      </c>
      <c r="D629" s="13"/>
      <c r="E629" s="63"/>
      <c r="F629" s="13"/>
      <c r="G629" s="13"/>
      <c r="H629" s="13" t="s">
        <v>68</v>
      </c>
      <c r="I629" s="101" t="s">
        <v>44</v>
      </c>
      <c r="J629" s="101"/>
      <c r="K629" s="6">
        <f>[9]!'id501?req?THS_STK_SMART_USD_~/'</f>
        <v>0</v>
      </c>
      <c r="L629" s="6" t="str">
        <f>[9]!id501?orderTypes</f>
        <v>ACTIVETIM,ADJUST,ALERT,ALGO,ALLOC,AON,AVGCOST,BASKET,COND,CONDORDER,DARKONLY,DARKPOLL,DAY,DEACT,DEACTDIS,DEACTEOD,DIS,GAT,GTC,GTD,GTT,HID,IBKRATS,ICE,IMB,IOC,LIT,LMT,LOC,MIT,MKT,MOC,MTL,NGCOMB,NODARK,NONALGO,OCA,OPG,OPGREROUT,PEGBENCH,POSTONLY,PREOPGRTH,R</v>
      </c>
      <c r="M629" s="6" t="str">
        <f>[9]!id501?validExchanges</f>
        <v>SMART,NYSE,CBOE,ISE,CHX,ARCA,ISLAND,DRCTEDGE,NSX,BEX,BATS,EDGEA,CSFBALGO,JEFFALGO,BYX,IEX,TPLUS2,PSX</v>
      </c>
      <c r="N629" s="6">
        <f>[9]!id501?conid</f>
        <v>34563763</v>
      </c>
      <c r="O629" s="6">
        <f>[9]!id501?minTick</f>
        <v>0.01</v>
      </c>
      <c r="P629" s="6">
        <f>[9]!id501?multiplier</f>
        <v>0</v>
      </c>
      <c r="Q629" s="6" t="str">
        <f>[9]!id501?marketName</f>
        <v>THS</v>
      </c>
      <c r="R629" s="6" t="str">
        <f>[9]!id501?tradingClass</f>
        <v>THS</v>
      </c>
    </row>
    <row r="630" spans="1:18" hidden="1" x14ac:dyDescent="0.2">
      <c r="A630" t="s">
        <v>659</v>
      </c>
      <c r="B630" s="13" t="s">
        <v>12</v>
      </c>
      <c r="C630" s="13" t="b">
        <f t="shared" si="9"/>
        <v>1</v>
      </c>
      <c r="D630" s="13"/>
      <c r="E630" s="63"/>
      <c r="F630" s="13"/>
      <c r="G630" s="13"/>
      <c r="H630" s="13" t="s">
        <v>68</v>
      </c>
      <c r="I630" s="101" t="s">
        <v>44</v>
      </c>
      <c r="J630" s="101"/>
      <c r="K630" s="6">
        <f>[9]!'id502?req?RY_STK_SMART_USD_~/'</f>
        <v>0</v>
      </c>
      <c r="L630" s="6" t="str">
        <f>[9]!id502?orderTypes</f>
        <v>ACTIVETIM,ADJUST,ALERT,ALGO,ALLOC,AON,AVGCOST,BASKET,COND,CONDORDER,DARKONLY,DARKPOLL,DAY,DEACT,DEACTDIS,DEACTEOD,DIS,GAT,GTC,GTD,GTT,HID,IBKRATS,ICE,IMB,IOC,LIT,LMT,LOC,MIT,MKT,MOC,MTL,NGCOMB,NODARK,NONALGO,OCA,OPG,OPGREROUT,PEGBENCH,POSTONLY,PREOPGRTH,R</v>
      </c>
      <c r="M630" s="6" t="str">
        <f>[9]!id502?validExchanges</f>
        <v>SMART,NYSE,CBOE,ISE,CHX,ARCA,ISLAND,VWAP,DRCTEDGE,NSX,BEX,BATS,EDGEA,CSFBALGO,JEFFALGO,BYX,IEX,TPLUS2,PSX</v>
      </c>
      <c r="N630" s="6">
        <f>[9]!id502?conid</f>
        <v>2008980</v>
      </c>
      <c r="O630" s="6">
        <f>[9]!id502?minTick</f>
        <v>0.01</v>
      </c>
      <c r="P630" s="6">
        <f>[9]!id502?multiplier</f>
        <v>0</v>
      </c>
      <c r="Q630" s="6" t="str">
        <f>[9]!id502?marketName</f>
        <v>RY</v>
      </c>
      <c r="R630" s="6" t="str">
        <f>[9]!id502?tradingClass</f>
        <v>RY</v>
      </c>
    </row>
    <row r="631" spans="1:18" hidden="1" x14ac:dyDescent="0.2">
      <c r="A631" t="s">
        <v>660</v>
      </c>
      <c r="B631" s="13" t="s">
        <v>12</v>
      </c>
      <c r="C631" s="13" t="b">
        <f t="shared" si="9"/>
        <v>1</v>
      </c>
      <c r="D631" s="13"/>
      <c r="E631" s="63"/>
      <c r="F631" s="13"/>
      <c r="G631" s="13"/>
      <c r="H631" s="13" t="s">
        <v>68</v>
      </c>
      <c r="I631" s="101" t="s">
        <v>44</v>
      </c>
      <c r="J631" s="101"/>
      <c r="K631" s="6">
        <f>[9]!'id503?req?MMP_STK_SMART_USD_~/'</f>
        <v>0</v>
      </c>
      <c r="L631" s="6" t="str">
        <f>[9]!id503?orderTypes</f>
        <v>ACTIVETIM,ADJUST,ALERT,ALGO,ALLOC,AON,AVGCOST,BASKET,COND,CONDORDER,DARKONLY,DARKPOLL,DAY,DEACT,DEACTDIS,DEACTEOD,DIS,GAT,GTC,GTD,GTT,HID,IBKRATS,ICE,IMB,IOC,LIT,LMT,LOC,MIT,MKT,MOC,MTL,NGCOMB,NODARK,NONALGO,OCA,OPG,OPGREROUT,PEGBENCH,POSTONLY,PREOPGRTH,R</v>
      </c>
      <c r="M631" s="6" t="str">
        <f>[9]!id503?validExchanges</f>
        <v>SMART,NYSE,CBOE,ISE,CHX,ARCA,ISLAND,DRCTEDGE,NSX,BEX,BATS,EDGEA,CSFBALGO,JEFFALGO,BYX,IEX,TPLUS2,PSX</v>
      </c>
      <c r="N631" s="6">
        <f>[9]!id503?conid</f>
        <v>21555838</v>
      </c>
      <c r="O631" s="6">
        <f>[9]!id503?minTick</f>
        <v>0.01</v>
      </c>
      <c r="P631" s="6">
        <f>[9]!id503?multiplier</f>
        <v>0</v>
      </c>
      <c r="Q631" s="6" t="str">
        <f>[9]!id503?marketName</f>
        <v>MMP</v>
      </c>
      <c r="R631" s="6" t="str">
        <f>[9]!id503?tradingClass</f>
        <v>MMP</v>
      </c>
    </row>
    <row r="632" spans="1:18" hidden="1" x14ac:dyDescent="0.2">
      <c r="A632" t="s">
        <v>661</v>
      </c>
      <c r="B632" s="13" t="s">
        <v>12</v>
      </c>
      <c r="C632" s="13" t="b">
        <f t="shared" si="9"/>
        <v>1</v>
      </c>
      <c r="D632" s="13"/>
      <c r="E632" s="63"/>
      <c r="F632" s="13"/>
      <c r="G632" s="13"/>
      <c r="H632" s="13" t="s">
        <v>68</v>
      </c>
      <c r="I632" s="101" t="s">
        <v>44</v>
      </c>
      <c r="J632" s="101"/>
      <c r="K632" s="6">
        <f>[9]!'id504?req?PKG_STK_SMART_USD_~/'</f>
        <v>0</v>
      </c>
      <c r="L632" s="6" t="str">
        <f>[9]!id504?orderTypes</f>
        <v>ACTIVETIM,ADJUST,ALERT,ALGO,ALLOC,AON,AVGCOST,BASKET,COND,CONDORDER,DARKONLY,DARKPOLL,DAY,DEACT,DEACTDIS,DEACTEOD,DIS,GAT,GTC,GTD,GTT,HID,IBKRATS,ICE,IMB,IOC,LIT,LMT,LOC,MIT,MKT,MOC,MTL,NGCOMB,NODARK,NONALGO,OCA,OPG,OPGREROUT,PEGBENCH,POSTONLY,PREOPGRTH,R</v>
      </c>
      <c r="M632" s="6" t="str">
        <f>[9]!id504?validExchanges</f>
        <v>SMART,NYSE,CBOE,ISE,CHX,ARCA,ISLAND,DRCTEDGE,NSX,BEX,BATS,EDGEA,CSFBALGO,JEFFALGO,BYX,IEX,TPLUS2,PSX</v>
      </c>
      <c r="N632" s="6">
        <f>[9]!id504?conid</f>
        <v>7740411</v>
      </c>
      <c r="O632" s="6">
        <f>[9]!id504?minTick</f>
        <v>0.01</v>
      </c>
      <c r="P632" s="6">
        <f>[9]!id504?multiplier</f>
        <v>0</v>
      </c>
      <c r="Q632" s="6" t="str">
        <f>[9]!id504?marketName</f>
        <v>PKG</v>
      </c>
      <c r="R632" s="6" t="str">
        <f>[9]!id504?tradingClass</f>
        <v>PKG</v>
      </c>
    </row>
    <row r="633" spans="1:18" hidden="1" x14ac:dyDescent="0.2">
      <c r="A633" t="s">
        <v>662</v>
      </c>
      <c r="B633" s="13" t="s">
        <v>12</v>
      </c>
      <c r="C633" s="13" t="b">
        <f t="shared" si="9"/>
        <v>1</v>
      </c>
      <c r="D633" s="13"/>
      <c r="E633" s="63"/>
      <c r="F633" s="13"/>
      <c r="G633" s="13"/>
      <c r="H633" s="13" t="s">
        <v>68</v>
      </c>
      <c r="I633" s="101" t="s">
        <v>44</v>
      </c>
      <c r="J633" s="101"/>
      <c r="K633" s="6">
        <f>[9]!'id505?req?CNI_STK_SMART_USD_~/'</f>
        <v>0</v>
      </c>
      <c r="L633" s="6" t="str">
        <f>[9]!id505?orderTypes</f>
        <v>ACTIVETIM,ADJUST,ALERT,ALGO,ALLOC,AON,AVGCOST,BASKET,COND,CONDORDER,DARKONLY,DARKPOLL,DAY,DEACT,DEACTDIS,DEACTEOD,DIS,GAT,GTC,GTD,GTT,HID,IBKRATS,ICE,IMB,IOC,LIT,LMT,LOC,MIT,MKT,MOC,MTL,NGCOMB,NODARK,NONALGO,OCA,OPG,OPGREROUT,PEGBENCH,POSTONLY,PREOPGRTH,R</v>
      </c>
      <c r="M633" s="6" t="str">
        <f>[9]!id505?validExchanges</f>
        <v>SMART,NYSE,CBOE,ISE,CHX,ARCA,ISLAND,VWAP,DRCTEDGE,NSX,BEX,BATS,EDGEA,CSFBALGO,JEFFALGO,BYX,IEX,TPLUS2,PSX</v>
      </c>
      <c r="N633" s="6">
        <f>[9]!id505?conid</f>
        <v>4457163</v>
      </c>
      <c r="O633" s="6">
        <f>[9]!id505?minTick</f>
        <v>0.01</v>
      </c>
      <c r="P633" s="6">
        <f>[9]!id505?multiplier</f>
        <v>0</v>
      </c>
      <c r="Q633" s="6" t="str">
        <f>[9]!id505?marketName</f>
        <v>CNI</v>
      </c>
      <c r="R633" s="6" t="str">
        <f>[9]!id505?tradingClass</f>
        <v>CNI</v>
      </c>
    </row>
    <row r="634" spans="1:18" hidden="1" x14ac:dyDescent="0.2">
      <c r="A634" t="s">
        <v>663</v>
      </c>
      <c r="B634" s="13" t="s">
        <v>12</v>
      </c>
      <c r="C634" s="13" t="b">
        <f t="shared" si="9"/>
        <v>0</v>
      </c>
      <c r="D634" s="13"/>
      <c r="E634" s="63"/>
      <c r="F634" s="13"/>
      <c r="G634" s="13"/>
      <c r="H634" s="13" t="s">
        <v>68</v>
      </c>
      <c r="I634" s="101" t="s">
        <v>44</v>
      </c>
      <c r="J634" s="101"/>
      <c r="K634" s="6">
        <f>[9]!'id506?req?VCIT_STK_SMART_USD_~/'</f>
        <v>0</v>
      </c>
      <c r="L634" s="6" t="str">
        <f>[9]!id506?orderTypes</f>
        <v>ACTIVETIM,ADJUST,ALERT,ALGO,ALLOC,AON,AVGCOST,BASKET,COND,CONDORDER,DARKONLY,DARKPOLL,DAY,DEACT,DEACTDIS,DEACTEOD,DIS,GAT,GTC,GTD,GTT,HID,IBKRATS,ICE,IMB,IOC,LIT,LMT,LOC,MIT,MKT,MOC,MTL,NGCOMB,NODARK,NONALGO,OCA,OPG,OPGREROUT,PEGBENCH,POSTONLY,PREOPGRTH,R</v>
      </c>
      <c r="M634" s="6" t="str">
        <f>[9]!id506?validExchanges</f>
        <v>SMART,CBOE,ISE,CHX,ARCA,ISLAND,DRCTEDGE,NSX,BEX,BATS,EDGEA,CSFBALGO,JEFFALGO,BYX,IEX,TPLUS2,PSX</v>
      </c>
      <c r="N634" s="6">
        <f>[9]!id506?conid</f>
        <v>70363051</v>
      </c>
      <c r="O634" s="6">
        <f>[9]!id506?minTick</f>
        <v>0.01</v>
      </c>
      <c r="P634" s="6">
        <f>[9]!id506?multiplier</f>
        <v>0</v>
      </c>
      <c r="Q634" s="6" t="str">
        <f>[9]!id506?marketName</f>
        <v>NMS</v>
      </c>
      <c r="R634" s="6" t="str">
        <f>[9]!id506?tradingClass</f>
        <v>NMS</v>
      </c>
    </row>
    <row r="635" spans="1:18" hidden="1" x14ac:dyDescent="0.2">
      <c r="A635" t="s">
        <v>664</v>
      </c>
      <c r="B635" s="13" t="s">
        <v>12</v>
      </c>
      <c r="C635" s="13" t="b">
        <f t="shared" si="9"/>
        <v>1</v>
      </c>
      <c r="D635" s="13"/>
      <c r="E635" s="63"/>
      <c r="F635" s="13"/>
      <c r="G635" s="13"/>
      <c r="H635" s="13" t="s">
        <v>68</v>
      </c>
      <c r="I635" s="101" t="s">
        <v>44</v>
      </c>
      <c r="J635" s="101"/>
      <c r="K635" s="6">
        <f>[9]!'id507?req?POST_STK_SMART_USD_~/'</f>
        <v>0</v>
      </c>
      <c r="L635" s="6" t="str">
        <f>[9]!id507?orderTypes</f>
        <v>ACTIVETIM,ADJUST,ALERT,ALGO,ALLOC,AON,AVGCOST,BASKET,COND,CONDORDER,DARKONLY,DARKPOLL,DAY,DEACT,DEACTDIS,DEACTEOD,DIS,GAT,GTC,GTD,GTT,HID,IBKRATS,ICE,IMB,IOC,LIT,LMT,LOC,MIT,MKT,MOC,MTL,NGCOMB,NODARK,NONALGO,OCA,OPG,OPGREROUT,PEGBENCH,POSTONLY,PREOPGRTH,R</v>
      </c>
      <c r="M635" s="6" t="str">
        <f>[9]!id507?validExchanges</f>
        <v>SMART,NYSE,CBOE,ISE,CHX,ARCA,ISLAND,DRCTEDGE,NSX,BEX,BATS,EDGEA,CSFBALGO,JEFFALGO,BYX,IEX,TPLUS2,PSX</v>
      </c>
      <c r="N635" s="6">
        <f>[9]!id507?conid</f>
        <v>100547520</v>
      </c>
      <c r="O635" s="6">
        <f>[9]!id507?minTick</f>
        <v>0.01</v>
      </c>
      <c r="P635" s="6">
        <f>[9]!id507?multiplier</f>
        <v>0</v>
      </c>
      <c r="Q635" s="6" t="str">
        <f>[9]!id507?marketName</f>
        <v>POST</v>
      </c>
      <c r="R635" s="6" t="str">
        <f>[9]!id507?tradingClass</f>
        <v>POST</v>
      </c>
    </row>
    <row r="636" spans="1:18" hidden="1" x14ac:dyDescent="0.2">
      <c r="A636" t="s">
        <v>665</v>
      </c>
      <c r="B636" s="13" t="s">
        <v>12</v>
      </c>
      <c r="C636" s="13" t="b">
        <f t="shared" si="9"/>
        <v>1</v>
      </c>
      <c r="D636" s="13"/>
      <c r="E636" s="63"/>
      <c r="F636" s="13"/>
      <c r="G636" s="13"/>
      <c r="H636" s="13" t="s">
        <v>68</v>
      </c>
      <c r="I636" s="101" t="s">
        <v>44</v>
      </c>
      <c r="J636" s="101"/>
      <c r="K636" s="6">
        <f>[9]!'id508?req?WUBA_STK_SMART_USD_~/'</f>
        <v>0</v>
      </c>
      <c r="L636" s="6" t="str">
        <f>[9]!id508?orderTypes</f>
        <v>ACTIVETIM,ADJUST,ALERT,ALGO,ALLOC,AON,AVGCOST,BASKET,COND,CONDORDER,DARKONLY,DARKPOLL,DAY,DEACT,DEACTDIS,DEACTEOD,DIS,GAT,GTC,GTD,GTT,HID,IBKRATS,ICE,IMB,IOC,LIT,LMT,LOC,MIT,MKT,MOC,MTL,NGCOMB,NODARK,NONALGO,OCA,OPG,OPGREROUT,PEGBENCH,POSTONLY,PREOPGRTH,R</v>
      </c>
      <c r="M636" s="6" t="str">
        <f>[9]!id508?validExchanges</f>
        <v>SMART,NYSE,CBOE,ISE,CHX,ARCA,ISLAND,DRCTEDGE,NSX,BEX,BATS,EDGEA,CSFBALGO,JEFFALGO,BYX,IEX,TPLUS2,PSX</v>
      </c>
      <c r="N636" s="6">
        <f>[9]!id508?conid</f>
        <v>137497719</v>
      </c>
      <c r="O636" s="6">
        <f>[9]!id508?minTick</f>
        <v>0.01</v>
      </c>
      <c r="P636" s="6">
        <f>[9]!id508?multiplier</f>
        <v>0</v>
      </c>
      <c r="Q636" s="6" t="str">
        <f>[9]!id508?marketName</f>
        <v>WUBA</v>
      </c>
      <c r="R636" s="6" t="str">
        <f>[9]!id508?tradingClass</f>
        <v>WUBA</v>
      </c>
    </row>
    <row r="637" spans="1:18" hidden="1" x14ac:dyDescent="0.2">
      <c r="A637" t="s">
        <v>666</v>
      </c>
      <c r="B637" s="13" t="s">
        <v>12</v>
      </c>
      <c r="C637" s="13" t="b">
        <f t="shared" si="9"/>
        <v>0</v>
      </c>
      <c r="D637" s="13"/>
      <c r="E637" s="63"/>
      <c r="F637" s="13"/>
      <c r="G637" s="13"/>
      <c r="H637" s="13" t="s">
        <v>68</v>
      </c>
      <c r="I637" s="101" t="s">
        <v>44</v>
      </c>
      <c r="J637" s="101"/>
      <c r="K637" s="6">
        <f>[9]!'id509?req?JACK_STK_SMART_USD_~/'</f>
        <v>0</v>
      </c>
      <c r="L637" s="6" t="str">
        <f>[9]!id509?orderTypes</f>
        <v>ACTIVETIM,ADJUST,ALERT,ALGO,ALLOC,AON,AVGCOST,BASKET,COND,CONDORDER,DARKONLY,DARKPOLL,DAY,DEACT,DEACTDIS,DEACTEOD,DIS,GAT,GTC,GTD,GTT,HID,IBKRATS,ICE,IMB,IOC,LIT,LMT,LOC,MIT,MKT,MOC,MTL,NGCOMB,NODARK,NONALGO,OCA,OPG,OPGREROUT,PEGBENCH,POSTONLY,PREOPGRTH,R</v>
      </c>
      <c r="M637" s="6" t="str">
        <f>[9]!id509?validExchanges</f>
        <v>SMART,CBOE,ISE,CHX,ARCA,ISLAND,DRCTEDGE,NSX,BEX,BATS,EDGEA,CSFBALGO,JEFFALGO,BYX,IEX,TPLUS2,PSX</v>
      </c>
      <c r="N637" s="6">
        <f>[9]!id509?conid</f>
        <v>6477825</v>
      </c>
      <c r="O637" s="6">
        <f>[9]!id509?minTick</f>
        <v>0.01</v>
      </c>
      <c r="P637" s="6">
        <f>[9]!id509?multiplier</f>
        <v>0</v>
      </c>
      <c r="Q637" s="6" t="str">
        <f>[9]!id509?marketName</f>
        <v>NMS</v>
      </c>
      <c r="R637" s="6" t="str">
        <f>[9]!id509?tradingClass</f>
        <v>NMS</v>
      </c>
    </row>
    <row r="638" spans="1:18" hidden="1" x14ac:dyDescent="0.2">
      <c r="A638" t="s">
        <v>667</v>
      </c>
      <c r="B638" s="13" t="s">
        <v>12</v>
      </c>
      <c r="C638" s="13" t="b">
        <f t="shared" si="9"/>
        <v>0</v>
      </c>
      <c r="D638" s="13"/>
      <c r="E638" s="63"/>
      <c r="F638" s="13"/>
      <c r="G638" s="13"/>
      <c r="H638" s="13" t="s">
        <v>68</v>
      </c>
      <c r="I638" s="101" t="s">
        <v>44</v>
      </c>
      <c r="J638" s="101"/>
      <c r="K638" s="6">
        <f>[9]!'id510?req?STMP_STK_SMART_USD_~/'</f>
        <v>0</v>
      </c>
      <c r="L638" s="6" t="str">
        <f>[9]!id510?orderTypes</f>
        <v>ACTIVETIM,ADJUST,ALERT,ALGO,ALLOC,AON,AVGCOST,BASKET,COND,CONDORDER,DARKONLY,DARKPOLL,DAY,DEACT,DEACTDIS,DEACTEOD,DIS,GAT,GTC,GTD,GTT,HID,IBKRATS,ICE,IMB,IOC,LIT,LMT,LOC,MIT,MKT,MOC,MTL,NGCOMB,NODARK,NONALGO,OCA,OPG,OPGREROUT,PEGBENCH,POSTONLY,PREOPGRTH,R</v>
      </c>
      <c r="M638" s="6" t="str">
        <f>[9]!id510?validExchanges</f>
        <v>SMART,CBOE,ISE,CHX,ARCA,ISLAND,DRCTEDGE,NSX,BEX,BATS,EDGEA,CSFBALGO,JEFFALGO,BYX,IEX,TPLUS2,PSX</v>
      </c>
      <c r="N638" s="6">
        <f>[9]!id510?conid</f>
        <v>28861260</v>
      </c>
      <c r="O638" s="6">
        <f>[9]!id510?minTick</f>
        <v>0.01</v>
      </c>
      <c r="P638" s="6">
        <f>[9]!id510?multiplier</f>
        <v>0</v>
      </c>
      <c r="Q638" s="6" t="str">
        <f>[9]!id510?marketName</f>
        <v>NMS</v>
      </c>
      <c r="R638" s="6" t="str">
        <f>[9]!id510?tradingClass</f>
        <v>NMS</v>
      </c>
    </row>
    <row r="639" spans="1:18" hidden="1" x14ac:dyDescent="0.2">
      <c r="A639" t="s">
        <v>668</v>
      </c>
      <c r="B639" s="13" t="s">
        <v>12</v>
      </c>
      <c r="C639" s="13" t="b">
        <f t="shared" si="9"/>
        <v>0</v>
      </c>
      <c r="D639" s="13"/>
      <c r="E639" s="63"/>
      <c r="F639" s="13"/>
      <c r="G639" s="13"/>
      <c r="H639" s="13" t="s">
        <v>68</v>
      </c>
      <c r="I639" s="101" t="s">
        <v>44</v>
      </c>
      <c r="J639" s="101"/>
      <c r="K639" s="6">
        <f>[9]!'id511?req?DXCM_STK_SMART_USD_~/'</f>
        <v>0</v>
      </c>
      <c r="L639" s="6" t="str">
        <f>[9]!id511?orderTypes</f>
        <v>ACTIVETIM,ADJUST,ALERT,ALGO,ALLOC,AON,AVGCOST,BASKET,COND,CONDORDER,DARKONLY,DARKPOLL,DAY,DEACT,DEACTDIS,DEACTEOD,DIS,GAT,GTC,GTD,GTT,HID,IBKRATS,ICE,IMB,IOC,LIT,LMT,LOC,MIT,MKT,MOC,MTL,NGCOMB,NODARK,NONALGO,OCA,OPG,OPGREROUT,PEGBENCH,POSTONLY,PREOPGRTH,R</v>
      </c>
      <c r="M639" s="6" t="str">
        <f>[9]!id511?validExchanges</f>
        <v>SMART,CBOE,ISE,CHX,ARCA,ISLAND,DRCTEDGE,NSX,BEX,BATS,EDGEA,CSFBALGO,JEFFALGO,BYX,IEX,TPLUS2,PSX</v>
      </c>
      <c r="N639" s="6">
        <f>[9]!id511?conid</f>
        <v>33837089</v>
      </c>
      <c r="O639" s="6">
        <f>[9]!id511?minTick</f>
        <v>0.01</v>
      </c>
      <c r="P639" s="6">
        <f>[9]!id511?multiplier</f>
        <v>0</v>
      </c>
      <c r="Q639" s="6" t="str">
        <f>[9]!id511?marketName</f>
        <v>NMS</v>
      </c>
      <c r="R639" s="6" t="str">
        <f>[9]!id511?tradingClass</f>
        <v>NMS</v>
      </c>
    </row>
    <row r="640" spans="1:18" hidden="1" x14ac:dyDescent="0.2">
      <c r="A640" t="s">
        <v>669</v>
      </c>
      <c r="B640" s="13" t="s">
        <v>12</v>
      </c>
      <c r="C640" s="13" t="b">
        <f t="shared" si="9"/>
        <v>0</v>
      </c>
      <c r="D640" s="13"/>
      <c r="E640" s="63"/>
      <c r="F640" s="13"/>
      <c r="G640" s="13"/>
      <c r="H640" s="13" t="s">
        <v>68</v>
      </c>
      <c r="I640" s="101" t="s">
        <v>44</v>
      </c>
      <c r="J640" s="101"/>
      <c r="K640" s="6">
        <f>[9]!'id512?req?ALNY_STK_SMART_USD_~/'</f>
        <v>0</v>
      </c>
      <c r="L640" s="6" t="str">
        <f>[9]!id512?orderTypes</f>
        <v>ACTIVETIM,ADJUST,ALERT,ALGO,ALLOC,AON,AVGCOST,BASKET,COND,CONDORDER,DARKONLY,DARKPOLL,DAY,DEACT,DEACTDIS,DEACTEOD,DIS,GAT,GTC,GTD,GTT,HID,IBKRATS,ICE,IMB,IOC,LIT,LMT,LOC,MIT,MKT,MOC,MTL,NGCOMB,NODARK,NONALGO,OCA,OPG,OPGREROUT,PEGBENCH,POSTONLY,PREOPGRTH,R</v>
      </c>
      <c r="M640" s="6" t="str">
        <f>[9]!id512?validExchanges</f>
        <v>SMART,CBOE,ISE,CHX,ARCA,ISLAND,DRCTEDGE,NSX,BEX,BATS,EDGEA,CSFBALGO,JEFFALGO,BYX,IEX,TPLUS2,PSX</v>
      </c>
      <c r="N640" s="6">
        <f>[9]!id512?conid</f>
        <v>29442968</v>
      </c>
      <c r="O640" s="6">
        <f>[9]!id512?minTick</f>
        <v>0.01</v>
      </c>
      <c r="P640" s="6">
        <f>[9]!id512?multiplier</f>
        <v>0</v>
      </c>
      <c r="Q640" s="6" t="str">
        <f>[9]!id512?marketName</f>
        <v>NMS</v>
      </c>
      <c r="R640" s="6" t="str">
        <f>[9]!id512?tradingClass</f>
        <v>NMS</v>
      </c>
    </row>
    <row r="641" spans="1:18" hidden="1" x14ac:dyDescent="0.2">
      <c r="A641" t="s">
        <v>670</v>
      </c>
      <c r="B641" s="13" t="s">
        <v>12</v>
      </c>
      <c r="C641" s="13" t="b">
        <f t="shared" si="9"/>
        <v>1</v>
      </c>
      <c r="D641" s="13"/>
      <c r="E641" s="63"/>
      <c r="F641" s="13"/>
      <c r="G641" s="13"/>
      <c r="H641" s="13" t="s">
        <v>68</v>
      </c>
      <c r="I641" s="101" t="s">
        <v>44</v>
      </c>
      <c r="J641" s="101"/>
      <c r="K641" s="6">
        <f>[9]!'id513?req?COO_STK_SMART_USD_~/'</f>
        <v>0</v>
      </c>
      <c r="L641" s="6" t="str">
        <f>[9]!id513?orderTypes</f>
        <v>ACTIVETIM,ADJUST,ALERT,ALGO,ALLOC,AON,AVGCOST,BASKET,COND,CONDORDER,DARKONLY,DARKPOLL,DAY,DEACT,DEACTDIS,DEACTEOD,DIS,GAT,GTC,GTD,GTT,HID,IBKRATS,ICE,IMB,IOC,LIT,LMT,LOC,MIT,MKT,MOC,MTL,NGCOMB,NODARK,NONALGO,OCA,OPG,OPGREROUT,PEGBENCH,POSTONLY,PREOPGRTH,R</v>
      </c>
      <c r="M641" s="6" t="str">
        <f>[9]!id513?validExchanges</f>
        <v>SMART,NYSE,CBOE,ISE,CHX,ARCA,ISLAND,DRCTEDGE,NSX,BEX,BATS,EDGEA,CSFBALGO,JEFFALGO,BYX,IEX,TPLUS2,PSX</v>
      </c>
      <c r="N641" s="6">
        <f>[9]!id513?conid</f>
        <v>5960</v>
      </c>
      <c r="O641" s="6">
        <f>[9]!id513?minTick</f>
        <v>0.01</v>
      </c>
      <c r="P641" s="6">
        <f>[9]!id513?multiplier</f>
        <v>0</v>
      </c>
      <c r="Q641" s="6" t="str">
        <f>[9]!id513?marketName</f>
        <v>COO</v>
      </c>
      <c r="R641" s="6" t="str">
        <f>[9]!id513?tradingClass</f>
        <v>COO</v>
      </c>
    </row>
    <row r="642" spans="1:18" hidden="1" x14ac:dyDescent="0.2">
      <c r="A642" t="s">
        <v>671</v>
      </c>
      <c r="B642" s="13" t="s">
        <v>12</v>
      </c>
      <c r="C642" s="13" t="b">
        <f t="shared" ref="C642:C705" si="10">A642=Q642</f>
        <v>1</v>
      </c>
      <c r="D642" s="13"/>
      <c r="E642" s="63"/>
      <c r="F642" s="13"/>
      <c r="G642" s="13"/>
      <c r="H642" s="13" t="s">
        <v>68</v>
      </c>
      <c r="I642" s="101" t="s">
        <v>44</v>
      </c>
      <c r="J642" s="101"/>
      <c r="K642" s="6">
        <f>[9]!'id514?req?FRC_STK_SMART_USD_~/'</f>
        <v>0</v>
      </c>
      <c r="L642" s="6" t="str">
        <f>[9]!id514?orderTypes</f>
        <v>ACTIVETIM,ADJUST,ALERT,ALGO,ALLOC,AON,AVGCOST,BASKET,COND,CONDORDER,DARKONLY,DARKPOLL,DAY,DEACT,DEACTDIS,DEACTEOD,DIS,GAT,GTC,GTD,GTT,HID,IBKRATS,ICE,IMB,IOC,LIT,LMT,LOC,MIT,MKT,MOC,MTL,NGCOMB,NODARK,NONALGO,OCA,OPG,OPGREROUT,PEGBENCH,POSTONLY,PREOPGRTH,R</v>
      </c>
      <c r="M642" s="6" t="str">
        <f>[9]!id514?validExchanges</f>
        <v>SMART,NYSE,ISE,CHX,ARCA,ISLAND,DRCTEDGE,NSX,BEX,BATS,EDGEA,CSFBALGO,JEFFALGO,BYX,IEX,TPLUS2,PSX</v>
      </c>
      <c r="N642" s="6">
        <f>[9]!id514?conid</f>
        <v>81731135</v>
      </c>
      <c r="O642" s="6">
        <f>[9]!id514?minTick</f>
        <v>0.01</v>
      </c>
      <c r="P642" s="6">
        <f>[9]!id514?multiplier</f>
        <v>0</v>
      </c>
      <c r="Q642" s="6" t="str">
        <f>[9]!id514?marketName</f>
        <v>FRC</v>
      </c>
      <c r="R642" s="6" t="str">
        <f>[9]!id514?tradingClass</f>
        <v>FRC</v>
      </c>
    </row>
    <row r="643" spans="1:18" hidden="1" x14ac:dyDescent="0.2">
      <c r="A643" t="s">
        <v>672</v>
      </c>
      <c r="B643" s="13" t="s">
        <v>12</v>
      </c>
      <c r="C643" s="13" t="b">
        <f t="shared" si="10"/>
        <v>1</v>
      </c>
      <c r="D643" s="13"/>
      <c r="E643" s="63"/>
      <c r="F643" s="13"/>
      <c r="G643" s="13"/>
      <c r="H643" s="13" t="s">
        <v>68</v>
      </c>
      <c r="I643" s="101" t="s">
        <v>44</v>
      </c>
      <c r="J643" s="101"/>
      <c r="K643" s="6">
        <f>[9]!'id515?req?RMD_STK_SMART_USD_~/'</f>
        <v>0</v>
      </c>
      <c r="L643" s="6" t="str">
        <f>[9]!id515?orderTypes</f>
        <v>ACTIVETIM,ADJUST,ALERT,ALGO,ALLOC,AON,AVGCOST,BASKET,COND,CONDORDER,DARKONLY,DARKPOLL,DAY,DEACT,DEACTDIS,DEACTEOD,DIS,GAT,GTC,GTD,GTT,HID,IBKRATS,ICE,IMB,IOC,LIT,LMT,LOC,MIT,MKT,MOC,MTL,NGCOMB,NODARK,NONALGO,OCA,OPG,OPGREROUT,PEGBENCH,POSTONLY,PREOPGRTH,R</v>
      </c>
      <c r="M643" s="6" t="str">
        <f>[9]!id515?validExchanges</f>
        <v>SMART,NYSE,CBOE,ISE,CHX,ARCA,ISLAND,DRCTEDGE,NSX,BEX,BATS,EDGEA,CSFBALGO,JEFFALGO,BYX,IEX,TPLUS2,PSX</v>
      </c>
      <c r="N643" s="6">
        <f>[9]!id515?conid</f>
        <v>4817352</v>
      </c>
      <c r="O643" s="6">
        <f>[9]!id515?minTick</f>
        <v>0.01</v>
      </c>
      <c r="P643" s="6">
        <f>[9]!id515?multiplier</f>
        <v>0</v>
      </c>
      <c r="Q643" s="6" t="str">
        <f>[9]!id515?marketName</f>
        <v>RMD</v>
      </c>
      <c r="R643" s="6" t="str">
        <f>[9]!id515?tradingClass</f>
        <v>RMD</v>
      </c>
    </row>
    <row r="644" spans="1:18" hidden="1" x14ac:dyDescent="0.2">
      <c r="A644" t="s">
        <v>673</v>
      </c>
      <c r="B644" s="13" t="s">
        <v>12</v>
      </c>
      <c r="C644" s="13" t="b">
        <f t="shared" si="10"/>
        <v>1</v>
      </c>
      <c r="D644" s="13"/>
      <c r="E644" s="63"/>
      <c r="F644" s="13"/>
      <c r="G644" s="13"/>
      <c r="H644" s="13" t="s">
        <v>68</v>
      </c>
      <c r="I644" s="101" t="s">
        <v>44</v>
      </c>
      <c r="J644" s="101"/>
      <c r="K644" s="6">
        <f>[9]!'id516?req?INGR_STK_SMART_USD_~/'</f>
        <v>0</v>
      </c>
      <c r="L644" s="6" t="str">
        <f>[9]!id516?orderTypes</f>
        <v>ACTIVETIM,ADJUST,ALERT,ALGO,ALLOC,AON,AVGCOST,BASKET,COND,CONDORDER,DARKONLY,DARKPOLL,DAY,DEACT,DEACTDIS,DEACTEOD,DIS,GAT,GTC,GTD,GTT,HID,IBKRATS,ICE,IMB,IOC,LIT,LMT,LOC,MIT,MKT,MOC,MTL,NGCOMB,NODARK,NONALGO,OCA,OPG,OPGREROUT,PEGBENCH,POSTONLY,PREOPGRTH,R</v>
      </c>
      <c r="M644" s="6" t="str">
        <f>[9]!id516?validExchanges</f>
        <v>SMART,NYSE,CBOE,ISE,CHX,ARCA,ISLAND,DRCTEDGE,NSX,BEX,BATS,EDGEA,CSFBALGO,JEFFALGO,BYX,IEX,TPLUS2,PSX</v>
      </c>
      <c r="N644" s="6">
        <f>[9]!id516?conid</f>
        <v>107051249</v>
      </c>
      <c r="O644" s="6">
        <f>[9]!id516?minTick</f>
        <v>0.01</v>
      </c>
      <c r="P644" s="6">
        <f>[9]!id516?multiplier</f>
        <v>0</v>
      </c>
      <c r="Q644" s="6" t="str">
        <f>[9]!id516?marketName</f>
        <v>INGR</v>
      </c>
      <c r="R644" s="6" t="str">
        <f>[9]!id516?tradingClass</f>
        <v>INGR</v>
      </c>
    </row>
    <row r="645" spans="1:18" hidden="1" x14ac:dyDescent="0.2">
      <c r="A645" t="s">
        <v>674</v>
      </c>
      <c r="B645" s="13" t="s">
        <v>12</v>
      </c>
      <c r="C645" s="13" t="b">
        <f t="shared" si="10"/>
        <v>1</v>
      </c>
      <c r="D645" s="13"/>
      <c r="E645" s="63"/>
      <c r="F645" s="13"/>
      <c r="G645" s="13"/>
      <c r="H645" s="13" t="s">
        <v>68</v>
      </c>
      <c r="I645" s="101" t="s">
        <v>44</v>
      </c>
      <c r="J645" s="101"/>
      <c r="K645" s="6">
        <f>[9]!'id517?req?FNV_STK_SMART_USD_~/'</f>
        <v>0</v>
      </c>
      <c r="L645" s="6" t="str">
        <f>[9]!id517?orderTypes</f>
        <v>ACTIVETIM,ADJUST,ALERT,ALGO,ALLOC,AON,AVGCOST,BASKET,COND,CONDORDER,DARKONLY,DARKPOLL,DAY,DEACT,DEACTDIS,DEACTEOD,DIS,GAT,GTC,GTD,GTT,HID,IBKRATS,ICE,IMB,IOC,LIT,LMT,LOC,MIT,MKT,MOC,MTL,NGCOMB,NODARK,NONALGO,OCA,OPG,OPGREROUT,PEGBENCH,POSTONLY,PREOPGRTH,R</v>
      </c>
      <c r="M645" s="6" t="str">
        <f>[9]!id517?validExchanges</f>
        <v>SMART,NYSE,CBOE,ISE,CHX,ARCA,ISLAND,DRCTEDGE,NSX,BEX,BATS,EDGEA,CSFBALGO,JEFFALGO,BYX,IEX,TPLUS2,PSX</v>
      </c>
      <c r="N645" s="6">
        <f>[9]!id517?conid</f>
        <v>69238858</v>
      </c>
      <c r="O645" s="6">
        <f>[9]!id517?minTick</f>
        <v>0.01</v>
      </c>
      <c r="P645" s="6">
        <f>[9]!id517?multiplier</f>
        <v>0</v>
      </c>
      <c r="Q645" s="6" t="str">
        <f>[9]!id517?marketName</f>
        <v>FNV</v>
      </c>
      <c r="R645" s="6" t="str">
        <f>[9]!id517?tradingClass</f>
        <v>FNV</v>
      </c>
    </row>
    <row r="646" spans="1:18" hidden="1" x14ac:dyDescent="0.2">
      <c r="A646" t="s">
        <v>675</v>
      </c>
      <c r="B646" s="13" t="s">
        <v>12</v>
      </c>
      <c r="C646" s="13" t="b">
        <f t="shared" si="10"/>
        <v>1</v>
      </c>
      <c r="D646" s="13"/>
      <c r="E646" s="63"/>
      <c r="F646" s="13"/>
      <c r="G646" s="13"/>
      <c r="H646" s="13" t="s">
        <v>68</v>
      </c>
      <c r="I646" s="101" t="s">
        <v>44</v>
      </c>
      <c r="J646" s="101"/>
      <c r="K646" s="6">
        <f>[9]!'id518?req?MTD_STK_SMART_USD_~/'</f>
        <v>0</v>
      </c>
      <c r="L646" s="6" t="str">
        <f>[9]!id518?orderTypes</f>
        <v>ACTIVETIM,ADJUST,ALERT,ALGO,ALLOC,AON,AVGCOST,BASKET,COND,CONDORDER,DARKONLY,DARKPOLL,DAY,DEACT,DEACTDIS,DEACTEOD,DIS,GAT,GTC,GTD,GTT,HID,IBKRATS,ICE,IMB,IOC,LIT,LMT,LOC,MIT,MKT,MOC,MTL,NGCOMB,NODARK,NONALGO,OCA,OPG,OPGREROUT,PEGBENCH,POSTONLY,PREOPGRTH,R</v>
      </c>
      <c r="M646" s="6" t="str">
        <f>[9]!id518?validExchanges</f>
        <v>SMART,NYSE,ISE,CHX,ARCA,ISLAND,DRCTEDGE,NSX,BEX,BATS,EDGEA,CSFBALGO,JEFFALGO,BYX,IEX,TPLUS2,PSX</v>
      </c>
      <c r="N646" s="6">
        <f>[9]!id518?conid</f>
        <v>6477908</v>
      </c>
      <c r="O646" s="6">
        <f>[9]!id518?minTick</f>
        <v>0.01</v>
      </c>
      <c r="P646" s="6">
        <f>[9]!id518?multiplier</f>
        <v>0</v>
      </c>
      <c r="Q646" s="6" t="str">
        <f>[9]!id518?marketName</f>
        <v>MTD</v>
      </c>
      <c r="R646" s="6" t="str">
        <f>[9]!id518?tradingClass</f>
        <v>MTD</v>
      </c>
    </row>
    <row r="647" spans="1:18" hidden="1" x14ac:dyDescent="0.2">
      <c r="A647" t="s">
        <v>676</v>
      </c>
      <c r="B647" s="13" t="s">
        <v>12</v>
      </c>
      <c r="C647" s="13" t="b">
        <f t="shared" si="10"/>
        <v>1</v>
      </c>
      <c r="D647" s="13"/>
      <c r="E647" s="63"/>
      <c r="F647" s="13"/>
      <c r="G647" s="13"/>
      <c r="H647" s="13" t="s">
        <v>68</v>
      </c>
      <c r="I647" s="101" t="s">
        <v>44</v>
      </c>
      <c r="J647" s="101"/>
      <c r="K647" s="6">
        <f>[9]!'id519?req?CE_STK_SMART_USD_~/'</f>
        <v>0</v>
      </c>
      <c r="L647" s="6" t="str">
        <f>[9]!id519?orderTypes</f>
        <v>ACTIVETIM,ADJUST,ALERT,ALGO,ALLOC,AON,AVGCOST,BASKET,COND,CONDORDER,DARKONLY,DARKPOLL,DAY,DEACT,DEACTDIS,DEACTEOD,DIS,GAT,GTC,GTD,GTT,HID,IBKRATS,ICE,IMB,IOC,LIT,LMT,LOC,MIT,MKT,MOC,MTL,NGCOMB,NODARK,NONALGO,OCA,OPG,OPGREROUT,PEGBENCH,POSTONLY,PREOPGRTH,R</v>
      </c>
      <c r="M647" s="6" t="str">
        <f>[9]!id519?validExchanges</f>
        <v>SMART,NYSE,CBOE,ISE,CHX,ARCA,ISLAND,DRCTEDGE,NSX,BEX,BATS,EDGEA,CSFBALGO,JEFFALGO,BYX,IEX,TPLUS2,PSX</v>
      </c>
      <c r="N647" s="6">
        <f>[9]!id519?conid</f>
        <v>32943358</v>
      </c>
      <c r="O647" s="6">
        <f>[9]!id519?minTick</f>
        <v>0.01</v>
      </c>
      <c r="P647" s="6">
        <f>[9]!id519?multiplier</f>
        <v>0</v>
      </c>
      <c r="Q647" s="6" t="str">
        <f>[9]!id519?marketName</f>
        <v>CE</v>
      </c>
      <c r="R647" s="6" t="str">
        <f>[9]!id519?tradingClass</f>
        <v>CE</v>
      </c>
    </row>
    <row r="648" spans="1:18" hidden="1" x14ac:dyDescent="0.2">
      <c r="A648" t="s">
        <v>677</v>
      </c>
      <c r="B648" s="13" t="s">
        <v>12</v>
      </c>
      <c r="C648" s="13" t="b">
        <f t="shared" si="10"/>
        <v>0</v>
      </c>
      <c r="D648" s="13"/>
      <c r="E648" s="63"/>
      <c r="F648" s="13"/>
      <c r="G648" s="13"/>
      <c r="H648" s="13" t="s">
        <v>68</v>
      </c>
      <c r="I648" s="101" t="s">
        <v>44</v>
      </c>
      <c r="J648" s="101"/>
      <c r="K648" s="6">
        <f>[9]!'id520?req?AMSG_STK_SMART_USD_~/'</f>
        <v>0</v>
      </c>
      <c r="L648" s="6" t="str">
        <f>[9]!id520?orderTypes</f>
        <v>ACTIVETIM,ADJUST,ALERT,ALGO,ALLOC,AON,AVGCOST,BASKET,COND,CONDORDER,DARKONLY,DARKPOLL,DAY,DEACT,DEACTDIS,DEACTEOD,DIS,GAT,GTC,GTD,GTT,HID,IBKRATS,ICE,IMB,IOC,LIT,LMT,LOC,MIT,MKT,MOC,MTL,NGCOMB,NODARK,NONALGO,OCA,OPG,OPGREROUT,PEGBENCH,POSTONLY,PREOPGRTH,R</v>
      </c>
      <c r="M648" s="6" t="str">
        <f>[9]!id520?validExchanges</f>
        <v>SMART,ISE,CHX,ARCA,ISLAND,DRCTEDGE,NSX,BEX,BATS,EDGEA,CSFBALGO,JEFFALGO,BYX,IEX,TPLUS2,PSX</v>
      </c>
      <c r="N648" s="6">
        <f>[9]!id520?conid</f>
        <v>4726278</v>
      </c>
      <c r="O648" s="6">
        <f>[9]!id520?minTick</f>
        <v>0.01</v>
      </c>
      <c r="P648" s="6">
        <f>[9]!id520?multiplier</f>
        <v>0</v>
      </c>
      <c r="Q648" s="6" t="str">
        <f>[9]!id520?marketName</f>
        <v>NMS</v>
      </c>
      <c r="R648" s="6" t="str">
        <f>[9]!id520?tradingClass</f>
        <v>NMS</v>
      </c>
    </row>
    <row r="649" spans="1:18" hidden="1" x14ac:dyDescent="0.2">
      <c r="A649" t="s">
        <v>678</v>
      </c>
      <c r="B649" s="13" t="s">
        <v>12</v>
      </c>
      <c r="C649" s="13" t="b">
        <f t="shared" si="10"/>
        <v>1</v>
      </c>
      <c r="D649" s="13"/>
      <c r="E649" s="63"/>
      <c r="F649" s="13"/>
      <c r="G649" s="13"/>
      <c r="H649" s="13" t="s">
        <v>68</v>
      </c>
      <c r="I649" s="101" t="s">
        <v>44</v>
      </c>
      <c r="J649" s="101"/>
      <c r="K649" s="6">
        <f>[9]!'id521?req?MAA_STK_SMART_USD_~/'</f>
        <v>0</v>
      </c>
      <c r="L649" s="6" t="str">
        <f>[9]!id521?orderTypes</f>
        <v>ACTIVETIM,ADJUST,ALERT,ALGO,ALLOC,AON,AVGCOST,BASKET,COND,CONDORDER,DARKONLY,DARKPOLL,DAY,DEACT,DEACTDIS,DEACTEOD,DIS,GAT,GTC,GTD,GTT,HID,IBKRATS,ICE,IMB,IOC,LIT,LMT,LOC,MIT,MKT,MOC,MTL,NGCOMB,NODARK,NONALGO,OCA,OPG,OPGREROUT,PEGBENCH,POSTONLY,PREOPGRTH,R</v>
      </c>
      <c r="M649" s="6" t="str">
        <f>[9]!id521?validExchanges</f>
        <v>SMART,NYSE,CBOE,ISE,CHX,ARCA,ISLAND,DRCTEDGE,NSX,BEX,BATS,EDGEA,CSFBALGO,JEFFALGO,BYX,IEX,TPLUS2,PSX</v>
      </c>
      <c r="N649" s="6">
        <f>[9]!id521?conid</f>
        <v>9317</v>
      </c>
      <c r="O649" s="6">
        <f>[9]!id521?minTick</f>
        <v>0.01</v>
      </c>
      <c r="P649" s="6">
        <f>[9]!id521?multiplier</f>
        <v>0</v>
      </c>
      <c r="Q649" s="6" t="str">
        <f>[9]!id521?marketName</f>
        <v>MAA</v>
      </c>
      <c r="R649" s="6" t="str">
        <f>[9]!id521?tradingClass</f>
        <v>MAA</v>
      </c>
    </row>
    <row r="650" spans="1:18" hidden="1" x14ac:dyDescent="0.2">
      <c r="A650" t="s">
        <v>679</v>
      </c>
      <c r="B650" s="13" t="s">
        <v>12</v>
      </c>
      <c r="C650" s="13" t="b">
        <f t="shared" si="10"/>
        <v>1</v>
      </c>
      <c r="D650" s="13"/>
      <c r="E650" s="63"/>
      <c r="F650" s="13"/>
      <c r="G650" s="13"/>
      <c r="H650" s="13" t="s">
        <v>68</v>
      </c>
      <c r="I650" s="101" t="s">
        <v>44</v>
      </c>
      <c r="J650" s="101"/>
      <c r="K650" s="6">
        <f>[9]!'id522?req?RE_STK_SMART_USD_~/'</f>
        <v>0</v>
      </c>
      <c r="L650" s="6" t="str">
        <f>[9]!id522?orderTypes</f>
        <v>ACTIVETIM,ADJUST,ALERT,ALGO,ALLOC,AON,AVGCOST,BASKET,COND,CONDORDER,DARKONLY,DARKPOLL,DAY,DEACT,DEACTDIS,DEACTEOD,DIS,GAT,GTC,GTD,GTT,HID,IBKRATS,ICE,IMB,IOC,LIT,LMT,LOC,MIT,MKT,MOC,MTL,NGCOMB,NODARK,NONALGO,OCA,OPG,OPGREROUT,PEGBENCH,POSTONLY,PREOPGRTH,R</v>
      </c>
      <c r="M650" s="6" t="str">
        <f>[9]!id522?validExchanges</f>
        <v>SMART,NYSE,CBOE,ISE,CHX,ARCA,ISLAND,VWAP,DRCTEDGE,NSX,BEX,BATS,EDGEA,CSFBALGO,JEFFALGO,BYX,IEX,TPLUS2,PSX</v>
      </c>
      <c r="N650" s="6">
        <f>[9]!id522?conid</f>
        <v>6477725</v>
      </c>
      <c r="O650" s="6">
        <f>[9]!id522?minTick</f>
        <v>0.01</v>
      </c>
      <c r="P650" s="6">
        <f>[9]!id522?multiplier</f>
        <v>0</v>
      </c>
      <c r="Q650" s="6" t="str">
        <f>[9]!id522?marketName</f>
        <v>RE</v>
      </c>
      <c r="R650" s="6" t="str">
        <f>[9]!id522?tradingClass</f>
        <v>RE</v>
      </c>
    </row>
    <row r="651" spans="1:18" hidden="1" x14ac:dyDescent="0.2">
      <c r="A651" t="s">
        <v>680</v>
      </c>
      <c r="B651" s="13" t="s">
        <v>12</v>
      </c>
      <c r="C651" s="13" t="b">
        <f t="shared" si="10"/>
        <v>1</v>
      </c>
      <c r="D651" s="13"/>
      <c r="E651" s="63"/>
      <c r="F651" s="13"/>
      <c r="G651" s="13"/>
      <c r="H651" s="13" t="s">
        <v>68</v>
      </c>
      <c r="I651" s="101" t="s">
        <v>44</v>
      </c>
      <c r="J651" s="101"/>
      <c r="K651" s="6">
        <f>[9]!'id523?req?MAN_STK_SMART_USD_~/'</f>
        <v>0</v>
      </c>
      <c r="L651" s="6" t="str">
        <f>[9]!id523?orderTypes</f>
        <v>ACTIVETIM,ADJUST,ALERT,ALGO,ALLOC,AON,AVGCOST,BASKET,COND,CONDORDER,DARKONLY,DARKPOLL,DAY,DEACT,DEACTDIS,DEACTEOD,DIS,GAT,GTC,GTD,GTT,HID,IBKRATS,ICE,IMB,IOC,LIT,LMT,LOC,MIT,MKT,MOC,MTL,NGCOMB,NODARK,NONALGO,OCA,OPG,OPGREROUT,PEGBENCH,POSTONLY,PREOPGRTH,R</v>
      </c>
      <c r="M651" s="6" t="str">
        <f>[9]!id523?validExchanges</f>
        <v>SMART,NYSE,CBOE,ISE,CHX,ARCA,ISLAND,DRCTEDGE,NSX,BEX,BATS,EDGEA,CSFBALGO,JEFFALGO,BYX,IEX,TPLUS2,PSX</v>
      </c>
      <c r="N651" s="6">
        <f>[9]!id523?conid</f>
        <v>9355</v>
      </c>
      <c r="O651" s="6">
        <f>[9]!id523?minTick</f>
        <v>0.01</v>
      </c>
      <c r="P651" s="6">
        <f>[9]!id523?multiplier</f>
        <v>0</v>
      </c>
      <c r="Q651" s="6" t="str">
        <f>[9]!id523?marketName</f>
        <v>MAN</v>
      </c>
      <c r="R651" s="6" t="str">
        <f>[9]!id523?tradingClass</f>
        <v>MAN</v>
      </c>
    </row>
    <row r="652" spans="1:18" hidden="1" x14ac:dyDescent="0.2">
      <c r="A652" t="s">
        <v>681</v>
      </c>
      <c r="B652" s="13" t="s">
        <v>12</v>
      </c>
      <c r="C652" s="13" t="b">
        <f t="shared" si="10"/>
        <v>1</v>
      </c>
      <c r="D652" s="13"/>
      <c r="E652" s="63"/>
      <c r="F652" s="13"/>
      <c r="G652" s="13"/>
      <c r="H652" s="13" t="s">
        <v>68</v>
      </c>
      <c r="I652" s="101" t="s">
        <v>44</v>
      </c>
      <c r="J652" s="101"/>
      <c r="K652" s="6">
        <f>[9]!'id524?req?DY_STK_SMART_USD_~/'</f>
        <v>0</v>
      </c>
      <c r="L652" s="6" t="str">
        <f>[9]!id524?orderTypes</f>
        <v>ACTIVETIM,ADJUST,ALERT,ALGO,ALLOC,AON,AVGCOST,BASKET,COND,CONDORDER,DARKONLY,DARKPOLL,DAY,DEACT,DEACTDIS,DEACTEOD,DIS,GAT,GTC,GTD,GTT,HID,IBKRATS,ICE,IMB,IOC,LIT,LMT,LOC,MIT,MKT,MOC,MTL,NGCOMB,NODARK,NONALGO,OCA,OPG,OPGREROUT,PEGBENCH,POSTONLY,PREOPGRTH,R</v>
      </c>
      <c r="M652" s="6" t="str">
        <f>[9]!id524?validExchanges</f>
        <v>SMART,NYSE,CBOE,ISE,CHX,ARCA,ISLAND,DRCTEDGE,NSX,BEX,BATS,EDGEA,CSFBALGO,JEFFALGO,BYX,IEX,TPLUS2,PSX</v>
      </c>
      <c r="N652" s="6">
        <f>[9]!id524?conid</f>
        <v>6630</v>
      </c>
      <c r="O652" s="6">
        <f>[9]!id524?minTick</f>
        <v>0.01</v>
      </c>
      <c r="P652" s="6">
        <f>[9]!id524?multiplier</f>
        <v>0</v>
      </c>
      <c r="Q652" s="6" t="str">
        <f>[9]!id524?marketName</f>
        <v>DY</v>
      </c>
      <c r="R652" s="6" t="str">
        <f>[9]!id524?tradingClass</f>
        <v>DY</v>
      </c>
    </row>
    <row r="653" spans="1:18" hidden="1" x14ac:dyDescent="0.2">
      <c r="A653" t="s">
        <v>682</v>
      </c>
      <c r="B653" s="13" t="s">
        <v>12</v>
      </c>
      <c r="C653" s="13" t="b">
        <f t="shared" si="10"/>
        <v>0</v>
      </c>
      <c r="D653" s="13"/>
      <c r="E653" s="63"/>
      <c r="F653" s="13"/>
      <c r="G653" s="13"/>
      <c r="H653" s="13" t="s">
        <v>68</v>
      </c>
      <c r="I653" s="101" t="s">
        <v>44</v>
      </c>
      <c r="J653" s="101"/>
      <c r="K653" s="6">
        <f>[9]!'id525?req?IDXX_STK_SMART_USD_~/'</f>
        <v>0</v>
      </c>
      <c r="L653" s="6" t="str">
        <f>[9]!id525?orderTypes</f>
        <v>ACTIVETIM,ADJUST,ALERT,ALGO,ALLOC,AON,AVGCOST,BASKET,COND,CONDORDER,DARKONLY,DARKPOLL,DAY,DEACT,DEACTDIS,DEACTEOD,DIS,GAT,GTC,GTD,GTT,HID,IBKRATS,ICE,IMB,IOC,LIT,LMT,LOC,MIT,MKT,MOC,MTL,NGCOMB,NODARK,NONALGO,OCA,OPG,OPGREROUT,PEGBENCH,POSTONLY,PREOPGRTH,R</v>
      </c>
      <c r="M653" s="6" t="str">
        <f>[9]!id525?validExchanges</f>
        <v>SMART,CBOE,ISE,CHX,ARCA,ISLAND,DRCTEDGE,NSX,BEX,BATS,EDGEA,CSFBALGO,JEFFALGO,BYX,IEX,TPLUS2,PSX</v>
      </c>
      <c r="N653" s="6">
        <f>[9]!id525?conid</f>
        <v>270413</v>
      </c>
      <c r="O653" s="6">
        <f>[9]!id525?minTick</f>
        <v>0.01</v>
      </c>
      <c r="P653" s="6">
        <f>[9]!id525?multiplier</f>
        <v>0</v>
      </c>
      <c r="Q653" s="6" t="str">
        <f>[9]!id525?marketName</f>
        <v>NMS</v>
      </c>
      <c r="R653" s="6" t="str">
        <f>[9]!id525?tradingClass</f>
        <v>NMS</v>
      </c>
    </row>
    <row r="654" spans="1:18" hidden="1" x14ac:dyDescent="0.2">
      <c r="A654" t="s">
        <v>683</v>
      </c>
      <c r="B654" s="13" t="s">
        <v>12</v>
      </c>
      <c r="C654" s="13" t="b">
        <f t="shared" si="10"/>
        <v>1</v>
      </c>
      <c r="D654" s="13"/>
      <c r="E654" s="63"/>
      <c r="F654" s="13"/>
      <c r="G654" s="13"/>
      <c r="H654" s="13" t="s">
        <v>68</v>
      </c>
      <c r="I654" s="101" t="s">
        <v>44</v>
      </c>
      <c r="J654" s="101"/>
      <c r="K654" s="6">
        <f>[9]!'id526?req?SYT_STK_SMART_USD_~/'</f>
        <v>0</v>
      </c>
      <c r="L654" s="6" t="str">
        <f>[9]!id526?orderTypes</f>
        <v>ACTIVETIM,ADJUST,ALERT,ALGO,ALLOC,AON,AVGCOST,BASKET,COND,CONDORDER,DARKONLY,DARKPOLL,DAY,DEACT,DEACTDIS,DEACTEOD,DIS,GAT,GTC,GTD,GTT,HID,IBKRATS,ICE,IMB,IOC,LIT,LMT,LOC,MIT,MKT,MOC,MTL,NGCOMB,NODARK,NONALGO,OCA,OPG,OPGREROUT,PEGBENCH,POSTONLY,PREOPGRTH,R</v>
      </c>
      <c r="M654" s="6" t="str">
        <f>[9]!id526?validExchanges</f>
        <v>SMART,NYSE,CBOE,ISE,CHX,ARCA,ISLAND,VWAP,DRCTEDGE,NSX,BEX,BATS,EDGEA,CSFBALGO,JEFFALGO,BYX,IEX,TPLUS2,PSX</v>
      </c>
      <c r="N654" s="6">
        <f>[9]!id526?conid</f>
        <v>10802095</v>
      </c>
      <c r="O654" s="6">
        <f>[9]!id526?minTick</f>
        <v>0.01</v>
      </c>
      <c r="P654" s="6">
        <f>[9]!id526?multiplier</f>
        <v>0</v>
      </c>
      <c r="Q654" s="6" t="str">
        <f>[9]!id526?marketName</f>
        <v>SYT</v>
      </c>
      <c r="R654" s="6" t="str">
        <f>[9]!id526?tradingClass</f>
        <v>SYT</v>
      </c>
    </row>
    <row r="655" spans="1:18" hidden="1" x14ac:dyDescent="0.2">
      <c r="A655" t="s">
        <v>684</v>
      </c>
      <c r="B655" s="13" t="s">
        <v>12</v>
      </c>
      <c r="C655" s="13" t="b">
        <f t="shared" si="10"/>
        <v>1</v>
      </c>
      <c r="D655" s="13"/>
      <c r="E655" s="63"/>
      <c r="F655" s="13"/>
      <c r="G655" s="13"/>
      <c r="H655" s="13" t="s">
        <v>68</v>
      </c>
      <c r="I655" s="101" t="s">
        <v>44</v>
      </c>
      <c r="J655" s="101"/>
      <c r="K655" s="6">
        <f>[9]!'id527?req?GRA_STK_SMART_USD_~/'</f>
        <v>0</v>
      </c>
      <c r="L655" s="6" t="str">
        <f>[9]!id527?orderTypes</f>
        <v>ACTIVETIM,ADJUST,ALERT,ALGO,ALLOC,AON,AVGCOST,BASKET,COND,CONDORDER,DARKONLY,DARKPOLL,DAY,DEACT,DEACTDIS,DEACTEOD,DIS,GAT,GTC,GTD,GTT,HID,IBKRATS,ICE,IMB,IOC,LIT,LMT,LOC,MIT,MKT,MOC,MTL,NGCOMB,NODARK,NONALGO,OCA,OPG,OPGREROUT,PEGBENCH,POSTONLY,PREOPGRTH,R</v>
      </c>
      <c r="M655" s="6" t="str">
        <f>[9]!id527?validExchanges</f>
        <v>SMART,NYSE,CBOE,ISE,CHX,ARCA,ISLAND,DRCTEDGE,NSX,BEX,BATS,EDGEA,CSFBALGO,JEFFALGO,BYX,IEX,TPLUS2,PSX</v>
      </c>
      <c r="N655" s="6">
        <f>[9]!id527?conid</f>
        <v>4083812</v>
      </c>
      <c r="O655" s="6">
        <f>[9]!id527?minTick</f>
        <v>0.01</v>
      </c>
      <c r="P655" s="6">
        <f>[9]!id527?multiplier</f>
        <v>0</v>
      </c>
      <c r="Q655" s="6" t="str">
        <f>[9]!id527?marketName</f>
        <v>GRA</v>
      </c>
      <c r="R655" s="6" t="str">
        <f>[9]!id527?tradingClass</f>
        <v>GRA</v>
      </c>
    </row>
    <row r="656" spans="1:18" hidden="1" x14ac:dyDescent="0.2">
      <c r="A656" t="s">
        <v>685</v>
      </c>
      <c r="B656" s="13" t="s">
        <v>12</v>
      </c>
      <c r="C656" s="13" t="b">
        <f t="shared" si="10"/>
        <v>1</v>
      </c>
      <c r="D656" s="13"/>
      <c r="E656" s="63"/>
      <c r="F656" s="13"/>
      <c r="G656" s="13"/>
      <c r="H656" s="13" t="s">
        <v>68</v>
      </c>
      <c r="I656" s="101" t="s">
        <v>44</v>
      </c>
      <c r="J656" s="101"/>
      <c r="K656" s="6">
        <f>[9]!'id528?req?ALV_STK_SMART_USD_~/'</f>
        <v>0</v>
      </c>
      <c r="L656" s="6" t="str">
        <f>[9]!id528?orderTypes</f>
        <v>ACTIVETIM,ADJUST,ALERT,ALGO,ALLOC,AON,AVGCOST,BASKET,COND,CONDORDER,DARKONLY,DARKPOLL,DAY,DEACT,DEACTDIS,DEACTEOD,DIS,GAT,GTC,GTD,GTT,HID,IBKRATS,ICE,IMB,IOC,LIT,LMT,LOC,MIT,MKT,MOC,MTL,NGCOMB,NODARK,NONALGO,OCA,OPG,OPGREROUT,PEGBENCH,POSTONLY,PREOPGRTH,R</v>
      </c>
      <c r="M656" s="6" t="str">
        <f>[9]!id528?validExchanges</f>
        <v>SMART,NYSE,CBOE,ISE,CHX,ARCA,ISLAND,DRCTEDGE,NSX,BEX,BATS,EDGEA,CSFBALGO,JEFFALGO,BYX,IEX,TPLUS2,PSX</v>
      </c>
      <c r="N656" s="6">
        <f>[9]!id528?conid</f>
        <v>2746144</v>
      </c>
      <c r="O656" s="6">
        <f>[9]!id528?minTick</f>
        <v>0.01</v>
      </c>
      <c r="P656" s="6">
        <f>[9]!id528?multiplier</f>
        <v>0</v>
      </c>
      <c r="Q656" s="6" t="str">
        <f>[9]!id528?marketName</f>
        <v>ALV</v>
      </c>
      <c r="R656" s="6" t="str">
        <f>[9]!id528?tradingClass</f>
        <v>ALV</v>
      </c>
    </row>
    <row r="657" spans="1:18" hidden="1" x14ac:dyDescent="0.2">
      <c r="A657" t="s">
        <v>686</v>
      </c>
      <c r="B657" s="13" t="s">
        <v>12</v>
      </c>
      <c r="C657" s="13" t="b">
        <f t="shared" si="10"/>
        <v>1</v>
      </c>
      <c r="D657" s="13"/>
      <c r="E657" s="63"/>
      <c r="F657" s="13"/>
      <c r="G657" s="13"/>
      <c r="H657" s="13" t="s">
        <v>68</v>
      </c>
      <c r="I657" s="101" t="s">
        <v>44</v>
      </c>
      <c r="J657" s="101"/>
      <c r="K657" s="6">
        <f>[9]!'id529?req?VC_STK_SMART_USD_~/'</f>
        <v>0</v>
      </c>
      <c r="L657" s="6" t="str">
        <f>[9]!id529?orderTypes</f>
        <v>ACTIVETIM,ADJUST,ALERT,ALGO,ALLOC,AON,AVGCOST,BASKET,COND,CONDORDER,DARKONLY,DARKPOLL,DAY,DEACT,DEACTDIS,DEACTEOD,DIS,GAT,GTC,GTD,GTT,HID,IBKRATS,ICE,IMB,IOC,LIT,LMT,LOC,MIT,MKT,MOC,MTL,NGCOMB,NODARK,NONALGO,OCA,OPG,OPGREROUT,PEGBENCH,POSTONLY,PREOPGRTH,R</v>
      </c>
      <c r="M657" s="6" t="str">
        <f>[9]!id529?validExchanges</f>
        <v>SMART,NYSE,CBOE,ISE,CHX,ARCA,ISLAND,DRCTEDGE,NSX,BEX,BATS,EDGEA,CSFBALGO,JEFFALGO,BYX,IEX,TPLUS2,PSX</v>
      </c>
      <c r="N657" s="6">
        <f>[9]!id529?conid</f>
        <v>79565601</v>
      </c>
      <c r="O657" s="6">
        <f>[9]!id529?minTick</f>
        <v>0.01</v>
      </c>
      <c r="P657" s="6">
        <f>[9]!id529?multiplier</f>
        <v>0</v>
      </c>
      <c r="Q657" s="6" t="str">
        <f>[9]!id529?marketName</f>
        <v>VC</v>
      </c>
      <c r="R657" s="6" t="str">
        <f>[9]!id529?tradingClass</f>
        <v>VC</v>
      </c>
    </row>
    <row r="658" spans="1:18" hidden="1" x14ac:dyDescent="0.2">
      <c r="A658" t="s">
        <v>687</v>
      </c>
      <c r="B658" s="13" t="s">
        <v>12</v>
      </c>
      <c r="C658" s="13" t="b">
        <f t="shared" si="10"/>
        <v>1</v>
      </c>
      <c r="D658" s="13"/>
      <c r="E658" s="63"/>
      <c r="F658" s="13"/>
      <c r="G658" s="13"/>
      <c r="H658" s="13" t="s">
        <v>68</v>
      </c>
      <c r="I658" s="101" t="s">
        <v>44</v>
      </c>
      <c r="J658" s="101"/>
      <c r="K658" s="6">
        <f>[9]!'id530?req?AOS_STK_SMART_USD_~/'</f>
        <v>0</v>
      </c>
      <c r="L658" s="6" t="str">
        <f>[9]!id530?orderTypes</f>
        <v>ACTIVETIM,ADJUST,ALERT,ALGO,ALLOC,AON,AVGCOST,BASKET,COND,CONDORDER,DARKONLY,DARKPOLL,DAY,DEACT,DEACTDIS,DEACTEOD,DIS,GAT,GTC,GTD,GTT,HID,IBKRATS,ICE,IMB,IOC,LIT,LMT,LOC,MIT,MKT,MOC,MTL,NGCOMB,NODARK,NONALGO,OCA,OPG,OPGREROUT,PEGBENCH,POSTONLY,PREOPGRTH,R</v>
      </c>
      <c r="M658" s="6" t="str">
        <f>[9]!id530?validExchanges</f>
        <v>SMART,NYSE,ISE,CHX,ARCA,ISLAND,DRCTEDGE,NSX,BEX,BATS,EDGEA,CSFBALGO,JEFFALGO,BYX,IEX,TPLUS2,PSX</v>
      </c>
      <c r="N658" s="6">
        <f>[9]!id530?conid</f>
        <v>12225</v>
      </c>
      <c r="O658" s="6">
        <f>[9]!id530?minTick</f>
        <v>0.01</v>
      </c>
      <c r="P658" s="6">
        <f>[9]!id530?multiplier</f>
        <v>0</v>
      </c>
      <c r="Q658" s="6" t="str">
        <f>[9]!id530?marketName</f>
        <v>AOS</v>
      </c>
      <c r="R658" s="6" t="str">
        <f>[9]!id530?tradingClass</f>
        <v>AOS</v>
      </c>
    </row>
    <row r="659" spans="1:18" hidden="1" x14ac:dyDescent="0.2">
      <c r="A659" t="s">
        <v>688</v>
      </c>
      <c r="B659" s="13" t="s">
        <v>12</v>
      </c>
      <c r="C659" s="13" t="b">
        <f t="shared" si="10"/>
        <v>1</v>
      </c>
      <c r="D659" s="13"/>
      <c r="E659" s="63"/>
      <c r="F659" s="13"/>
      <c r="G659" s="13"/>
      <c r="H659" s="13" t="s">
        <v>68</v>
      </c>
      <c r="I659" s="101" t="s">
        <v>44</v>
      </c>
      <c r="J659" s="101"/>
      <c r="K659" s="6">
        <f>[9]!'id531?req?ASH_STK_SMART_USD_~/'</f>
        <v>0</v>
      </c>
      <c r="L659" s="6" t="str">
        <f>[9]!id531?orderTypes</f>
        <v>ACTIVETIM,ADJUST,ALERT,ALGO,ALLOC,AON,AVGCOST,BASKET,COND,CONDORDER,DARKONLY,DARKPOLL,DAY,DEACT,DEACTDIS,DEACTEOD,DIS,GAT,GTC,GTD,GTT,HID,IBKRATS,ICE,IMB,IOC,LIT,LMT,LOC,MIT,MKT,MOC,MTL,NGCOMB,NODARK,NONALGO,OCA,OPG,OPGREROUT,PEGBENCH,POSTONLY,PREOPGRTH,R</v>
      </c>
      <c r="M659" s="6" t="str">
        <f>[9]!id531?validExchanges</f>
        <v>SMART,NYSE,CBOE,ISE,CHX,ARCA,ISLAND,VWAP,DRCTEDGE,NSX,BEX,BATS,EDGEA,CSFBALGO,JEFFALGO,BYX,IEX,TPLUS2,PSX</v>
      </c>
      <c r="N659" s="6">
        <f>[9]!id531?conid</f>
        <v>611070</v>
      </c>
      <c r="O659" s="6">
        <f>[9]!id531?minTick</f>
        <v>0.01</v>
      </c>
      <c r="P659" s="6">
        <f>[9]!id531?multiplier</f>
        <v>0</v>
      </c>
      <c r="Q659" s="6" t="str">
        <f>[9]!id531?marketName</f>
        <v>ASH</v>
      </c>
      <c r="R659" s="6" t="str">
        <f>[9]!id531?tradingClass</f>
        <v>ASH</v>
      </c>
    </row>
    <row r="660" spans="1:18" hidden="1" x14ac:dyDescent="0.2">
      <c r="A660" t="s">
        <v>689</v>
      </c>
      <c r="B660" s="13" t="s">
        <v>12</v>
      </c>
      <c r="C660" s="13" t="b">
        <f t="shared" si="10"/>
        <v>0</v>
      </c>
      <c r="D660" s="13"/>
      <c r="E660" s="63"/>
      <c r="F660" s="13"/>
      <c r="G660" s="13"/>
      <c r="H660" s="13" t="s">
        <v>68</v>
      </c>
      <c r="I660" s="101" t="s">
        <v>44</v>
      </c>
      <c r="J660" s="101"/>
      <c r="K660" s="6">
        <f>[9]!'id532?req?BLUE_STK_SMART_USD_~/'</f>
        <v>0</v>
      </c>
      <c r="L660" s="6" t="str">
        <f>[9]!id532?orderTypes</f>
        <v>ACTIVETIM,ADJUST,ALERT,ALGO,ALLOC,AON,AVGCOST,BASKET,COND,CONDORDER,DARKONLY,DARKPOLL,DAY,DEACT,DEACTDIS,DEACTEOD,DIS,GAT,GTC,GTD,GTT,HID,IBKRATS,ICE,IMB,IOC,LIT,LMT,LOC,MIT,MKT,MOC,MTL,NGCOMB,NODARK,NONALGO,OCA,OPG,OPGREROUT,PEGBENCH,POSTONLY,PREOPGRTH,R</v>
      </c>
      <c r="M660" s="6" t="str">
        <f>[9]!id532?validExchanges</f>
        <v>SMART,CBOE,ISE,CHX,ARCA,ISLAND,DRCTEDGE,NSX,BEX,BATS,EDGEA,CSFBALGO,JEFFALGO,BYX,IEX,TPLUS2,PSX</v>
      </c>
      <c r="N660" s="6">
        <f>[9]!id532?conid</f>
        <v>129348123</v>
      </c>
      <c r="O660" s="6">
        <f>[9]!id532?minTick</f>
        <v>0.01</v>
      </c>
      <c r="P660" s="6">
        <f>[9]!id532?multiplier</f>
        <v>0</v>
      </c>
      <c r="Q660" s="6" t="str">
        <f>[9]!id532?marketName</f>
        <v>NMS</v>
      </c>
      <c r="R660" s="6" t="str">
        <f>[9]!id532?tradingClass</f>
        <v>NMS</v>
      </c>
    </row>
    <row r="661" spans="1:18" hidden="1" x14ac:dyDescent="0.2">
      <c r="A661" t="s">
        <v>690</v>
      </c>
      <c r="B661" s="13" t="s">
        <v>12</v>
      </c>
      <c r="C661" s="13" t="b">
        <f t="shared" si="10"/>
        <v>0</v>
      </c>
      <c r="D661" s="13"/>
      <c r="E661" s="63"/>
      <c r="F661" s="13"/>
      <c r="G661" s="13"/>
      <c r="H661" s="13" t="s">
        <v>68</v>
      </c>
      <c r="I661" s="101" t="s">
        <v>44</v>
      </c>
      <c r="J661" s="101"/>
      <c r="K661" s="6">
        <f>[9]!'id533?req?MELI_STK_SMART_USD_~/'</f>
        <v>0</v>
      </c>
      <c r="L661" s="6" t="str">
        <f>[9]!id533?orderTypes</f>
        <v>ACTIVETIM,ADJUST,ALERT,ALGO,ALLOC,AON,AVGCOST,BASKET,COND,CONDORDER,DARKONLY,DARKPOLL,DAY,DEACT,DEACTDIS,DEACTEOD,DIS,GAT,GTC,GTD,GTT,HID,IBKRATS,ICE,IMB,IOC,LIT,LMT,LOC,MIT,MKT,MOC,MTL,NGCOMB,NODARK,NONALGO,OCA,OPG,OPGREROUT,PEGBENCH,POSTONLY,PREOPGRTH,R</v>
      </c>
      <c r="M661" s="6" t="str">
        <f>[9]!id533?validExchanges</f>
        <v>SMART,CBOE,ISE,CHX,ARCA,ISLAND,DRCTEDGE,NSX,BEX,BATS,EDGEA,CSFBALGO,JEFFALGO,BYX,IEX,TPLUS2,PSX</v>
      </c>
      <c r="N661" s="6">
        <f>[9]!id533?conid</f>
        <v>45602025</v>
      </c>
      <c r="O661" s="6">
        <f>[9]!id533?minTick</f>
        <v>0.01</v>
      </c>
      <c r="P661" s="6">
        <f>[9]!id533?multiplier</f>
        <v>0</v>
      </c>
      <c r="Q661" s="6" t="str">
        <f>[9]!id533?marketName</f>
        <v>NMS</v>
      </c>
      <c r="R661" s="6" t="str">
        <f>[9]!id533?tradingClass</f>
        <v>NMS</v>
      </c>
    </row>
    <row r="662" spans="1:18" hidden="1" x14ac:dyDescent="0.2">
      <c r="A662" t="s">
        <v>691</v>
      </c>
      <c r="B662" s="13" t="s">
        <v>12</v>
      </c>
      <c r="C662" s="13" t="b">
        <f t="shared" si="10"/>
        <v>1</v>
      </c>
      <c r="D662" s="13"/>
      <c r="E662" s="63"/>
      <c r="F662" s="13"/>
      <c r="G662" s="13"/>
      <c r="H662" s="13" t="s">
        <v>68</v>
      </c>
      <c r="I662" s="101" t="s">
        <v>44</v>
      </c>
      <c r="J662" s="101"/>
      <c r="K662" s="6">
        <f>[9]!'id534?req?EPC_STK_SMART_USD_~/'</f>
        <v>0</v>
      </c>
      <c r="L662" s="6" t="str">
        <f>[9]!id534?orderTypes</f>
        <v>ACTIVETIM,ADJUST,ALERT,ALGO,ALLOC,AON,AVGCOST,BASKET,COND,CONDORDER,DARKONLY,DARKPOLL,DAY,DEACT,DEACTDIS,DEACTEOD,DIS,GAT,GTC,GTD,GTT,HID,IBKRATS,ICE,IMB,IOC,LIT,LMT,LOC,MIT,MKT,MOC,MTL,NGCOMB,NODARK,NONALGO,OCA,OPG,OPGREROUT,PEGBENCH,POSTONLY,PREOPGRTH,R</v>
      </c>
      <c r="M662" s="6" t="str">
        <f>[9]!id534?validExchanges</f>
        <v>SMART,NYSE,CBOE,ISE,CHX,ARCA,ISLAND,VWAP,DRCTEDGE,NSX,BEX,BATS,EDGEA,CSFBALGO,JEFFALGO,BYX,IEX,TPLUS2,PSX</v>
      </c>
      <c r="N662" s="6">
        <f>[9]!id534?conid</f>
        <v>196179389</v>
      </c>
      <c r="O662" s="6">
        <f>[9]!id534?minTick</f>
        <v>0.01</v>
      </c>
      <c r="P662" s="6">
        <f>[9]!id534?multiplier</f>
        <v>0</v>
      </c>
      <c r="Q662" s="6" t="str">
        <f>[9]!id534?marketName</f>
        <v>EPC</v>
      </c>
      <c r="R662" s="6" t="str">
        <f>[9]!id534?tradingClass</f>
        <v>EPC</v>
      </c>
    </row>
    <row r="663" spans="1:18" hidden="1" x14ac:dyDescent="0.2">
      <c r="A663" t="s">
        <v>692</v>
      </c>
      <c r="B663" s="13" t="s">
        <v>12</v>
      </c>
      <c r="C663" s="13" t="b">
        <f t="shared" si="10"/>
        <v>0</v>
      </c>
      <c r="D663" s="13"/>
      <c r="E663" s="63"/>
      <c r="F663" s="13"/>
      <c r="G663" s="13"/>
      <c r="H663" s="13" t="s">
        <v>68</v>
      </c>
      <c r="I663" s="101" t="s">
        <v>44</v>
      </c>
      <c r="J663" s="101"/>
      <c r="K663" s="6">
        <f>[9]!'id535?req?ABMD_STK_SMART_USD_~/'</f>
        <v>0</v>
      </c>
      <c r="L663" s="6" t="str">
        <f>[9]!id535?orderTypes</f>
        <v>ACTIVETIM,ADJUST,ALERT,ALGO,ALLOC,AON,AVGCOST,BASKET,COND,CONDORDER,DARKONLY,DARKPOLL,DAY,DEACT,DEACTDIS,DEACTEOD,DIS,GAT,GTC,GTD,GTT,HID,IBKRATS,ICE,IMB,IOC,LIT,LMT,LOC,MIT,MKT,MOC,MTL,NGCOMB,NODARK,NONALGO,OCA,OPG,OPGREROUT,PEGBENCH,POSTONLY,PREOPGRTH,R</v>
      </c>
      <c r="M663" s="6" t="str">
        <f>[9]!id535?validExchanges</f>
        <v>SMART,CBOE,ISE,CHX,ARCA,ISLAND,DRCTEDGE,NSX,BEX,BATS,EDGEA,CSFBALGO,JEFFALGO,BYX,IEX,TPLUS2,PSX</v>
      </c>
      <c r="N663" s="6">
        <f>[9]!id535?conid</f>
        <v>265655</v>
      </c>
      <c r="O663" s="6">
        <f>[9]!id535?minTick</f>
        <v>0.01</v>
      </c>
      <c r="P663" s="6">
        <f>[9]!id535?multiplier</f>
        <v>0</v>
      </c>
      <c r="Q663" s="6" t="str">
        <f>[9]!id535?marketName</f>
        <v>NMS</v>
      </c>
      <c r="R663" s="6" t="str">
        <f>[9]!id535?tradingClass</f>
        <v>NMS</v>
      </c>
    </row>
    <row r="664" spans="1:18" hidden="1" x14ac:dyDescent="0.2">
      <c r="A664" t="s">
        <v>693</v>
      </c>
      <c r="B664" s="13" t="s">
        <v>12</v>
      </c>
      <c r="C664" s="13" t="b">
        <f t="shared" si="10"/>
        <v>0</v>
      </c>
      <c r="D664" s="13"/>
      <c r="E664" s="63"/>
      <c r="F664" s="13"/>
      <c r="G664" s="13"/>
      <c r="H664" s="13" t="s">
        <v>68</v>
      </c>
      <c r="I664" s="101" t="s">
        <v>44</v>
      </c>
      <c r="J664" s="101"/>
      <c r="K664" s="6">
        <f>[9]!'id536?req?TREE_STK_SMART_USD_~/'</f>
        <v>0</v>
      </c>
      <c r="L664" s="6" t="str">
        <f>[9]!id536?orderTypes</f>
        <v>ACTIVETIM,ADJUST,ALERT,ALGO,ALLOC,AON,AVGCOST,BASKET,COND,CONDORDER,DARKONLY,DARKPOLL,DAY,DEACT,DEACTDIS,DEACTEOD,DIS,GAT,GTC,GTD,GTT,HID,IBKRATS,ICE,IMB,IOC,LIT,LMT,LOC,MIT,MKT,MOC,MTL,NGCOMB,NODARK,NONALGO,OCA,OPG,OPGREROUT,PEGBENCH,POSTONLY,PREOPGRTH,R</v>
      </c>
      <c r="M664" s="6" t="str">
        <f>[9]!id536?validExchanges</f>
        <v>SMART,CBOE,ISE,CHX,ARCA,ISLAND,DRCTEDGE,NSX,BEX,BATS,EDGEA,CSFBALGO,JEFFALGO,BYX,IEX,TPLUS2,PSX</v>
      </c>
      <c r="N664" s="6">
        <f>[9]!id536?conid</f>
        <v>179340941</v>
      </c>
      <c r="O664" s="6">
        <f>[9]!id536?minTick</f>
        <v>0.01</v>
      </c>
      <c r="P664" s="6">
        <f>[9]!id536?multiplier</f>
        <v>0</v>
      </c>
      <c r="Q664" s="6" t="str">
        <f>[9]!id536?marketName</f>
        <v>NMS</v>
      </c>
      <c r="R664" s="6" t="str">
        <f>[9]!id536?tradingClass</f>
        <v>NMS</v>
      </c>
    </row>
    <row r="665" spans="1:18" hidden="1" x14ac:dyDescent="0.2">
      <c r="A665" t="s">
        <v>694</v>
      </c>
      <c r="B665" s="13" t="s">
        <v>12</v>
      </c>
      <c r="C665" s="13" t="b">
        <f t="shared" si="10"/>
        <v>1</v>
      </c>
      <c r="D665" s="13"/>
      <c r="E665" s="63"/>
      <c r="F665" s="13"/>
      <c r="G665" s="13"/>
      <c r="H665" s="13" t="s">
        <v>68</v>
      </c>
      <c r="I665" s="101" t="s">
        <v>44</v>
      </c>
      <c r="J665" s="101"/>
      <c r="K665" s="6">
        <f>[9]!'id537?req?ANET_STK_SMART_USD_~/'</f>
        <v>0</v>
      </c>
      <c r="L665" s="6" t="str">
        <f>[9]!id537?orderTypes</f>
        <v>ACTIVETIM,ADJUST,ALERT,ALGO,ALLOC,AON,AVGCOST,BASKET,COND,CONDORDER,DARKONLY,DARKPOLL,DAY,DEACT,DEACTDIS,DEACTEOD,DIS,GAT,GTC,GTD,GTT,HID,IBKRATS,ICE,IMB,IOC,LIT,LMT,LOC,MIT,MKT,MOC,MTL,NGCOMB,NODARK,NONALGO,OCA,OPG,OPGREROUT,PEGBENCH,POSTONLY,PREOPGRTH,R</v>
      </c>
      <c r="M665" s="6" t="str">
        <f>[9]!id537?validExchanges</f>
        <v>SMART,NYSE,CBOE,ISE,CHX,ARCA,ISLAND,DRCTEDGE,NSX,BEX,BATS,EDGEA,CSFBALGO,JEFFALGO,BYX,IEX,TPLUS2,PSX</v>
      </c>
      <c r="N665" s="6">
        <f>[9]!id537?conid</f>
        <v>153912055</v>
      </c>
      <c r="O665" s="6">
        <f>[9]!id537?minTick</f>
        <v>0.01</v>
      </c>
      <c r="P665" s="6">
        <f>[9]!id537?multiplier</f>
        <v>0</v>
      </c>
      <c r="Q665" s="6" t="str">
        <f>[9]!id537?marketName</f>
        <v>ANET</v>
      </c>
      <c r="R665" s="6" t="str">
        <f>[9]!id537?tradingClass</f>
        <v>ANET</v>
      </c>
    </row>
    <row r="666" spans="1:18" hidden="1" x14ac:dyDescent="0.2">
      <c r="A666" t="s">
        <v>695</v>
      </c>
      <c r="B666" s="13" t="s">
        <v>12</v>
      </c>
      <c r="C666" s="13" t="b">
        <f t="shared" si="10"/>
        <v>1</v>
      </c>
      <c r="D666" s="13"/>
      <c r="E666" s="63"/>
      <c r="F666" s="13"/>
      <c r="G666" s="13"/>
      <c r="H666" s="13" t="s">
        <v>68</v>
      </c>
      <c r="I666" s="101" t="s">
        <v>44</v>
      </c>
      <c r="J666" s="101"/>
      <c r="K666" s="6">
        <f>[9]!'id538?req?MOH_STK_SMART_USD_~/'</f>
        <v>0</v>
      </c>
      <c r="L666" s="6" t="str">
        <f>[9]!id538?orderTypes</f>
        <v>ACTIVETIM,ADJUST,ALERT,ALGO,ALLOC,AON,AVGCOST,BASKET,COND,CONDORDER,DARKONLY,DARKPOLL,DAY,DEACT,DEACTDIS,DEACTEOD,DIS,GAT,GTC,GTD,GTT,HID,IBKRATS,ICE,IMB,IOC,LIT,LMT,LOC,MIT,MKT,MOC,MTL,NGCOMB,NODARK,NONALGO,OCA,OPG,OPGREROUT,PEGBENCH,POSTONLY,PREOPGRTH,R</v>
      </c>
      <c r="M666" s="6" t="str">
        <f>[9]!id538?validExchanges</f>
        <v>SMART,NYSE,CBOE,ISE,CHX,ARCA,ISLAND,DRCTEDGE,NSX,BEX,BATS,EDGEA,CSFBALGO,JEFFALGO,BYX,IEX,TPLUS2,PSX</v>
      </c>
      <c r="N666" s="6">
        <f>[9]!id538?conid</f>
        <v>19012089</v>
      </c>
      <c r="O666" s="6">
        <f>[9]!id538?minTick</f>
        <v>0.01</v>
      </c>
      <c r="P666" s="6">
        <f>[9]!id538?multiplier</f>
        <v>0</v>
      </c>
      <c r="Q666" s="6" t="str">
        <f>[9]!id538?marketName</f>
        <v>MOH</v>
      </c>
      <c r="R666" s="6" t="str">
        <f>[9]!id538?tradingClass</f>
        <v>MOH</v>
      </c>
    </row>
    <row r="667" spans="1:18" hidden="1" x14ac:dyDescent="0.2">
      <c r="A667" t="s">
        <v>696</v>
      </c>
      <c r="B667" s="13" t="s">
        <v>12</v>
      </c>
      <c r="C667" s="13" t="b">
        <f t="shared" si="10"/>
        <v>0</v>
      </c>
      <c r="D667" s="13"/>
      <c r="E667" s="63"/>
      <c r="F667" s="13"/>
      <c r="G667" s="13"/>
      <c r="H667" s="13" t="s">
        <v>68</v>
      </c>
      <c r="I667" s="101" t="s">
        <v>44</v>
      </c>
      <c r="J667" s="101"/>
      <c r="K667" s="6">
        <f>[9]!'id539?req?ATHN_STK_SMART_USD_~/'</f>
        <v>0</v>
      </c>
      <c r="L667" s="6" t="str">
        <f>[9]!id539?orderTypes</f>
        <v>ACTIVETIM,ADJUST,ALERT,ALGO,ALLOC,AON,AVGCOST,BASKET,COND,CONDORDER,DARKONLY,DARKPOLL,DAY,DEACT,DEACTDIS,DEACTEOD,DIS,GAT,GTC,GTD,GTT,HID,IBKRATS,ICE,IMB,IOC,LIT,LMT,LOC,MIT,MKT,MOC,MTL,NGCOMB,NODARK,NONALGO,OCA,OPG,OPGREROUT,PEGBENCH,POSTONLY,PREOPGRTH,R</v>
      </c>
      <c r="M667" s="6" t="str">
        <f>[9]!id539?validExchanges</f>
        <v>SMART,CBOE,ISE,CHX,ARCA,ISLAND,DRCTEDGE,NSX,BEX,BATS,EDGEA,CSFBALGO,JEFFALGO,BYX,IEX,TPLUS2,PSX</v>
      </c>
      <c r="N667" s="6">
        <f>[9]!id539?conid</f>
        <v>46128135</v>
      </c>
      <c r="O667" s="6">
        <f>[9]!id539?minTick</f>
        <v>0.01</v>
      </c>
      <c r="P667" s="6">
        <f>[9]!id539?multiplier</f>
        <v>0</v>
      </c>
      <c r="Q667" s="6" t="str">
        <f>[9]!id539?marketName</f>
        <v>NMS</v>
      </c>
      <c r="R667" s="6" t="str">
        <f>[9]!id539?tradingClass</f>
        <v>NMS</v>
      </c>
    </row>
    <row r="668" spans="1:18" hidden="1" x14ac:dyDescent="0.2">
      <c r="A668" t="s">
        <v>697</v>
      </c>
      <c r="B668" s="13" t="s">
        <v>12</v>
      </c>
      <c r="C668" s="13" t="b">
        <f t="shared" si="10"/>
        <v>0</v>
      </c>
      <c r="D668" s="13"/>
      <c r="E668" s="63"/>
      <c r="F668" s="13"/>
      <c r="G668" s="13"/>
      <c r="H668" s="13" t="s">
        <v>68</v>
      </c>
      <c r="I668" s="101" t="s">
        <v>44</v>
      </c>
      <c r="J668" s="101"/>
      <c r="K668" s="6">
        <f>[9]!'id540?req?CAVM_STK_SMART_USD_~/'</f>
        <v>0</v>
      </c>
      <c r="L668" s="6" t="str">
        <f>[9]!id540?orderTypes</f>
        <v>ACTIVETIM,ADJUST,ALERT,ALGO,ALLOC,AON,AVGCOST,BASKET,COND,CONDORDER,DARKONLY,DARKPOLL,DAY,DEACT,DEACTDIS,DEACTEOD,DIS,GAT,GTC,GTD,GTT,HID,IBKRATS,ICE,IMB,IOC,LIT,LMT,LOC,MIT,MKT,MOC,MTL,NGCOMB,NODARK,NONALGO,OCA,OPG,OPGREROUT,PEGBENCH,POSTONLY,PREOPGRTH,R</v>
      </c>
      <c r="M668" s="6" t="str">
        <f>[9]!id540?validExchanges</f>
        <v>SMART,CBOE,ISE,CHX,ARCA,ISLAND,DRCTEDGE,NSX,BEX,BATS,EDGEA,CSFBALGO,JEFFALGO,BYX,IEX,TPLUS2,PSX</v>
      </c>
      <c r="N668" s="6">
        <f>[9]!id540?conid</f>
        <v>89596984</v>
      </c>
      <c r="O668" s="6">
        <f>[9]!id540?minTick</f>
        <v>0.01</v>
      </c>
      <c r="P668" s="6">
        <f>[9]!id540?multiplier</f>
        <v>0</v>
      </c>
      <c r="Q668" s="6" t="str">
        <f>[9]!id540?marketName</f>
        <v>NMS</v>
      </c>
      <c r="R668" s="6" t="str">
        <f>[9]!id540?tradingClass</f>
        <v>NMS</v>
      </c>
    </row>
    <row r="669" spans="1:18" hidden="1" x14ac:dyDescent="0.2">
      <c r="A669" t="s">
        <v>698</v>
      </c>
      <c r="B669" s="13" t="s">
        <v>12</v>
      </c>
      <c r="C669" s="13" t="b">
        <f t="shared" si="10"/>
        <v>0</v>
      </c>
      <c r="D669" s="13"/>
      <c r="E669" s="63"/>
      <c r="F669" s="13"/>
      <c r="G669" s="13"/>
      <c r="H669" s="13" t="s">
        <v>68</v>
      </c>
      <c r="I669" s="101" t="s">
        <v>44</v>
      </c>
      <c r="J669" s="101"/>
      <c r="K669" s="6">
        <f>[9]!'id541?req?RGLD_STK_SMART_USD_~/'</f>
        <v>0</v>
      </c>
      <c r="L669" s="6" t="str">
        <f>[9]!id541?orderTypes</f>
        <v>ACTIVETIM,ADJUST,ALERT,ALGO,ALLOC,AON,AVGCOST,BASKET,COND,CONDORDER,DARKONLY,DARKPOLL,DAY,DEACT,DEACTDIS,DEACTEOD,DIS,GAT,GTC,GTD,GTT,HID,IBKRATS,ICE,IMB,IOC,LIT,LMT,LOC,MIT,MKT,MOC,MTL,NGCOMB,NODARK,NONALGO,OCA,OPG,OPGREROUT,PEGBENCH,POSTONLY,PREOPGRTH,R</v>
      </c>
      <c r="M669" s="6" t="str">
        <f>[9]!id541?validExchanges</f>
        <v>SMART,CBOE,ISE,CHX,ARCA,ISLAND,DRCTEDGE,NSX,BEX,BATS,EDGEA,CSFBALGO,JEFFALGO,BYX,IEX,TPLUS2,PSX</v>
      </c>
      <c r="N669" s="6">
        <f>[9]!id541?conid</f>
        <v>4817403</v>
      </c>
      <c r="O669" s="6">
        <f>[9]!id541?minTick</f>
        <v>0.01</v>
      </c>
      <c r="P669" s="6">
        <f>[9]!id541?multiplier</f>
        <v>0</v>
      </c>
      <c r="Q669" s="6" t="str">
        <f>[9]!id541?marketName</f>
        <v>NMS</v>
      </c>
      <c r="R669" s="6" t="str">
        <f>[9]!id541?tradingClass</f>
        <v>NMS</v>
      </c>
    </row>
    <row r="670" spans="1:18" hidden="1" x14ac:dyDescent="0.2">
      <c r="A670" t="s">
        <v>699</v>
      </c>
      <c r="B670" s="13" t="s">
        <v>12</v>
      </c>
      <c r="C670" s="13" t="b">
        <f t="shared" si="10"/>
        <v>1</v>
      </c>
      <c r="D670" s="13"/>
      <c r="E670" s="63"/>
      <c r="F670" s="13"/>
      <c r="G670" s="13"/>
      <c r="H670" s="13" t="s">
        <v>68</v>
      </c>
      <c r="I670" s="101" t="s">
        <v>44</v>
      </c>
      <c r="J670" s="101"/>
      <c r="K670" s="6">
        <f>[9]!'id542?req?JLL_STK_SMART_USD_~/'</f>
        <v>0</v>
      </c>
      <c r="L670" s="6" t="str">
        <f>[9]!id542?orderTypes</f>
        <v>ACTIVETIM,ADJUST,ALERT,ALGO,ALLOC,AON,AVGCOST,BASKET,COND,CONDORDER,DARKONLY,DARKPOLL,DAY,DEACT,DEACTDIS,DEACTEOD,DIS,GAT,GTC,GTD,GTT,HID,IBKRATS,ICE,IMB,IOC,LIT,LMT,LOC,MIT,MKT,MOC,MTL,NGCOMB,NODARK,NONALGO,OCA,OPG,OPGREROUT,PEGBENCH,POSTONLY,PREOPGRTH,R</v>
      </c>
      <c r="M670" s="6" t="str">
        <f>[9]!id542?validExchanges</f>
        <v>SMART,NYSE,CBOE,ISE,CHX,ARCA,ISLAND,DRCTEDGE,NSX,BEX,BATS,EDGEA,CSFBALGO,JEFFALGO,BYX,IEX,TPLUS2,PSX</v>
      </c>
      <c r="N670" s="6">
        <f>[9]!id542?conid</f>
        <v>6608072</v>
      </c>
      <c r="O670" s="6">
        <f>[9]!id542?minTick</f>
        <v>0.01</v>
      </c>
      <c r="P670" s="6">
        <f>[9]!id542?multiplier</f>
        <v>0</v>
      </c>
      <c r="Q670" s="6" t="str">
        <f>[9]!id542?marketName</f>
        <v>JLL</v>
      </c>
      <c r="R670" s="6" t="str">
        <f>[9]!id542?tradingClass</f>
        <v>JLL</v>
      </c>
    </row>
    <row r="671" spans="1:18" hidden="1" x14ac:dyDescent="0.2">
      <c r="A671" t="s">
        <v>700</v>
      </c>
      <c r="B671" s="13" t="s">
        <v>12</v>
      </c>
      <c r="C671" s="13" t="b">
        <f t="shared" si="10"/>
        <v>0</v>
      </c>
      <c r="D671" s="13"/>
      <c r="E671" s="63"/>
      <c r="F671" s="13"/>
      <c r="G671" s="13"/>
      <c r="H671" s="13" t="s">
        <v>68</v>
      </c>
      <c r="I671" s="101" t="s">
        <v>44</v>
      </c>
      <c r="J671" s="101"/>
      <c r="K671" s="6">
        <f>[9]!'id543?req?CASY_STK_SMART_USD_~/'</f>
        <v>0</v>
      </c>
      <c r="L671" s="6" t="str">
        <f>[9]!id543?orderTypes</f>
        <v>ACTIVETIM,ADJUST,ALERT,ALGO,ALLOC,AON,AVGCOST,BASKET,COND,CONDORDER,DARKONLY,DARKPOLL,DAY,DEACT,DEACTDIS,DEACTEOD,DIS,GAT,GTC,GTD,GTT,HID,IBKRATS,ICE,IMB,IOC,LIT,LMT,LOC,MIT,MKT,MOC,MTL,NGCOMB,NODARK,NONALGO,OCA,OPG,OPGREROUT,PEGBENCH,POSTONLY,PREOPGRTH,R</v>
      </c>
      <c r="M671" s="6" t="str">
        <f>[9]!id543?validExchanges</f>
        <v>SMART,ISE,CHX,ARCA,ISLAND,VWAP,DRCTEDGE,NSX,BEX,BATS,EDGEA,CSFBALGO,JEFFALGO,BYX,IEX,TPLUS2,PSX</v>
      </c>
      <c r="N671" s="6">
        <f>[9]!id543?conid</f>
        <v>267265</v>
      </c>
      <c r="O671" s="6">
        <f>[9]!id543?minTick</f>
        <v>0.01</v>
      </c>
      <c r="P671" s="6">
        <f>[9]!id543?multiplier</f>
        <v>0</v>
      </c>
      <c r="Q671" s="6" t="str">
        <f>[9]!id543?marketName</f>
        <v>NMS</v>
      </c>
      <c r="R671" s="6" t="str">
        <f>[9]!id543?tradingClass</f>
        <v>NMS</v>
      </c>
    </row>
    <row r="672" spans="1:18" hidden="1" x14ac:dyDescent="0.2">
      <c r="A672" t="s">
        <v>701</v>
      </c>
      <c r="B672" s="13" t="s">
        <v>12</v>
      </c>
      <c r="C672" s="13" t="b">
        <f t="shared" si="10"/>
        <v>1</v>
      </c>
      <c r="D672" s="13"/>
      <c r="E672" s="63"/>
      <c r="F672" s="13"/>
      <c r="G672" s="13"/>
      <c r="H672" s="13" t="s">
        <v>68</v>
      </c>
      <c r="I672" s="101" t="s">
        <v>44</v>
      </c>
      <c r="J672" s="101"/>
      <c r="K672" s="6">
        <f>[9]!'id544?req?MSCI_STK_SMART_USD_~/'</f>
        <v>0</v>
      </c>
      <c r="L672" s="6" t="str">
        <f>[9]!id544?orderTypes</f>
        <v>ACTIVETIM,ADJUST,ALERT,ALGO,ALLOC,AON,AVGCOST,BASKET,COND,CONDORDER,DARKONLY,DARKPOLL,DAY,DEACT,DEACTDIS,DEACTEOD,DIS,GAT,GTC,GTD,GTT,HID,IBKRATS,ICE,IMB,IOC,LIT,LMT,LOC,MIT,MKT,MOC,MTL,NGCOMB,NODARK,NONALGO,OCA,OPG,OPGREROUT,PEGBENCH,POSTONLY,PREOPGRTH,R</v>
      </c>
      <c r="M672" s="6" t="str">
        <f>[9]!id544?validExchanges</f>
        <v>SMART,NYSE,CBOE,ISE,CHX,ARCA,ISLAND,DRCTEDGE,NSX,BEX,BATS,EDGEA,CSFBALGO,JEFFALGO,BYX,IEX,TPLUS2,PSX</v>
      </c>
      <c r="N672" s="6">
        <f>[9]!id544?conid</f>
        <v>47101335</v>
      </c>
      <c r="O672" s="6">
        <f>[9]!id544?minTick</f>
        <v>0.01</v>
      </c>
      <c r="P672" s="6">
        <f>[9]!id544?multiplier</f>
        <v>0</v>
      </c>
      <c r="Q672" s="6" t="str">
        <f>[9]!id544?marketName</f>
        <v>MSCI</v>
      </c>
      <c r="R672" s="6" t="str">
        <f>[9]!id544?tradingClass</f>
        <v>MSCI</v>
      </c>
    </row>
    <row r="673" spans="1:18" hidden="1" x14ac:dyDescent="0.2">
      <c r="A673" t="s">
        <v>702</v>
      </c>
      <c r="B673" s="13" t="s">
        <v>12</v>
      </c>
      <c r="C673" s="13" t="b">
        <f t="shared" si="10"/>
        <v>1</v>
      </c>
      <c r="D673" s="13"/>
      <c r="E673" s="63"/>
      <c r="F673" s="13"/>
      <c r="G673" s="13"/>
      <c r="H673" s="13" t="s">
        <v>68</v>
      </c>
      <c r="I673" s="101" t="s">
        <v>44</v>
      </c>
      <c r="J673" s="101"/>
      <c r="K673" s="6">
        <f>[9]!'id545?req?WBC_STK_SMART_USD_~/'</f>
        <v>0</v>
      </c>
      <c r="L673" s="6" t="str">
        <f>[9]!id545?orderTypes</f>
        <v>ACTIVETIM,ADJUST,ALERT,ALGO,ALLOC,AON,AVGCOST,BASKET,COND,CONDORDER,DARKONLY,DARKPOLL,DAY,DEACT,DEACTDIS,DEACTEOD,DIS,GAT,GTC,GTD,GTT,HID,IBKRATS,ICE,IMB,IOC,LIT,LMT,LOC,MIT,MKT,MOC,MTL,NGCOMB,NODARK,NONALGO,OCA,OPG,OPGREROUT,PEGBENCH,POSTONLY,PREOPGRTH,R</v>
      </c>
      <c r="M673" s="6" t="str">
        <f>[9]!id545?validExchanges</f>
        <v>SMART,NYSE,CBOE,ISE,CHX,ARCA,ISLAND,DRCTEDGE,NSX,BEX,BATS,EDGEA,CSFBALGO,JEFFALGO,BYX,IEX,TPLUS2,PSX</v>
      </c>
      <c r="N673" s="6">
        <f>[9]!id545?conid</f>
        <v>45161769</v>
      </c>
      <c r="O673" s="6">
        <f>[9]!id545?minTick</f>
        <v>0.01</v>
      </c>
      <c r="P673" s="6">
        <f>[9]!id545?multiplier</f>
        <v>0</v>
      </c>
      <c r="Q673" s="6" t="str">
        <f>[9]!id545?marketName</f>
        <v>WBC</v>
      </c>
      <c r="R673" s="6" t="str">
        <f>[9]!id545?tradingClass</f>
        <v>WBC</v>
      </c>
    </row>
    <row r="674" spans="1:18" hidden="1" x14ac:dyDescent="0.2">
      <c r="A674" t="s">
        <v>703</v>
      </c>
      <c r="B674" s="13" t="s">
        <v>12</v>
      </c>
      <c r="C674" s="13" t="b">
        <f t="shared" si="10"/>
        <v>0</v>
      </c>
      <c r="D674" s="13"/>
      <c r="E674" s="63"/>
      <c r="F674" s="13"/>
      <c r="G674" s="13"/>
      <c r="H674" s="13" t="s">
        <v>68</v>
      </c>
      <c r="I674" s="101" t="s">
        <v>44</v>
      </c>
      <c r="J674" s="101"/>
      <c r="K674" s="6">
        <f>[9]!'id546?req?TSRO_STK_SMART_USD_~/'</f>
        <v>0</v>
      </c>
      <c r="L674" s="6" t="str">
        <f>[9]!id546?orderTypes</f>
        <v>ACTIVETIM,ADJUST,ALERT,ALGO,ALLOC,AON,AVGCOST,BASKET,COND,CONDORDER,DARKONLY,DARKPOLL,DAY,DEACT,DEACTDIS,DEACTEOD,DIS,GAT,GTC,GTD,GTT,HID,IBKRATS,ICE,IMB,IOC,LIT,LMT,LOC,MIT,MKT,MOC,MTL,NGCOMB,NODARK,NONALGO,OCA,OPG,OPGREROUT,PEGBENCH,POSTONLY,PREOPGRTH,R</v>
      </c>
      <c r="M674" s="6" t="str">
        <f>[9]!id546?validExchanges</f>
        <v>SMART,CBOE,ISE,CHX,ARCA,ISLAND,DRCTEDGE,NSX,BEX,BATS,EDGEA,CSFBALGO,JEFFALGO,BYX,IEX,TPLUS2,PSX</v>
      </c>
      <c r="N674" s="6">
        <f>[9]!id546?conid</f>
        <v>109979708</v>
      </c>
      <c r="O674" s="6">
        <f>[9]!id546?minTick</f>
        <v>0.01</v>
      </c>
      <c r="P674" s="6">
        <f>[9]!id546?multiplier</f>
        <v>0</v>
      </c>
      <c r="Q674" s="6" t="str">
        <f>[9]!id546?marketName</f>
        <v>NMS</v>
      </c>
      <c r="R674" s="6" t="str">
        <f>[9]!id546?tradingClass</f>
        <v>NMS</v>
      </c>
    </row>
    <row r="675" spans="1:18" hidden="1" x14ac:dyDescent="0.2">
      <c r="A675" t="s">
        <v>704</v>
      </c>
      <c r="B675" s="13" t="s">
        <v>12</v>
      </c>
      <c r="C675" s="13" t="b">
        <f t="shared" si="10"/>
        <v>1</v>
      </c>
      <c r="D675" s="13"/>
      <c r="E675" s="63"/>
      <c r="F675" s="13"/>
      <c r="G675" s="13"/>
      <c r="H675" s="13" t="s">
        <v>68</v>
      </c>
      <c r="I675" s="101" t="s">
        <v>44</v>
      </c>
      <c r="J675" s="101"/>
      <c r="K675" s="6">
        <f>[9]!'id547?req?LII_STK_SMART_USD_~/'</f>
        <v>0</v>
      </c>
      <c r="L675" s="6" t="str">
        <f>[9]!id547?orderTypes</f>
        <v>ACTIVETIM,ADJUST,ALERT,ALGO,ALLOC,AON,AVGCOST,BASKET,COND,CONDORDER,DARKONLY,DARKPOLL,DAY,DEACT,DEACTDIS,DEACTEOD,DIS,GAT,GTC,GTD,GTT,HID,IBKRATS,ICE,IMB,IOC,LIT,LMT,LOC,MIT,MKT,MOC,MTL,NGCOMB,NODARK,NONALGO,OCA,OPG,OPGREROUT,PEGBENCH,POSTONLY,PREOPGRTH,R</v>
      </c>
      <c r="M675" s="6" t="str">
        <f>[9]!id547?validExchanges</f>
        <v>SMART,NYSE,CBOE,ISE,CHX,ARCA,ISLAND,DRCTEDGE,NSX,BEX,BATS,EDGEA,CSFBALGO,JEFFALGO,BYX,IEX,TPLUS2,PSX</v>
      </c>
      <c r="N675" s="6">
        <f>[9]!id547?conid</f>
        <v>6608113</v>
      </c>
      <c r="O675" s="6">
        <f>[9]!id547?minTick</f>
        <v>0.01</v>
      </c>
      <c r="P675" s="6">
        <f>[9]!id547?multiplier</f>
        <v>0</v>
      </c>
      <c r="Q675" s="6" t="str">
        <f>[9]!id547?marketName</f>
        <v>LII</v>
      </c>
      <c r="R675" s="6" t="str">
        <f>[9]!id547?tradingClass</f>
        <v>LII</v>
      </c>
    </row>
    <row r="676" spans="1:18" hidden="1" x14ac:dyDescent="0.2">
      <c r="A676" t="s">
        <v>705</v>
      </c>
      <c r="B676" s="13" t="s">
        <v>12</v>
      </c>
      <c r="C676" s="13" t="b">
        <f t="shared" si="10"/>
        <v>1</v>
      </c>
      <c r="D676" s="13"/>
      <c r="E676" s="63"/>
      <c r="F676" s="13"/>
      <c r="G676" s="13"/>
      <c r="H676" s="13" t="s">
        <v>68</v>
      </c>
      <c r="I676" s="101" t="s">
        <v>44</v>
      </c>
      <c r="J676" s="101"/>
      <c r="K676" s="6">
        <f>[9]!'id548?req?REG_STK_SMART_USD_~/'</f>
        <v>0</v>
      </c>
      <c r="L676" s="6" t="str">
        <f>[9]!id548?orderTypes</f>
        <v>ACTIVETIM,ADJUST,ALERT,ALGO,ALLOC,AON,AVGCOST,BASKET,COND,CONDORDER,DARKONLY,DARKPOLL,DAY,DEACT,DEACTDIS,DEACTEOD,DIS,GAT,GTC,GTD,GTT,HID,IBKRATS,ICE,IMB,IOC,LIT,LMT,LOC,MIT,MKT,MOC,MTL,NGCOMB,NODARK,NONALGO,OCA,OPG,OPGREROUT,PEGBENCH,POSTONLY,PREOPGRTH,R</v>
      </c>
      <c r="M676" s="6" t="str">
        <f>[9]!id548?validExchanges</f>
        <v>SMART,NYSE,CBOE,ISE,CHX,ARCA,ISLAND,DRCTEDGE,NSX,BEX,BATS,EDGEA,CSFBALGO,JEFFALGO,BYX,IEX,TPLUS2,PSX</v>
      </c>
      <c r="N676" s="6">
        <f>[9]!id548?conid</f>
        <v>11574</v>
      </c>
      <c r="O676" s="6">
        <f>[9]!id548?minTick</f>
        <v>0.01</v>
      </c>
      <c r="P676" s="6">
        <f>[9]!id548?multiplier</f>
        <v>0</v>
      </c>
      <c r="Q676" s="6" t="str">
        <f>[9]!id548?marketName</f>
        <v>REG</v>
      </c>
      <c r="R676" s="6" t="str">
        <f>[9]!id548?tradingClass</f>
        <v>REG</v>
      </c>
    </row>
    <row r="677" spans="1:18" hidden="1" x14ac:dyDescent="0.2">
      <c r="A677" t="s">
        <v>706</v>
      </c>
      <c r="B677" s="13" t="s">
        <v>12</v>
      </c>
      <c r="C677" s="13" t="b">
        <f t="shared" si="10"/>
        <v>1</v>
      </c>
      <c r="D677" s="13"/>
      <c r="E677" s="63"/>
      <c r="F677" s="13"/>
      <c r="G677" s="13"/>
      <c r="H677" s="13" t="s">
        <v>68</v>
      </c>
      <c r="I677" s="101" t="s">
        <v>44</v>
      </c>
      <c r="J677" s="101"/>
      <c r="K677" s="6">
        <f>[9]!'id549?req?RJF_STK_SMART_USD_~/'</f>
        <v>0</v>
      </c>
      <c r="L677" s="6" t="str">
        <f>[9]!id549?orderTypes</f>
        <v>ACTIVETIM,ADJUST,ALERT,ALGO,ALLOC,AON,AVGCOST,BASKET,COND,CONDORDER,DARKONLY,DARKPOLL,DAY,DEACT,DEACTDIS,DEACTEOD,DIS,GAT,GTC,GTD,GTT,HID,IBKRATS,ICE,IMB,IOC,LIT,LMT,LOC,MIT,MKT,MOC,MTL,NGCOMB,NODARK,NONALGO,OCA,OPG,OPGREROUT,PEGBENCH,POSTONLY,PREOPGRTH,R</v>
      </c>
      <c r="M677" s="6" t="str">
        <f>[9]!id549?validExchanges</f>
        <v>SMART,NYSE,CBOE,ISE,CHX,ARCA,ISLAND,VWAP,DRCTEDGE,NSX,BEX,BATS,EDGEA,CSFBALGO,JEFFALGO,BYX,IEX,TPLUS2,PSX</v>
      </c>
      <c r="N677" s="6">
        <f>[9]!id549?conid</f>
        <v>11656</v>
      </c>
      <c r="O677" s="6">
        <f>[9]!id549?minTick</f>
        <v>0.01</v>
      </c>
      <c r="P677" s="6">
        <f>[9]!id549?multiplier</f>
        <v>0</v>
      </c>
      <c r="Q677" s="6" t="str">
        <f>[9]!id549?marketName</f>
        <v>RJF</v>
      </c>
      <c r="R677" s="6" t="str">
        <f>[9]!id549?tradingClass</f>
        <v>RJF</v>
      </c>
    </row>
    <row r="678" spans="1:18" hidden="1" x14ac:dyDescent="0.2">
      <c r="A678" t="s">
        <v>707</v>
      </c>
      <c r="B678" s="13" t="s">
        <v>12</v>
      </c>
      <c r="C678" s="13" t="b">
        <f t="shared" si="10"/>
        <v>1</v>
      </c>
      <c r="D678" s="13"/>
      <c r="E678" s="63"/>
      <c r="F678" s="13"/>
      <c r="G678" s="13"/>
      <c r="H678" s="13" t="s">
        <v>68</v>
      </c>
      <c r="I678" s="101" t="s">
        <v>44</v>
      </c>
      <c r="J678" s="101"/>
      <c r="K678" s="6">
        <f>[9]!'id550?req?ARE_STK_SMART_USD_~/'</f>
        <v>0</v>
      </c>
      <c r="L678" s="6" t="str">
        <f>[9]!id550?orderTypes</f>
        <v>ACTIVETIM,ADJUST,ALERT,ALGO,ALLOC,AON,AVGCOST,BASKET,COND,CONDORDER,DARKONLY,DARKPOLL,DAY,DEACT,DEACTDIS,DEACTEOD,DIS,GAT,GTC,GTD,GTT,HID,IBKRATS,ICE,IMB,IOC,LIT,LMT,LOC,MIT,MKT,MOC,MTL,NGCOMB,NODARK,NONALGO,OCA,OPG,OPGREROUT,PEGBENCH,POSTONLY,PREOPGRTH,R</v>
      </c>
      <c r="M678" s="6" t="str">
        <f>[9]!id550?validExchanges</f>
        <v>SMART,NYSE,CBOE,ISE,CHX,ARCA,ISLAND,DRCTEDGE,NSX,BEX,BATS,EDGEA,CSFBALGO,JEFFALGO,BYX,IEX,TPLUS2,PSX</v>
      </c>
      <c r="N678" s="6">
        <f>[9]!id550?conid</f>
        <v>6607487</v>
      </c>
      <c r="O678" s="6">
        <f>[9]!id550?minTick</f>
        <v>0.01</v>
      </c>
      <c r="P678" s="6">
        <f>[9]!id550?multiplier</f>
        <v>0</v>
      </c>
      <c r="Q678" s="6" t="str">
        <f>[9]!id550?marketName</f>
        <v>ARE</v>
      </c>
      <c r="R678" s="6" t="str">
        <f>[9]!id550?tradingClass</f>
        <v>ARE</v>
      </c>
    </row>
    <row r="679" spans="1:18" hidden="1" x14ac:dyDescent="0.2">
      <c r="A679" t="s">
        <v>708</v>
      </c>
      <c r="B679" s="13" t="s">
        <v>12</v>
      </c>
      <c r="C679" s="13" t="b">
        <f t="shared" si="10"/>
        <v>1</v>
      </c>
      <c r="D679" s="13"/>
      <c r="E679" s="63"/>
      <c r="F679" s="13"/>
      <c r="G679" s="13"/>
      <c r="H679" s="13" t="s">
        <v>68</v>
      </c>
      <c r="I679" s="101" t="s">
        <v>44</v>
      </c>
      <c r="J679" s="101"/>
      <c r="K679" s="6">
        <f>[9]!'id551?req?STE_STK_SMART_USD_~/'</f>
        <v>0</v>
      </c>
      <c r="L679" s="6" t="str">
        <f>[9]!id551?orderTypes</f>
        <v>ACTIVETIM,ADJUST,ALERT,ALGO,ALLOC,AON,AVGCOST,BASKET,COND,CONDORDER,DARKONLY,DARKPOLL,DAY,DEACT,DEACTDIS,DEACTEOD,DIS,GAT,GTC,GTD,GTT,HID,IBKRATS,ICE,IMB,IOC,LIT,LMT,LOC,MIT,MKT,MOC,MTL,NGCOMB,NODARK,NONALGO,OCA,OPG,OPGREROUT,PEGBENCH,POSTONLY,PREOPGRTH,R</v>
      </c>
      <c r="M679" s="6" t="str">
        <f>[9]!id551?validExchanges</f>
        <v>SMART,NYSE,CBOE,ISE,CHX,ARCA,ISLAND,DRCTEDGE,NSX,BEX,BATS,EDGEA,CSFBALGO,JEFFALGO,BYX,IEX,TPLUS2,PSX</v>
      </c>
      <c r="N679" s="6">
        <f>[9]!id551?conid</f>
        <v>211003293</v>
      </c>
      <c r="O679" s="6">
        <f>[9]!id551?minTick</f>
        <v>0.01</v>
      </c>
      <c r="P679" s="6">
        <f>[9]!id551?multiplier</f>
        <v>0</v>
      </c>
      <c r="Q679" s="6" t="str">
        <f>[9]!id551?marketName</f>
        <v>STE</v>
      </c>
      <c r="R679" s="6" t="str">
        <f>[9]!id551?tradingClass</f>
        <v>STE</v>
      </c>
    </row>
    <row r="680" spans="1:18" hidden="1" x14ac:dyDescent="0.2">
      <c r="A680" t="s">
        <v>709</v>
      </c>
      <c r="B680" s="13" t="s">
        <v>12</v>
      </c>
      <c r="C680" s="13" t="b">
        <f t="shared" si="10"/>
        <v>0</v>
      </c>
      <c r="D680" s="13"/>
      <c r="E680" s="63"/>
      <c r="F680" s="13"/>
      <c r="G680" s="13"/>
      <c r="H680" s="13" t="s">
        <v>68</v>
      </c>
      <c r="I680" s="101" t="s">
        <v>44</v>
      </c>
      <c r="J680" s="101"/>
      <c r="K680" s="6">
        <f>[9]!'id552?req?AMCX_STK_SMART_USD_~/'</f>
        <v>0</v>
      </c>
      <c r="L680" s="6" t="str">
        <f>[9]!id552?orderTypes</f>
        <v>ACTIVETIM,ADJUST,ALERT,ALGO,ALLOC,AON,AVGCOST,BASKET,COND,CONDORDER,DARKONLY,DARKPOLL,DAY,DEACT,DEACTDIS,DEACTEOD,DIS,GAT,GTC,GTD,GTT,HID,IBKRATS,ICE,IMB,IOC,LIT,LMT,LOC,MIT,MKT,MOC,MTL,NGCOMB,NODARK,NONALGO,OCA,OPG,OPGREROUT,PEGBENCH,POSTONLY,PREOPGRTH,R</v>
      </c>
      <c r="M680" s="6" t="str">
        <f>[9]!id552?validExchanges</f>
        <v>SMART,CBOE,ISE,CHX,ARCA,ISLAND,DRCTEDGE,NSX,BEX,BATS,EDGEA,CSFBALGO,JEFFALGO,BYX,IEX,TPLUS2,PSX</v>
      </c>
      <c r="N680" s="6">
        <f>[9]!id552?conid</f>
        <v>89520835</v>
      </c>
      <c r="O680" s="6">
        <f>[9]!id552?minTick</f>
        <v>0.01</v>
      </c>
      <c r="P680" s="6">
        <f>[9]!id552?multiplier</f>
        <v>0</v>
      </c>
      <c r="Q680" s="6" t="str">
        <f>[9]!id552?marketName</f>
        <v>NMS</v>
      </c>
      <c r="R680" s="6" t="str">
        <f>[9]!id552?tradingClass</f>
        <v>NMS</v>
      </c>
    </row>
    <row r="681" spans="1:18" hidden="1" x14ac:dyDescent="0.2">
      <c r="A681" t="s">
        <v>710</v>
      </c>
      <c r="B681" s="13" t="s">
        <v>12</v>
      </c>
      <c r="C681" s="13" t="b">
        <f t="shared" si="10"/>
        <v>0</v>
      </c>
      <c r="D681" s="13"/>
      <c r="E681" s="63"/>
      <c r="F681" s="13"/>
      <c r="G681" s="13"/>
      <c r="H681" s="13" t="s">
        <v>68</v>
      </c>
      <c r="I681" s="101" t="s">
        <v>44</v>
      </c>
      <c r="J681" s="101"/>
      <c r="K681" s="6">
        <f>[9]!'id553?req?ULTI_STK_SMART_USD_~/'</f>
        <v>0</v>
      </c>
      <c r="L681" s="6" t="str">
        <f>[9]!id553?orderTypes</f>
        <v>ACTIVETIM,ADJUST,ALERT,ALGO,ALLOC,AON,AVGCOST,BASKET,COND,CONDORDER,DARKONLY,DARKPOLL,DAY,DEACT,DEACTDIS,DEACTEOD,DIS,GAT,GTC,GTD,GTT,HID,IBKRATS,ICE,IMB,IOC,LIT,LMT,LOC,MIT,MKT,MOC,MTL,NGCOMB,NODARK,NONALGO,OCA,OPG,OPGREROUT,PEGBENCH,POSTONLY,PREOPGRTH,R</v>
      </c>
      <c r="M681" s="6" t="str">
        <f>[9]!id553?validExchanges</f>
        <v>SMART,CBOE,ISE,CHX,ARCA,ISLAND,DRCTEDGE,NSX,BEX,BATS,EDGEA,CSFBALGO,JEFFALGO,BYX,IEX,TPLUS2,PSX</v>
      </c>
      <c r="N681" s="6">
        <f>[9]!id553?conid</f>
        <v>6858367</v>
      </c>
      <c r="O681" s="6">
        <f>[9]!id553?minTick</f>
        <v>0.01</v>
      </c>
      <c r="P681" s="6">
        <f>[9]!id553?multiplier</f>
        <v>0</v>
      </c>
      <c r="Q681" s="6" t="str">
        <f>[9]!id553?marketName</f>
        <v>NMS</v>
      </c>
      <c r="R681" s="6" t="str">
        <f>[9]!id553?tradingClass</f>
        <v>NMS</v>
      </c>
    </row>
    <row r="682" spans="1:18" hidden="1" x14ac:dyDescent="0.2">
      <c r="A682" t="s">
        <v>711</v>
      </c>
      <c r="B682" s="13" t="s">
        <v>12</v>
      </c>
      <c r="C682" s="13" t="b">
        <f t="shared" si="10"/>
        <v>0</v>
      </c>
      <c r="D682" s="13"/>
      <c r="E682" s="63"/>
      <c r="F682" s="13"/>
      <c r="G682" s="13"/>
      <c r="H682" s="13" t="s">
        <v>68</v>
      </c>
      <c r="I682" s="101" t="s">
        <v>44</v>
      </c>
      <c r="J682" s="101"/>
      <c r="K682" s="6">
        <f>[9]!'id554?req?KITE_STK_SMART_USD_~/'</f>
        <v>0</v>
      </c>
      <c r="L682" s="6" t="str">
        <f>[9]!id554?orderTypes</f>
        <v>ACTIVETIM,ADJUST,ALERT,ALGO,ALLOC,AON,AVGCOST,BASKET,COND,CONDORDER,DARKONLY,DARKPOLL,DAY,DEACT,DEACTDIS,DEACTEOD,DIS,GAT,GTC,GTD,GTT,HID,IBKRATS,ICE,IMB,IOC,LIT,LMT,LOC,MIT,MKT,MOC,MTL,NGCOMB,NODARK,NONALGO,OCA,OPG,OPGREROUT,PEGBENCH,POSTONLY,PREOPGRTH,R</v>
      </c>
      <c r="M682" s="6" t="str">
        <f>[9]!id554?validExchanges</f>
        <v>SMART,CBOE,ISE,CHX,ARCA,ISLAND,DRCTEDGE,NSX,BEX,BATS,EDGEA,CSFBALGO,JEFFALGO,BYX,IEX,TPLUS2,PSX</v>
      </c>
      <c r="N682" s="6">
        <f>[9]!id554?conid</f>
        <v>156953397</v>
      </c>
      <c r="O682" s="6">
        <f>[9]!id554?minTick</f>
        <v>0.01</v>
      </c>
      <c r="P682" s="6">
        <f>[9]!id554?multiplier</f>
        <v>0</v>
      </c>
      <c r="Q682" s="6" t="str">
        <f>[9]!id554?marketName</f>
        <v>NMS</v>
      </c>
      <c r="R682" s="6" t="str">
        <f>[9]!id554?tradingClass</f>
        <v>NMS</v>
      </c>
    </row>
    <row r="683" spans="1:18" hidden="1" x14ac:dyDescent="0.2">
      <c r="A683" t="s">
        <v>712</v>
      </c>
      <c r="B683" s="13" t="s">
        <v>12</v>
      </c>
      <c r="C683" s="13" t="b">
        <f t="shared" si="10"/>
        <v>0</v>
      </c>
      <c r="D683" s="13"/>
      <c r="E683" s="63"/>
      <c r="F683" s="13"/>
      <c r="G683" s="13"/>
      <c r="H683" s="13" t="s">
        <v>68</v>
      </c>
      <c r="I683" s="101" t="s">
        <v>44</v>
      </c>
      <c r="J683" s="101"/>
      <c r="K683" s="6">
        <f>[9]!'id555?req?ALGN_STK_SMART_USD_~/'</f>
        <v>0</v>
      </c>
      <c r="L683" s="6" t="str">
        <f>[9]!id555?orderTypes</f>
        <v>ACTIVETIM,ADJUST,ALERT,ALGO,ALLOC,AON,AVGCOST,BASKET,COND,CONDORDER,DARKONLY,DARKPOLL,DAY,DEACT,DEACTDIS,DEACTEOD,DIS,GAT,GTC,GTD,GTT,HID,IBKRATS,ICE,IMB,IOC,LIT,LMT,LOC,MIT,MKT,MOC,MTL,NGCOMB,NODARK,NONALGO,OCA,OPG,OPGREROUT,PEGBENCH,POSTONLY,PREOPGRTH,R</v>
      </c>
      <c r="M683" s="6" t="str">
        <f>[9]!id555?validExchanges</f>
        <v>SMART,CBOE,ISE,CHX,ARCA,ISLAND,DRCTEDGE,NSX,BEX,BATS,EDGEA,CSFBALGO,JEFFALGO,BYX,IEX,TPLUS2,PSX</v>
      </c>
      <c r="N683" s="6">
        <f>[9]!id555?conid</f>
        <v>11459264</v>
      </c>
      <c r="O683" s="6">
        <f>[9]!id555?minTick</f>
        <v>0.01</v>
      </c>
      <c r="P683" s="6">
        <f>[9]!id555?multiplier</f>
        <v>0</v>
      </c>
      <c r="Q683" s="6" t="str">
        <f>[9]!id555?marketName</f>
        <v>NMS</v>
      </c>
      <c r="R683" s="6" t="str">
        <f>[9]!id555?tradingClass</f>
        <v>NMS</v>
      </c>
    </row>
    <row r="684" spans="1:18" hidden="1" x14ac:dyDescent="0.2">
      <c r="A684" t="s">
        <v>713</v>
      </c>
      <c r="B684" s="13" t="s">
        <v>12</v>
      </c>
      <c r="C684" s="13" t="b">
        <f t="shared" si="10"/>
        <v>0</v>
      </c>
      <c r="D684" s="13"/>
      <c r="E684" s="63"/>
      <c r="F684" s="13"/>
      <c r="G684" s="13"/>
      <c r="H684" s="13" t="s">
        <v>68</v>
      </c>
      <c r="I684" s="101" t="s">
        <v>44</v>
      </c>
      <c r="J684" s="101"/>
      <c r="K684" s="6">
        <f>[9]!'id556?req?AAXJ_STK_SMART_USD_~/'</f>
        <v>0</v>
      </c>
      <c r="L684" s="6" t="str">
        <f>[9]!id556?orderTypes</f>
        <v>ACTIVETIM,ADJUST,ALERT,ALGO,ALLOC,AON,AVGCOST,BASKET,COND,CONDORDER,DARKONLY,DARKPOLL,DAY,DEACT,DEACTDIS,DEACTEOD,DIS,GAT,GTC,GTD,GTT,HID,IBKRATS,ICE,IMB,IOC,LIT,LMT,LOC,MIT,MKT,MOC,MTL,NGCOMB,NODARK,NONALGO,OCA,OPG,OPGREROUT,PEGBENCH,POSTONLY,PREOPGRTH,R</v>
      </c>
      <c r="M684" s="6" t="str">
        <f>[9]!id556?validExchanges</f>
        <v>SMART,CBOE,ISE,CHX,ARCA,ISLAND,DRCTEDGE,NSX,BEX,BATS,EDGEA,CSFBALGO,JEFFALGO,BYX,IEX,TPLUS2,PSX</v>
      </c>
      <c r="N684" s="6">
        <f>[9]!id556?conid</f>
        <v>53224215</v>
      </c>
      <c r="O684" s="6">
        <f>[9]!id556?minTick</f>
        <v>0.01</v>
      </c>
      <c r="P684" s="6">
        <f>[9]!id556?multiplier</f>
        <v>0</v>
      </c>
      <c r="Q684" s="6" t="str">
        <f>[9]!id556?marketName</f>
        <v>NMS</v>
      </c>
      <c r="R684" s="6" t="str">
        <f>[9]!id556?tradingClass</f>
        <v>NMS</v>
      </c>
    </row>
    <row r="685" spans="1:18" hidden="1" x14ac:dyDescent="0.2">
      <c r="A685" t="s">
        <v>714</v>
      </c>
      <c r="B685" s="13" t="s">
        <v>12</v>
      </c>
      <c r="C685" s="13" t="b">
        <f t="shared" si="10"/>
        <v>1</v>
      </c>
      <c r="D685" s="13"/>
      <c r="E685" s="63"/>
      <c r="F685" s="13"/>
      <c r="G685" s="13"/>
      <c r="H685" s="13" t="s">
        <v>68</v>
      </c>
      <c r="I685" s="101" t="s">
        <v>44</v>
      </c>
      <c r="J685" s="101"/>
      <c r="K685" s="6">
        <f>[9]!'id557?req?ELLI_STK_SMART_USD_~/'</f>
        <v>0</v>
      </c>
      <c r="L685" s="6" t="str">
        <f>[9]!id557?orderTypes</f>
        <v>ACTIVETIM,ADJUST,ALERT,ALGO,ALLOC,AON,AVGCOST,BASKET,COND,CONDORDER,DARKONLY,DARKPOLL,DAY,DEACT,DEACTDIS,DEACTEOD,DIS,GAT,GTC,GTD,GTT,HID,IBKRATS,ICE,IMB,IOC,LIT,LMT,LOC,MIT,MKT,MOC,MTL,NGCOMB,NODARK,NONALGO,OCA,OPG,OPGREROUT,PEGBENCH,POSTONLY,PREOPGRTH,R</v>
      </c>
      <c r="M685" s="6" t="str">
        <f>[9]!id557?validExchanges</f>
        <v>SMART,NYSE,CBOE,ISE,CHX,ARCA,ISLAND,DRCTEDGE,NSX,BEX,BATS,EDGEA,CSFBALGO,JEFFALGO,BYX,IEX,TPLUS2,PSX</v>
      </c>
      <c r="N685" s="6">
        <f>[9]!id557?conid</f>
        <v>86766111</v>
      </c>
      <c r="O685" s="6">
        <f>[9]!id557?minTick</f>
        <v>0.01</v>
      </c>
      <c r="P685" s="6">
        <f>[9]!id557?multiplier</f>
        <v>0</v>
      </c>
      <c r="Q685" s="6" t="str">
        <f>[9]!id557?marketName</f>
        <v>ELLI</v>
      </c>
      <c r="R685" s="6" t="str">
        <f>[9]!id557?tradingClass</f>
        <v>ELLI</v>
      </c>
    </row>
    <row r="686" spans="1:18" hidden="1" x14ac:dyDescent="0.2">
      <c r="A686" t="s">
        <v>715</v>
      </c>
      <c r="B686" s="13" t="s">
        <v>12</v>
      </c>
      <c r="C686" s="13" t="b">
        <f t="shared" si="10"/>
        <v>0</v>
      </c>
      <c r="D686" s="13"/>
      <c r="E686" s="63"/>
      <c r="F686" s="13"/>
      <c r="G686" s="13"/>
      <c r="H686" s="13" t="s">
        <v>68</v>
      </c>
      <c r="I686" s="101" t="s">
        <v>44</v>
      </c>
      <c r="J686" s="101"/>
      <c r="K686" s="6">
        <f>[9]!'id558?req?ACHC_STK_SMART_USD_~/'</f>
        <v>0</v>
      </c>
      <c r="L686" s="6" t="str">
        <f>[9]!id558?orderTypes</f>
        <v>ACTIVETIM,ADJUST,ALERT,ALGO,ALLOC,AON,AVGCOST,BASKET,COND,CONDORDER,DARKONLY,DARKPOLL,DAY,DEACT,DEACTDIS,DEACTEOD,DIS,GAT,GTC,GTD,GTT,HID,IBKRATS,ICE,IMB,IOC,LIT,LMT,LOC,MIT,MKT,MOC,MTL,NGCOMB,NODARK,NONALGO,OCA,OPG,OPGREROUT,PEGBENCH,POSTONLY,PREOPGRTH,R</v>
      </c>
      <c r="M686" s="6" t="str">
        <f>[9]!id558?validExchanges</f>
        <v>SMART,CBOE,ISE,CHX,ARCA,ISLAND,DRCTEDGE,NSX,BEX,BATS,EDGEA,CSFBALGO,JEFFALGO,BYX,IEX,TPLUS2,PSX</v>
      </c>
      <c r="N686" s="6">
        <f>[9]!id558?conid</f>
        <v>96983623</v>
      </c>
      <c r="O686" s="6">
        <f>[9]!id558?minTick</f>
        <v>0.01</v>
      </c>
      <c r="P686" s="6">
        <f>[9]!id558?multiplier</f>
        <v>0</v>
      </c>
      <c r="Q686" s="6" t="str">
        <f>[9]!id558?marketName</f>
        <v>NMS</v>
      </c>
      <c r="R686" s="6" t="str">
        <f>[9]!id558?tradingClass</f>
        <v>NMS</v>
      </c>
    </row>
    <row r="687" spans="1:18" hidden="1" x14ac:dyDescent="0.2">
      <c r="A687" t="s">
        <v>716</v>
      </c>
      <c r="B687" s="13" t="s">
        <v>12</v>
      </c>
      <c r="C687" s="13" t="b">
        <f t="shared" si="10"/>
        <v>0</v>
      </c>
      <c r="D687" s="13"/>
      <c r="E687" s="63"/>
      <c r="F687" s="13"/>
      <c r="G687" s="13"/>
      <c r="H687" s="13" t="s">
        <v>68</v>
      </c>
      <c r="I687" s="101" t="s">
        <v>44</v>
      </c>
      <c r="J687" s="101"/>
      <c r="K687" s="6">
        <f>[9]!'id559?req?IAC_STK_SMART_USD_~/'</f>
        <v>0</v>
      </c>
      <c r="L687" s="6" t="str">
        <f>[9]!id559?orderTypes</f>
        <v>ACTIVETIM,ADJUST,ALERT,ALGO,ALLOC,AON,AVGCOST,BASKET,COND,CONDORDER,DARKONLY,DARKPOLL,DAY,DEACT,DEACTDIS,DEACTEOD,DIS,GAT,GTC,GTD,GTT,HID,IBKRATS,ICE,IMB,IOC,LIT,LMT,LOC,MIT,MKT,MOC,MTL,NGCOMB,NODARK,NONALGO,OCA,OPG,OPGREROUT,PEGBENCH,POSTONLY,PREOPGRTH,R</v>
      </c>
      <c r="M687" s="6" t="str">
        <f>[9]!id559?validExchanges</f>
        <v>SMART,CBOE,ISE,CHX,ARCA,ISLAND,DRCTEDGE,NSX,BEX,BATS,EDGEA,CSFBALGO,JEFFALGO,BYX,IEX,TPLUS2,PSX</v>
      </c>
      <c r="N687" s="6">
        <f>[9]!id559?conid</f>
        <v>53145883</v>
      </c>
      <c r="O687" s="6">
        <f>[9]!id559?minTick</f>
        <v>0.01</v>
      </c>
      <c r="P687" s="6">
        <f>[9]!id559?multiplier</f>
        <v>0</v>
      </c>
      <c r="Q687" s="6" t="str">
        <f>[9]!id559?marketName</f>
        <v>NMS</v>
      </c>
      <c r="R687" s="6" t="str">
        <f>[9]!id559?tradingClass</f>
        <v>NMS</v>
      </c>
    </row>
    <row r="688" spans="1:18" hidden="1" x14ac:dyDescent="0.2">
      <c r="A688" t="s">
        <v>717</v>
      </c>
      <c r="B688" s="13" t="s">
        <v>12</v>
      </c>
      <c r="C688" s="13" t="b">
        <f t="shared" si="10"/>
        <v>1</v>
      </c>
      <c r="D688" s="13"/>
      <c r="E688" s="63"/>
      <c r="F688" s="13"/>
      <c r="G688" s="13"/>
      <c r="H688" s="13" t="s">
        <v>68</v>
      </c>
      <c r="I688" s="101" t="s">
        <v>44</v>
      </c>
      <c r="J688" s="101"/>
      <c r="K688" s="6">
        <f>[9]!'id560?req?SIX_STK_SMART_USD_~/'</f>
        <v>0</v>
      </c>
      <c r="L688" s="6" t="str">
        <f>[9]!id560?orderTypes</f>
        <v>ACTIVETIM,ADJUST,ALERT,ALGO,ALLOC,AON,AVGCOST,BASKET,COND,CONDORDER,DARKONLY,DARKPOLL,DAY,DEACT,DEACTDIS,DEACTEOD,DIS,GAT,GTC,GTD,GTT,HID,IBKRATS,ICE,IMB,IOC,LIT,LMT,LOC,MIT,MKT,MOC,MTL,NGCOMB,NODARK,NONALGO,OCA,OPG,OPGREROUT,PEGBENCH,POSTONLY,PREOPGRTH,R</v>
      </c>
      <c r="M688" s="6" t="str">
        <f>[9]!id560?validExchanges</f>
        <v>SMART,NYSE,CBOE,ISE,CHX,ARCA,ISLAND,DRCTEDGE,NSX,BEX,BATS,EDGEA,CSFBALGO,JEFFALGO,BYX,IEX,TPLUS2,PSX</v>
      </c>
      <c r="N688" s="6">
        <f>[9]!id560?conid</f>
        <v>75103410</v>
      </c>
      <c r="O688" s="6">
        <f>[9]!id560?minTick</f>
        <v>0.01</v>
      </c>
      <c r="P688" s="6">
        <f>[9]!id560?multiplier</f>
        <v>0</v>
      </c>
      <c r="Q688" s="6" t="str">
        <f>[9]!id560?marketName</f>
        <v>SIX</v>
      </c>
      <c r="R688" s="6" t="str">
        <f>[9]!id560?tradingClass</f>
        <v>SIX</v>
      </c>
    </row>
    <row r="689" spans="1:18" hidden="1" x14ac:dyDescent="0.2">
      <c r="A689" t="s">
        <v>718</v>
      </c>
      <c r="B689" s="13" t="s">
        <v>12</v>
      </c>
      <c r="C689" s="13" t="b">
        <f t="shared" si="10"/>
        <v>1</v>
      </c>
      <c r="D689" s="13"/>
      <c r="E689" s="63"/>
      <c r="F689" s="13"/>
      <c r="G689" s="13"/>
      <c r="H689" s="13" t="s">
        <v>68</v>
      </c>
      <c r="I689" s="101" t="s">
        <v>44</v>
      </c>
      <c r="J689" s="101"/>
      <c r="K689" s="6">
        <f>[9]!'id561?req?BAP_STK_SMART_USD_~/'</f>
        <v>0</v>
      </c>
      <c r="L689" s="6" t="str">
        <f>[9]!id561?orderTypes</f>
        <v>ACTIVETIM,ADJUST,ALERT,ALGO,ALLOC,AON,AVGCOST,BASKET,COND,CONDORDER,DARKONLY,DARKPOLL,DAY,DEACT,DEACTDIS,DEACTEOD,DIS,GAT,GTC,GTD,GTT,HID,IBKRATS,ICE,IMB,IOC,LIT,LMT,LOC,MIT,MKT,MOC,MTL,NGCOMB,NODARK,NONALGO,OCA,OPG,OPGREROUT,PEGBENCH,POSTONLY,PREOPGRTH,R</v>
      </c>
      <c r="M689" s="6" t="str">
        <f>[9]!id561?validExchanges</f>
        <v>SMART,NYSE,CBOE,ISE,CHX,ARCA,ISLAND,DRCTEDGE,NSX,BEX,BATS,EDGEA,CSFBALGO,JEFFALGO,BYX,IEX,TPLUS2,PSX</v>
      </c>
      <c r="N689" s="6">
        <f>[9]!id561?conid</f>
        <v>2006458</v>
      </c>
      <c r="O689" s="6">
        <f>[9]!id561?minTick</f>
        <v>0.01</v>
      </c>
      <c r="P689" s="6">
        <f>[9]!id561?multiplier</f>
        <v>0</v>
      </c>
      <c r="Q689" s="6" t="str">
        <f>[9]!id561?marketName</f>
        <v>BAP</v>
      </c>
      <c r="R689" s="6" t="str">
        <f>[9]!id561?tradingClass</f>
        <v>BAP</v>
      </c>
    </row>
    <row r="690" spans="1:18" hidden="1" x14ac:dyDescent="0.2">
      <c r="A690" t="s">
        <v>719</v>
      </c>
      <c r="B690" s="13" t="s">
        <v>12</v>
      </c>
      <c r="C690" s="13" t="b">
        <f t="shared" si="10"/>
        <v>1</v>
      </c>
      <c r="D690" s="13"/>
      <c r="E690" s="63"/>
      <c r="F690" s="13"/>
      <c r="G690" s="13"/>
      <c r="H690" s="13" t="s">
        <v>68</v>
      </c>
      <c r="I690" s="101" t="s">
        <v>44</v>
      </c>
      <c r="J690" s="101"/>
      <c r="K690" s="6">
        <f>[9]!'id562?req?WCG_STK_SMART_USD_~/'</f>
        <v>0</v>
      </c>
      <c r="L690" s="6" t="str">
        <f>[9]!id562?orderTypes</f>
        <v>ACTIVETIM,ADJUST,ALERT,ALGO,ALLOC,AON,AVGCOST,BASKET,COND,CONDORDER,DARKONLY,DARKPOLL,DAY,DEACT,DEACTDIS,DEACTEOD,DIS,GAT,GTC,GTD,GTT,HID,IBKRATS,ICE,IMB,IOC,LIT,LMT,LOC,MIT,MKT,MOC,MTL,NGCOMB,NODARK,NONALGO,OCA,OPG,OPGREROUT,PEGBENCH,POSTONLY,PREOPGRTH,R</v>
      </c>
      <c r="M690" s="6" t="str">
        <f>[9]!id562?validExchanges</f>
        <v>SMART,NYSE,CBOE,ISE,CHX,ARCA,ISLAND,DRCTEDGE,NSX,BEX,BATS,EDGEA,CSFBALGO,JEFFALGO,BYX,IEX,TPLUS2,PSX</v>
      </c>
      <c r="N690" s="6">
        <f>[9]!id562?conid</f>
        <v>29718938</v>
      </c>
      <c r="O690" s="6">
        <f>[9]!id562?minTick</f>
        <v>0.01</v>
      </c>
      <c r="P690" s="6">
        <f>[9]!id562?multiplier</f>
        <v>0</v>
      </c>
      <c r="Q690" s="6" t="str">
        <f>[9]!id562?marketName</f>
        <v>WCG</v>
      </c>
      <c r="R690" s="6" t="str">
        <f>[9]!id562?tradingClass</f>
        <v>WCG</v>
      </c>
    </row>
    <row r="691" spans="1:18" hidden="1" x14ac:dyDescent="0.2">
      <c r="A691" t="s">
        <v>720</v>
      </c>
      <c r="B691" s="13" t="s">
        <v>12</v>
      </c>
      <c r="C691" s="13" t="b">
        <f t="shared" si="10"/>
        <v>1</v>
      </c>
      <c r="D691" s="13"/>
      <c r="E691" s="63"/>
      <c r="F691" s="13"/>
      <c r="G691" s="13"/>
      <c r="H691" s="13" t="s">
        <v>68</v>
      </c>
      <c r="I691" s="101" t="s">
        <v>44</v>
      </c>
      <c r="J691" s="101"/>
      <c r="K691" s="6">
        <f>[9]!'id563?req?MD_STK_SMART_USD_~/'</f>
        <v>0</v>
      </c>
      <c r="L691" s="6" t="str">
        <f>[9]!id563?orderTypes</f>
        <v>ACTIVETIM,ADJUST,ALERT,ALGO,ALLOC,AON,AVGCOST,BASKET,COND,CONDORDER,DARKONLY,DARKPOLL,DAY,DEACT,DEACTDIS,DEACTEOD,DIS,GAT,GTC,GTD,GTT,HID,IBKRATS,ICE,IMB,IOC,LIT,LMT,LOC,MIT,MKT,MOC,MTL,NGCOMB,NODARK,NONALGO,OCA,OPG,OPGREROUT,PEGBENCH,POSTONLY,PREOPGRTH,R</v>
      </c>
      <c r="M691" s="6" t="str">
        <f>[9]!id563?validExchanges</f>
        <v>SMART,NYSE,CBOE,ISE,CHX,ARCA,ISLAND,DRCTEDGE,NSX,BEX,BATS,EDGEA,CSFBALGO,JEFFALGO,BYX,IEX,TPLUS2,PSX</v>
      </c>
      <c r="N691" s="6">
        <f>[9]!id563?conid</f>
        <v>56884113</v>
      </c>
      <c r="O691" s="6">
        <f>[9]!id563?minTick</f>
        <v>0.01</v>
      </c>
      <c r="P691" s="6">
        <f>[9]!id563?multiplier</f>
        <v>0</v>
      </c>
      <c r="Q691" s="6" t="str">
        <f>[9]!id563?marketName</f>
        <v>MD</v>
      </c>
      <c r="R691" s="6" t="str">
        <f>[9]!id563?tradingClass</f>
        <v>MD</v>
      </c>
    </row>
    <row r="692" spans="1:18" hidden="1" x14ac:dyDescent="0.2">
      <c r="A692" t="s">
        <v>721</v>
      </c>
      <c r="B692" s="13" t="s">
        <v>12</v>
      </c>
      <c r="C692" s="13" t="b">
        <f t="shared" si="10"/>
        <v>1</v>
      </c>
      <c r="D692" s="13"/>
      <c r="E692" s="63"/>
      <c r="F692" s="13"/>
      <c r="G692" s="13"/>
      <c r="H692" s="13" t="s">
        <v>68</v>
      </c>
      <c r="I692" s="101" t="s">
        <v>44</v>
      </c>
      <c r="J692" s="101"/>
      <c r="K692" s="6">
        <f>[9]!'id564?req?OA_STK_SMART_USD_~/'</f>
        <v>0</v>
      </c>
      <c r="L692" s="6" t="str">
        <f>[9]!id564?orderTypes</f>
        <v>ACTIVETIM,ADJUST,ALERT,ALGO,ALLOC,AON,AVGCOST,BASKET,COND,CONDORDER,DARKONLY,DARKPOLL,DAY,DEACT,DEACTDIS,DEACTEOD,DIS,GAT,GTC,GTD,GTT,HID,IBKRATS,ICE,IMB,IOC,LIT,LMT,LOC,MIT,MKT,MOC,MTL,NGCOMB,NODARK,NONALGO,OCA,OPG,OPGREROUT,PEGBENCH,POSTONLY,PREOPGRTH,R</v>
      </c>
      <c r="M692" s="6" t="str">
        <f>[9]!id564?validExchanges</f>
        <v>SMART,NYSE,CBOE,ISE,CHX,ARCA,ISLAND,VWAP,DRCTEDGE,NSX,BEX,BATS,EDGEA,CSFBALGO,JEFFALGO,BYX,IEX,TPLUS2,PSX</v>
      </c>
      <c r="N692" s="6">
        <f>[9]!id564?conid</f>
        <v>181150075</v>
      </c>
      <c r="O692" s="6">
        <f>[9]!id564?minTick</f>
        <v>0.01</v>
      </c>
      <c r="P692" s="6">
        <f>[9]!id564?multiplier</f>
        <v>0</v>
      </c>
      <c r="Q692" s="6" t="str">
        <f>[9]!id564?marketName</f>
        <v>OA</v>
      </c>
      <c r="R692" s="6" t="str">
        <f>[9]!id564?tradingClass</f>
        <v>OA</v>
      </c>
    </row>
    <row r="693" spans="1:18" hidden="1" x14ac:dyDescent="0.2">
      <c r="A693" t="s">
        <v>722</v>
      </c>
      <c r="B693" s="13" t="s">
        <v>12</v>
      </c>
      <c r="C693" s="13" t="b">
        <f t="shared" si="10"/>
        <v>1</v>
      </c>
      <c r="D693" s="13"/>
      <c r="E693" s="63"/>
      <c r="F693" s="13"/>
      <c r="G693" s="13"/>
      <c r="H693" s="13" t="s">
        <v>68</v>
      </c>
      <c r="I693" s="101" t="s">
        <v>44</v>
      </c>
      <c r="J693" s="101"/>
      <c r="K693" s="6">
        <f>[9]!'id565?req?TM_STK_SMART_USD_~/'</f>
        <v>0</v>
      </c>
      <c r="L693" s="6" t="str">
        <f>[9]!id565?orderTypes</f>
        <v>ACTIVETIM,ADJUST,ALERT,ALGO,ALLOC,AON,AVGCOST,BASKET,COND,CONDORDER,DARKONLY,DARKPOLL,DAY,DEACT,DEACTDIS,DEACTEOD,DIS,GAT,GTC,GTD,GTT,HID,IBKRATS,ICE,IMB,IOC,LIT,LMT,LOC,MIT,MKT,MOC,MTL,NGCOMB,NODARK,NONALGO,OCA,OPG,OPGREROUT,PEGBENCH,POSTONLY,PREOPGRTH,R</v>
      </c>
      <c r="M693" s="6" t="str">
        <f>[9]!id565?validExchanges</f>
        <v>SMART,NYSE,CBOE,ISE,CHX,ARCA,ISLAND,DRCTEDGE,NSX,BEX,BATS,EDGEA,CSFBALGO,JEFFALGO,BYX,IEX,TPLUS2,PSX</v>
      </c>
      <c r="N693" s="6">
        <f>[9]!id565?conid</f>
        <v>275241</v>
      </c>
      <c r="O693" s="6">
        <f>[9]!id565?minTick</f>
        <v>0.01</v>
      </c>
      <c r="P693" s="6">
        <f>[9]!id565?multiplier</f>
        <v>0</v>
      </c>
      <c r="Q693" s="6" t="str">
        <f>[9]!id565?marketName</f>
        <v>TM</v>
      </c>
      <c r="R693" s="6" t="str">
        <f>[9]!id565?tradingClass</f>
        <v>TM</v>
      </c>
    </row>
    <row r="694" spans="1:18" hidden="1" x14ac:dyDescent="0.2">
      <c r="A694" t="s">
        <v>723</v>
      </c>
      <c r="B694" s="13" t="s">
        <v>12</v>
      </c>
      <c r="C694" s="13" t="b">
        <f t="shared" si="10"/>
        <v>1</v>
      </c>
      <c r="D694" s="13"/>
      <c r="E694" s="63"/>
      <c r="F694" s="13"/>
      <c r="G694" s="13"/>
      <c r="H694" s="13" t="s">
        <v>68</v>
      </c>
      <c r="I694" s="101" t="s">
        <v>44</v>
      </c>
      <c r="J694" s="101"/>
      <c r="K694" s="6">
        <f>[9]!'id566?req?TYL_STK_SMART_USD_~/'</f>
        <v>0</v>
      </c>
      <c r="L694" s="6" t="str">
        <f>[9]!id566?orderTypes</f>
        <v>ACTIVETIM,ADJUST,ALERT,ALGO,ALLOC,AON,AVGCOST,BASKET,COND,CONDORDER,DARKONLY,DARKPOLL,DAY,DEACT,DEACTDIS,DEACTEOD,DIS,GAT,GTC,GTD,GTT,HID,IBKRATS,ICE,IMB,IOC,LIT,LMT,LOC,MIT,MKT,MOC,MTL,NGCOMB,NODARK,NONALGO,OCA,OPG,OPGREROUT,PEGBENCH,POSTONLY,PREOPGRTH,R</v>
      </c>
      <c r="M694" s="6" t="str">
        <f>[9]!id566?validExchanges</f>
        <v>SMART,NYSE,CBOE,ISE,CHX,ARCA,ISLAND,DRCTEDGE,NSX,BEX,BATS,EDGEA,CSFBALGO,JEFFALGO,BYX,IEX,TPLUS2,PSX</v>
      </c>
      <c r="N694" s="6">
        <f>[9]!id566?conid</f>
        <v>13116</v>
      </c>
      <c r="O694" s="6">
        <f>[9]!id566?minTick</f>
        <v>0.01</v>
      </c>
      <c r="P694" s="6">
        <f>[9]!id566?multiplier</f>
        <v>0</v>
      </c>
      <c r="Q694" s="6" t="str">
        <f>[9]!id566?marketName</f>
        <v>TYL</v>
      </c>
      <c r="R694" s="6" t="str">
        <f>[9]!id566?tradingClass</f>
        <v>TYL</v>
      </c>
    </row>
    <row r="695" spans="1:18" hidden="1" x14ac:dyDescent="0.2">
      <c r="A695" t="s">
        <v>724</v>
      </c>
      <c r="B695" s="13" t="s">
        <v>12</v>
      </c>
      <c r="C695" s="13" t="b">
        <f t="shared" si="10"/>
        <v>0</v>
      </c>
      <c r="D695" s="13"/>
      <c r="E695" s="63"/>
      <c r="F695" s="13"/>
      <c r="G695" s="13"/>
      <c r="H695" s="13" t="s">
        <v>68</v>
      </c>
      <c r="I695" s="101" t="s">
        <v>44</v>
      </c>
      <c r="J695" s="101"/>
      <c r="K695" s="6">
        <f>[9]!'id567?req?WBMD_STK_SMART_USD_~/'</f>
        <v>0</v>
      </c>
      <c r="L695" s="6" t="str">
        <f>[9]!id567?orderTypes</f>
        <v>ACTIVETIM,ADJUST,ALERT,ALGO,ALLOC,AON,AVGCOST,BASKET,COND,CONDORDER,DARKONLY,DARKPOLL,DAY,DEACT,DEACTDIS,DEACTEOD,DIS,GAT,GTC,GTD,GTT,HID,IBKRATS,ICE,IMB,IOC,LIT,LMT,LOC,MIT,MKT,MOC,MTL,NGCOMB,NODARK,NONALGO,OCA,OPG,OPGREROUT,PEGBENCH,POSTONLY,PREOPGRTH,R</v>
      </c>
      <c r="M695" s="6" t="str">
        <f>[9]!id567?validExchanges</f>
        <v>SMART,CBOE,ISE,CHX,ARCA,ISLAND,DRCTEDGE,NSX,BEX,BATS,EDGEA,CSFBALGO,JEFFALGO,BYX,IEX,TPLUS2,PSX</v>
      </c>
      <c r="N695" s="6">
        <f>[9]!id567?conid</f>
        <v>36206901</v>
      </c>
      <c r="O695" s="6">
        <f>[9]!id567?minTick</f>
        <v>0.01</v>
      </c>
      <c r="P695" s="6">
        <f>[9]!id567?multiplier</f>
        <v>0</v>
      </c>
      <c r="Q695" s="6" t="str">
        <f>[9]!id567?marketName</f>
        <v>NMS</v>
      </c>
      <c r="R695" s="6" t="str">
        <f>[9]!id567?tradingClass</f>
        <v>NMS</v>
      </c>
    </row>
    <row r="696" spans="1:18" hidden="1" x14ac:dyDescent="0.2">
      <c r="A696" t="s">
        <v>725</v>
      </c>
      <c r="B696" s="13" t="s">
        <v>12</v>
      </c>
      <c r="C696" s="13" t="b">
        <f t="shared" si="10"/>
        <v>0</v>
      </c>
      <c r="D696" s="13"/>
      <c r="E696" s="63"/>
      <c r="F696" s="13"/>
      <c r="G696" s="13"/>
      <c r="H696" s="13" t="s">
        <v>68</v>
      </c>
      <c r="I696" s="101" t="s">
        <v>44</v>
      </c>
      <c r="J696" s="101"/>
      <c r="K696" s="6">
        <f>[9]!'id568?req?SYNA_STK_SMART_USD_~/'</f>
        <v>0</v>
      </c>
      <c r="L696" s="6" t="str">
        <f>[9]!id568?orderTypes</f>
        <v>ACTIVETIM,ADJUST,ALERT,ALGO,ALLOC,AON,AVGCOST,BASKET,COND,CONDORDER,DARKONLY,DARKPOLL,DAY,DEACT,DEACTDIS,DEACTEOD,DIS,GAT,GTC,GTD,GTT,HID,IBKRATS,ICE,IMB,IOC,LIT,LMT,LOC,MIT,MKT,MOC,MTL,NGCOMB,NODARK,NONALGO,OCA,OPG,OPGREROUT,PEGBENCH,POSTONLY,PREOPGRTH,R</v>
      </c>
      <c r="M696" s="6" t="str">
        <f>[9]!id568?validExchanges</f>
        <v>SMART,CBOE,ISE,CHX,ARCA,ISLAND,DRCTEDGE,NSX,BEX,BATS,EDGEA,CSFBALGO,JEFFALGO,BYX,IEX,TPLUS2,PSX</v>
      </c>
      <c r="N696" s="6">
        <f>[9]!id568?conid</f>
        <v>14241431</v>
      </c>
      <c r="O696" s="6">
        <f>[9]!id568?minTick</f>
        <v>0.01</v>
      </c>
      <c r="P696" s="6">
        <f>[9]!id568?multiplier</f>
        <v>0</v>
      </c>
      <c r="Q696" s="6" t="str">
        <f>[9]!id568?marketName</f>
        <v>NMS</v>
      </c>
      <c r="R696" s="6" t="str">
        <f>[9]!id568?tradingClass</f>
        <v>NMS</v>
      </c>
    </row>
    <row r="697" spans="1:18" hidden="1" x14ac:dyDescent="0.2">
      <c r="A697" t="s">
        <v>726</v>
      </c>
      <c r="B697" s="13" t="s">
        <v>12</v>
      </c>
      <c r="C697" s="13" t="b">
        <f t="shared" si="10"/>
        <v>1</v>
      </c>
      <c r="D697" s="13"/>
      <c r="E697" s="63"/>
      <c r="F697" s="13"/>
      <c r="G697" s="13"/>
      <c r="H697" s="13" t="s">
        <v>68</v>
      </c>
      <c r="I697" s="101" t="s">
        <v>44</v>
      </c>
      <c r="J697" s="101"/>
      <c r="K697" s="6">
        <f>[9]!'id569?req?CPT_STK_SMART_USD_~/'</f>
        <v>0</v>
      </c>
      <c r="L697" s="6" t="str">
        <f>[9]!id569?orderTypes</f>
        <v>ACTIVETIM,ADJUST,ALERT,ALGO,ALLOC,AON,AVGCOST,BASKET,COND,CONDORDER,DARKONLY,DARKPOLL,DAY,DEACT,DEACTDIS,DEACTEOD,DIS,GAT,GTC,GTD,GTT,HID,IBKRATS,ICE,IMB,IOC,LIT,LMT,LOC,MIT,MKT,MOC,MTL,NGCOMB,NODARK,NONALGO,OCA,OPG,OPGREROUT,PEGBENCH,POSTONLY,PREOPGRTH,R</v>
      </c>
      <c r="M697" s="6" t="str">
        <f>[9]!id569?validExchanges</f>
        <v>SMART,NYSE,CBOE,ISE,CHX,ARCA,ISLAND,DRCTEDGE,NSX,BEX,BATS,EDGEA,CSFBALGO,JEFFALGO,BYX,IEX,TPLUS2,PSX</v>
      </c>
      <c r="N697" s="6">
        <f>[9]!id569?conid</f>
        <v>6004</v>
      </c>
      <c r="O697" s="6">
        <f>[9]!id569?minTick</f>
        <v>0.01</v>
      </c>
      <c r="P697" s="6">
        <f>[9]!id569?multiplier</f>
        <v>0</v>
      </c>
      <c r="Q697" s="6" t="str">
        <f>[9]!id569?marketName</f>
        <v>CPT</v>
      </c>
      <c r="R697" s="6" t="str">
        <f>[9]!id569?tradingClass</f>
        <v>CPT</v>
      </c>
    </row>
    <row r="698" spans="1:18" hidden="1" x14ac:dyDescent="0.2">
      <c r="A698" t="s">
        <v>727</v>
      </c>
      <c r="B698" s="13" t="s">
        <v>12</v>
      </c>
      <c r="C698" s="13" t="b">
        <f t="shared" si="10"/>
        <v>1</v>
      </c>
      <c r="D698" s="13"/>
      <c r="E698" s="63"/>
      <c r="F698" s="13"/>
      <c r="G698" s="13"/>
      <c r="H698" s="13" t="s">
        <v>68</v>
      </c>
      <c r="I698" s="101" t="s">
        <v>44</v>
      </c>
      <c r="J698" s="101"/>
      <c r="K698" s="6">
        <f>[9]!'id570?req?TFX_STK_SMART_USD_~/'</f>
        <v>0</v>
      </c>
      <c r="L698" s="6" t="str">
        <f>[9]!id570?orderTypes</f>
        <v>ACTIVETIM,ADJUST,ALERT,ALGO,ALLOC,AON,AVGCOST,BASKET,COND,CONDORDER,DARKONLY,DARKPOLL,DAY,DEACT,DEACTDIS,DEACTEOD,DIS,GAT,GTC,GTD,GTT,HID,IBKRATS,ICE,IMB,IOC,LIT,LMT,LOC,MIT,MKT,MOC,MTL,NGCOMB,NODARK,NONALGO,OCA,OPG,OPGREROUT,PEGBENCH,POSTONLY,PREOPGRTH,R</v>
      </c>
      <c r="M698" s="6" t="str">
        <f>[9]!id570?validExchanges</f>
        <v>SMART,NYSE,ISE,CHX,ARCA,ISLAND,DRCTEDGE,NSX,BEX,BATS,EDGEA,CSFBALGO,JEFFALGO,BYX,IEX,TPLUS2,PSX</v>
      </c>
      <c r="N698" s="6">
        <f>[9]!id570?conid</f>
        <v>12750</v>
      </c>
      <c r="O698" s="6">
        <f>[9]!id570?minTick</f>
        <v>0.01</v>
      </c>
      <c r="P698" s="6">
        <f>[9]!id570?multiplier</f>
        <v>0</v>
      </c>
      <c r="Q698" s="6" t="str">
        <f>[9]!id570?marketName</f>
        <v>TFX</v>
      </c>
      <c r="R698" s="6" t="str">
        <f>[9]!id570?tradingClass</f>
        <v>TFX</v>
      </c>
    </row>
    <row r="699" spans="1:18" hidden="1" x14ac:dyDescent="0.2">
      <c r="A699" t="s">
        <v>728</v>
      </c>
      <c r="B699" s="13" t="s">
        <v>12</v>
      </c>
      <c r="C699" s="13" t="b">
        <f t="shared" si="10"/>
        <v>0</v>
      </c>
      <c r="D699" s="13"/>
      <c r="E699" s="63"/>
      <c r="F699" s="13"/>
      <c r="G699" s="13"/>
      <c r="H699" s="13" t="s">
        <v>68</v>
      </c>
      <c r="I699" s="101" t="s">
        <v>44</v>
      </c>
      <c r="J699" s="101"/>
      <c r="K699" s="6">
        <f>[9]!'id571?req?YY_STK_SMART_USD_~/'</f>
        <v>0</v>
      </c>
      <c r="L699" s="6" t="str">
        <f>[9]!id571?orderTypes</f>
        <v>ACTIVETIM,ADJUST,ALERT,ALGO,ALLOC,AON,AVGCOST,BASKET,COND,CONDORDER,DARKONLY,DARKPOLL,DAY,DEACT,DEACTDIS,DEACTEOD,DIS,GAT,GTC,GTD,GTT,HID,IBKRATS,ICE,IMB,IOC,LIT,LMT,LOC,MIT,MKT,MOC,MTL,NGCOMB,NODARK,NONALGO,OCA,OPG,OPGREROUT,PEGBENCH,POSTONLY,PREOPGRTH,R</v>
      </c>
      <c r="M699" s="6" t="str">
        <f>[9]!id571?validExchanges</f>
        <v>SMART,CBOE,ISE,CHX,ARCA,ISLAND,DRCTEDGE,NSX,BEX,BATS,EDGEA,CSFBALGO,JEFFALGO,BYX,IEX,TPLUS2,PSX</v>
      </c>
      <c r="N699" s="6">
        <f>[9]!id571?conid</f>
        <v>117636259</v>
      </c>
      <c r="O699" s="6">
        <f>[9]!id571?minTick</f>
        <v>0.01</v>
      </c>
      <c r="P699" s="6">
        <f>[9]!id571?multiplier</f>
        <v>0</v>
      </c>
      <c r="Q699" s="6" t="str">
        <f>[9]!id571?marketName</f>
        <v>NMS</v>
      </c>
      <c r="R699" s="6" t="str">
        <f>[9]!id571?tradingClass</f>
        <v>NMS</v>
      </c>
    </row>
    <row r="700" spans="1:18" hidden="1" x14ac:dyDescent="0.2">
      <c r="A700" t="s">
        <v>729</v>
      </c>
      <c r="B700" s="13" t="s">
        <v>12</v>
      </c>
      <c r="C700" s="13" t="b">
        <f t="shared" si="10"/>
        <v>1</v>
      </c>
      <c r="D700" s="13"/>
      <c r="E700" s="63"/>
      <c r="F700" s="13"/>
      <c r="G700" s="13"/>
      <c r="H700" s="13" t="s">
        <v>68</v>
      </c>
      <c r="I700" s="101" t="s">
        <v>44</v>
      </c>
      <c r="J700" s="101"/>
      <c r="K700" s="6">
        <f>[9]!'id572?req?FDS_STK_SMART_USD_~/'</f>
        <v>0</v>
      </c>
      <c r="L700" s="6" t="str">
        <f>[9]!id572?orderTypes</f>
        <v>ACTIVETIM,ADJUST,ALERT,ALGO,ALLOC,AON,AVGCOST,BASKET,COND,CONDORDER,DARKONLY,DARKPOLL,DAY,DEACT,DEACTDIS,DEACTEOD,DIS,GAT,GTC,GTD,GTT,HID,IBKRATS,ICE,IMB,IOC,LIT,LMT,LOC,MIT,MKT,MOC,MTL,NGCOMB,NODARK,NONALGO,OCA,OPG,OPGREROUT,PEGBENCH,POSTONLY,PREOPGRTH,R</v>
      </c>
      <c r="M700" s="6" t="str">
        <f>[9]!id572?validExchanges</f>
        <v>SMART,NYSE,CBOE,ISE,CHX,ARCA,ISLAND,DRCTEDGE,NSX,BEX,BATS,EDGEA,CSFBALGO,JEFFALGO,BYX,IEX,TPLUS2,PSX</v>
      </c>
      <c r="N700" s="6">
        <f>[9]!id572?conid</f>
        <v>1847145</v>
      </c>
      <c r="O700" s="6">
        <f>[9]!id572?minTick</f>
        <v>0.01</v>
      </c>
      <c r="P700" s="6">
        <f>[9]!id572?multiplier</f>
        <v>0</v>
      </c>
      <c r="Q700" s="6" t="str">
        <f>[9]!id572?marketName</f>
        <v>FDS</v>
      </c>
      <c r="R700" s="6" t="str">
        <f>[9]!id572?tradingClass</f>
        <v>FDS</v>
      </c>
    </row>
    <row r="701" spans="1:18" hidden="1" x14ac:dyDescent="0.2">
      <c r="A701" t="s">
        <v>730</v>
      </c>
      <c r="B701" s="13" t="s">
        <v>12</v>
      </c>
      <c r="C701" s="13" t="b">
        <f t="shared" si="10"/>
        <v>0</v>
      </c>
      <c r="D701" s="13"/>
      <c r="E701" s="63"/>
      <c r="F701" s="13"/>
      <c r="G701" s="13"/>
      <c r="H701" s="13" t="s">
        <v>68</v>
      </c>
      <c r="I701" s="101" t="s">
        <v>44</v>
      </c>
      <c r="J701" s="101"/>
      <c r="K701" s="6">
        <f>[9]!'id573?req?CBRL_STK_SMART_USD_~/'</f>
        <v>0</v>
      </c>
      <c r="L701" s="6" t="str">
        <f>[9]!id573?orderTypes</f>
        <v>ACTIVETIM,ADJUST,ALERT,ALGO,ALLOC,AON,AVGCOST,BASKET,COND,CONDORDER,DARKONLY,DARKPOLL,DAY,DEACT,DEACTDIS,DEACTEOD,DIS,GAT,GTC,GTD,GTT,HID,IBKRATS,ICE,IMB,IOC,LIT,LMT,LOC,MIT,MKT,MOC,MTL,NGCOMB,NODARK,NONALGO,OCA,OPG,OPGREROUT,PEGBENCH,POSTONLY,PREOPGRTH,R</v>
      </c>
      <c r="M701" s="6" t="str">
        <f>[9]!id573?validExchanges</f>
        <v>SMART,CBOE,ISE,CHX,ARCA,ISLAND,DRCTEDGE,NSX,BEX,BATS,EDGEA,CSFBALGO,JEFFALGO,BYX,IEX,TPLUS2,PSX</v>
      </c>
      <c r="N701" s="6">
        <f>[9]!id573?conid</f>
        <v>56483316</v>
      </c>
      <c r="O701" s="6">
        <f>[9]!id573?minTick</f>
        <v>0.01</v>
      </c>
      <c r="P701" s="6">
        <f>[9]!id573?multiplier</f>
        <v>0</v>
      </c>
      <c r="Q701" s="6" t="str">
        <f>[9]!id573?marketName</f>
        <v>NMS</v>
      </c>
      <c r="R701" s="6" t="str">
        <f>[9]!id573?tradingClass</f>
        <v>NMS</v>
      </c>
    </row>
    <row r="702" spans="1:18" hidden="1" x14ac:dyDescent="0.2">
      <c r="A702" t="s">
        <v>731</v>
      </c>
      <c r="B702" s="13" t="s">
        <v>12</v>
      </c>
      <c r="C702" s="13" t="b">
        <f t="shared" si="10"/>
        <v>1</v>
      </c>
      <c r="D702" s="13"/>
      <c r="E702" s="63"/>
      <c r="F702" s="13"/>
      <c r="G702" s="13"/>
      <c r="H702" s="13" t="s">
        <v>68</v>
      </c>
      <c r="I702" s="101" t="s">
        <v>44</v>
      </c>
      <c r="J702" s="101"/>
      <c r="K702" s="6">
        <f>[9]!'id574?req?CFR_STK_SMART_USD_~/'</f>
        <v>0</v>
      </c>
      <c r="L702" s="6" t="str">
        <f>[9]!id574?orderTypes</f>
        <v>ACTIVETIM,ADJUST,ALERT,ALGO,ALLOC,AON,AVGCOST,BASKET,COND,CONDORDER,DARKONLY,DARKPOLL,DAY,DEACT,DEACTDIS,DEACTEOD,DIS,GAT,GTC,GTD,GTT,HID,IBKRATS,ICE,IMB,IOC,LIT,LMT,LOC,MIT,MKT,MOC,MTL,NGCOMB,NODARK,NONALGO,OCA,OPG,OPGREROUT,PEGBENCH,POSTONLY,PREOPGRTH,R</v>
      </c>
      <c r="M702" s="6" t="str">
        <f>[9]!id574?validExchanges</f>
        <v>SMART,NYSE,CBOE,ISE,CHX,ARCA,ISLAND,VWAP,DRCTEDGE,NSX,BEX,BATS,EDGEA,CSFBALGO,JEFFALGO,BYX,IEX,TPLUS2,PSX</v>
      </c>
      <c r="N702" s="6">
        <f>[9]!id574?conid</f>
        <v>5610</v>
      </c>
      <c r="O702" s="6">
        <f>[9]!id574?minTick</f>
        <v>0.01</v>
      </c>
      <c r="P702" s="6">
        <f>[9]!id574?multiplier</f>
        <v>0</v>
      </c>
      <c r="Q702" s="6" t="str">
        <f>[9]!id574?marketName</f>
        <v>CFR</v>
      </c>
      <c r="R702" s="6" t="str">
        <f>[9]!id574?tradingClass</f>
        <v>CFR</v>
      </c>
    </row>
    <row r="703" spans="1:18" hidden="1" x14ac:dyDescent="0.2">
      <c r="A703" t="s">
        <v>732</v>
      </c>
      <c r="B703" s="13" t="s">
        <v>12</v>
      </c>
      <c r="C703" s="13" t="b">
        <f t="shared" si="10"/>
        <v>1</v>
      </c>
      <c r="D703" s="13"/>
      <c r="E703" s="63"/>
      <c r="F703" s="13"/>
      <c r="G703" s="13"/>
      <c r="H703" s="13" t="s">
        <v>68</v>
      </c>
      <c r="I703" s="101" t="s">
        <v>44</v>
      </c>
      <c r="J703" s="101"/>
      <c r="K703" s="6">
        <f>[9]!'id575?req?BR_STK_SMART_USD_~/'</f>
        <v>0</v>
      </c>
      <c r="L703" s="6" t="str">
        <f>[9]!id575?orderTypes</f>
        <v>ACTIVETIM,ADJUST,ALERT,ALGO,ALLOC,AON,AVGCOST,BASKET,COND,CONDORDER,DARKONLY,DARKPOLL,DAY,DEACT,DEACTDIS,DEACTEOD,DIS,GAT,GTC,GTD,GTT,HID,IBKRATS,ICE,IMB,IOC,LIT,LMT,LOC,MIT,MKT,MOC,MTL,NGCOMB,NODARK,NONALGO,OCA,OPG,OPGREROUT,PEGBENCH,POSTONLY,PREOPGRTH,R</v>
      </c>
      <c r="M703" s="6" t="str">
        <f>[9]!id575?validExchanges</f>
        <v>SMART,NYSE,CBOE,ISE,CHX,ARCA,ISLAND,DRCTEDGE,NSX,BEX,BATS,EDGEA,CSFBALGO,JEFFALGO,BYX,IEX,TPLUS2,PSX</v>
      </c>
      <c r="N703" s="6">
        <f>[9]!id575?conid</f>
        <v>43523793</v>
      </c>
      <c r="O703" s="6">
        <f>[9]!id575?minTick</f>
        <v>0.01</v>
      </c>
      <c r="P703" s="6">
        <f>[9]!id575?multiplier</f>
        <v>0</v>
      </c>
      <c r="Q703" s="6" t="str">
        <f>[9]!id575?marketName</f>
        <v>BR</v>
      </c>
      <c r="R703" s="6" t="str">
        <f>[9]!id575?tradingClass</f>
        <v>BR</v>
      </c>
    </row>
    <row r="704" spans="1:18" hidden="1" x14ac:dyDescent="0.2">
      <c r="A704" t="s">
        <v>733</v>
      </c>
      <c r="B704" s="13" t="s">
        <v>12</v>
      </c>
      <c r="C704" s="13" t="b">
        <f t="shared" si="10"/>
        <v>1</v>
      </c>
      <c r="D704" s="13"/>
      <c r="E704" s="63"/>
      <c r="F704" s="13"/>
      <c r="G704" s="13"/>
      <c r="H704" s="13" t="s">
        <v>68</v>
      </c>
      <c r="I704" s="101" t="s">
        <v>44</v>
      </c>
      <c r="J704" s="101"/>
      <c r="K704" s="6">
        <f>[9]!'id576?req?EXP_STK_SMART_USD_~/'</f>
        <v>0</v>
      </c>
      <c r="L704" s="6" t="str">
        <f>[9]!id576?orderTypes</f>
        <v>ACTIVETIM,ADJUST,ALERT,ALGO,ALLOC,AON,AVGCOST,BASKET,COND,CONDORDER,DARKONLY,DARKPOLL,DAY,DEACT,DEACTDIS,DEACTEOD,DIS,GAT,GTC,GTD,GTT,HID,IBKRATS,ICE,IMB,IOC,LIT,LMT,LOC,MIT,MKT,MOC,MTL,NGCOMB,NODARK,NONALGO,OCA,OPG,OPGREROUT,PEGBENCH,POSTONLY,PREOPGRTH,R</v>
      </c>
      <c r="M704" s="6" t="str">
        <f>[9]!id576?validExchanges</f>
        <v>SMART,NYSE,CBOE,ISE,CHX,ARCA,ISLAND,DRCTEDGE,NSX,BEX,BATS,EDGEA,CSFBALGO,JEFFALGO,BYX,IEX,TPLUS2,PSX</v>
      </c>
      <c r="N704" s="6">
        <f>[9]!id576?conid</f>
        <v>27267807</v>
      </c>
      <c r="O704" s="6">
        <f>[9]!id576?minTick</f>
        <v>0.01</v>
      </c>
      <c r="P704" s="6">
        <f>[9]!id576?multiplier</f>
        <v>0</v>
      </c>
      <c r="Q704" s="6" t="str">
        <f>[9]!id576?marketName</f>
        <v>EXP</v>
      </c>
      <c r="R704" s="6" t="str">
        <f>[9]!id576?tradingClass</f>
        <v>EXP</v>
      </c>
    </row>
    <row r="705" spans="1:18" hidden="1" x14ac:dyDescent="0.2">
      <c r="A705" t="s">
        <v>734</v>
      </c>
      <c r="B705" s="13" t="s">
        <v>12</v>
      </c>
      <c r="C705" s="13" t="b">
        <f t="shared" si="10"/>
        <v>0</v>
      </c>
      <c r="D705" s="13"/>
      <c r="E705" s="63"/>
      <c r="F705" s="13"/>
      <c r="G705" s="13"/>
      <c r="H705" s="13" t="s">
        <v>68</v>
      </c>
      <c r="I705" s="101" t="s">
        <v>44</v>
      </c>
      <c r="J705" s="101"/>
      <c r="K705" s="6">
        <f>[9]!'id577?req?MIDD_STK_SMART_USD_~/'</f>
        <v>0</v>
      </c>
      <c r="L705" s="6" t="str">
        <f>[9]!id577?orderTypes</f>
        <v>ACTIVETIM,ADJUST,ALERT,ALGO,ALLOC,AON,AVGCOST,BASKET,COND,CONDORDER,DARKONLY,DARKPOLL,DAY,DEACT,DEACTDIS,DEACTEOD,DIS,GAT,GTC,GTD,GTT,HID,IBKRATS,ICE,IMB,IOC,LIT,LMT,LOC,MIT,MKT,MOC,MTL,NGCOMB,NODARK,NONALGO,OCA,OPG,OPGREROUT,PEGBENCH,POSTONLY,PREOPGRTH,R</v>
      </c>
      <c r="M705" s="6" t="str">
        <f>[9]!id577?validExchanges</f>
        <v>SMART,CBOE,ISE,CHX,ARCA,ISLAND,DRCTEDGE,NSX,BEX,BATS,EDGEA,CSFBALGO,JEFFALGO,BYX,IEX,TPLUS2,PSX</v>
      </c>
      <c r="N705" s="6">
        <f>[9]!id577?conid</f>
        <v>4814876</v>
      </c>
      <c r="O705" s="6">
        <f>[9]!id577?minTick</f>
        <v>0.01</v>
      </c>
      <c r="P705" s="6">
        <f>[9]!id577?multiplier</f>
        <v>0</v>
      </c>
      <c r="Q705" s="6" t="str">
        <f>[9]!id577?marketName</f>
        <v>NMS</v>
      </c>
      <c r="R705" s="6" t="str">
        <f>[9]!id577?tradingClass</f>
        <v>NMS</v>
      </c>
    </row>
    <row r="706" spans="1:18" hidden="1" x14ac:dyDescent="0.2">
      <c r="A706" t="s">
        <v>735</v>
      </c>
      <c r="B706" s="13" t="s">
        <v>12</v>
      </c>
      <c r="C706" s="13" t="b">
        <f t="shared" ref="C706:C763" si="11">A706=Q706</f>
        <v>1</v>
      </c>
      <c r="D706" s="13"/>
      <c r="E706" s="63"/>
      <c r="F706" s="13"/>
      <c r="G706" s="13"/>
      <c r="H706" s="13" t="s">
        <v>68</v>
      </c>
      <c r="I706" s="101" t="s">
        <v>44</v>
      </c>
      <c r="J706" s="101"/>
      <c r="K706" s="6">
        <f>[9]!'id578?req?HII_STK_SMART_USD_~/'</f>
        <v>0</v>
      </c>
      <c r="L706" s="6" t="str">
        <f>[9]!id578?orderTypes</f>
        <v>ACTIVETIM,ADJUST,ALERT,ALGO,ALLOC,AON,AVGCOST,BASKET,COND,CONDORDER,DARKONLY,DARKPOLL,DAY,DEACT,DEACTDIS,DEACTEOD,DIS,GAT,GTC,GTD,GTT,HID,IBKRATS,ICE,IMB,IOC,LIT,LMT,LOC,MIT,MKT,MOC,MTL,NGCOMB,NODARK,NONALGO,OCA,OPG,OPGREROUT,PEGBENCH,POSTONLY,PREOPGRTH,R</v>
      </c>
      <c r="M706" s="6" t="str">
        <f>[9]!id578?validExchanges</f>
        <v>SMART,NYSE,CBOE,ISE,CHX,ARCA,ISLAND,DRCTEDGE,NSX,BEX,BATS,EDGEA,CSFBALGO,JEFFALGO,BYX,IEX,TPLUS2,PSX</v>
      </c>
      <c r="N706" s="6">
        <f>[9]!id578?conid</f>
        <v>86033355</v>
      </c>
      <c r="O706" s="6">
        <f>[9]!id578?minTick</f>
        <v>0.01</v>
      </c>
      <c r="P706" s="6">
        <f>[9]!id578?multiplier</f>
        <v>0</v>
      </c>
      <c r="Q706" s="6" t="str">
        <f>[9]!id578?marketName</f>
        <v>HII</v>
      </c>
      <c r="R706" s="6" t="str">
        <f>[9]!id578?tradingClass</f>
        <v>HII</v>
      </c>
    </row>
    <row r="707" spans="1:18" hidden="1" x14ac:dyDescent="0.2">
      <c r="A707" t="s">
        <v>736</v>
      </c>
      <c r="B707" s="13" t="s">
        <v>12</v>
      </c>
      <c r="C707" s="13" t="b">
        <f t="shared" si="11"/>
        <v>0</v>
      </c>
      <c r="D707" s="13"/>
      <c r="E707" s="63"/>
      <c r="F707" s="13"/>
      <c r="G707" s="13"/>
      <c r="H707" s="13" t="s">
        <v>68</v>
      </c>
      <c r="I707" s="101" t="s">
        <v>44</v>
      </c>
      <c r="J707" s="101"/>
      <c r="K707" s="6">
        <f>[9]!'id579?req?ZBRA_STK_SMART_USD_~/'</f>
        <v>0</v>
      </c>
      <c r="L707" s="6" t="str">
        <f>[9]!id579?orderTypes</f>
        <v>ACTIVETIM,ADJUST,ALERT,ALGO,ALLOC,AON,AVGCOST,BASKET,COND,CONDORDER,DARKONLY,DARKPOLL,DAY,DEACT,DEACTDIS,DEACTEOD,DIS,GAT,GTC,GTD,GTT,HID,IBKRATS,ICE,IMB,IOC,LIT,LMT,LOC,MIT,MKT,MOC,MTL,NGCOMB,NODARK,NONALGO,OCA,OPG,OPGREROUT,PEGBENCH,POSTONLY,PREOPGRTH,R</v>
      </c>
      <c r="M707" s="6" t="str">
        <f>[9]!id579?validExchanges</f>
        <v>SMART,CBOE,ISE,CHX,ARCA,ISLAND,DRCTEDGE,NSX,BEX,BATS,EDGEA,CSFBALGO,JEFFALGO,BYX,IEX,TPLUS2,PSX</v>
      </c>
      <c r="N707" s="6">
        <f>[9]!id579?conid</f>
        <v>276304</v>
      </c>
      <c r="O707" s="6">
        <f>[9]!id579?minTick</f>
        <v>0.01</v>
      </c>
      <c r="P707" s="6">
        <f>[9]!id579?multiplier</f>
        <v>0</v>
      </c>
      <c r="Q707" s="6" t="str">
        <f>[9]!id579?marketName</f>
        <v>NMS</v>
      </c>
      <c r="R707" s="6" t="str">
        <f>[9]!id579?tradingClass</f>
        <v>NMS</v>
      </c>
    </row>
    <row r="708" spans="1:18" hidden="1" x14ac:dyDescent="0.2">
      <c r="A708" t="s">
        <v>737</v>
      </c>
      <c r="B708" s="13" t="s">
        <v>12</v>
      </c>
      <c r="C708" s="13" t="b">
        <f t="shared" si="11"/>
        <v>1</v>
      </c>
      <c r="D708" s="13"/>
      <c r="E708" s="63"/>
      <c r="F708" s="13"/>
      <c r="G708" s="13"/>
      <c r="H708" s="13" t="s">
        <v>68</v>
      </c>
      <c r="I708" s="101" t="s">
        <v>44</v>
      </c>
      <c r="J708" s="101"/>
      <c r="K708" s="6">
        <f>[9]!'id580?req?RS_STK_SMART_USD_~/'</f>
        <v>0</v>
      </c>
      <c r="L708" s="6" t="str">
        <f>[9]!id580?orderTypes</f>
        <v>ACTIVETIM,ADJUST,ALERT,ALGO,ALLOC,AON,AVGCOST,BASKET,COND,CONDORDER,DARKONLY,DARKPOLL,DAY,DEACT,DEACTDIS,DEACTEOD,DIS,GAT,GTC,GTD,GTT,HID,IBKRATS,ICE,IMB,IOC,LIT,LMT,LOC,MIT,MKT,MOC,MTL,NGCOMB,NODARK,NONALGO,OCA,OPG,OPGREROUT,PEGBENCH,POSTONLY,PREOPGRTH,R</v>
      </c>
      <c r="M708" s="6" t="str">
        <f>[9]!id580?validExchanges</f>
        <v>SMART,NYSE,CBOE,ISE,CHX,ARCA,ISLAND,DRCTEDGE,NSX,BEX,BATS,EDGEA,CSFBALGO,JEFFALGO,BYX,IEX,TPLUS2,PSX</v>
      </c>
      <c r="N708" s="6">
        <f>[9]!id580?conid</f>
        <v>11735</v>
      </c>
      <c r="O708" s="6">
        <f>[9]!id580?minTick</f>
        <v>0.01</v>
      </c>
      <c r="P708" s="6">
        <f>[9]!id580?multiplier</f>
        <v>0</v>
      </c>
      <c r="Q708" s="6" t="str">
        <f>[9]!id580?marketName</f>
        <v>RS</v>
      </c>
      <c r="R708" s="6" t="str">
        <f>[9]!id580?tradingClass</f>
        <v>RS</v>
      </c>
    </row>
    <row r="709" spans="1:18" hidden="1" x14ac:dyDescent="0.2">
      <c r="A709" t="s">
        <v>738</v>
      </c>
      <c r="B709" s="13" t="s">
        <v>12</v>
      </c>
      <c r="C709" s="13" t="b">
        <f t="shared" si="11"/>
        <v>1</v>
      </c>
      <c r="D709" s="13"/>
      <c r="E709" s="63"/>
      <c r="F709" s="13"/>
      <c r="G709" s="13"/>
      <c r="H709" s="13" t="s">
        <v>68</v>
      </c>
      <c r="I709" s="101" t="s">
        <v>44</v>
      </c>
      <c r="J709" s="101"/>
      <c r="K709" s="6">
        <f>[9]!'id581?req?CCK_STK_SMART_USD_~/'</f>
        <v>0</v>
      </c>
      <c r="L709" s="6" t="str">
        <f>[9]!id581?orderTypes</f>
        <v>ACTIVETIM,ADJUST,ALERT,ALGO,ALLOC,AON,AVGCOST,BASKET,COND,CONDORDER,DARKONLY,DARKPOLL,DAY,DEACT,DEACTDIS,DEACTEOD,DIS,GAT,GTC,GTD,GTT,HID,IBKRATS,ICE,IMB,IOC,LIT,LMT,LOC,MIT,MKT,MOC,MTL,NGCOMB,NODARK,NONALGO,OCA,OPG,OPGREROUT,PEGBENCH,POSTONLY,PREOPGRTH,R</v>
      </c>
      <c r="M709" s="6" t="str">
        <f>[9]!id581?validExchanges</f>
        <v>SMART,NYSE,CBOE,ISE,CHX,ARCA,ISLAND,DRCTEDGE,NSX,BEX,BATS,EDGEA,CSFBALGO,JEFFALGO,BYX,IEX,TPLUS2,PSX</v>
      </c>
      <c r="N709" s="6">
        <f>[9]!id581?conid</f>
        <v>5513</v>
      </c>
      <c r="O709" s="6">
        <f>[9]!id581?minTick</f>
        <v>0.01</v>
      </c>
      <c r="P709" s="6">
        <f>[9]!id581?multiplier</f>
        <v>0</v>
      </c>
      <c r="Q709" s="6" t="str">
        <f>[9]!id581?marketName</f>
        <v>CCK</v>
      </c>
      <c r="R709" s="6" t="str">
        <f>[9]!id581?tradingClass</f>
        <v>CCK</v>
      </c>
    </row>
    <row r="710" spans="1:18" hidden="1" x14ac:dyDescent="0.2">
      <c r="A710" t="s">
        <v>739</v>
      </c>
      <c r="B710" s="13" t="s">
        <v>12</v>
      </c>
      <c r="C710" s="13" t="b">
        <f t="shared" si="11"/>
        <v>0</v>
      </c>
      <c r="D710" s="13"/>
      <c r="E710" s="63"/>
      <c r="F710" s="13"/>
      <c r="G710" s="13"/>
      <c r="H710" s="13" t="s">
        <v>68</v>
      </c>
      <c r="I710" s="101" t="s">
        <v>44</v>
      </c>
      <c r="J710" s="101"/>
      <c r="K710" s="6">
        <f>[9]!'id582?req?LGND_STK_SMART_USD_~/'</f>
        <v>0</v>
      </c>
      <c r="L710" s="6" t="str">
        <f>[9]!id582?orderTypes</f>
        <v>ACTIVETIM,ADJUST,ALERT,ALGO,ALLOC,AON,AVGCOST,BASKET,COND,CONDORDER,DARKONLY,DARKPOLL,DAY,DEACT,DEACTDIS,DEACTEOD,DIS,GAT,GTC,GTD,GTT,HID,IBKRATS,ICE,IMB,IOC,LIT,LMT,LOC,MIT,MKT,MOC,MTL,NGCOMB,NODARK,NONALGO,OCA,OPG,OPGREROUT,PEGBENCH,POSTONLY,PREOPGRTH,R</v>
      </c>
      <c r="M710" s="6" t="str">
        <f>[9]!id582?validExchanges</f>
        <v>SMART,CBOE,ISE,CHX,ARCA,ISLAND,DRCTEDGE,NSX,BEX,BATS,EDGEA,CSFBALGO,JEFFALGO,BYX,IEX,TPLUS2,PSX</v>
      </c>
      <c r="N710" s="6">
        <f>[9]!id582?conid</f>
        <v>81026179</v>
      </c>
      <c r="O710" s="6">
        <f>[9]!id582?minTick</f>
        <v>0.01</v>
      </c>
      <c r="P710" s="6">
        <f>[9]!id582?multiplier</f>
        <v>0</v>
      </c>
      <c r="Q710" s="6" t="str">
        <f>[9]!id582?marketName</f>
        <v>NMS</v>
      </c>
      <c r="R710" s="6" t="str">
        <f>[9]!id582?tradingClass</f>
        <v>NMS</v>
      </c>
    </row>
    <row r="711" spans="1:18" hidden="1" x14ac:dyDescent="0.2">
      <c r="A711" t="s">
        <v>740</v>
      </c>
      <c r="B711" s="13" t="s">
        <v>12</v>
      </c>
      <c r="C711" s="13" t="b">
        <f t="shared" si="11"/>
        <v>0</v>
      </c>
      <c r="D711" s="13"/>
      <c r="E711" s="63"/>
      <c r="F711" s="13"/>
      <c r="G711" s="13"/>
      <c r="H711" s="13" t="s">
        <v>68</v>
      </c>
      <c r="I711" s="101" t="s">
        <v>44</v>
      </c>
      <c r="J711" s="101"/>
      <c r="K711" s="6">
        <f>[9]!'id583?req?MANH_STK_SMART_USD_~/'</f>
        <v>0</v>
      </c>
      <c r="L711" s="6" t="str">
        <f>[9]!id583?orderTypes</f>
        <v>ACTIVETIM,ADJUST,ALERT,ALGO,ALLOC,AON,AVGCOST,BASKET,COND,CONDORDER,DARKONLY,DARKPOLL,DAY,DEACT,DEACTDIS,DEACTEOD,DIS,GAT,GTC,GTD,GTT,HID,IBKRATS,ICE,IMB,IOC,LIT,LMT,LOC,MIT,MKT,MOC,MTL,NGCOMB,NODARK,NONALGO,OCA,OPG,OPGREROUT,PEGBENCH,POSTONLY,PREOPGRTH,R</v>
      </c>
      <c r="M711" s="6" t="str">
        <f>[9]!id583?validExchanges</f>
        <v>SMART,CBOE,ISE,CHX,ARCA,ISLAND,DRCTEDGE,NSX,BEX,BATS,EDGEA,CSFBALGO,JEFFALGO,BYX,IEX,TPLUS2,PSX</v>
      </c>
      <c r="N711" s="6">
        <f>[9]!id583?conid</f>
        <v>4814485</v>
      </c>
      <c r="O711" s="6">
        <f>[9]!id583?minTick</f>
        <v>0.01</v>
      </c>
      <c r="P711" s="6">
        <f>[9]!id583?multiplier</f>
        <v>0</v>
      </c>
      <c r="Q711" s="6" t="str">
        <f>[9]!id583?marketName</f>
        <v>NMS</v>
      </c>
      <c r="R711" s="6" t="str">
        <f>[9]!id583?tradingClass</f>
        <v>NMS</v>
      </c>
    </row>
    <row r="712" spans="1:18" hidden="1" x14ac:dyDescent="0.2">
      <c r="A712" t="s">
        <v>741</v>
      </c>
      <c r="B712" s="13" t="s">
        <v>12</v>
      </c>
      <c r="C712" s="13" t="b">
        <f t="shared" si="11"/>
        <v>0</v>
      </c>
      <c r="D712" s="13"/>
      <c r="E712" s="63"/>
      <c r="F712" s="13"/>
      <c r="G712" s="13"/>
      <c r="H712" s="13" t="s">
        <v>68</v>
      </c>
      <c r="I712" s="101" t="s">
        <v>44</v>
      </c>
      <c r="J712" s="101"/>
      <c r="K712" s="6">
        <f>[9]!'id584?req?PCRX_STK_SMART_USD_~/'</f>
        <v>0</v>
      </c>
      <c r="L712" s="6" t="str">
        <f>[9]!id584?orderTypes</f>
        <v>ACTIVETIM,ADJUST,ALERT,ALGO,ALLOC,AON,AVGCOST,BASKET,COND,CONDORDER,DARKONLY,DARKPOLL,DAY,DEACT,DEACTDIS,DEACTEOD,DIS,GAT,GTC,GTD,GTT,HID,IBKRATS,ICE,IMB,IOC,LIT,LMT,LOC,MIT,MKT,MOC,MTL,NGCOMB,NODARK,NONALGO,OCA,OPG,OPGREROUT,PEGBENCH,POSTONLY,PREOPGRTH,R</v>
      </c>
      <c r="M712" s="6" t="str">
        <f>[9]!id584?validExchanges</f>
        <v>SMART,CBOE,ISE,CHX,ARCA,ISLAND,DRCTEDGE,NSX,BEX,BATS,EDGEA,CSFBALGO,JEFFALGO,BYX,IEX,TPLUS2,PSX</v>
      </c>
      <c r="N712" s="6">
        <f>[9]!id584?conid</f>
        <v>83635951</v>
      </c>
      <c r="O712" s="6">
        <f>[9]!id584?minTick</f>
        <v>0.01</v>
      </c>
      <c r="P712" s="6">
        <f>[9]!id584?multiplier</f>
        <v>0</v>
      </c>
      <c r="Q712" s="6" t="str">
        <f>[9]!id584?marketName</f>
        <v>NMS</v>
      </c>
      <c r="R712" s="6" t="str">
        <f>[9]!id584?tradingClass</f>
        <v>NMS</v>
      </c>
    </row>
    <row r="713" spans="1:18" hidden="1" x14ac:dyDescent="0.2">
      <c r="A713" t="s">
        <v>742</v>
      </c>
      <c r="B713" s="13" t="s">
        <v>12</v>
      </c>
      <c r="C713" s="13" t="b">
        <f t="shared" si="11"/>
        <v>0</v>
      </c>
      <c r="D713" s="13"/>
      <c r="E713" s="63"/>
      <c r="F713" s="13"/>
      <c r="G713" s="13"/>
      <c r="H713" s="13" t="s">
        <v>68</v>
      </c>
      <c r="I713" s="101" t="s">
        <v>44</v>
      </c>
      <c r="J713" s="101"/>
      <c r="K713" s="6">
        <f>[9]!'id585?req?BNDX_STK_SMART_USD_~/'</f>
        <v>0</v>
      </c>
      <c r="L713" s="6" t="str">
        <f>[9]!id585?orderTypes</f>
        <v>ACTIVETIM,ADJUST,ALERT,ALGO,ALLOC,AON,AVGCOST,BASKET,COND,CONDORDER,DARKONLY,DARKPOLL,DAY,DEACT,DEACTDIS,DEACTEOD,DIS,GAT,GTC,GTD,GTT,HID,IBKRATS,ICE,IMB,IOC,LIT,LMT,LOC,MIT,MKT,MOC,MTL,NGCOMB,NODARK,NONALGO,OCA,OPG,OPGREROUT,PEGBENCH,POSTONLY,PREOPGRTH,R</v>
      </c>
      <c r="M713" s="6" t="str">
        <f>[9]!id585?validExchanges</f>
        <v>SMART,CBOE,ISE,CHX,ARCA,ISLAND,DRCTEDGE,NSX,BEX,BATS,EDGEA,CSFBALGO,JEFFALGO,BYX,IEX,TPLUS2,PSX</v>
      </c>
      <c r="N713" s="6">
        <f>[9]!id585?conid</f>
        <v>128835017</v>
      </c>
      <c r="O713" s="6">
        <f>[9]!id585?minTick</f>
        <v>0.01</v>
      </c>
      <c r="P713" s="6">
        <f>[9]!id585?multiplier</f>
        <v>0</v>
      </c>
      <c r="Q713" s="6" t="str">
        <f>[9]!id585?marketName</f>
        <v>NMS</v>
      </c>
      <c r="R713" s="6" t="str">
        <f>[9]!id585?tradingClass</f>
        <v>NMS</v>
      </c>
    </row>
    <row r="714" spans="1:18" hidden="1" x14ac:dyDescent="0.2">
      <c r="A714" t="s">
        <v>743</v>
      </c>
      <c r="B714" s="13" t="s">
        <v>12</v>
      </c>
      <c r="C714" s="13" t="b">
        <f t="shared" si="11"/>
        <v>1</v>
      </c>
      <c r="D714" s="13"/>
      <c r="E714" s="63"/>
      <c r="F714" s="13"/>
      <c r="G714" s="13"/>
      <c r="H714" s="13" t="s">
        <v>68</v>
      </c>
      <c r="I714" s="101" t="s">
        <v>44</v>
      </c>
      <c r="J714" s="101"/>
      <c r="K714" s="6">
        <f>[9]!'id586?req?MTN_STK_SMART_USD_~/'</f>
        <v>0</v>
      </c>
      <c r="L714" s="6" t="str">
        <f>[9]!id586?orderTypes</f>
        <v>ACTIVETIM,ADJUST,ALERT,ALGO,ALLOC,AON,AVGCOST,BASKET,COND,CONDORDER,DARKONLY,DARKPOLL,DAY,DEACT,DEACTDIS,DEACTEOD,DIS,GAT,GTC,GTD,GTT,HID,IBKRATS,ICE,IMB,IOC,LIT,LMT,LOC,MIT,MKT,MOC,MTL,NGCOMB,NODARK,NONALGO,OCA,OPG,OPGREROUT,PEGBENCH,POSTONLY,PREOPGRTH,R</v>
      </c>
      <c r="M714" s="6" t="str">
        <f>[9]!id586?validExchanges</f>
        <v>SMART,NYSE,CBOE,ISE,CHX,ARCA,ISLAND,DRCTEDGE,NSX,BEX,BATS,EDGEA,CSFBALGO,JEFFALGO,BYX,IEX,TPLUS2,PSX</v>
      </c>
      <c r="N714" s="6">
        <f>[9]!id586?conid</f>
        <v>2586162</v>
      </c>
      <c r="O714" s="6">
        <f>[9]!id586?minTick</f>
        <v>0.01</v>
      </c>
      <c r="P714" s="6">
        <f>[9]!id586?multiplier</f>
        <v>0</v>
      </c>
      <c r="Q714" s="6" t="str">
        <f>[9]!id586?marketName</f>
        <v>MTN</v>
      </c>
      <c r="R714" s="6" t="str">
        <f>[9]!id586?tradingClass</f>
        <v>MTN</v>
      </c>
    </row>
    <row r="715" spans="1:18" hidden="1" x14ac:dyDescent="0.2">
      <c r="A715" t="s">
        <v>744</v>
      </c>
      <c r="B715" s="13" t="s">
        <v>12</v>
      </c>
      <c r="C715" s="13" t="b">
        <f t="shared" si="11"/>
        <v>1</v>
      </c>
      <c r="D715" s="13"/>
      <c r="E715" s="63"/>
      <c r="F715" s="13"/>
      <c r="G715" s="13"/>
      <c r="H715" s="13" t="s">
        <v>68</v>
      </c>
      <c r="I715" s="101" t="s">
        <v>44</v>
      </c>
      <c r="J715" s="101"/>
      <c r="K715" s="6">
        <f>[9]!'id587?req?ATO_STK_SMART_USD_~/'</f>
        <v>0</v>
      </c>
      <c r="L715" s="6" t="str">
        <f>[9]!id587?orderTypes</f>
        <v>ACTIVETIM,ADJUST,ALERT,ALGO,ALLOC,AON,AVGCOST,BASKET,COND,CONDORDER,DARKONLY,DARKPOLL,DAY,DEACT,DEACTDIS,DEACTEOD,DIS,GAT,GTC,GTD,GTT,HID,IBKRATS,ICE,IMB,IOC,LIT,LMT,LOC,MIT,MKT,MOC,MTL,NGCOMB,NODARK,NONALGO,OCA,OPG,OPGREROUT,PEGBENCH,POSTONLY,PREOPGRTH,R</v>
      </c>
      <c r="M715" s="6" t="str">
        <f>[9]!id587?validExchanges</f>
        <v>SMART,NYSE,CBOE,ISE,CHX,ARCA,ISLAND,DRCTEDGE,NSX,BEX,BATS,EDGEA,CSFBALGO,JEFFALGO,BYX,IEX,TPLUS2,PSX</v>
      </c>
      <c r="N715" s="6">
        <f>[9]!id587?conid</f>
        <v>4644</v>
      </c>
      <c r="O715" s="6">
        <f>[9]!id587?minTick</f>
        <v>0.01</v>
      </c>
      <c r="P715" s="6">
        <f>[9]!id587?multiplier</f>
        <v>0</v>
      </c>
      <c r="Q715" s="6" t="str">
        <f>[9]!id587?marketName</f>
        <v>ATO</v>
      </c>
      <c r="R715" s="6" t="str">
        <f>[9]!id587?tradingClass</f>
        <v>ATO</v>
      </c>
    </row>
    <row r="716" spans="1:18" hidden="1" x14ac:dyDescent="0.2">
      <c r="A716" t="s">
        <v>745</v>
      </c>
      <c r="B716" s="13" t="s">
        <v>12</v>
      </c>
      <c r="C716" s="13" t="b">
        <f t="shared" si="11"/>
        <v>1</v>
      </c>
      <c r="D716" s="13"/>
      <c r="E716" s="63"/>
      <c r="F716" s="13"/>
      <c r="G716" s="13"/>
      <c r="H716" s="13" t="s">
        <v>68</v>
      </c>
      <c r="I716" s="101" t="s">
        <v>44</v>
      </c>
      <c r="J716" s="101"/>
      <c r="K716" s="6">
        <f>[9]!'id588?req?FMX_STK_SMART_USD_~/'</f>
        <v>0</v>
      </c>
      <c r="L716" s="6" t="str">
        <f>[9]!id588?orderTypes</f>
        <v>ACTIVETIM,ADJUST,ALERT,ALGO,ALLOC,AON,AVGCOST,BASKET,COND,CONDORDER,DARKONLY,DARKPOLL,DAY,DEACT,DEACTDIS,DEACTEOD,DIS,GAT,GTC,GTD,GTT,HID,IBKRATS,ICE,IMB,IOC,LIT,LMT,LOC,MIT,MKT,MOC,MTL,NGCOMB,NODARK,NONALGO,OCA,OPG,OPGREROUT,PEGBENCH,POSTONLY,PREOPGRTH,R</v>
      </c>
      <c r="M716" s="6" t="str">
        <f>[9]!id588?validExchanges</f>
        <v>SMART,NYSE,CBOE,ISE,CHX,ARCA,ISLAND,DRCTEDGE,NSX,BEX,BATS,EDGEA,CSFBALGO,JEFFALGO,BYX,IEX,TPLUS2,PSX</v>
      </c>
      <c r="N716" s="6">
        <f>[9]!id588?conid</f>
        <v>5021349</v>
      </c>
      <c r="O716" s="6">
        <f>[9]!id588?minTick</f>
        <v>0.01</v>
      </c>
      <c r="P716" s="6">
        <f>[9]!id588?multiplier</f>
        <v>0</v>
      </c>
      <c r="Q716" s="6" t="str">
        <f>[9]!id588?marketName</f>
        <v>FMX</v>
      </c>
      <c r="R716" s="6" t="str">
        <f>[9]!id588?tradingClass</f>
        <v>FMX</v>
      </c>
    </row>
    <row r="717" spans="1:18" hidden="1" x14ac:dyDescent="0.2">
      <c r="A717" t="s">
        <v>746</v>
      </c>
      <c r="B717" s="13" t="s">
        <v>12</v>
      </c>
      <c r="C717" s="13" t="b">
        <f t="shared" si="11"/>
        <v>0</v>
      </c>
      <c r="D717" s="13"/>
      <c r="E717" s="63"/>
      <c r="F717" s="13"/>
      <c r="G717" s="13"/>
      <c r="H717" s="13" t="s">
        <v>68</v>
      </c>
      <c r="I717" s="101" t="s">
        <v>44</v>
      </c>
      <c r="J717" s="101"/>
      <c r="K717" s="6">
        <f>[9]!'id589?req?PLCE_STK_SMART_USD_~/'</f>
        <v>0</v>
      </c>
      <c r="L717" s="6" t="str">
        <f>[9]!id589?orderTypes</f>
        <v>ACTIVETIM,ADJUST,ALERT,ALGO,ALLOC,AON,AVGCOST,BASKET,COND,CONDORDER,DARKONLY,DARKPOLL,DAY,DEACT,DEACTDIS,DEACTEOD,DIS,GAT,GTC,GTD,GTT,HID,IBKRATS,ICE,IMB,IOC,LIT,LMT,LOC,MIT,MKT,MOC,MTL,NGCOMB,NODARK,NONALGO,OCA,OPG,OPGREROUT,PEGBENCH,POSTONLY,PREOPGRTH,R</v>
      </c>
      <c r="M717" s="6" t="str">
        <f>[9]!id589?validExchanges</f>
        <v>SMART,CBOE,ISE,CHX,ARCA,ISLAND,DRCTEDGE,NSX,BEX,BATS,EDGEA,CSFBALGO,JEFFALGO,BYX,IEX,TPLUS2,PSX</v>
      </c>
      <c r="N717" s="6">
        <f>[9]!id589?conid</f>
        <v>4816645</v>
      </c>
      <c r="O717" s="6">
        <f>[9]!id589?minTick</f>
        <v>0.01</v>
      </c>
      <c r="P717" s="6">
        <f>[9]!id589?multiplier</f>
        <v>0</v>
      </c>
      <c r="Q717" s="6" t="str">
        <f>[9]!id589?marketName</f>
        <v>NMS</v>
      </c>
      <c r="R717" s="6" t="str">
        <f>[9]!id589?tradingClass</f>
        <v>NMS</v>
      </c>
    </row>
    <row r="718" spans="1:18" hidden="1" x14ac:dyDescent="0.2">
      <c r="A718" t="s">
        <v>747</v>
      </c>
      <c r="B718" s="13" t="s">
        <v>12</v>
      </c>
      <c r="C718" s="13" t="b">
        <f t="shared" si="11"/>
        <v>1</v>
      </c>
      <c r="D718" s="13"/>
      <c r="E718" s="63"/>
      <c r="F718" s="13"/>
      <c r="G718" s="13"/>
      <c r="H718" s="13" t="s">
        <v>68</v>
      </c>
      <c r="I718" s="101" t="s">
        <v>44</v>
      </c>
      <c r="J718" s="101"/>
      <c r="K718" s="6">
        <f>[9]!'id590?req?NVR_STK_SMART_USD_~/'</f>
        <v>0</v>
      </c>
      <c r="L718" s="6" t="str">
        <f>[9]!id590?orderTypes</f>
        <v>ACTIVETIM,ADJUST,ALERT,ALGO,ALLOC,AON,AVGCOST,BASKET,COND,CONDORDER,DARKONLY,DARKPOLL,DAY,DEACT,DEACTDIS,DEACTEOD,DIS,GAT,GTC,GTD,GTT,HID,IBKRATS,ICE,IMB,IOC,LIT,LMT,LOC,MIT,MKT,MOC,MTL,NGCOMB,NODARK,NONALGO,OCA,OPG,OPGREROUT,PEGBENCH,POSTONLY,PREOPGRTH,R</v>
      </c>
      <c r="M718" s="6" t="str">
        <f>[9]!id590?validExchanges</f>
        <v>SMART,NYSE,ISE,CHX,ARCA,ISLAND,DRCTEDGE,NSX,BEX,BATS,EDGEA,CSFBALGO,JEFFALGO,BYX,IEX,TPLUS2,PSX</v>
      </c>
      <c r="N718" s="6">
        <f>[9]!id590?conid</f>
        <v>755864</v>
      </c>
      <c r="O718" s="6">
        <f>[9]!id590?minTick</f>
        <v>0.01</v>
      </c>
      <c r="P718" s="6">
        <f>[9]!id590?multiplier</f>
        <v>0</v>
      </c>
      <c r="Q718" s="6" t="str">
        <f>[9]!id590?marketName</f>
        <v>NVR</v>
      </c>
      <c r="R718" s="6" t="str">
        <f>[9]!id590?tradingClass</f>
        <v>NVR</v>
      </c>
    </row>
    <row r="719" spans="1:18" hidden="1" x14ac:dyDescent="0.2">
      <c r="A719" t="s">
        <v>748</v>
      </c>
      <c r="B719" s="13" t="s">
        <v>12</v>
      </c>
      <c r="C719" s="13" t="b">
        <f t="shared" si="11"/>
        <v>1</v>
      </c>
      <c r="D719" s="13"/>
      <c r="E719" s="63"/>
      <c r="F719" s="13"/>
      <c r="G719" s="13"/>
      <c r="H719" s="13" t="s">
        <v>68</v>
      </c>
      <c r="I719" s="101" t="s">
        <v>44</v>
      </c>
      <c r="J719" s="101"/>
      <c r="K719" s="6">
        <f>[9]!'id591?req?BPL_STK_SMART_USD_~/'</f>
        <v>0</v>
      </c>
      <c r="L719" s="6" t="str">
        <f>[9]!id591?orderTypes</f>
        <v>ACTIVETIM,ADJUST,ALERT,ALGO,ALLOC,AON,AVGCOST,BASKET,COND,CONDORDER,DARKONLY,DARKPOLL,DAY,DEACT,DEACTDIS,DEACTEOD,DIS,GAT,GTC,GTD,GTT,HID,IBKRATS,ICE,IMB,IOC,LIT,LMT,LOC,MIT,MKT,MOC,MTL,NGCOMB,NODARK,NONALGO,OCA,OPG,OPGREROUT,PEGBENCH,POSTONLY,PREOPGRTH,R</v>
      </c>
      <c r="M719" s="6" t="str">
        <f>[9]!id591?validExchanges</f>
        <v>SMART,NYSE,CBOE,ISE,CHX,ARCA,ISLAND,DRCTEDGE,NSX,BEX,BATS,EDGEA,CSFBALGO,JEFFALGO,BYX,IEX,TPLUS2,PSX</v>
      </c>
      <c r="N719" s="6">
        <f>[9]!id591?conid</f>
        <v>5177</v>
      </c>
      <c r="O719" s="6">
        <f>[9]!id591?minTick</f>
        <v>0.01</v>
      </c>
      <c r="P719" s="6">
        <f>[9]!id591?multiplier</f>
        <v>0</v>
      </c>
      <c r="Q719" s="6" t="str">
        <f>[9]!id591?marketName</f>
        <v>BPL</v>
      </c>
      <c r="R719" s="6" t="str">
        <f>[9]!id591?tradingClass</f>
        <v>BPL</v>
      </c>
    </row>
    <row r="720" spans="1:18" hidden="1" x14ac:dyDescent="0.2">
      <c r="A720" t="s">
        <v>749</v>
      </c>
      <c r="B720" s="13" t="s">
        <v>12</v>
      </c>
      <c r="C720" s="13" t="b">
        <f t="shared" si="11"/>
        <v>0</v>
      </c>
      <c r="D720" s="13"/>
      <c r="E720" s="63"/>
      <c r="F720" s="13"/>
      <c r="G720" s="13"/>
      <c r="H720" s="13" t="s">
        <v>68</v>
      </c>
      <c r="I720" s="101" t="s">
        <v>44</v>
      </c>
      <c r="J720" s="101"/>
      <c r="K720" s="6">
        <f>[9]!'id592?req?ODFL_STK_SMART_USD_~/'</f>
        <v>0</v>
      </c>
      <c r="L720" s="6" t="str">
        <f>[9]!id592?orderTypes</f>
        <v>ACTIVETIM,ADJUST,ALERT,ALGO,ALLOC,AON,AVGCOST,BASKET,COND,CONDORDER,DARKONLY,DARKPOLL,DAY,DEACT,DEACTDIS,DEACTEOD,DIS,GAT,GTC,GTD,GTT,HID,IBKRATS,ICE,IMB,IOC,LIT,LMT,LOC,MIT,MKT,MOC,MTL,NGCOMB,NODARK,NONALGO,OCA,OPG,OPGREROUT,PEGBENCH,POSTONLY,PREOPGRTH,R</v>
      </c>
      <c r="M720" s="6" t="str">
        <f>[9]!id592?validExchanges</f>
        <v>SMART,CBOE,ISE,CHX,ARCA,ISLAND,DRCTEDGE,NSX,BEX,BATS,EDGEA,CSFBALGO,JEFFALGO,BYX,IEX,TPLUS2,PSX</v>
      </c>
      <c r="N720" s="6">
        <f>[9]!id592?conid</f>
        <v>272667</v>
      </c>
      <c r="O720" s="6">
        <f>[9]!id592?minTick</f>
        <v>0.01</v>
      </c>
      <c r="P720" s="6">
        <f>[9]!id592?multiplier</f>
        <v>0</v>
      </c>
      <c r="Q720" s="6" t="str">
        <f>[9]!id592?marketName</f>
        <v>NMS</v>
      </c>
      <c r="R720" s="6" t="str">
        <f>[9]!id592?tradingClass</f>
        <v>NMS</v>
      </c>
    </row>
    <row r="721" spans="1:18" hidden="1" x14ac:dyDescent="0.2">
      <c r="A721" t="s">
        <v>750</v>
      </c>
      <c r="B721" s="13" t="s">
        <v>12</v>
      </c>
      <c r="C721" s="13" t="b">
        <f t="shared" si="11"/>
        <v>1</v>
      </c>
      <c r="D721" s="13"/>
      <c r="E721" s="63"/>
      <c r="F721" s="13"/>
      <c r="G721" s="13"/>
      <c r="H721" s="13" t="s">
        <v>68</v>
      </c>
      <c r="I721" s="101" t="s">
        <v>44</v>
      </c>
      <c r="J721" s="101"/>
      <c r="K721" s="6">
        <f>[9]!'id593?req?MIC_STK_SMART_USD_~/'</f>
        <v>0</v>
      </c>
      <c r="L721" s="6" t="str">
        <f>[9]!id593?orderTypes</f>
        <v>ACTIVETIM,ADJUST,ALERT,ALGO,ALLOC,AON,AVGCOST,BASKET,COND,CONDORDER,DARKONLY,DARKPOLL,DAY,DEACT,DEACTDIS,DEACTEOD,DIS,GAT,GTC,GTD,GTT,HID,IBKRATS,ICE,IMB,IOC,LIT,LMT,LOC,MIT,MKT,MOC,MTL,NGCOMB,NODARK,NONALGO,OCA,OPG,OPGREROUT,PEGBENCH,POSTONLY,PREOPGRTH,R</v>
      </c>
      <c r="M721" s="6" t="str">
        <f>[9]!id593?validExchanges</f>
        <v>SMART,NYSE,CBOE,ISE,CHX,ARCA,ISLAND,DRCTEDGE,NSX,BEX,BATS,EDGEA,CSFBALGO,JEFFALGO,BYX,IEX,TPLUS2,PSX</v>
      </c>
      <c r="N721" s="6">
        <f>[9]!id593?conid</f>
        <v>44963008</v>
      </c>
      <c r="O721" s="6">
        <f>[9]!id593?minTick</f>
        <v>0.01</v>
      </c>
      <c r="P721" s="6">
        <f>[9]!id593?multiplier</f>
        <v>0</v>
      </c>
      <c r="Q721" s="6" t="str">
        <f>[9]!id593?marketName</f>
        <v>MIC</v>
      </c>
      <c r="R721" s="6" t="str">
        <f>[9]!id593?tradingClass</f>
        <v>MIC</v>
      </c>
    </row>
    <row r="722" spans="1:18" hidden="1" x14ac:dyDescent="0.2">
      <c r="A722" t="s">
        <v>751</v>
      </c>
      <c r="B722" s="13" t="s">
        <v>12</v>
      </c>
      <c r="C722" s="13" t="b">
        <f t="shared" si="11"/>
        <v>0</v>
      </c>
      <c r="D722" s="13"/>
      <c r="E722" s="63"/>
      <c r="F722" s="13"/>
      <c r="G722" s="13"/>
      <c r="H722" s="13" t="s">
        <v>68</v>
      </c>
      <c r="I722" s="101" t="s">
        <v>44</v>
      </c>
      <c r="J722" s="101"/>
      <c r="K722" s="6">
        <f>[9]!'id594?req?ANSS_STK_SMART_USD_~/'</f>
        <v>0</v>
      </c>
      <c r="L722" s="6" t="str">
        <f>[9]!id594?orderTypes</f>
        <v>ACTIVETIM,ADJUST,ALERT,ALGO,ALLOC,AON,AVGCOST,BASKET,COND,CONDORDER,DARKONLY,DARKPOLL,DAY,DEACT,DEACTDIS,DEACTEOD,DIS,GAT,GTC,GTD,GTT,HID,IBKRATS,ICE,IMB,IOC,LIT,LMT,LOC,MIT,MKT,MOC,MTL,NGCOMB,NODARK,NONALGO,OCA,OPG,OPGREROUT,PEGBENCH,POSTONLY,PREOPGRTH,R</v>
      </c>
      <c r="M722" s="6" t="str">
        <f>[9]!id594?validExchanges</f>
        <v>SMART,CBOE,ISE,CHX,ARCA,ISLAND,DRCTEDGE,NSX,BEX,BATS,EDGEA,CSFBALGO,JEFFALGO,BYX,IEX,TPLUS2,PSX</v>
      </c>
      <c r="N722" s="6">
        <f>[9]!id594?conid</f>
        <v>4726368</v>
      </c>
      <c r="O722" s="6">
        <f>[9]!id594?minTick</f>
        <v>0.01</v>
      </c>
      <c r="P722" s="6">
        <f>[9]!id594?multiplier</f>
        <v>0</v>
      </c>
      <c r="Q722" s="6" t="str">
        <f>[9]!id594?marketName</f>
        <v>NMS</v>
      </c>
      <c r="R722" s="6" t="str">
        <f>[9]!id594?tradingClass</f>
        <v>NMS</v>
      </c>
    </row>
    <row r="723" spans="1:18" hidden="1" x14ac:dyDescent="0.2">
      <c r="A723" t="s">
        <v>752</v>
      </c>
      <c r="B723" s="13" t="s">
        <v>12</v>
      </c>
      <c r="C723" s="13" t="b">
        <f t="shared" si="11"/>
        <v>0</v>
      </c>
      <c r="D723" s="13"/>
      <c r="E723" s="63"/>
      <c r="F723" s="13"/>
      <c r="G723" s="13"/>
      <c r="H723" s="13" t="s">
        <v>68</v>
      </c>
      <c r="I723" s="101" t="s">
        <v>44</v>
      </c>
      <c r="J723" s="101"/>
      <c r="K723" s="6">
        <f>[9]!'id595?req?RARE_STK_SMART_USD_~/'</f>
        <v>0</v>
      </c>
      <c r="L723" s="6" t="str">
        <f>[9]!id595?orderTypes</f>
        <v>ACTIVETIM,ADJUST,ALERT,ALGO,ALLOC,AON,AVGCOST,BASKET,COND,CONDORDER,DARKONLY,DARKPOLL,DAY,DEACT,DEACTDIS,DEACTEOD,DIS,GAT,GTC,GTD,GTT,HID,IBKRATS,ICE,IMB,IOC,LIT,LMT,LOC,MIT,MKT,MOC,MTL,NGCOMB,NODARK,NONALGO,OCA,OPG,OPGREROUT,PEGBENCH,POSTONLY,PREOPGRTH,R</v>
      </c>
      <c r="M723" s="6" t="str">
        <f>[9]!id595?validExchanges</f>
        <v>SMART,CBOE,ISE,CHX,ARCA,ISLAND,DRCTEDGE,NSX,BEX,BATS,EDGEA,CSFBALGO,JEFFALGO,BYX,IEX,TPLUS2,PSX</v>
      </c>
      <c r="N723" s="6">
        <f>[9]!id595?conid</f>
        <v>143541504</v>
      </c>
      <c r="O723" s="6">
        <f>[9]!id595?minTick</f>
        <v>0.01</v>
      </c>
      <c r="P723" s="6">
        <f>[9]!id595?multiplier</f>
        <v>0</v>
      </c>
      <c r="Q723" s="6" t="str">
        <f>[9]!id595?marketName</f>
        <v>NMS</v>
      </c>
      <c r="R723" s="6" t="str">
        <f>[9]!id595?tradingClass</f>
        <v>NMS</v>
      </c>
    </row>
    <row r="724" spans="1:18" hidden="1" x14ac:dyDescent="0.2">
      <c r="A724" t="s">
        <v>753</v>
      </c>
      <c r="B724" s="13" t="s">
        <v>12</v>
      </c>
      <c r="C724" s="13" t="b">
        <f t="shared" si="11"/>
        <v>0</v>
      </c>
      <c r="D724" s="13"/>
      <c r="E724" s="63"/>
      <c r="F724" s="13"/>
      <c r="G724" s="13"/>
      <c r="H724" s="13" t="s">
        <v>68</v>
      </c>
      <c r="I724" s="101" t="s">
        <v>44</v>
      </c>
      <c r="J724" s="101"/>
      <c r="K724" s="6">
        <f>[9]!'id596?req?GWPH_STK_SMART_USD_~/'</f>
        <v>0</v>
      </c>
      <c r="L724" s="6" t="str">
        <f>[9]!id596?orderTypes</f>
        <v>ACTIVETIM,ADJUST,ALERT,ALGO,ALLOC,AON,AVGCOST,BASKET,COND,CONDORDER,DARKONLY,DARKPOLL,DAY,DEACT,DEACTDIS,DEACTEOD,DIS,GAT,GTC,GTD,GTT,HID,IBKRATS,ICE,IMB,IOC,LIT,LMT,LOC,MIT,MKT,MOC,MTL,NGCOMB,NODARK,NONALGO,OCA,OPG,OPGREROUT,PEGBENCH,POSTONLY,PREOPGRTH,R</v>
      </c>
      <c r="M724" s="6" t="str">
        <f>[9]!id596?validExchanges</f>
        <v>SMART,CBOE,ISE,CHX,ARCA,ISLAND,DRCTEDGE,NSX,BEX,BATS,EDGEA,CSFBALGO,JEFFALGO,BYX,IEX,TPLUS2,PSX</v>
      </c>
      <c r="N724" s="6">
        <f>[9]!id596?conid</f>
        <v>126993722</v>
      </c>
      <c r="O724" s="6">
        <f>[9]!id596?minTick</f>
        <v>0.01</v>
      </c>
      <c r="P724" s="6">
        <f>[9]!id596?multiplier</f>
        <v>0</v>
      </c>
      <c r="Q724" s="6" t="str">
        <f>[9]!id596?marketName</f>
        <v>NMS</v>
      </c>
      <c r="R724" s="6" t="str">
        <f>[9]!id596?tradingClass</f>
        <v>NMS</v>
      </c>
    </row>
    <row r="725" spans="1:18" hidden="1" x14ac:dyDescent="0.2">
      <c r="A725" t="s">
        <v>754</v>
      </c>
      <c r="B725" s="13" t="s">
        <v>12</v>
      </c>
      <c r="C725" s="13" t="b">
        <f t="shared" si="11"/>
        <v>0</v>
      </c>
      <c r="D725" s="13"/>
      <c r="E725" s="63"/>
      <c r="F725" s="13"/>
      <c r="G725" s="13"/>
      <c r="H725" s="13" t="s">
        <v>68</v>
      </c>
      <c r="I725" s="101" t="s">
        <v>44</v>
      </c>
      <c r="J725" s="101"/>
      <c r="K725" s="6">
        <f>[9]!'id597?req?CDK_STK_SMART_USD_~/'</f>
        <v>0</v>
      </c>
      <c r="L725" s="6" t="str">
        <f>[9]!id597?orderTypes</f>
        <v>ACTIVETIM,ADJUST,ALERT,ALGO,ALLOC,AON,AVGCOST,BASKET,COND,CONDORDER,DARKONLY,DARKPOLL,DAY,DEACT,DEACTDIS,DEACTEOD,DIS,GAT,GTC,GTD,GTT,HID,IBKRATS,ICE,IMB,IOC,LIT,LMT,LOC,MIT,MKT,MOC,MTL,NGCOMB,NODARK,NONALGO,OCA,OPG,OPGREROUT,PEGBENCH,POSTONLY,PREOPGRTH,R</v>
      </c>
      <c r="M725" s="6" t="str">
        <f>[9]!id597?validExchanges</f>
        <v>SMART,CBOE,ISE,CHX,ARCA,ISLAND,DRCTEDGE,NSX,BEX,BATS,EDGEA,CSFBALGO,JEFFALGO,BYX,IEX,TPLUS2,PSX</v>
      </c>
      <c r="N725" s="6">
        <f>[9]!id597?conid</f>
        <v>167236260</v>
      </c>
      <c r="O725" s="6">
        <f>[9]!id597?minTick</f>
        <v>0.01</v>
      </c>
      <c r="P725" s="6">
        <f>[9]!id597?multiplier</f>
        <v>0</v>
      </c>
      <c r="Q725" s="6" t="str">
        <f>[9]!id597?marketName</f>
        <v>NMS</v>
      </c>
      <c r="R725" s="6" t="str">
        <f>[9]!id597?tradingClass</f>
        <v>NMS</v>
      </c>
    </row>
    <row r="726" spans="1:18" hidden="1" x14ac:dyDescent="0.2">
      <c r="A726" t="s">
        <v>755</v>
      </c>
      <c r="B726" s="13" t="s">
        <v>12</v>
      </c>
      <c r="C726" s="13" t="b">
        <f t="shared" si="11"/>
        <v>0</v>
      </c>
      <c r="D726" s="13"/>
      <c r="E726" s="63"/>
      <c r="F726" s="13"/>
      <c r="G726" s="13"/>
      <c r="H726" s="13" t="s">
        <v>68</v>
      </c>
      <c r="I726" s="101" t="s">
        <v>44</v>
      </c>
      <c r="J726" s="101"/>
      <c r="K726" s="6">
        <f>[9]!'id598?req?OLED_STK_SMART_USD_~/'</f>
        <v>0</v>
      </c>
      <c r="L726" s="6" t="str">
        <f>[9]!id598?orderTypes</f>
        <v>ACTIVETIM,ADJUST,ALERT,ALGO,ALLOC,AON,AVGCOST,BASKET,COND,CONDORDER,DARKONLY,DARKPOLL,DAY,DEACT,DEACTDIS,DEACTEOD,DIS,GAT,GTC,GTD,GTT,HID,IBKRATS,ICE,IMB,IOC,LIT,LMT,LOC,MIT,MKT,MOC,MTL,NGCOMB,NODARK,NONALGO,OCA,OPG,OPGREROUT,PEGBENCH,POSTONLY,PREOPGRTH,R</v>
      </c>
      <c r="M726" s="6" t="str">
        <f>[9]!id598?validExchanges</f>
        <v>SMART,CBOE,ISE,CHX,ARCA,ISLAND,DRCTEDGE,NSX,BEX,BATS,EDGEA,CSFBALGO,JEFFALGO,BYX,IEX,TPLUS2,PSX</v>
      </c>
      <c r="N726" s="6">
        <f>[9]!id598?conid</f>
        <v>4816201</v>
      </c>
      <c r="O726" s="6">
        <f>[9]!id598?minTick</f>
        <v>0.01</v>
      </c>
      <c r="P726" s="6">
        <f>[9]!id598?multiplier</f>
        <v>0</v>
      </c>
      <c r="Q726" s="6" t="str">
        <f>[9]!id598?marketName</f>
        <v>NMS</v>
      </c>
      <c r="R726" s="6" t="str">
        <f>[9]!id598?tradingClass</f>
        <v>NMS</v>
      </c>
    </row>
    <row r="727" spans="1:18" hidden="1" x14ac:dyDescent="0.2">
      <c r="A727" t="s">
        <v>756</v>
      </c>
      <c r="B727" s="13" t="s">
        <v>12</v>
      </c>
      <c r="C727" s="13" t="b">
        <f t="shared" si="11"/>
        <v>0</v>
      </c>
      <c r="D727" s="13"/>
      <c r="E727" s="63"/>
      <c r="F727" s="13"/>
      <c r="G727" s="13"/>
      <c r="H727" s="13" t="s">
        <v>68</v>
      </c>
      <c r="I727" s="101" t="s">
        <v>44</v>
      </c>
      <c r="J727" s="101"/>
      <c r="K727" s="6">
        <f>[9]!'id599?req?WOOF_STK_SMART_USD_~/'</f>
        <v>0</v>
      </c>
      <c r="L727" s="6" t="str">
        <f>[9]!id599?orderTypes</f>
        <v>ACTIVETIM,ADJUST,ALERT,ALGO,ALLOC,AON,AVGCOST,BASKET,COND,CONDORDER,DARKONLY,DARKPOLL,DAY,DEACT,DEACTDIS,DEACTEOD,DIS,GAT,GTC,GTD,GTT,HID,IBKRATS,ICE,IMB,IOC,LIT,LMT,LOC,MIT,MKT,MOC,MTL,NGCOMB,NODARK,NONALGO,OCA,OPG,OPGREROUT,PEGBENCH,POSTONLY,PREOPGRTH,R</v>
      </c>
      <c r="M727" s="6" t="str">
        <f>[9]!id599?validExchanges</f>
        <v>SMART,CBOE,ISE,CHX,ARCA,ISLAND,DRCTEDGE,NSX,BEX,BATS,EDGEA,CSFBALGO,JEFFALGO,BYX,IEX,TPLUS2,PSX</v>
      </c>
      <c r="N727" s="6">
        <f>[9]!id599?conid</f>
        <v>13793280</v>
      </c>
      <c r="O727" s="6">
        <f>[9]!id599?minTick</f>
        <v>0.01</v>
      </c>
      <c r="P727" s="6">
        <f>[9]!id599?multiplier</f>
        <v>0</v>
      </c>
      <c r="Q727" s="6" t="str">
        <f>[9]!id599?marketName</f>
        <v>NMS</v>
      </c>
      <c r="R727" s="6" t="str">
        <f>[9]!id599?tradingClass</f>
        <v>NMS</v>
      </c>
    </row>
    <row r="728" spans="1:18" hidden="1" x14ac:dyDescent="0.2">
      <c r="A728" t="s">
        <v>757</v>
      </c>
      <c r="B728" s="13" t="s">
        <v>12</v>
      </c>
      <c r="C728" s="13" t="b">
        <f t="shared" si="11"/>
        <v>1</v>
      </c>
      <c r="D728" s="13"/>
      <c r="E728" s="63"/>
      <c r="F728" s="13"/>
      <c r="G728" s="13"/>
      <c r="H728" s="13" t="s">
        <v>68</v>
      </c>
      <c r="I728" s="101" t="s">
        <v>44</v>
      </c>
      <c r="J728" s="101"/>
      <c r="K728" s="6">
        <f>[9]!'id600?req?MKL_STK_SMART_USD_~/'</f>
        <v>0</v>
      </c>
      <c r="L728" s="6" t="str">
        <f>[9]!id600?orderTypes</f>
        <v>ACTIVETIM,ADJUST,ALERT,ALGO,ALLOC,AON,AVGCOST,BASKET,COND,CONDORDER,DARKONLY,DARKPOLL,DAY,DEACT,DEACTDIS,DEACTEOD,DIS,GAT,GTC,GTD,GTT,HID,IBKRATS,ICE,IMB,IOC,LIT,LMT,LOC,MIT,MKT,MOC,MTL,NGCOMB,NODARK,NONALGO,OCA,OPG,OPGREROUT,PEGBENCH,POSTONLY,PREOPGRTH,R</v>
      </c>
      <c r="M728" s="6" t="str">
        <f>[9]!id600?validExchanges</f>
        <v>SMART,NYSE,CBOE,ISE,CHX,ARCA,ISLAND,DRCTEDGE,NSX,BEX,BATS,EDGEA,CSFBALGO,JEFFALGO,BYX,IEX,TPLUS2,PSX</v>
      </c>
      <c r="N728" s="6">
        <f>[9]!id600?conid</f>
        <v>271460</v>
      </c>
      <c r="O728" s="6">
        <f>[9]!id600?minTick</f>
        <v>0.01</v>
      </c>
      <c r="P728" s="6">
        <f>[9]!id600?multiplier</f>
        <v>0</v>
      </c>
      <c r="Q728" s="6" t="str">
        <f>[9]!id600?marketName</f>
        <v>MKL</v>
      </c>
      <c r="R728" s="6" t="str">
        <f>[9]!id600?tradingClass</f>
        <v>MKL</v>
      </c>
    </row>
    <row r="729" spans="1:18" hidden="1" x14ac:dyDescent="0.2">
      <c r="A729" t="s">
        <v>758</v>
      </c>
      <c r="B729" s="13" t="s">
        <v>12</v>
      </c>
      <c r="C729" s="13" t="b">
        <f t="shared" si="11"/>
        <v>1</v>
      </c>
      <c r="D729" s="13"/>
      <c r="E729" s="63"/>
      <c r="F729" s="13"/>
      <c r="G729" s="13"/>
      <c r="H729" s="13" t="s">
        <v>68</v>
      </c>
      <c r="I729" s="101" t="s">
        <v>44</v>
      </c>
      <c r="J729" s="101"/>
      <c r="K729" s="6">
        <f>[9]!'id601?req?MSM_STK_SMART_USD_~/'</f>
        <v>0</v>
      </c>
      <c r="L729" s="6" t="str">
        <f>[9]!id601?orderTypes</f>
        <v>ACTIVETIM,ADJUST,ALERT,ALGO,ALLOC,AON,AVGCOST,BASKET,COND,CONDORDER,DARKONLY,DARKPOLL,DAY,DEACT,DEACTDIS,DEACTEOD,DIS,GAT,GTC,GTD,GTT,HID,IBKRATS,ICE,IMB,IOC,LIT,LMT,LOC,MIT,MKT,MOC,MTL,NGCOMB,NODARK,NONALGO,OCA,OPG,OPGREROUT,PEGBENCH,POSTONLY,PREOPGRTH,R</v>
      </c>
      <c r="M729" s="6" t="str">
        <f>[9]!id601?validExchanges</f>
        <v>SMART,NYSE,CBOE,ISE,CHX,ARCA,ISLAND,DRCTEDGE,NSX,BEX,BATS,EDGEA,CSFBALGO,JEFFALGO,BYX,IEX,TPLUS2,PSX</v>
      </c>
      <c r="N729" s="6">
        <f>[9]!id601?conid</f>
        <v>2008216</v>
      </c>
      <c r="O729" s="6">
        <f>[9]!id601?minTick</f>
        <v>0.01</v>
      </c>
      <c r="P729" s="6">
        <f>[9]!id601?multiplier</f>
        <v>0</v>
      </c>
      <c r="Q729" s="6" t="str">
        <f>[9]!id601?marketName</f>
        <v>MSM</v>
      </c>
      <c r="R729" s="6" t="str">
        <f>[9]!id601?tradingClass</f>
        <v>MSM</v>
      </c>
    </row>
    <row r="730" spans="1:18" hidden="1" x14ac:dyDescent="0.2">
      <c r="A730" t="s">
        <v>759</v>
      </c>
      <c r="B730" s="13" t="s">
        <v>12</v>
      </c>
      <c r="C730" s="13" t="b">
        <f t="shared" si="11"/>
        <v>0</v>
      </c>
      <c r="D730" s="13"/>
      <c r="E730" s="63"/>
      <c r="F730" s="13"/>
      <c r="G730" s="13"/>
      <c r="H730" s="13" t="s">
        <v>68</v>
      </c>
      <c r="I730" s="101" t="s">
        <v>44</v>
      </c>
      <c r="J730" s="101"/>
      <c r="K730" s="6">
        <f>[9]!'id602?req?PFPT_STK_SMART_USD_~/'</f>
        <v>0</v>
      </c>
      <c r="L730" s="6" t="str">
        <f>[9]!id602?orderTypes</f>
        <v>ACTIVETIM,ADJUST,ALERT,ALGO,ALLOC,AON,AVGCOST,BASKET,COND,CONDORDER,DARKONLY,DARKPOLL,DAY,DEACT,DEACTDIS,DEACTEOD,DIS,GAT,GTC,GTD,GTT,HID,IBKRATS,ICE,IMB,IOC,LIT,LMT,LOC,MIT,MKT,MOC,MTL,NGCOMB,NODARK,NONALGO,OCA,OPG,OPGREROUT,PEGBENCH,POSTONLY,PREOPGRTH,R</v>
      </c>
      <c r="M730" s="6" t="str">
        <f>[9]!id602?validExchanges</f>
        <v>SMART,CBOE,ISE,CHX,ARCA,ISLAND,DRCTEDGE,NSX,BEX,BATS,EDGEA,CSFBALGO,JEFFALGO,BYX,IEX,TPLUS2,PSX</v>
      </c>
      <c r="N730" s="6">
        <f>[9]!id602?conid</f>
        <v>106001565</v>
      </c>
      <c r="O730" s="6">
        <f>[9]!id602?minTick</f>
        <v>0.01</v>
      </c>
      <c r="P730" s="6">
        <f>[9]!id602?multiplier</f>
        <v>0</v>
      </c>
      <c r="Q730" s="6" t="str">
        <f>[9]!id602?marketName</f>
        <v>NMS</v>
      </c>
      <c r="R730" s="6" t="str">
        <f>[9]!id602?tradingClass</f>
        <v>NMS</v>
      </c>
    </row>
    <row r="731" spans="1:18" hidden="1" x14ac:dyDescent="0.2">
      <c r="A731" t="s">
        <v>760</v>
      </c>
      <c r="B731" s="13" t="s">
        <v>12</v>
      </c>
      <c r="C731" s="13" t="b">
        <f t="shared" si="11"/>
        <v>1</v>
      </c>
      <c r="D731" s="13"/>
      <c r="E731" s="63"/>
      <c r="F731" s="13"/>
      <c r="G731" s="13"/>
      <c r="H731" s="13" t="s">
        <v>68</v>
      </c>
      <c r="I731" s="101" t="s">
        <v>44</v>
      </c>
      <c r="J731" s="101"/>
      <c r="K731" s="6">
        <f>[9]!'id603?req?KEX_STK_SMART_USD_~/'</f>
        <v>0</v>
      </c>
      <c r="L731" s="6" t="str">
        <f>[9]!id603?orderTypes</f>
        <v>ACTIVETIM,ADJUST,ALERT,ALGO,ALLOC,AON,AVGCOST,BASKET,COND,CONDORDER,DARKONLY,DARKPOLL,DAY,DEACT,DEACTDIS,DEACTEOD,DIS,GAT,GTC,GTD,GTT,HID,IBKRATS,ICE,IMB,IOC,LIT,LMT,LOC,MIT,MKT,MOC,MTL,NGCOMB,NODARK,NONALGO,OCA,OPG,OPGREROUT,PEGBENCH,POSTONLY,PREOPGRTH,R</v>
      </c>
      <c r="M731" s="6" t="str">
        <f>[9]!id603?validExchanges</f>
        <v>SMART,NYSE,CBOE,ISE,CHX,ARCA,ISLAND,DRCTEDGE,NSX,BEX,BATS,EDGEA,CSFBALGO,JEFFALGO,BYX,IEX,TPLUS2,PSX</v>
      </c>
      <c r="N731" s="6">
        <f>[9]!id603?conid</f>
        <v>2585501</v>
      </c>
      <c r="O731" s="6">
        <f>[9]!id603?minTick</f>
        <v>0.01</v>
      </c>
      <c r="P731" s="6">
        <f>[9]!id603?multiplier</f>
        <v>0</v>
      </c>
      <c r="Q731" s="6" t="str">
        <f>[9]!id603?marketName</f>
        <v>KEX</v>
      </c>
      <c r="R731" s="6" t="str">
        <f>[9]!id603?tradingClass</f>
        <v>KEX</v>
      </c>
    </row>
    <row r="732" spans="1:18" hidden="1" x14ac:dyDescent="0.2">
      <c r="A732" t="s">
        <v>761</v>
      </c>
      <c r="B732" s="13" t="s">
        <v>12</v>
      </c>
      <c r="C732" s="13" t="b">
        <f t="shared" si="11"/>
        <v>0</v>
      </c>
      <c r="D732" s="13"/>
      <c r="E732" s="63"/>
      <c r="F732" s="13"/>
      <c r="G732" s="13"/>
      <c r="H732" s="13" t="s">
        <v>68</v>
      </c>
      <c r="I732" s="101" t="s">
        <v>44</v>
      </c>
      <c r="J732" s="101"/>
      <c r="K732" s="6">
        <f>[9]!'id604?req?DOX_STK_SMART_USD_~/'</f>
        <v>0</v>
      </c>
      <c r="L732" s="6" t="str">
        <f>[9]!id604?orderTypes</f>
        <v>ACTIVETIM,ADJUST,ALERT,ALGO,ALLOC,AON,AVGCOST,BASKET,COND,CONDORDER,DARKONLY,DARKPOLL,DAY,DEACT,DEACTDIS,DEACTEOD,DIS,GAT,GTC,GTD,GTT,HID,IBKRATS,ICE,IMB,IOC,LIT,LMT,LOC,MIT,MKT,MOC,MTL,NGCOMB,NODARK,NONALGO,OCA,OPG,OPGREROUT,PEGBENCH,POSTONLY,PREOPGRTH,R</v>
      </c>
      <c r="M732" s="6" t="str">
        <f>[9]!id604?validExchanges</f>
        <v>SMART,CBOE,ISE,CHX,ARCA,ISLAND,VWAP,DRCTEDGE,NSX,BEX,BATS,EDGEA,CSFBALGO,JEFFALGO,BYX,IEX,TPLUS2,PSX</v>
      </c>
      <c r="N732" s="6">
        <f>[9]!id604?conid</f>
        <v>4457288</v>
      </c>
      <c r="O732" s="6">
        <f>[9]!id604?minTick</f>
        <v>0.01</v>
      </c>
      <c r="P732" s="6">
        <f>[9]!id604?multiplier</f>
        <v>0</v>
      </c>
      <c r="Q732" s="6" t="str">
        <f>[9]!id604?marketName</f>
        <v>NMS</v>
      </c>
      <c r="R732" s="6" t="str">
        <f>[9]!id604?tradingClass</f>
        <v>NMS</v>
      </c>
    </row>
    <row r="733" spans="1:18" hidden="1" x14ac:dyDescent="0.2">
      <c r="A733" t="s">
        <v>762</v>
      </c>
      <c r="B733" s="13" t="s">
        <v>12</v>
      </c>
      <c r="C733" s="13" t="b">
        <f t="shared" si="11"/>
        <v>1</v>
      </c>
      <c r="D733" s="13"/>
      <c r="E733" s="63"/>
      <c r="F733" s="13"/>
      <c r="G733" s="13"/>
      <c r="H733" s="13" t="s">
        <v>68</v>
      </c>
      <c r="I733" s="101" t="s">
        <v>44</v>
      </c>
      <c r="J733" s="101"/>
      <c r="K733" s="6">
        <f>[9]!'id605?req?KRC_STK_SMART_USD_~/'</f>
        <v>0</v>
      </c>
      <c r="L733" s="6" t="str">
        <f>[9]!id605?orderTypes</f>
        <v>ACTIVETIM,ADJUST,ALERT,ALGO,ALLOC,AON,AVGCOST,BASKET,COND,CONDORDER,DARKONLY,DARKPOLL,DAY,DEACT,DEACTDIS,DEACTEOD,DIS,GAT,GTC,GTD,GTT,HID,IBKRATS,ICE,IMB,IOC,LIT,LMT,LOC,MIT,MKT,MOC,MTL,NGCOMB,NODARK,NONALGO,OCA,OPG,OPGREROUT,PEGBENCH,POSTONLY,PREOPGRTH,R</v>
      </c>
      <c r="M733" s="6" t="str">
        <f>[9]!id605?validExchanges</f>
        <v>SMART,NYSE,ISE,CHX,ARCA,ISLAND,DRCTEDGE,NSX,BEX,BATS,EDGEA,CSFBALGO,JEFFALGO,BYX,IEX,TPLUS2,PSX</v>
      </c>
      <c r="N733" s="6">
        <f>[9]!id605?conid</f>
        <v>2586128</v>
      </c>
      <c r="O733" s="6">
        <f>[9]!id605?minTick</f>
        <v>0.01</v>
      </c>
      <c r="P733" s="6">
        <f>[9]!id605?multiplier</f>
        <v>0</v>
      </c>
      <c r="Q733" s="6" t="str">
        <f>[9]!id605?marketName</f>
        <v>KRC</v>
      </c>
      <c r="R733" s="6" t="str">
        <f>[9]!id605?tradingClass</f>
        <v>KRC</v>
      </c>
    </row>
    <row r="734" spans="1:18" hidden="1" x14ac:dyDescent="0.2">
      <c r="A734" t="s">
        <v>763</v>
      </c>
      <c r="B734" s="13" t="s">
        <v>12</v>
      </c>
      <c r="C734" s="13" t="b">
        <f t="shared" si="11"/>
        <v>1</v>
      </c>
      <c r="D734" s="13"/>
      <c r="E734" s="63"/>
      <c r="F734" s="13"/>
      <c r="G734" s="13"/>
      <c r="H734" s="13" t="s">
        <v>68</v>
      </c>
      <c r="I734" s="101" t="s">
        <v>44</v>
      </c>
      <c r="J734" s="101"/>
      <c r="K734" s="6">
        <f>[9]!'id606?req?DDS_STK_SMART_USD_~/'</f>
        <v>0</v>
      </c>
      <c r="L734" s="6" t="str">
        <f>[9]!id606?orderTypes</f>
        <v>ACTIVETIM,ADJUST,ALERT,ALGO,ALLOC,AON,AVGCOST,BASKET,COND,CONDORDER,DARKONLY,DARKPOLL,DAY,DEACT,DEACTDIS,DEACTEOD,DIS,GAT,GTC,GTD,GTT,HID,IBKRATS,ICE,IMB,IOC,LIT,LMT,LOC,MIT,MKT,MOC,MTL,NGCOMB,NODARK,NONALGO,OCA,OPG,OPGREROUT,PEGBENCH,POSTONLY,PREOPGRTH,R</v>
      </c>
      <c r="M734" s="6" t="str">
        <f>[9]!id606?validExchanges</f>
        <v>SMART,NYSE,CBOE,ISE,CHX,ARCA,ISLAND,VWAP,DRCTEDGE,NSX,BEX,BATS,EDGEA,CSFBALGO,JEFFALGO,BYX,IEX,TPLUS2,PSX</v>
      </c>
      <c r="N734" s="6">
        <f>[9]!id606?conid</f>
        <v>6390</v>
      </c>
      <c r="O734" s="6">
        <f>[9]!id606?minTick</f>
        <v>0.01</v>
      </c>
      <c r="P734" s="6">
        <f>[9]!id606?multiplier</f>
        <v>0</v>
      </c>
      <c r="Q734" s="6" t="str">
        <f>[9]!id606?marketName</f>
        <v>DDS</v>
      </c>
      <c r="R734" s="6" t="str">
        <f>[9]!id606?tradingClass</f>
        <v>DDS</v>
      </c>
    </row>
    <row r="735" spans="1:18" hidden="1" x14ac:dyDescent="0.2">
      <c r="A735" t="s">
        <v>764</v>
      </c>
      <c r="B735" s="13" t="s">
        <v>12</v>
      </c>
      <c r="C735" s="13" t="b">
        <f t="shared" si="11"/>
        <v>0</v>
      </c>
      <c r="D735" s="13"/>
      <c r="E735" s="63"/>
      <c r="F735" s="13"/>
      <c r="G735" s="13"/>
      <c r="H735" s="13" t="s">
        <v>68</v>
      </c>
      <c r="I735" s="101" t="s">
        <v>44</v>
      </c>
      <c r="J735" s="101"/>
      <c r="K735" s="6">
        <f>[9]!'id607?req?JCOM_STK_SMART_USD_~/'</f>
        <v>0</v>
      </c>
      <c r="L735" s="6" t="str">
        <f>[9]!id607?orderTypes</f>
        <v>ACTIVETIM,ADJUST,ALERT,ALGO,ALLOC,AON,AVGCOST,BASKET,COND,CONDORDER,DARKONLY,DARKPOLL,DAY,DEACT,DEACTDIS,DEACTEOD,DIS,GAT,GTC,GTD,GTT,HID,IBKRATS,ICE,IMB,IOC,LIT,LMT,LOC,MIT,MKT,MOC,MTL,NGCOMB,NODARK,NONALGO,OCA,OPG,OPGREROUT,PEGBENCH,POSTONLY,PREOPGRTH,R</v>
      </c>
      <c r="M735" s="6" t="str">
        <f>[9]!id607?validExchanges</f>
        <v>SMART,CBOE,ISE,CHX,ARCA,ISLAND,DRCTEDGE,NSX,BEX,BATS,EDGEA,CSFBALGO,JEFFALGO,BYX,IEX,TPLUS2,PSX</v>
      </c>
      <c r="N735" s="6">
        <f>[9]!id607?conid</f>
        <v>98538357</v>
      </c>
      <c r="O735" s="6">
        <f>[9]!id607?minTick</f>
        <v>0.01</v>
      </c>
      <c r="P735" s="6">
        <f>[9]!id607?multiplier</f>
        <v>0</v>
      </c>
      <c r="Q735" s="6" t="str">
        <f>[9]!id607?marketName</f>
        <v>NMS</v>
      </c>
      <c r="R735" s="6" t="str">
        <f>[9]!id607?tradingClass</f>
        <v>NMS</v>
      </c>
    </row>
    <row r="736" spans="1:18" hidden="1" x14ac:dyDescent="0.2">
      <c r="A736" t="s">
        <v>765</v>
      </c>
      <c r="B736" s="13" t="s">
        <v>12</v>
      </c>
      <c r="C736" s="13" t="b">
        <f t="shared" si="11"/>
        <v>1</v>
      </c>
      <c r="D736" s="13"/>
      <c r="E736" s="63"/>
      <c r="F736" s="13"/>
      <c r="G736" s="13"/>
      <c r="H736" s="13" t="s">
        <v>68</v>
      </c>
      <c r="I736" s="101" t="s">
        <v>44</v>
      </c>
      <c r="J736" s="101"/>
      <c r="K736" s="6">
        <f>[9]!'id608?req?NGG_STK_SMART_USD_~/'</f>
        <v>0</v>
      </c>
      <c r="L736" s="6" t="str">
        <f>[9]!id608?orderTypes</f>
        <v>ACTIVETIM,ADJUST,ALERT,ALGO,ALLOC,AON,AVGCOST,BASKET,COND,CONDORDER,DARKONLY,DARKPOLL,DAY,DEACT,DEACTDIS,DEACTEOD,DIS,GAT,GTC,GTD,GTT,HID,IBKRATS,ICE,IMB,IOC,LIT,LMT,LOC,MIT,MKT,MOC,MTL,NGCOMB,NODARK,NONALGO,OCA,OPG,OPGREROUT,PEGBENCH,POSTONLY,PREOPGRTH,R</v>
      </c>
      <c r="M736" s="6" t="str">
        <f>[9]!id608?validExchanges</f>
        <v>SMART,NYSE,CBOE,ISE,CHX,ARCA,ISLAND,DRCTEDGE,NSX,BEX,BATS,EDGEA,CSFBALGO,JEFFALGO,BYX,IEX,TPLUS2,PSX</v>
      </c>
      <c r="N736" s="6">
        <f>[9]!id608?conid</f>
        <v>35418811</v>
      </c>
      <c r="O736" s="6">
        <f>[9]!id608?minTick</f>
        <v>0.01</v>
      </c>
      <c r="P736" s="6">
        <f>[9]!id608?multiplier</f>
        <v>0</v>
      </c>
      <c r="Q736" s="6" t="str">
        <f>[9]!id608?marketName</f>
        <v>NGG</v>
      </c>
      <c r="R736" s="6" t="str">
        <f>[9]!id608?tradingClass</f>
        <v>NGG</v>
      </c>
    </row>
    <row r="737" spans="1:18" hidden="1" x14ac:dyDescent="0.2">
      <c r="A737" t="s">
        <v>766</v>
      </c>
      <c r="B737" s="13" t="s">
        <v>12</v>
      </c>
      <c r="C737" s="13" t="b">
        <f t="shared" si="11"/>
        <v>1</v>
      </c>
      <c r="D737" s="13"/>
      <c r="E737" s="63"/>
      <c r="F737" s="13"/>
      <c r="G737" s="13"/>
      <c r="H737" s="13" t="s">
        <v>68</v>
      </c>
      <c r="I737" s="101" t="s">
        <v>44</v>
      </c>
      <c r="J737" s="101"/>
      <c r="K737" s="6">
        <f>[9]!'id609?req?HDB_STK_SMART_USD_~/'</f>
        <v>0</v>
      </c>
      <c r="L737" s="6" t="str">
        <f>[9]!id609?orderTypes</f>
        <v>ACTIVETIM,ADJUST,ALERT,ALGO,ALLOC,AON,AVGCOST,BASKET,COND,CONDORDER,DARKONLY,DARKPOLL,DAY,DEACT,DEACTDIS,DEACTEOD,DIS,GAT,GTC,GTD,GTT,HID,IBKRATS,ICE,IMB,IOC,LIT,LMT,LOC,MIT,MKT,MOC,MTL,NGCOMB,NODARK,NONALGO,OCA,OPG,OPGREROUT,PEGBENCH,POSTONLY,PREOPGRTH,R</v>
      </c>
      <c r="M737" s="6" t="str">
        <f>[9]!id609?validExchanges</f>
        <v>SMART,NYSE,CBOE,ISE,CHX,ARCA,ISLAND,DRCTEDGE,NSX,BEX,BATS,EDGEA,CSFBALGO,JEFFALGO,BYX,IEX,TPLUS2,PSX</v>
      </c>
      <c r="N737" s="6">
        <f>[9]!id609?conid</f>
        <v>12796138</v>
      </c>
      <c r="O737" s="6">
        <f>[9]!id609?minTick</f>
        <v>0.01</v>
      </c>
      <c r="P737" s="6">
        <f>[9]!id609?multiplier</f>
        <v>0</v>
      </c>
      <c r="Q737" s="6" t="str">
        <f>[9]!id609?marketName</f>
        <v>HDB</v>
      </c>
      <c r="R737" s="6" t="str">
        <f>[9]!id609?tradingClass</f>
        <v>HDB</v>
      </c>
    </row>
    <row r="738" spans="1:18" hidden="1" x14ac:dyDescent="0.2">
      <c r="A738" t="s">
        <v>767</v>
      </c>
      <c r="B738" s="13" t="s">
        <v>12</v>
      </c>
      <c r="C738" s="13" t="b">
        <f t="shared" si="11"/>
        <v>1</v>
      </c>
      <c r="D738" s="13"/>
      <c r="E738" s="63"/>
      <c r="F738" s="13"/>
      <c r="G738" s="13"/>
      <c r="H738" s="13" t="s">
        <v>68</v>
      </c>
      <c r="I738" s="101" t="s">
        <v>44</v>
      </c>
      <c r="J738" s="101"/>
      <c r="K738" s="6">
        <f>[9]!'id610?req?DECK_STK_SMART_USD_~/'</f>
        <v>0</v>
      </c>
      <c r="L738" s="6" t="str">
        <f>[9]!id610?orderTypes</f>
        <v>ACTIVETIM,ADJUST,ALERT,ALGO,ALLOC,AON,AVGCOST,BASKET,COND,CONDORDER,DARKONLY,DARKPOLL,DAY,DEACT,DEACTDIS,DEACTEOD,DIS,GAT,GTC,GTD,GTT,HID,IBKRATS,ICE,IMB,IOC,LIT,LMT,LOC,MIT,MKT,MOC,MTL,NGCOMB,NODARK,NONALGO,OCA,OPG,OPGREROUT,PEGBENCH,POSTONLY,PREOPGRTH,R</v>
      </c>
      <c r="M738" s="6" t="str">
        <f>[9]!id610?validExchanges</f>
        <v>SMART,NYSE,CBOE,ISE,CHX,ARCA,ISLAND,DRCTEDGE,NSX,BEX,BATS,EDGEA,CSFBALGO,JEFFALGO,BYX,IEX,TPLUS2,PSX</v>
      </c>
      <c r="N738" s="6">
        <f>[9]!id610?conid</f>
        <v>268376</v>
      </c>
      <c r="O738" s="6">
        <f>[9]!id610?minTick</f>
        <v>0.01</v>
      </c>
      <c r="P738" s="6">
        <f>[9]!id610?multiplier</f>
        <v>0</v>
      </c>
      <c r="Q738" s="6" t="str">
        <f>[9]!id610?marketName</f>
        <v>DECK</v>
      </c>
      <c r="R738" s="6" t="str">
        <f>[9]!id610?tradingClass</f>
        <v>DECK</v>
      </c>
    </row>
    <row r="739" spans="1:18" hidden="1" x14ac:dyDescent="0.2">
      <c r="A739" t="s">
        <v>768</v>
      </c>
      <c r="B739" s="13" t="s">
        <v>12</v>
      </c>
      <c r="C739" s="13" t="b">
        <f t="shared" si="11"/>
        <v>1</v>
      </c>
      <c r="D739" s="13"/>
      <c r="E739" s="63"/>
      <c r="F739" s="13"/>
      <c r="G739" s="13"/>
      <c r="H739" s="13" t="s">
        <v>68</v>
      </c>
      <c r="I739" s="101" t="s">
        <v>44</v>
      </c>
      <c r="J739" s="101"/>
      <c r="K739" s="6">
        <f>[9]!'id611?req?CSL_STK_SMART_USD_~/'</f>
        <v>0</v>
      </c>
      <c r="L739" s="6" t="str">
        <f>[9]!id611?orderTypes</f>
        <v>ACTIVETIM,ADJUST,ALERT,ALGO,ALLOC,AON,AVGCOST,BASKET,COND,CONDORDER,DARKONLY,DARKPOLL,DAY,DEACT,DEACTDIS,DEACTEOD,DIS,GAT,GTC,GTD,GTT,HID,IBKRATS,ICE,IMB,IOC,LIT,LMT,LOC,MIT,MKT,MOC,MTL,NGCOMB,NODARK,NONALGO,OCA,OPG,OPGREROUT,PEGBENCH,POSTONLY,PREOPGRTH,R</v>
      </c>
      <c r="M739" s="6" t="str">
        <f>[9]!id611?validExchanges</f>
        <v>SMART,NYSE,ISE,CHX,ARCA,ISLAND,DRCTEDGE,NSX,BEX,BATS,EDGEA,CSFBALGO,JEFFALGO,BYX,IEX,TPLUS2,PSX</v>
      </c>
      <c r="N739" s="6">
        <f>[9]!id611?conid</f>
        <v>6120</v>
      </c>
      <c r="O739" s="6">
        <f>[9]!id611?minTick</f>
        <v>0.01</v>
      </c>
      <c r="P739" s="6">
        <f>[9]!id611?multiplier</f>
        <v>0</v>
      </c>
      <c r="Q739" s="6" t="str">
        <f>[9]!id611?marketName</f>
        <v>CSL</v>
      </c>
      <c r="R739" s="6" t="str">
        <f>[9]!id611?tradingClass</f>
        <v>CSL</v>
      </c>
    </row>
    <row r="740" spans="1:18" hidden="1" x14ac:dyDescent="0.2">
      <c r="A740" t="s">
        <v>769</v>
      </c>
      <c r="B740" s="13" t="s">
        <v>12</v>
      </c>
      <c r="C740" s="13" t="b">
        <f t="shared" si="11"/>
        <v>1</v>
      </c>
      <c r="D740" s="13"/>
      <c r="E740" s="63"/>
      <c r="F740" s="13"/>
      <c r="G740" s="13"/>
      <c r="H740" s="13" t="s">
        <v>68</v>
      </c>
      <c r="I740" s="101" t="s">
        <v>44</v>
      </c>
      <c r="J740" s="101"/>
      <c r="K740" s="6">
        <f>[9]!'id612?req?CHL_STK_SMART_USD_~/'</f>
        <v>0</v>
      </c>
      <c r="L740" s="6" t="str">
        <f>[9]!id612?orderTypes</f>
        <v>ACTIVETIM,ADJUST,ALERT,ALGO,ALLOC,AON,AVGCOST,BASKET,COND,CONDORDER,DARKONLY,DARKPOLL,DAY,DEACT,DEACTDIS,DEACTEOD,DIS,GAT,GTC,GTD,GTT,HID,IBKRATS,ICE,IMB,IOC,LIT,LMT,LOC,MIT,MKT,MOC,MTL,NGCOMB,NODARK,NONALGO,OCA,OPG,OPGREROUT,PEGBENCH,POSTONLY,PREOPGRTH,R</v>
      </c>
      <c r="M740" s="6" t="str">
        <f>[9]!id612?validExchanges</f>
        <v>SMART,NYSE,CBOE,ISE,CHX,ARCA,ISLAND,VWAP,DRCTEDGE,NSX,BEX,BATS,EDGEA,CSFBALGO,JEFFALGO,BYX,IEX,TPLUS2,PSX</v>
      </c>
      <c r="N740" s="6">
        <f>[9]!id612?conid</f>
        <v>5022638</v>
      </c>
      <c r="O740" s="6">
        <f>[9]!id612?minTick</f>
        <v>0.01</v>
      </c>
      <c r="P740" s="6">
        <f>[9]!id612?multiplier</f>
        <v>0</v>
      </c>
      <c r="Q740" s="6" t="str">
        <f>[9]!id612?marketName</f>
        <v>CHL</v>
      </c>
      <c r="R740" s="6" t="str">
        <f>[9]!id612?tradingClass</f>
        <v>CHL</v>
      </c>
    </row>
    <row r="741" spans="1:18" hidden="1" x14ac:dyDescent="0.2">
      <c r="A741" t="s">
        <v>770</v>
      </c>
      <c r="B741" s="13" t="s">
        <v>12</v>
      </c>
      <c r="C741" s="13" t="b">
        <f t="shared" si="11"/>
        <v>0</v>
      </c>
      <c r="D741" s="13"/>
      <c r="E741" s="63"/>
      <c r="F741" s="13"/>
      <c r="G741" s="13"/>
      <c r="H741" s="13" t="s">
        <v>68</v>
      </c>
      <c r="I741" s="101" t="s">
        <v>44</v>
      </c>
      <c r="J741" s="101"/>
      <c r="K741" s="6">
        <f>[9]!'id613?req?SAFM_STK_SMART_USD_~/'</f>
        <v>0</v>
      </c>
      <c r="L741" s="6" t="str">
        <f>[9]!id613?orderTypes</f>
        <v>ACTIVETIM,ADJUST,ALERT,ALGO,ALLOC,AON,AVGCOST,BASKET,COND,CONDORDER,DARKONLY,DARKPOLL,DAY,DEACT,DEACTDIS,DEACTEOD,DIS,GAT,GTC,GTD,GTT,HID,IBKRATS,ICE,IMB,IOC,LIT,LMT,LOC,MIT,MKT,MOC,MTL,NGCOMB,NODARK,NONALGO,OCA,OPG,OPGREROUT,PEGBENCH,POSTONLY,PREOPGRTH,R</v>
      </c>
      <c r="M741" s="6" t="str">
        <f>[9]!id613?validExchanges</f>
        <v>SMART,CBOE,ISE,CHX,ARCA,ISLAND,DRCTEDGE,NSX,BEX,BATS,EDGEA,CSFBALGO,JEFFALGO,BYX,IEX,TPLUS2,PSX</v>
      </c>
      <c r="N741" s="6">
        <f>[9]!id613?conid</f>
        <v>274027</v>
      </c>
      <c r="O741" s="6">
        <f>[9]!id613?minTick</f>
        <v>0.01</v>
      </c>
      <c r="P741" s="6">
        <f>[9]!id613?multiplier</f>
        <v>0</v>
      </c>
      <c r="Q741" s="6" t="str">
        <f>[9]!id613?marketName</f>
        <v>NMS</v>
      </c>
      <c r="R741" s="6" t="str">
        <f>[9]!id613?tradingClass</f>
        <v>NMS</v>
      </c>
    </row>
    <row r="742" spans="1:18" hidden="1" x14ac:dyDescent="0.2">
      <c r="A742" t="s">
        <v>771</v>
      </c>
      <c r="B742" s="13" t="s">
        <v>12</v>
      </c>
      <c r="C742" s="13" t="b">
        <f t="shared" si="11"/>
        <v>1</v>
      </c>
      <c r="D742" s="13"/>
      <c r="E742" s="63"/>
      <c r="F742" s="13"/>
      <c r="G742" s="13"/>
      <c r="H742" s="13" t="s">
        <v>68</v>
      </c>
      <c r="I742" s="101" t="s">
        <v>44</v>
      </c>
      <c r="J742" s="101"/>
      <c r="K742" s="6">
        <f>[9]!'id614?req?BMO_STK_SMART_USD_~/'</f>
        <v>0</v>
      </c>
      <c r="L742" s="6" t="str">
        <f>[9]!id614?orderTypes</f>
        <v>ACTIVETIM,ADJUST,ALERT,ALGO,ALLOC,AON,AVGCOST,BASKET,COND,CONDORDER,DARKONLY,DARKPOLL,DAY,DEACT,DEACTDIS,DEACTEOD,DIS,GAT,GTC,GTD,GTT,HID,IBKRATS,ICE,IMB,IOC,LIT,LMT,LOC,MIT,MKT,MOC,MTL,NGCOMB,NODARK,NONALGO,OCA,OPG,OPGREROUT,PEGBENCH,POSTONLY,PREOPGRTH,R</v>
      </c>
      <c r="M742" s="6" t="str">
        <f>[9]!id614?validExchanges</f>
        <v>SMART,NYSE,CBOE,ISE,CHX,ARCA,ISLAND,VWAP,DRCTEDGE,NSX,BEX,BATS,EDGEA,CSFBALGO,JEFFALGO,BYX,IEX,TPLUS2,PSX</v>
      </c>
      <c r="N742" s="6">
        <f>[9]!id614?conid</f>
        <v>5094</v>
      </c>
      <c r="O742" s="6">
        <f>[9]!id614?minTick</f>
        <v>0.01</v>
      </c>
      <c r="P742" s="6">
        <f>[9]!id614?multiplier</f>
        <v>0</v>
      </c>
      <c r="Q742" s="6" t="str">
        <f>[9]!id614?marketName</f>
        <v>BMO</v>
      </c>
      <c r="R742" s="6" t="str">
        <f>[9]!id614?tradingClass</f>
        <v>BMO</v>
      </c>
    </row>
    <row r="743" spans="1:18" hidden="1" x14ac:dyDescent="0.2">
      <c r="A743" t="s">
        <v>772</v>
      </c>
      <c r="B743" s="13" t="s">
        <v>12</v>
      </c>
      <c r="C743" s="13" t="b">
        <f t="shared" si="11"/>
        <v>0</v>
      </c>
      <c r="D743" s="13"/>
      <c r="E743" s="63"/>
      <c r="F743" s="13"/>
      <c r="G743" s="13"/>
      <c r="H743" s="13" t="s">
        <v>68</v>
      </c>
      <c r="I743" s="101" t="s">
        <v>44</v>
      </c>
      <c r="J743" s="101"/>
      <c r="K743" s="6">
        <f>[9]!'id615?req?SINA_STK_SMART_USD_~/'</f>
        <v>0</v>
      </c>
      <c r="L743" s="6" t="str">
        <f>[9]!id615?orderTypes</f>
        <v>ACTIVETIM,ADJUST,ALERT,ALGO,ALLOC,AON,AVGCOST,BASKET,COND,CONDORDER,DARKONLY,DARKPOLL,DAY,DEACT,DEACTDIS,DEACTEOD,DIS,GAT,GTC,GTD,GTT,HID,IBKRATS,ICE,IMB,IOC,LIT,LMT,LOC,MIT,MKT,MOC,MTL,NGCOMB,NODARK,NONALGO,OCA,OPG,OPGREROUT,PEGBENCH,POSTONLY,PREOPGRTH,R</v>
      </c>
      <c r="M743" s="6" t="str">
        <f>[9]!id615?validExchanges</f>
        <v>SMART,CBOE,ISE,CHX,ARCA,ISLAND,DRCTEDGE,NSX,BEX,BATS,EDGEA,CSFBALGO,JEFFALGO,BYX,IEX,TPLUS2,PSX</v>
      </c>
      <c r="N743" s="6">
        <f>[9]!id615?conid</f>
        <v>8885958</v>
      </c>
      <c r="O743" s="6">
        <f>[9]!id615?minTick</f>
        <v>0.01</v>
      </c>
      <c r="P743" s="6">
        <f>[9]!id615?multiplier</f>
        <v>0</v>
      </c>
      <c r="Q743" s="6" t="str">
        <f>[9]!id615?marketName</f>
        <v>NMS</v>
      </c>
      <c r="R743" s="6" t="str">
        <f>[9]!id615?tradingClass</f>
        <v>NMS</v>
      </c>
    </row>
    <row r="744" spans="1:18" hidden="1" x14ac:dyDescent="0.2">
      <c r="A744" t="s">
        <v>773</v>
      </c>
      <c r="B744" s="13" t="s">
        <v>12</v>
      </c>
      <c r="C744" s="13" t="b">
        <f t="shared" si="11"/>
        <v>0</v>
      </c>
      <c r="D744" s="13"/>
      <c r="E744" s="63"/>
      <c r="F744" s="13"/>
      <c r="G744" s="13"/>
      <c r="H744" s="13" t="s">
        <v>68</v>
      </c>
      <c r="I744" s="101" t="s">
        <v>44</v>
      </c>
      <c r="J744" s="101"/>
      <c r="K744" s="6">
        <f>[9]!'id616?req?CACC_STK_SMART_USD_~/'</f>
        <v>0</v>
      </c>
      <c r="L744" s="6" t="str">
        <f>[9]!id616?orderTypes</f>
        <v>ACTIVETIM,ADJUST,ALERT,ALGO,ALLOC,AON,AVGCOST,BASKET,COND,CONDORDER,DARKONLY,DARKPOLL,DAY,DEACT,DEACTDIS,DEACTEOD,DIS,GAT,GTC,GTD,GTT,HID,IBKRATS,ICE,IMB,IOC,LIT,LMT,LOC,MIT,MKT,MOC,MTL,NGCOMB,NODARK,NONALGO,OCA,OPG,OPGREROUT,PEGBENCH,POSTONLY,PREOPGRTH,R</v>
      </c>
      <c r="M744" s="6" t="str">
        <f>[9]!id616?validExchanges</f>
        <v>SMART,ISE,CHX,ARCA,ISLAND,DRCTEDGE,NSX,BEX,BATS,EDGEA,CSFBALGO,JEFFALGO,BYX,IEX,TPLUS2,PSX</v>
      </c>
      <c r="N744" s="6">
        <f>[9]!id616?conid</f>
        <v>267192</v>
      </c>
      <c r="O744" s="6">
        <f>[9]!id616?minTick</f>
        <v>0.01</v>
      </c>
      <c r="P744" s="6">
        <f>[9]!id616?multiplier</f>
        <v>0</v>
      </c>
      <c r="Q744" s="6" t="str">
        <f>[9]!id616?marketName</f>
        <v>NMS</v>
      </c>
      <c r="R744" s="6" t="str">
        <f>[9]!id616?tradingClass</f>
        <v>NMS</v>
      </c>
    </row>
    <row r="745" spans="1:18" hidden="1" x14ac:dyDescent="0.2">
      <c r="A745" t="s">
        <v>774</v>
      </c>
      <c r="B745" s="13" t="s">
        <v>12</v>
      </c>
      <c r="C745" s="13" t="b">
        <f t="shared" si="11"/>
        <v>1</v>
      </c>
      <c r="D745" s="13"/>
      <c r="E745" s="63"/>
      <c r="F745" s="13"/>
      <c r="G745" s="13"/>
      <c r="H745" s="13" t="s">
        <v>68</v>
      </c>
      <c r="I745" s="101" t="s">
        <v>44</v>
      </c>
      <c r="J745" s="101"/>
      <c r="K745" s="6">
        <f>[9]!'id617?req?TUP_STK_SMART_USD_~/'</f>
        <v>0</v>
      </c>
      <c r="L745" s="6" t="str">
        <f>[9]!id617?orderTypes</f>
        <v>ACTIVETIM,ADJUST,ALERT,ALGO,ALLOC,AON,AVGCOST,BASKET,COND,CONDORDER,DARKONLY,DARKPOLL,DAY,DEACT,DEACTDIS,DEACTEOD,DIS,GAT,GTC,GTD,GTT,HID,IBKRATS,ICE,IMB,IOC,LIT,LMT,LOC,MIT,MKT,MOC,MTL,NGCOMB,NODARK,NONALGO,OCA,OPG,OPGREROUT,PEGBENCH,POSTONLY,PREOPGRTH,R</v>
      </c>
      <c r="M745" s="6" t="str">
        <f>[9]!id617?validExchanges</f>
        <v>SMART,NYSE,CBOE,ISE,CHX,ARCA,ISLAND,VWAP,DRCTEDGE,NSX,BEX,BATS,EDGEA,CSFBALGO,JEFFALGO,BYX,IEX,TPLUS2,PSX</v>
      </c>
      <c r="N745" s="6">
        <f>[9]!id617?conid</f>
        <v>1717101</v>
      </c>
      <c r="O745" s="6">
        <f>[9]!id617?minTick</f>
        <v>0.01</v>
      </c>
      <c r="P745" s="6">
        <f>[9]!id617?multiplier</f>
        <v>0</v>
      </c>
      <c r="Q745" s="6" t="str">
        <f>[9]!id617?marketName</f>
        <v>TUP</v>
      </c>
      <c r="R745" s="6" t="str">
        <f>[9]!id617?tradingClass</f>
        <v>TUP</v>
      </c>
    </row>
    <row r="746" spans="1:18" hidden="1" x14ac:dyDescent="0.2">
      <c r="A746" t="s">
        <v>775</v>
      </c>
      <c r="B746" s="13" t="s">
        <v>12</v>
      </c>
      <c r="C746" s="13" t="b">
        <f t="shared" si="11"/>
        <v>1</v>
      </c>
      <c r="D746" s="13"/>
      <c r="E746" s="63"/>
      <c r="F746" s="13"/>
      <c r="G746" s="13"/>
      <c r="H746" s="13" t="s">
        <v>68</v>
      </c>
      <c r="I746" s="101" t="s">
        <v>44</v>
      </c>
      <c r="J746" s="101"/>
      <c r="K746" s="6">
        <f>[9]!'id618?req?WCC_STK_SMART_USD_~/'</f>
        <v>0</v>
      </c>
      <c r="L746" s="6" t="str">
        <f>[9]!id618?orderTypes</f>
        <v>ACTIVETIM,ADJUST,ALERT,ALGO,ALLOC,AON,AVGCOST,BASKET,COND,CONDORDER,DARKONLY,DARKPOLL,DAY,DEACT,DEACTDIS,DEACTEOD,DIS,GAT,GTC,GTD,GTT,HID,IBKRATS,ICE,IMB,IOC,LIT,LMT,LOC,MIT,MKT,MOC,MTL,NGCOMB,NODARK,NONALGO,OCA,OPG,OPGREROUT,PEGBENCH,POSTONLY,PREOPGRTH,R</v>
      </c>
      <c r="M746" s="6" t="str">
        <f>[9]!id618?validExchanges</f>
        <v>SMART,NYSE,CBOE,ISE,CHX,ARCA,ISLAND,DRCTEDGE,NSX,BEX,BATS,EDGEA,CSFBALGO,JEFFALGO,BYX,IEX,TPLUS2,PSX</v>
      </c>
      <c r="N746" s="6">
        <f>[9]!id618?conid</f>
        <v>6608665</v>
      </c>
      <c r="O746" s="6">
        <f>[9]!id618?minTick</f>
        <v>0.01</v>
      </c>
      <c r="P746" s="6">
        <f>[9]!id618?multiplier</f>
        <v>0</v>
      </c>
      <c r="Q746" s="6" t="str">
        <f>[9]!id618?marketName</f>
        <v>WCC</v>
      </c>
      <c r="R746" s="6" t="str">
        <f>[9]!id618?tradingClass</f>
        <v>WCC</v>
      </c>
    </row>
    <row r="747" spans="1:18" hidden="1" x14ac:dyDescent="0.2">
      <c r="A747" t="s">
        <v>776</v>
      </c>
      <c r="B747" s="13" t="s">
        <v>12</v>
      </c>
      <c r="C747" s="13" t="b">
        <f t="shared" si="11"/>
        <v>0</v>
      </c>
      <c r="D747" s="13"/>
      <c r="E747" s="63"/>
      <c r="F747" s="13"/>
      <c r="G747" s="13"/>
      <c r="H747" s="13" t="s">
        <v>68</v>
      </c>
      <c r="I747" s="101" t="s">
        <v>44</v>
      </c>
      <c r="J747" s="101"/>
      <c r="K747" s="6">
        <f>[9]!'id619?req?MKTX_STK_SMART_USD_~/'</f>
        <v>0</v>
      </c>
      <c r="L747" s="6" t="str">
        <f>[9]!id619?orderTypes</f>
        <v>ACTIVETIM,ADJUST,ALERT,ALGO,ALLOC,AON,AVGCOST,BASKET,COND,CONDORDER,DARKONLY,DARKPOLL,DAY,DEACT,DEACTDIS,DEACTEOD,DIS,GAT,GTC,GTD,GTT,HID,IBKRATS,ICE,IMB,IOC,LIT,LMT,LOC,MIT,MKT,MOC,MTL,NGCOMB,NODARK,NONALGO,OCA,OPG,OPGREROUT,PEGBENCH,POSTONLY,PREOPGRTH,R</v>
      </c>
      <c r="M747" s="6" t="str">
        <f>[9]!id619?validExchanges</f>
        <v>SMART,CBOE,ISE,CHX,ARCA,ISLAND,DRCTEDGE,NSX,BEX,BATS,EDGEA,CSFBALGO,JEFFALGO,BYX,IEX,TPLUS2,PSX</v>
      </c>
      <c r="N747" s="6">
        <f>[9]!id619?conid</f>
        <v>31918430</v>
      </c>
      <c r="O747" s="6">
        <f>[9]!id619?minTick</f>
        <v>0.01</v>
      </c>
      <c r="P747" s="6">
        <f>[9]!id619?multiplier</f>
        <v>0</v>
      </c>
      <c r="Q747" s="6" t="str">
        <f>[9]!id619?marketName</f>
        <v>NMS</v>
      </c>
      <c r="R747" s="6" t="str">
        <f>[9]!id619?tradingClass</f>
        <v>NMS</v>
      </c>
    </row>
    <row r="748" spans="1:18" hidden="1" x14ac:dyDescent="0.2">
      <c r="A748" t="s">
        <v>777</v>
      </c>
      <c r="B748" s="13" t="s">
        <v>12</v>
      </c>
      <c r="C748" s="13" t="b">
        <f t="shared" si="11"/>
        <v>1</v>
      </c>
      <c r="D748" s="13"/>
      <c r="E748" s="63"/>
      <c r="F748" s="13"/>
      <c r="G748" s="13"/>
      <c r="H748" s="13" t="s">
        <v>68</v>
      </c>
      <c r="I748" s="101" t="s">
        <v>44</v>
      </c>
      <c r="J748" s="101"/>
      <c r="K748" s="6">
        <f>[9]!'id620?req?CRL_STK_SMART_USD_~/'</f>
        <v>0</v>
      </c>
      <c r="L748" s="6" t="str">
        <f>[9]!id620?orderTypes</f>
        <v>ACTIVETIM,ADJUST,ALERT,ALGO,ALLOC,AON,AVGCOST,BASKET,COND,CONDORDER,DARKONLY,DARKPOLL,DAY,DEACT,DEACTDIS,DEACTEOD,DIS,GAT,GTC,GTD,GTT,HID,IBKRATS,ICE,IMB,IOC,LIT,LMT,LOC,MIT,MKT,MOC,MTL,NGCOMB,NODARK,NONALGO,OCA,OPG,OPGREROUT,PEGBENCH,POSTONLY,PREOPGRTH,R</v>
      </c>
      <c r="M748" s="6" t="str">
        <f>[9]!id620?validExchanges</f>
        <v>SMART,NYSE,CBOE,ISE,CHX,ARCA,ISLAND,DRCTEDGE,NSX,BEX,BATS,EDGEA,CSFBALGO,JEFFALGO,BYX,IEX,TPLUS2,PSX</v>
      </c>
      <c r="N748" s="6">
        <f>[9]!id620?conid</f>
        <v>2730877</v>
      </c>
      <c r="O748" s="6">
        <f>[9]!id620?minTick</f>
        <v>0.01</v>
      </c>
      <c r="P748" s="6">
        <f>[9]!id620?multiplier</f>
        <v>0</v>
      </c>
      <c r="Q748" s="6" t="str">
        <f>[9]!id620?marketName</f>
        <v>CRL</v>
      </c>
      <c r="R748" s="6" t="str">
        <f>[9]!id620?tradingClass</f>
        <v>CRL</v>
      </c>
    </row>
    <row r="749" spans="1:18" hidden="1" x14ac:dyDescent="0.2">
      <c r="A749" t="s">
        <v>778</v>
      </c>
      <c r="B749" s="13" t="s">
        <v>12</v>
      </c>
      <c r="C749" s="13" t="b">
        <f t="shared" si="11"/>
        <v>0</v>
      </c>
      <c r="D749" s="13"/>
      <c r="E749" s="63"/>
      <c r="F749" s="13"/>
      <c r="G749" s="13"/>
      <c r="H749" s="13" t="s">
        <v>68</v>
      </c>
      <c r="I749" s="101" t="s">
        <v>44</v>
      </c>
      <c r="J749" s="101"/>
      <c r="K749" s="6">
        <f>[9]!'id621?req?RYAAY_STK_SMART_USD_~/'</f>
        <v>0</v>
      </c>
      <c r="L749" s="6" t="str">
        <f>[9]!id621?orderTypes</f>
        <v>ACTIVETIM,ADJUST,ALERT,ALGO,ALLOC,AON,AVGCOST,BASKET,COND,CONDORDER,DARKONLY,DARKPOLL,DAY,DEACT,DEACTDIS,DEACTEOD,DIS,GAT,GTC,GTD,GTT,HID,IBKRATS,ICE,IMB,IOC,LIT,LMT,LOC,MIT,MKT,MOC,MTL,NGCOMB,NODARK,NONALGO,OCA,OPG,OPGREROUT,PEGBENCH,POSTONLY,PREOPGRTH,R</v>
      </c>
      <c r="M749" s="6" t="str">
        <f>[9]!id621?validExchanges</f>
        <v>SMART,CBOE,ISE,CHX,ARCA,ISLAND,VWAP,DRCTEDGE,NSX,BEX,BATS,EDGEA,CSFBALGO,JEFFALGO,BYX,IEX,TPLUS2,PSX</v>
      </c>
      <c r="N749" s="6">
        <f>[9]!id621?conid</f>
        <v>210918190</v>
      </c>
      <c r="O749" s="6">
        <f>[9]!id621?minTick</f>
        <v>0.01</v>
      </c>
      <c r="P749" s="6">
        <f>[9]!id621?multiplier</f>
        <v>0</v>
      </c>
      <c r="Q749" s="6" t="str">
        <f>[9]!id621?marketName</f>
        <v>NMS</v>
      </c>
      <c r="R749" s="6" t="str">
        <f>[9]!id621?tradingClass</f>
        <v>NMS</v>
      </c>
    </row>
    <row r="750" spans="1:18" hidden="1" x14ac:dyDescent="0.2">
      <c r="A750" t="s">
        <v>779</v>
      </c>
      <c r="B750" s="13" t="s">
        <v>12</v>
      </c>
      <c r="C750" s="13" t="b">
        <f t="shared" si="11"/>
        <v>0</v>
      </c>
      <c r="D750" s="13"/>
      <c r="E750" s="63"/>
      <c r="F750" s="13"/>
      <c r="G750" s="13"/>
      <c r="H750" s="13" t="s">
        <v>68</v>
      </c>
      <c r="I750" s="101" t="s">
        <v>44</v>
      </c>
      <c r="J750" s="101"/>
      <c r="K750" s="6">
        <f>[9]!'id622?req?LAMR_STK_SMART_USD_~/'</f>
        <v>0</v>
      </c>
      <c r="L750" s="6" t="str">
        <f>[9]!id622?orderTypes</f>
        <v>ACTIVETIM,ADJUST,ALERT,ALGO,ALLOC,AON,AVGCOST,BASKET,COND,CONDORDER,DARKONLY,DARKPOLL,DAY,DEACT,DEACTDIS,DEACTEOD,DIS,GAT,GTC,GTD,GTT,HID,IBKRATS,ICE,IMB,IOC,LIT,LMT,LOC,MIT,MKT,MOC,MTL,NGCOMB,NODARK,NONALGO,OCA,OPG,OPGREROUT,PEGBENCH,POSTONLY,PREOPGRTH,R</v>
      </c>
      <c r="M750" s="6" t="str">
        <f>[9]!id622?validExchanges</f>
        <v>SMART,CBOE,ISE,CHX,ARCA,ISLAND,VWAP,DRCTEDGE,NSX,BEX,BATS,EDGEA,CSFBALGO,JEFFALGO,BYX,IEX,TPLUS2,PSX</v>
      </c>
      <c r="N750" s="6">
        <f>[9]!id622?conid</f>
        <v>174076715</v>
      </c>
      <c r="O750" s="6">
        <f>[9]!id622?minTick</f>
        <v>0.01</v>
      </c>
      <c r="P750" s="6">
        <f>[9]!id622?multiplier</f>
        <v>0</v>
      </c>
      <c r="Q750" s="6" t="str">
        <f>[9]!id622?marketName</f>
        <v>NMS</v>
      </c>
      <c r="R750" s="6" t="str">
        <f>[9]!id622?tradingClass</f>
        <v>NMS</v>
      </c>
    </row>
    <row r="751" spans="1:18" hidden="1" x14ac:dyDescent="0.2">
      <c r="A751" t="s">
        <v>780</v>
      </c>
      <c r="B751" s="13" t="s">
        <v>12</v>
      </c>
      <c r="C751" s="13" t="b">
        <f t="shared" si="11"/>
        <v>1</v>
      </c>
      <c r="D751" s="13"/>
      <c r="E751" s="63"/>
      <c r="F751" s="13"/>
      <c r="G751" s="13"/>
      <c r="H751" s="13" t="s">
        <v>68</v>
      </c>
      <c r="I751" s="101" t="s">
        <v>44</v>
      </c>
      <c r="J751" s="101"/>
      <c r="K751" s="6">
        <f>[9]!'id623?req?SPB_STK_SMART_USD_~/'</f>
        <v>0</v>
      </c>
      <c r="L751" s="6" t="str">
        <f>[9]!id623?orderTypes</f>
        <v>ACTIVETIM,ADJUST,ALERT,ALGO,ALLOC,AON,AVGCOST,BASKET,COND,CONDORDER,DARKONLY,DARKPOLL,DAY,DEACT,DEACTDIS,DEACTEOD,DIS,GAT,GTC,GTD,GTT,HID,IBKRATS,ICE,IMB,IOC,LIT,LMT,LOC,MIT,MKT,MOC,MTL,NGCOMB,NODARK,NONALGO,OCA,OPG,OPGREROUT,PEGBENCH,POSTONLY,PREOPGRTH,R</v>
      </c>
      <c r="M751" s="6" t="str">
        <f>[9]!id623?validExchanges</f>
        <v>SMART,NYSE,CBOE,ISE,CHX,ARCA,ISLAND,DRCTEDGE,NSX,BEX,BATS,EDGEA,CSFBALGO,JEFFALGO,BYX,IEX,TPLUS2,PSX</v>
      </c>
      <c r="N751" s="6">
        <f>[9]!id623?conid</f>
        <v>76266556</v>
      </c>
      <c r="O751" s="6">
        <f>[9]!id623?minTick</f>
        <v>0.01</v>
      </c>
      <c r="P751" s="6">
        <f>[9]!id623?multiplier</f>
        <v>0</v>
      </c>
      <c r="Q751" s="6" t="str">
        <f>[9]!id623?marketName</f>
        <v>SPB</v>
      </c>
      <c r="R751" s="6" t="str">
        <f>[9]!id623?tradingClass</f>
        <v>SPB</v>
      </c>
    </row>
    <row r="752" spans="1:18" hidden="1" x14ac:dyDescent="0.2">
      <c r="A752" t="s">
        <v>781</v>
      </c>
      <c r="B752" s="13" t="s">
        <v>12</v>
      </c>
      <c r="C752" s="13" t="b">
        <f t="shared" si="11"/>
        <v>1</v>
      </c>
      <c r="D752" s="13"/>
      <c r="E752" s="63"/>
      <c r="F752" s="13"/>
      <c r="G752" s="13"/>
      <c r="H752" s="13" t="s">
        <v>68</v>
      </c>
      <c r="I752" s="101" t="s">
        <v>44</v>
      </c>
      <c r="J752" s="101"/>
      <c r="K752" s="6">
        <f>[9]!'id624?req?EPR_STK_SMART_USD_~/'</f>
        <v>0</v>
      </c>
      <c r="L752" s="6" t="str">
        <f>[9]!id624?orderTypes</f>
        <v>ACTIVETIM,ADJUST,ALERT,ALGO,ALLOC,AON,AVGCOST,BASKET,COND,CONDORDER,DARKONLY,DARKPOLL,DAY,DEACT,DEACTDIS,DEACTEOD,DIS,GAT,GTC,GTD,GTT,HID,IBKRATS,ICE,IMB,IOC,LIT,LMT,LOC,MIT,MKT,MOC,MTL,NGCOMB,NODARK,NONALGO,OCA,OPG,OPGREROUT,PEGBENCH,POSTONLY,PREOPGRTH,R</v>
      </c>
      <c r="M752" s="6" t="str">
        <f>[9]!id624?validExchanges</f>
        <v>SMART,NYSE,CBOE,ISE,CHX,ARCA,ISLAND,DRCTEDGE,NSX,BEX,BATS,EDGEA,CSFBALGO,JEFFALGO,BYX,IEX,TPLUS2,PSX</v>
      </c>
      <c r="N752" s="6">
        <f>[9]!id624?conid</f>
        <v>116776441</v>
      </c>
      <c r="O752" s="6">
        <f>[9]!id624?minTick</f>
        <v>0.01</v>
      </c>
      <c r="P752" s="6">
        <f>[9]!id624?multiplier</f>
        <v>0</v>
      </c>
      <c r="Q752" s="6" t="str">
        <f>[9]!id624?marketName</f>
        <v>EPR</v>
      </c>
      <c r="R752" s="6" t="str">
        <f>[9]!id624?tradingClass</f>
        <v>EPR</v>
      </c>
    </row>
    <row r="753" spans="1:18" hidden="1" x14ac:dyDescent="0.2">
      <c r="A753" t="s">
        <v>782</v>
      </c>
      <c r="B753" s="13" t="s">
        <v>12</v>
      </c>
      <c r="C753" s="13" t="b">
        <f t="shared" si="11"/>
        <v>1</v>
      </c>
      <c r="D753" s="13"/>
      <c r="E753" s="63"/>
      <c r="F753" s="13"/>
      <c r="G753" s="13"/>
      <c r="H753" s="13" t="s">
        <v>68</v>
      </c>
      <c r="I753" s="101" t="s">
        <v>44</v>
      </c>
      <c r="J753" s="101"/>
      <c r="K753" s="6">
        <f>[9]!'id625?req?GWR_STK_SMART_USD_~/'</f>
        <v>0</v>
      </c>
      <c r="L753" s="6" t="str">
        <f>[9]!id625?orderTypes</f>
        <v>ACTIVETIM,ADJUST,ALERT,ALGO,ALLOC,AON,AVGCOST,BASKET,COND,CONDORDER,DARKONLY,DARKPOLL,DAY,DEACT,DEACTDIS,DEACTEOD,DIS,GAT,GTC,GTD,GTT,HID,IBKRATS,ICE,IMB,IOC,LIT,LMT,LOC,MIT,MKT,MOC,MTL,NGCOMB,NODARK,NONALGO,OCA,OPG,OPGREROUT,PEGBENCH,POSTONLY,PREOPGRTH,R</v>
      </c>
      <c r="M753" s="6" t="str">
        <f>[9]!id625?validExchanges</f>
        <v>SMART,NYSE,CBOE,ISE,CHX,ARCA,ISLAND,DRCTEDGE,NSX,BEX,BATS,EDGEA,CSFBALGO,JEFFALGO,BYX,IEX,TPLUS2,PSX</v>
      </c>
      <c r="N753" s="6">
        <f>[9]!id625?conid</f>
        <v>4812396</v>
      </c>
      <c r="O753" s="6">
        <f>[9]!id625?minTick</f>
        <v>0.01</v>
      </c>
      <c r="P753" s="6">
        <f>[9]!id625?multiplier</f>
        <v>0</v>
      </c>
      <c r="Q753" s="6" t="str">
        <f>[9]!id625?marketName</f>
        <v>GWR</v>
      </c>
      <c r="R753" s="6" t="str">
        <f>[9]!id625?tradingClass</f>
        <v>GWR</v>
      </c>
    </row>
    <row r="754" spans="1:18" hidden="1" x14ac:dyDescent="0.2">
      <c r="A754" t="s">
        <v>783</v>
      </c>
      <c r="B754" s="13" t="s">
        <v>12</v>
      </c>
      <c r="C754" s="13" t="b">
        <f t="shared" si="11"/>
        <v>1</v>
      </c>
      <c r="D754" s="13"/>
      <c r="E754" s="63"/>
      <c r="F754" s="13"/>
      <c r="G754" s="13"/>
      <c r="H754" s="13" t="s">
        <v>68</v>
      </c>
      <c r="I754" s="101" t="s">
        <v>44</v>
      </c>
      <c r="J754" s="101"/>
      <c r="K754" s="6">
        <f>[9]!'id626?req?NVRO_STK_SMART_USD_~/'</f>
        <v>0</v>
      </c>
      <c r="L754" s="6" t="str">
        <f>[9]!id626?orderTypes</f>
        <v>ACTIVETIM,ADJUST,ALERT,ALGO,ALLOC,AON,AVGCOST,BASKET,COND,CONDORDER,DARKONLY,DARKPOLL,DAY,DEACT,DEACTDIS,DEACTEOD,DIS,GAT,GTC,GTD,GTT,HID,IBKRATS,ICE,IMB,IOC,LIT,LMT,LOC,MIT,MKT,MOC,MTL,NGCOMB,NODARK,NONALGO,OCA,OPG,OPGREROUT,PEGBENCH,POSTONLY,PREOPGRTH,R</v>
      </c>
      <c r="M754" s="6" t="str">
        <f>[9]!id626?validExchanges</f>
        <v>SMART,NYSE,CBOE,ISE,CHX,ARCA,ISLAND,DRCTEDGE,NSX,BEX,BATS,EDGEA,CSFBALGO,JEFFALGO,BYX,IEX,TPLUS2,PSX</v>
      </c>
      <c r="N754" s="6">
        <f>[9]!id626?conid</f>
        <v>172738518</v>
      </c>
      <c r="O754" s="6">
        <f>[9]!id626?minTick</f>
        <v>0.01</v>
      </c>
      <c r="P754" s="6">
        <f>[9]!id626?multiplier</f>
        <v>0</v>
      </c>
      <c r="Q754" s="6" t="str">
        <f>[9]!id626?marketName</f>
        <v>NVRO</v>
      </c>
      <c r="R754" s="6" t="str">
        <f>[9]!id626?tradingClass</f>
        <v>NVRO</v>
      </c>
    </row>
    <row r="755" spans="1:18" hidden="1" x14ac:dyDescent="0.2">
      <c r="A755" t="s">
        <v>784</v>
      </c>
      <c r="B755" s="13" t="s">
        <v>12</v>
      </c>
      <c r="C755" s="13" t="b">
        <f t="shared" si="11"/>
        <v>0</v>
      </c>
      <c r="D755" s="13"/>
      <c r="E755" s="63"/>
      <c r="F755" s="13"/>
      <c r="G755" s="13"/>
      <c r="H755" s="13" t="s">
        <v>68</v>
      </c>
      <c r="I755" s="101" t="s">
        <v>44</v>
      </c>
      <c r="J755" s="101"/>
      <c r="K755" s="6">
        <f>[9]!'id627?req?FEIC_STK_SMART_USD_~/'</f>
        <v>0</v>
      </c>
      <c r="L755" s="6" t="str">
        <f>[9]!id627?orderTypes</f>
        <v>ACTIVETIM,ADJUST,ALERT,ALGO,ALLOC,AON,AVGCOST,BASKET,COND,CONDORDER,DARKONLY,DARKPOLL,DAY,DEACT,DEACTDIS,DEACTEOD,DIS,GAT,GTC,GTD,GTT,HID,IBKRATS,ICE,IMB,IOC,LIT,LMT,LOC,MIT,MKT,MOC,MTL,NGCOMB,NODARK,NONALGO,OCA,OPG,OPGREROUT,PEGBENCH,POSTONLY,PREOPGRTH,R</v>
      </c>
      <c r="M755" s="6" t="str">
        <f>[9]!id627?validExchanges</f>
        <v>SMART,CBOE,ISE,CHX,ARCA,ISLAND,DRCTEDGE,NSX,BEX,BATS,EDGEA,CSFBALGO,JEFFALGO,BYX,IEX,TPLUS2,PSX</v>
      </c>
      <c r="N755" s="6">
        <f>[9]!id627?conid</f>
        <v>4730589</v>
      </c>
      <c r="O755" s="6">
        <f>[9]!id627?minTick</f>
        <v>0.01</v>
      </c>
      <c r="P755" s="6">
        <f>[9]!id627?multiplier</f>
        <v>0</v>
      </c>
      <c r="Q755" s="6" t="str">
        <f>[9]!id627?marketName</f>
        <v>NMS</v>
      </c>
      <c r="R755" s="6" t="str">
        <f>[9]!id627?tradingClass</f>
        <v>NMS</v>
      </c>
    </row>
    <row r="756" spans="1:18" hidden="1" x14ac:dyDescent="0.2">
      <c r="A756" t="s">
        <v>785</v>
      </c>
      <c r="B756" s="13" t="s">
        <v>12</v>
      </c>
      <c r="C756" s="13" t="b">
        <f t="shared" si="11"/>
        <v>0</v>
      </c>
      <c r="D756" s="13"/>
      <c r="E756" s="63"/>
      <c r="F756" s="13"/>
      <c r="G756" s="13"/>
      <c r="H756" s="13" t="s">
        <v>68</v>
      </c>
      <c r="I756" s="101" t="s">
        <v>44</v>
      </c>
      <c r="J756" s="101"/>
      <c r="K756" s="6">
        <f>[9]!'id628?req?JKHY_STK_SMART_USD_~/'</f>
        <v>0</v>
      </c>
      <c r="L756" s="6" t="str">
        <f>[9]!id628?orderTypes</f>
        <v>ACTIVETIM,ADJUST,ALERT,ALGO,ALLOC,AON,AVGCOST,BASKET,COND,CONDORDER,DARKONLY,DARKPOLL,DAY,DEACT,DEACTDIS,DEACTEOD,DIS,GAT,GTC,GTD,GTT,HID,IBKRATS,ICE,IMB,IOC,LIT,LMT,LOC,MIT,MKT,MOC,MTL,NGCOMB,NODARK,NONALGO,OCA,OPG,OPGREROUT,PEGBENCH,POSTONLY,PREOPGRTH,R</v>
      </c>
      <c r="M756" s="6" t="str">
        <f>[9]!id628?validExchanges</f>
        <v>SMART,ISE,CHX,ARCA,ISLAND,DRCTEDGE,NSX,BEX,BATS,EDGEA,CSFBALGO,JEFFALGO,BYX,IEX,TPLUS2,PSX</v>
      </c>
      <c r="N756" s="6">
        <f>[9]!id628?conid</f>
        <v>270869</v>
      </c>
      <c r="O756" s="6">
        <f>[9]!id628?minTick</f>
        <v>0.01</v>
      </c>
      <c r="P756" s="6">
        <f>[9]!id628?multiplier</f>
        <v>0</v>
      </c>
      <c r="Q756" s="6" t="str">
        <f>[9]!id628?marketName</f>
        <v>NMS</v>
      </c>
      <c r="R756" s="6" t="str">
        <f>[9]!id628?tradingClass</f>
        <v>NMS</v>
      </c>
    </row>
    <row r="757" spans="1:18" hidden="1" x14ac:dyDescent="0.2">
      <c r="A757" t="s">
        <v>786</v>
      </c>
      <c r="B757" s="13" t="s">
        <v>12</v>
      </c>
      <c r="C757" s="13" t="b">
        <f t="shared" si="11"/>
        <v>1</v>
      </c>
      <c r="D757" s="13"/>
      <c r="E757" s="63"/>
      <c r="F757" s="13"/>
      <c r="G757" s="13"/>
      <c r="H757" s="13" t="s">
        <v>68</v>
      </c>
      <c r="I757" s="101" t="s">
        <v>44</v>
      </c>
      <c r="J757" s="101"/>
      <c r="K757" s="6">
        <f>[9]!'id629?req?SUI_STK_SMART_USD_~/'</f>
        <v>0</v>
      </c>
      <c r="L757" s="6" t="str">
        <f>[9]!id629?orderTypes</f>
        <v>ACTIVETIM,ADJUST,ALERT,ALGO,ALLOC,AON,AVGCOST,BASKET,COND,CONDORDER,DARKONLY,DARKPOLL,DAY,DEACT,DEACTDIS,DEACTEOD,DIS,GAT,GTC,GTD,GTT,HID,IBKRATS,ICE,IMB,IOC,LIT,LMT,LOC,MIT,MKT,MOC,MTL,NGCOMB,NODARK,NONALGO,OCA,OPG,OPGREROUT,PEGBENCH,POSTONLY,PREOPGRTH,R</v>
      </c>
      <c r="M757" s="6" t="str">
        <f>[9]!id629?validExchanges</f>
        <v>SMART,NYSE,CBOE,ISE,CHX,ARCA,ISLAND,DRCTEDGE,NSX,BEX,BATS,EDGEA,CSFBALGO,JEFFALGO,BYX,IEX,TPLUS2,PSX</v>
      </c>
      <c r="N757" s="6">
        <f>[9]!id629?conid</f>
        <v>12485</v>
      </c>
      <c r="O757" s="6">
        <f>[9]!id629?minTick</f>
        <v>0.01</v>
      </c>
      <c r="P757" s="6">
        <f>[9]!id629?multiplier</f>
        <v>0</v>
      </c>
      <c r="Q757" s="6" t="str">
        <f>[9]!id629?marketName</f>
        <v>SUI</v>
      </c>
      <c r="R757" s="6" t="str">
        <f>[9]!id629?tradingClass</f>
        <v>SUI</v>
      </c>
    </row>
    <row r="758" spans="1:18" hidden="1" x14ac:dyDescent="0.2">
      <c r="A758" t="s">
        <v>787</v>
      </c>
      <c r="B758" s="13" t="s">
        <v>12</v>
      </c>
      <c r="C758" s="13" t="b">
        <f t="shared" si="11"/>
        <v>1</v>
      </c>
      <c r="D758" s="13"/>
      <c r="E758" s="63"/>
      <c r="F758" s="13"/>
      <c r="G758" s="13"/>
      <c r="H758" s="13" t="s">
        <v>68</v>
      </c>
      <c r="I758" s="101" t="s">
        <v>44</v>
      </c>
      <c r="J758" s="101"/>
      <c r="K758" s="6">
        <f>[9]!'id630?req?ARW_STK_SMART_USD_~/'</f>
        <v>0</v>
      </c>
      <c r="L758" s="6" t="str">
        <f>[9]!id630?orderTypes</f>
        <v>ACTIVETIM,ADJUST,ALERT,ALGO,ALLOC,AON,AVGCOST,BASKET,COND,CONDORDER,DARKONLY,DARKPOLL,DAY,DEACT,DEACTDIS,DEACTEOD,DIS,GAT,GTC,GTD,GTT,HID,IBKRATS,ICE,IMB,IOC,LIT,LMT,LOC,MIT,MKT,MOC,MTL,NGCOMB,NODARK,NONALGO,OCA,OPG,OPGREROUT,PEGBENCH,POSTONLY,PREOPGRTH,R</v>
      </c>
      <c r="M758" s="6" t="str">
        <f>[9]!id630?validExchanges</f>
        <v>SMART,NYSE,CBOE,ISE,CHX,ARCA,ISLAND,DRCTEDGE,NSX,BEX,BATS,EDGEA,CSFBALGO,JEFFALGO,BYX,IEX,TPLUS2,PSX</v>
      </c>
      <c r="N758" s="6">
        <f>[9]!id630?conid</f>
        <v>4568</v>
      </c>
      <c r="O758" s="6">
        <f>[9]!id630?minTick</f>
        <v>0.01</v>
      </c>
      <c r="P758" s="6">
        <f>[9]!id630?multiplier</f>
        <v>0</v>
      </c>
      <c r="Q758" s="6" t="str">
        <f>[9]!id630?marketName</f>
        <v>ARW</v>
      </c>
      <c r="R758" s="6" t="str">
        <f>[9]!id630?tradingClass</f>
        <v>ARW</v>
      </c>
    </row>
    <row r="759" spans="1:18" hidden="1" x14ac:dyDescent="0.2">
      <c r="A759" t="s">
        <v>788</v>
      </c>
      <c r="B759" s="13" t="s">
        <v>12</v>
      </c>
      <c r="C759" s="13" t="b">
        <f t="shared" si="11"/>
        <v>1</v>
      </c>
      <c r="D759" s="13"/>
      <c r="E759" s="63"/>
      <c r="F759" s="13"/>
      <c r="G759" s="13"/>
      <c r="H759" s="13" t="s">
        <v>68</v>
      </c>
      <c r="I759" s="101" t="s">
        <v>44</v>
      </c>
      <c r="J759" s="101"/>
      <c r="K759" s="6">
        <f>[9]!'id631?req?CPA_STK_SMART_USD_~/'</f>
        <v>0</v>
      </c>
      <c r="L759" s="6" t="str">
        <f>[9]!id631?orderTypes</f>
        <v>ACTIVETIM,ADJUST,ALERT,ALGO,ALLOC,AON,AVGCOST,BASKET,COND,CONDORDER,DARKONLY,DARKPOLL,DAY,DEACT,DEACTDIS,DEACTEOD,DIS,GAT,GTC,GTD,GTT,HID,IBKRATS,ICE,IMB,IOC,LIT,LMT,LOC,MIT,MKT,MOC,MTL,NGCOMB,NODARK,NONALGO,OCA,OPG,OPGREROUT,PEGBENCH,POSTONLY,PREOPGRTH,R</v>
      </c>
      <c r="M759" s="6" t="str">
        <f>[9]!id631?validExchanges</f>
        <v>SMART,NYSE,CBOE,ISE,CHX,ARCA,ISLAND,DRCTEDGE,NSX,BEX,BATS,EDGEA,CSFBALGO,JEFFALGO,BYX,IEX,TPLUS2,PSX</v>
      </c>
      <c r="N759" s="6">
        <f>[9]!id631?conid</f>
        <v>37162669</v>
      </c>
      <c r="O759" s="6">
        <f>[9]!id631?minTick</f>
        <v>0.01</v>
      </c>
      <c r="P759" s="6">
        <f>[9]!id631?multiplier</f>
        <v>0</v>
      </c>
      <c r="Q759" s="6" t="str">
        <f>[9]!id631?marketName</f>
        <v>CPA</v>
      </c>
      <c r="R759" s="6" t="str">
        <f>[9]!id631?tradingClass</f>
        <v>CPA</v>
      </c>
    </row>
    <row r="760" spans="1:18" hidden="1" x14ac:dyDescent="0.2">
      <c r="A760" t="s">
        <v>789</v>
      </c>
      <c r="B760" s="13" t="s">
        <v>12</v>
      </c>
      <c r="C760" s="13" t="b">
        <f t="shared" si="11"/>
        <v>1</v>
      </c>
      <c r="D760" s="13"/>
      <c r="E760" s="63"/>
      <c r="F760" s="13"/>
      <c r="G760" s="13"/>
      <c r="H760" s="13" t="s">
        <v>68</v>
      </c>
      <c r="I760" s="101" t="s">
        <v>44</v>
      </c>
      <c r="J760" s="101"/>
      <c r="K760" s="6">
        <f>[9]!'id632?req?IT_STK_SMART_USD_~/'</f>
        <v>0</v>
      </c>
      <c r="L760" s="6" t="str">
        <f>[9]!id632?orderTypes</f>
        <v>ACTIVETIM,ADJUST,ALERT,ALGO,ALLOC,AON,AVGCOST,BASKET,COND,CONDORDER,DARKONLY,DARKPOLL,DAY,DEACT,DEACTDIS,DEACTEOD,DIS,GAT,GTC,GTD,GTT,HID,IBKRATS,ICE,IMB,IOC,LIT,LMT,LOC,MIT,MKT,MOC,MTL,NGCOMB,NODARK,NONALGO,OCA,OPG,OPGREROUT,PEGBENCH,POSTONLY,PREOPGRTH,R</v>
      </c>
      <c r="M760" s="6" t="str">
        <f>[9]!id632?validExchanges</f>
        <v>SMART,NYSE,CBOE,ISE,CHX,ARCA,ISLAND,DRCTEDGE,NSX,BEX,BATS,EDGEA,CSFBALGO,JEFFALGO,BYX,IEX,TPLUS2,PSX</v>
      </c>
      <c r="N760" s="6">
        <f>[9]!id632?conid</f>
        <v>4457287</v>
      </c>
      <c r="O760" s="6">
        <f>[9]!id632?minTick</f>
        <v>0.01</v>
      </c>
      <c r="P760" s="6">
        <f>[9]!id632?multiplier</f>
        <v>0</v>
      </c>
      <c r="Q760" s="6" t="str">
        <f>[9]!id632?marketName</f>
        <v>IT</v>
      </c>
      <c r="R760" s="6" t="str">
        <f>[9]!id632?tradingClass</f>
        <v>IT</v>
      </c>
    </row>
    <row r="761" spans="1:18" hidden="1" x14ac:dyDescent="0.2">
      <c r="A761" t="s">
        <v>790</v>
      </c>
      <c r="B761" s="13" t="s">
        <v>12</v>
      </c>
      <c r="C761" s="13" t="b">
        <f t="shared" si="11"/>
        <v>0</v>
      </c>
      <c r="D761" s="13"/>
      <c r="E761" s="63"/>
      <c r="F761" s="13"/>
      <c r="G761" s="13"/>
      <c r="H761" s="13" t="s">
        <v>68</v>
      </c>
      <c r="I761" s="101" t="s">
        <v>44</v>
      </c>
      <c r="J761" s="101"/>
      <c r="K761" s="6">
        <f>[9]!'id636?req?CSGP_STK_SMART_USD_~/'</f>
        <v>0</v>
      </c>
      <c r="L761" s="6" t="str">
        <f>[9]!id636?orderTypes</f>
        <v>ACTIVETIM,ADJUST,ALERT,ALGO,ALLOC,AON,AVGCOST,BASKET,COND,CONDORDER,DARKONLY,DARKPOLL,DAY,DEACT,DEACTDIS,DEACTEOD,DIS,GAT,GTC,GTD,GTT,HID,IBKRATS,ICE,IMB,IOC,LIT,LMT,LOC,MIT,MKT,MOC,MTL,NGCOMB,NODARK,NONALGO,OCA,OPG,OPGREROUT,PEGBENCH,POSTONLY,PREOPGRTH,R</v>
      </c>
      <c r="M761" s="6" t="str">
        <f>[9]!id636?validExchanges</f>
        <v>SMART,ISE,CHX,ARCA,ISLAND,DRCTEDGE,NSX,BEX,BATS,EDGEA,CSFBALGO,JEFFALGO,BYX,IEX,TPLUS2,PSX</v>
      </c>
      <c r="N761" s="6">
        <f>[9]!id636?conid</f>
        <v>6726677</v>
      </c>
      <c r="O761" s="6">
        <f>[9]!id636?minTick</f>
        <v>0.01</v>
      </c>
      <c r="P761" s="6">
        <f>[9]!id636?multiplier</f>
        <v>0</v>
      </c>
      <c r="Q761" s="6" t="str">
        <f>[9]!id636?marketName</f>
        <v>NMS</v>
      </c>
      <c r="R761" s="6" t="str">
        <f>[9]!id636?tradingClass</f>
        <v>NMS</v>
      </c>
    </row>
    <row r="762" spans="1:18" hidden="1" x14ac:dyDescent="0.2">
      <c r="A762" t="s">
        <v>791</v>
      </c>
      <c r="B762" s="13" t="s">
        <v>12</v>
      </c>
      <c r="C762" s="13" t="b">
        <f t="shared" si="11"/>
        <v>0</v>
      </c>
      <c r="D762" s="13"/>
      <c r="E762" s="63"/>
      <c r="F762" s="13"/>
      <c r="G762" s="13"/>
      <c r="H762" s="13" t="s">
        <v>68</v>
      </c>
      <c r="I762" s="101" t="s">
        <v>44</v>
      </c>
      <c r="J762" s="101"/>
      <c r="K762" s="6">
        <f>[9]!'id637?req?NUVA_STK_SMART_USD_~/'</f>
        <v>0</v>
      </c>
      <c r="L762" s="6" t="str">
        <f>[9]!id637?orderTypes</f>
        <v>ACTIVETIM,ADJUST,ALERT,ALGO,ALLOC,AON,AVGCOST,BASKET,COND,CONDORDER,DARKONLY,DARKPOLL,DAY,DEACT,DEACTDIS,DEACTEOD,DIS,GAT,GTC,GTD,GTT,HID,IBKRATS,ICE,IMB,IOC,LIT,LMT,LOC,MIT,MKT,MOC,MTL,NGCOMB,NODARK,NONALGO,OCA,OPG,OPGREROUT,PEGBENCH,POSTONLY,PREOPGRTH,R</v>
      </c>
      <c r="M762" s="6" t="str">
        <f>[9]!id637?validExchanges</f>
        <v>SMART,CBOE,ISE,CHX,ARCA,ISLAND,DRCTEDGE,NSX,BEX,BATS,EDGEA,CSFBALGO,JEFFALGO,BYX,IEX,TPLUS2,PSX</v>
      </c>
      <c r="N762" s="6">
        <f>[9]!id637?conid</f>
        <v>29241131</v>
      </c>
      <c r="O762" s="6">
        <f>[9]!id637?minTick</f>
        <v>0.01</v>
      </c>
      <c r="P762" s="6">
        <f>[9]!id637?multiplier</f>
        <v>0</v>
      </c>
      <c r="Q762" s="6" t="str">
        <f>[9]!id637?marketName</f>
        <v>NMS</v>
      </c>
      <c r="R762" s="6" t="str">
        <f>[9]!id637?tradingClass</f>
        <v>NMS</v>
      </c>
    </row>
    <row r="763" spans="1:18" hidden="1" x14ac:dyDescent="0.2">
      <c r="A763" t="s">
        <v>792</v>
      </c>
      <c r="B763" s="13" t="s">
        <v>12</v>
      </c>
      <c r="C763" s="13" t="b">
        <f t="shared" si="11"/>
        <v>1</v>
      </c>
      <c r="D763" s="13"/>
      <c r="E763" s="63"/>
      <c r="F763" s="13"/>
      <c r="G763" s="13"/>
      <c r="H763" s="13" t="s">
        <v>68</v>
      </c>
      <c r="I763" s="101" t="s">
        <v>44</v>
      </c>
      <c r="J763" s="101"/>
      <c r="K763" s="6">
        <f>[9]!'id635?req?XRS_STK_SMART_USD_~/'</f>
        <v>0</v>
      </c>
      <c r="L763" s="6" t="str">
        <f>[9]!id635?orderTypes</f>
        <v>ACTIVETIM,ADJUST,ALERT,ALGO,ALLOC,AON,AVGCOST,BASKET,COND,CONDORDER,DARKONLY,DARKPOLL,DAY,DEACT,DEACTDIS,DEACTEOD,DIS,GAT,GTC,GTD,GTT,HID,IBKRATS,ICE,IMB,IOC,LIT,LMT,LOC,MIT,MKT,MOC,MTL,NGCOMB,NODARK,NONALGO,OCA,OPG,OPGREROUT,PEGBENCH,POSTONLY,PREOPGRTH,R</v>
      </c>
      <c r="M763" s="6" t="str">
        <f>[9]!id635?validExchanges</f>
        <v>SMART,NYSE,CBOE,ISE,CHX,ARCA,ISLAND,DRCTEDGE,NSX,BEX,BATS,EDGEA,CSFBALGO,JEFFALGO,BYX,IEX,TPLUS2,PSX</v>
      </c>
      <c r="N763" s="6">
        <f>[9]!id635?conid</f>
        <v>80269548</v>
      </c>
      <c r="O763" s="6">
        <f>[9]!id635?minTick</f>
        <v>0.01</v>
      </c>
      <c r="P763" s="6">
        <f>[9]!id635?multiplier</f>
        <v>0</v>
      </c>
      <c r="Q763" s="6" t="str">
        <f>[9]!id635?marketName</f>
        <v>XRS</v>
      </c>
      <c r="R763" s="6" t="str">
        <f>[9]!id635?tradingClass</f>
        <v>XRS</v>
      </c>
    </row>
  </sheetData>
  <autoFilter ref="A66:R763">
    <filterColumn colId="0">
      <filters>
        <filter val="AAPL"/>
      </filters>
    </filterColumn>
  </autoFilter>
  <mergeCells count="9">
    <mergeCell ref="A8:J8"/>
    <mergeCell ref="L2:P2"/>
    <mergeCell ref="K8:R8"/>
    <mergeCell ref="A1:E1"/>
    <mergeCell ref="A2:E2"/>
    <mergeCell ref="A4:H4"/>
    <mergeCell ref="A5:C5"/>
    <mergeCell ref="D5:E5"/>
    <mergeCell ref="A7:R7"/>
  </mergeCells>
  <phoneticPr fontId="0" type="noConversion"/>
  <conditionalFormatting sqref="A42:H44 C22:C23 I65 A47:H65 A67:A577">
    <cfRule type="expression" dxfId="14" priority="8" stopIfTrue="1">
      <formula>TRUE</formula>
    </cfRule>
  </conditionalFormatting>
  <conditionalFormatting sqref="A66:I66">
    <cfRule type="expression" dxfId="13" priority="5" stopIfTrue="1">
      <formula>TRUE</formula>
    </cfRule>
  </conditionalFormatting>
  <conditionalFormatting sqref="C67:C577">
    <cfRule type="containsText" dxfId="12" priority="4" operator="containsText" text="FALSE">
      <formula>NOT(ISERROR(SEARCH("FALSE",C67)))</formula>
    </cfRule>
  </conditionalFormatting>
  <conditionalFormatting sqref="C578:C763">
    <cfRule type="containsText" dxfId="11" priority="3" operator="containsText" text="FALSE">
      <formula>NOT(ISERROR(SEARCH("FALSE",C578)))</formula>
    </cfRule>
  </conditionalFormatting>
  <conditionalFormatting sqref="A578:A763">
    <cfRule type="expression" dxfId="10" priority="2" stopIfTrue="1">
      <formula>TRUE</formula>
    </cfRule>
  </conditionalFormatting>
  <conditionalFormatting sqref="N67:N763">
    <cfRule type="duplicateValues" dxfId="9" priority="33"/>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eet5.reqContractDetails">
                <anchor moveWithCells="1">
                  <from>
                    <xdr:col>0</xdr:col>
                    <xdr:colOff>200025</xdr:colOff>
                    <xdr:row>1</xdr:row>
                    <xdr:rowOff>85725</xdr:rowOff>
                  </from>
                  <to>
                    <xdr:col>2</xdr:col>
                    <xdr:colOff>342900</xdr:colOff>
                    <xdr:row>1</xdr:row>
                    <xdr:rowOff>285750</xdr:rowOff>
                  </to>
                </anchor>
              </controlPr>
            </control>
          </mc:Choice>
        </mc:AlternateContent>
        <mc:AlternateContent xmlns:mc="http://schemas.openxmlformats.org/markup-compatibility/2006">
          <mc:Choice Requires="x14">
            <control shapeId="9218" r:id="rId5" name="Button 2">
              <controlPr defaultSize="0" print="0" autoFill="0" autoPict="0" macro="[0]!Sheet5.onShowError">
                <anchor moveWithCells="1">
                  <from>
                    <xdr:col>3</xdr:col>
                    <xdr:colOff>180975</xdr:colOff>
                    <xdr:row>1</xdr:row>
                    <xdr:rowOff>85725</xdr:rowOff>
                  </from>
                  <to>
                    <xdr:col>4</xdr:col>
                    <xdr:colOff>390525</xdr:colOff>
                    <xdr:row>1</xdr:row>
                    <xdr:rowOff>295275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4"/>
  </sheetPr>
  <dimension ref="A1:DV209"/>
  <sheetViews>
    <sheetView zoomScale="80" zoomScaleNormal="80" workbookViewId="0">
      <pane ySplit="9" topLeftCell="A19" activePane="bottomLeft" state="frozenSplit"/>
      <selection pane="bottomLeft" activeCell="A30" sqref="A30"/>
    </sheetView>
  </sheetViews>
  <sheetFormatPr defaultRowHeight="12.75" x14ac:dyDescent="0.2"/>
  <cols>
    <col min="1" max="1" width="20" customWidth="1"/>
    <col min="3" max="3" width="15.42578125" customWidth="1"/>
    <col min="5" max="5" width="9.140625" style="58"/>
    <col min="7" max="7" width="12.42578125" customWidth="1"/>
    <col min="8" max="8" width="11" customWidth="1"/>
    <col min="9" max="9" width="16.42578125" customWidth="1"/>
    <col min="10" max="10" width="11.85546875" customWidth="1"/>
    <col min="11" max="11" width="11.5703125" customWidth="1"/>
    <col min="12" max="12" width="16.28515625" customWidth="1"/>
    <col min="13" max="13" width="23.42578125" style="72" customWidth="1"/>
    <col min="14" max="14" width="10.140625" style="68" customWidth="1"/>
    <col min="15" max="15" width="12.28515625" style="58" customWidth="1"/>
    <col min="16" max="16" width="15.5703125" style="68" customWidth="1"/>
    <col min="17" max="17" width="10.5703125" style="68" customWidth="1"/>
    <col min="18" max="18" width="20.28515625" style="61" bestFit="1" customWidth="1"/>
    <col min="19" max="19" width="17.28515625" style="61" customWidth="1"/>
    <col min="20" max="20" width="12" style="27" customWidth="1"/>
    <col min="21" max="21" width="11.42578125" style="30" customWidth="1"/>
    <col min="22" max="22" width="11.5703125" style="61" customWidth="1"/>
    <col min="23" max="23" width="11.42578125" style="61" customWidth="1"/>
  </cols>
  <sheetData>
    <row r="1" spans="1:126" x14ac:dyDescent="0.2">
      <c r="A1" s="360" t="s">
        <v>48</v>
      </c>
      <c r="B1" s="274"/>
      <c r="C1" s="274"/>
      <c r="D1" s="274"/>
      <c r="E1" s="274"/>
      <c r="F1" s="274"/>
      <c r="G1" s="274"/>
      <c r="H1" s="274"/>
      <c r="I1" s="274"/>
      <c r="J1" s="275"/>
      <c r="K1" s="26"/>
      <c r="L1" s="26"/>
      <c r="M1" s="26"/>
      <c r="N1" s="26"/>
      <c r="O1" s="26"/>
      <c r="P1" s="26"/>
      <c r="R1"/>
      <c r="S1"/>
      <c r="T1"/>
      <c r="U1"/>
      <c r="V1"/>
      <c r="W1"/>
    </row>
    <row r="2" spans="1:126" ht="28.5" customHeight="1" x14ac:dyDescent="0.2">
      <c r="A2" s="457"/>
      <c r="B2" s="277"/>
      <c r="C2" s="277"/>
      <c r="D2" s="277"/>
      <c r="E2" s="277"/>
      <c r="F2" s="277"/>
      <c r="G2" s="277"/>
      <c r="H2" s="277"/>
      <c r="I2" s="277"/>
      <c r="J2" s="278"/>
      <c r="K2" s="7"/>
      <c r="L2" s="458" t="s">
        <v>307</v>
      </c>
      <c r="M2" s="459"/>
      <c r="N2" s="459"/>
      <c r="O2" s="459"/>
      <c r="P2" s="459"/>
      <c r="Q2" s="460"/>
      <c r="R2" s="50"/>
      <c r="S2" s="85"/>
      <c r="T2"/>
      <c r="U2"/>
      <c r="V2"/>
      <c r="W2" s="70" t="s">
        <v>535</v>
      </c>
    </row>
    <row r="3" spans="1:126" x14ac:dyDescent="0.2">
      <c r="A3" s="283"/>
      <c r="B3" s="283"/>
      <c r="C3" s="283"/>
      <c r="D3" s="283"/>
      <c r="E3" s="283"/>
      <c r="F3" s="283"/>
      <c r="G3" s="283"/>
      <c r="H3" s="283"/>
      <c r="I3" s="283"/>
      <c r="J3" s="19"/>
      <c r="K3" s="19"/>
      <c r="L3" s="19"/>
      <c r="M3" s="19"/>
      <c r="N3" s="66"/>
      <c r="R3"/>
      <c r="S3">
        <v>20160205</v>
      </c>
      <c r="T3"/>
      <c r="U3"/>
      <c r="V3"/>
      <c r="W3" s="69" t="s">
        <v>536</v>
      </c>
    </row>
    <row r="4" spans="1:126" x14ac:dyDescent="0.2">
      <c r="A4" s="86" t="s">
        <v>52</v>
      </c>
      <c r="B4" s="87"/>
      <c r="C4" s="87"/>
      <c r="D4" s="87"/>
      <c r="E4" s="87"/>
      <c r="F4" s="88"/>
      <c r="H4" s="74" t="s">
        <v>150</v>
      </c>
      <c r="I4" s="51"/>
      <c r="J4" s="77">
        <v>12</v>
      </c>
      <c r="K4" s="18"/>
      <c r="L4" s="72"/>
      <c r="M4" s="247" t="s">
        <v>516</v>
      </c>
      <c r="N4" s="248"/>
      <c r="O4" s="250"/>
      <c r="P4"/>
      <c r="Q4"/>
      <c r="R4"/>
      <c r="S4"/>
      <c r="T4"/>
      <c r="U4"/>
      <c r="V4"/>
      <c r="W4" s="69" t="s">
        <v>533</v>
      </c>
    </row>
    <row r="5" spans="1:126" x14ac:dyDescent="0.2">
      <c r="A5" s="466" t="s">
        <v>59</v>
      </c>
      <c r="B5" s="444"/>
      <c r="C5" s="277"/>
      <c r="D5" s="358" t="s">
        <v>571</v>
      </c>
      <c r="E5" s="467"/>
      <c r="F5" s="89"/>
      <c r="H5" s="75" t="s">
        <v>151</v>
      </c>
      <c r="I5" s="76"/>
      <c r="J5" s="23">
        <v>60</v>
      </c>
      <c r="K5" s="89"/>
      <c r="L5" s="72"/>
      <c r="M5" s="236" t="s">
        <v>25</v>
      </c>
      <c r="N5" s="7" t="s">
        <v>517</v>
      </c>
      <c r="O5" s="251" t="s">
        <v>518</v>
      </c>
      <c r="P5"/>
      <c r="Q5"/>
      <c r="R5"/>
      <c r="S5"/>
      <c r="T5"/>
      <c r="U5"/>
      <c r="V5"/>
      <c r="W5" s="70" t="s">
        <v>534</v>
      </c>
    </row>
    <row r="6" spans="1:126" s="7" customFormat="1" x14ac:dyDescent="0.2">
      <c r="H6" s="50"/>
      <c r="I6"/>
      <c r="J6" s="50"/>
      <c r="K6" s="50"/>
      <c r="L6" s="50"/>
      <c r="M6" s="249">
        <f>[8]!id</f>
        <v>720</v>
      </c>
      <c r="N6" s="242">
        <f>[8]!errorCode</f>
        <v>200</v>
      </c>
      <c r="O6" s="243" t="str">
        <f>[8]!errorMsg</f>
        <v>No security definition has been found for the request</v>
      </c>
      <c r="P6"/>
      <c r="Q6"/>
      <c r="R6"/>
      <c r="S6"/>
      <c r="T6"/>
      <c r="U6"/>
      <c r="V6"/>
      <c r="W6" s="70" t="s">
        <v>531</v>
      </c>
      <c r="X6"/>
      <c r="Y6"/>
      <c r="Z6"/>
      <c r="AA6"/>
      <c r="AB6"/>
      <c r="AC6"/>
      <c r="AD6"/>
      <c r="AE6"/>
    </row>
    <row r="7" spans="1:126" x14ac:dyDescent="0.2">
      <c r="A7" s="504" t="s">
        <v>216</v>
      </c>
      <c r="B7" s="314"/>
      <c r="C7" s="314"/>
      <c r="D7" s="314"/>
      <c r="E7" s="314"/>
      <c r="F7" s="314"/>
      <c r="G7" s="314"/>
      <c r="H7" s="314"/>
      <c r="I7" s="314"/>
      <c r="J7" s="314"/>
      <c r="K7" s="314"/>
      <c r="L7" s="314"/>
      <c r="M7" s="282"/>
      <c r="N7" s="282"/>
      <c r="O7" s="282"/>
      <c r="P7" s="314"/>
      <c r="Q7" s="314"/>
      <c r="R7" s="314"/>
      <c r="S7" s="314"/>
      <c r="T7" s="314"/>
      <c r="U7" s="314"/>
      <c r="V7" s="313"/>
      <c r="W7"/>
    </row>
    <row r="8" spans="1:126" x14ac:dyDescent="0.2">
      <c r="A8" s="344" t="s">
        <v>28</v>
      </c>
      <c r="B8" s="314"/>
      <c r="C8" s="314"/>
      <c r="D8" s="314"/>
      <c r="E8" s="314"/>
      <c r="F8" s="314"/>
      <c r="G8" s="314"/>
      <c r="H8" s="314"/>
      <c r="I8" s="314"/>
      <c r="J8" s="314"/>
      <c r="K8" s="313"/>
      <c r="L8" s="344" t="s">
        <v>217</v>
      </c>
      <c r="M8" s="345"/>
      <c r="N8" s="345"/>
      <c r="O8" s="345"/>
      <c r="P8" s="345"/>
      <c r="Q8" s="345"/>
      <c r="R8" s="345"/>
      <c r="S8" s="345"/>
      <c r="T8" s="345"/>
      <c r="U8" s="345"/>
      <c r="V8" s="431"/>
      <c r="W8"/>
    </row>
    <row r="9" spans="1:126" x14ac:dyDescent="0.2">
      <c r="A9" s="9" t="s">
        <v>10</v>
      </c>
      <c r="B9" s="9" t="s">
        <v>22</v>
      </c>
      <c r="C9" s="9" t="s">
        <v>565</v>
      </c>
      <c r="D9" s="9" t="s">
        <v>11</v>
      </c>
      <c r="E9" s="49" t="s">
        <v>24</v>
      </c>
      <c r="F9" s="9" t="s">
        <v>88</v>
      </c>
      <c r="G9" s="9" t="s">
        <v>87</v>
      </c>
      <c r="H9" s="9" t="s">
        <v>13</v>
      </c>
      <c r="I9" s="49" t="s">
        <v>141</v>
      </c>
      <c r="J9" s="9" t="s">
        <v>41</v>
      </c>
      <c r="K9" s="103" t="s">
        <v>115</v>
      </c>
      <c r="L9" s="110" t="s">
        <v>23</v>
      </c>
      <c r="M9" s="59" t="s">
        <v>224</v>
      </c>
      <c r="N9" s="59" t="s">
        <v>218</v>
      </c>
      <c r="O9" s="67" t="s">
        <v>219</v>
      </c>
      <c r="P9" s="59" t="s">
        <v>220</v>
      </c>
      <c r="Q9" s="67" t="s">
        <v>223</v>
      </c>
      <c r="R9" s="67" t="s">
        <v>221</v>
      </c>
      <c r="S9" s="60" t="s">
        <v>222</v>
      </c>
      <c r="T9" s="60" t="s">
        <v>346</v>
      </c>
      <c r="U9" s="60"/>
      <c r="V9" s="60"/>
      <c r="W9" s="178"/>
      <c r="X9" s="7"/>
      <c r="Y9" s="7"/>
      <c r="Z9" s="7"/>
      <c r="AA9" s="7"/>
      <c r="AB9" s="7"/>
      <c r="AC9" s="7"/>
      <c r="AD9" s="7"/>
      <c r="AE9" s="7"/>
      <c r="AF9" s="7"/>
      <c r="AG9" s="7"/>
      <c r="AH9" s="7"/>
      <c r="AI9" s="7"/>
      <c r="AJ9" s="7"/>
      <c r="AK9" s="7"/>
      <c r="AL9" s="7"/>
      <c r="AM9" s="7"/>
      <c r="AN9" s="7"/>
      <c r="AO9" s="7"/>
      <c r="AP9" s="7"/>
      <c r="AQ9" s="7"/>
      <c r="AR9" s="7"/>
      <c r="AS9" s="7"/>
      <c r="AT9" s="7"/>
      <c r="AU9" s="7"/>
      <c r="AV9" s="7"/>
      <c r="AW9" s="7"/>
      <c r="AX9" s="7"/>
      <c r="AY9" s="7"/>
      <c r="AZ9" s="7"/>
      <c r="BA9" s="7"/>
      <c r="BB9" s="7"/>
      <c r="BC9" s="7"/>
      <c r="BD9" s="7"/>
      <c r="BE9" s="7"/>
      <c r="BF9" s="7"/>
      <c r="BG9" s="7"/>
      <c r="BH9" s="7"/>
      <c r="BI9" s="7"/>
      <c r="BJ9" s="7"/>
      <c r="BK9" s="7"/>
      <c r="BL9" s="7"/>
      <c r="BM9" s="7"/>
      <c r="BN9" s="7"/>
      <c r="BO9" s="7"/>
      <c r="BP9" s="7"/>
      <c r="BQ9" s="7"/>
      <c r="BR9" s="7"/>
      <c r="BS9" s="7"/>
      <c r="BT9" s="7"/>
      <c r="BU9" s="7"/>
      <c r="BV9" s="7"/>
      <c r="BW9" s="7"/>
      <c r="BX9" s="7"/>
      <c r="BY9" s="7"/>
      <c r="BZ9" s="7"/>
      <c r="CA9" s="7"/>
      <c r="CB9" s="7"/>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7"/>
      <c r="DF9" s="7"/>
      <c r="DG9" s="7"/>
      <c r="DH9" s="7"/>
      <c r="DI9" s="7"/>
      <c r="DJ9" s="7"/>
      <c r="DK9" s="7"/>
      <c r="DL9" s="7"/>
      <c r="DM9" s="7"/>
      <c r="DN9" s="7"/>
      <c r="DO9" s="7"/>
      <c r="DP9" s="7"/>
      <c r="DQ9" s="7"/>
      <c r="DR9" s="7"/>
      <c r="DS9" s="7"/>
      <c r="DT9" s="7"/>
      <c r="DU9" s="7"/>
      <c r="DV9" s="7"/>
    </row>
    <row r="10" spans="1:126" x14ac:dyDescent="0.2">
      <c r="A10" s="10"/>
      <c r="B10" s="11"/>
      <c r="C10" s="11"/>
      <c r="D10" s="11"/>
      <c r="E10" s="65"/>
      <c r="F10" s="11"/>
      <c r="G10" s="11"/>
      <c r="H10" s="11"/>
      <c r="I10" s="11"/>
      <c r="J10" s="11"/>
      <c r="K10" s="101"/>
      <c r="L10" s="6"/>
      <c r="M10" s="119"/>
      <c r="N10" s="69"/>
      <c r="O10" s="70"/>
      <c r="P10" s="69"/>
      <c r="Q10" s="69"/>
      <c r="R10" s="29"/>
      <c r="S10" s="29"/>
      <c r="T10" s="15"/>
      <c r="U10" s="62"/>
      <c r="V10" s="62"/>
      <c r="W10"/>
    </row>
    <row r="11" spans="1:126" x14ac:dyDescent="0.2">
      <c r="A11" s="12" t="s">
        <v>513</v>
      </c>
      <c r="B11" s="13"/>
      <c r="C11" s="13"/>
      <c r="D11" s="13"/>
      <c r="E11" s="63"/>
      <c r="F11" s="13"/>
      <c r="G11" s="13"/>
      <c r="H11" s="13"/>
      <c r="I11" s="13"/>
      <c r="J11" s="13"/>
      <c r="K11" s="101"/>
      <c r="L11" s="6"/>
      <c r="M11" s="119"/>
      <c r="N11" s="69"/>
      <c r="O11" s="70"/>
      <c r="P11" s="69"/>
      <c r="Q11" s="69"/>
      <c r="R11" s="69"/>
      <c r="S11" s="29"/>
      <c r="T11" s="15"/>
      <c r="U11" s="62"/>
      <c r="V11" s="62"/>
      <c r="W11"/>
    </row>
    <row r="12" spans="1:126" x14ac:dyDescent="0.2">
      <c r="A12" s="13" t="s">
        <v>42</v>
      </c>
      <c r="B12" s="13" t="s">
        <v>43</v>
      </c>
      <c r="C12" s="13"/>
      <c r="D12" s="13"/>
      <c r="E12" s="63"/>
      <c r="F12" s="13"/>
      <c r="G12" s="13"/>
      <c r="H12" s="13" t="s">
        <v>491</v>
      </c>
      <c r="I12" s="13"/>
      <c r="J12" s="13" t="s">
        <v>44</v>
      </c>
      <c r="K12" s="101"/>
      <c r="L12" s="6" t="str">
        <f>[10]!'id8?req?EUR_CASH_IDEALPRO_USD_~/20150801singleSpace23singleColon59singleColon59_300singleSpaceS_1_MIDPOINT_1_1'</f>
        <v>PROCESSING</v>
      </c>
      <c r="M12" s="57" t="s">
        <v>573</v>
      </c>
      <c r="N12" s="71" t="s">
        <v>537</v>
      </c>
      <c r="O12" s="69">
        <v>1</v>
      </c>
      <c r="P12" s="70" t="s">
        <v>531</v>
      </c>
      <c r="Q12" s="69">
        <v>1</v>
      </c>
      <c r="R12" s="69">
        <v>1</v>
      </c>
      <c r="S12" s="29" t="s">
        <v>532</v>
      </c>
      <c r="T12" s="29"/>
      <c r="U12" s="15"/>
      <c r="V12" s="62"/>
      <c r="W12"/>
    </row>
    <row r="13" spans="1:126" x14ac:dyDescent="0.2">
      <c r="A13" s="14" t="s">
        <v>42</v>
      </c>
      <c r="B13" s="14" t="s">
        <v>43</v>
      </c>
      <c r="C13" s="13"/>
      <c r="D13" s="13"/>
      <c r="E13" s="63"/>
      <c r="F13" s="13"/>
      <c r="G13" s="13"/>
      <c r="H13" s="14" t="s">
        <v>491</v>
      </c>
      <c r="I13" s="13"/>
      <c r="J13" s="14" t="s">
        <v>194</v>
      </c>
      <c r="K13" s="101"/>
      <c r="L13" s="6"/>
      <c r="M13" s="57" t="s">
        <v>530</v>
      </c>
      <c r="N13" s="71" t="s">
        <v>537</v>
      </c>
      <c r="O13" s="69">
        <v>2</v>
      </c>
      <c r="P13" s="70" t="s">
        <v>533</v>
      </c>
      <c r="Q13" s="69">
        <v>1</v>
      </c>
      <c r="R13" s="69">
        <v>1</v>
      </c>
      <c r="S13" s="29" t="s">
        <v>543</v>
      </c>
      <c r="T13" s="29"/>
      <c r="U13" s="15"/>
      <c r="V13" s="62"/>
      <c r="W13"/>
    </row>
    <row r="14" spans="1:126" x14ac:dyDescent="0.2">
      <c r="A14" s="13"/>
      <c r="B14" s="13"/>
      <c r="C14" s="13"/>
      <c r="D14" s="13"/>
      <c r="E14" s="63"/>
      <c r="F14" s="13"/>
      <c r="G14" s="13"/>
      <c r="H14" s="13"/>
      <c r="I14" s="13"/>
      <c r="J14" s="13"/>
      <c r="K14" s="101"/>
      <c r="L14" s="6"/>
      <c r="M14" s="57"/>
      <c r="N14" s="71"/>
      <c r="O14" s="69"/>
      <c r="P14" s="70"/>
      <c r="Q14" s="69"/>
      <c r="R14" s="69"/>
      <c r="S14" s="29"/>
      <c r="T14" s="29"/>
      <c r="U14" s="15"/>
      <c r="V14" s="62"/>
      <c r="W14"/>
    </row>
    <row r="15" spans="1:126" x14ac:dyDescent="0.2">
      <c r="A15" s="5"/>
      <c r="B15" s="5"/>
      <c r="C15" s="5"/>
      <c r="D15" s="5"/>
      <c r="E15" s="64"/>
      <c r="F15" s="5"/>
      <c r="G15" s="5"/>
      <c r="H15" s="5"/>
      <c r="I15" s="5"/>
      <c r="J15" s="5"/>
      <c r="K15" s="101"/>
      <c r="L15" s="6"/>
      <c r="M15" s="57"/>
      <c r="N15" s="71"/>
      <c r="O15" s="69"/>
      <c r="P15" s="70"/>
      <c r="Q15" s="69"/>
      <c r="R15" s="69"/>
      <c r="S15" s="29"/>
      <c r="T15" s="29"/>
      <c r="U15" s="15"/>
      <c r="V15" s="62"/>
      <c r="W15"/>
    </row>
    <row r="16" spans="1:126" x14ac:dyDescent="0.2">
      <c r="A16" s="12" t="s">
        <v>33</v>
      </c>
      <c r="B16" s="5"/>
      <c r="C16" s="5"/>
      <c r="D16" s="5"/>
      <c r="E16" s="241"/>
      <c r="F16" s="5"/>
      <c r="G16" s="5"/>
      <c r="H16" s="5"/>
      <c r="I16" s="5"/>
      <c r="J16" s="5"/>
      <c r="K16" s="101"/>
      <c r="L16" s="6"/>
      <c r="M16" s="57"/>
      <c r="N16" s="71"/>
      <c r="O16" s="69"/>
      <c r="P16" s="70"/>
      <c r="Q16" s="69"/>
      <c r="R16" s="69"/>
      <c r="S16" s="29"/>
      <c r="T16" s="29"/>
      <c r="U16" s="15"/>
      <c r="V16" s="62"/>
      <c r="W16"/>
    </row>
    <row r="17" spans="1:23" x14ac:dyDescent="0.2">
      <c r="A17" s="13" t="s">
        <v>69</v>
      </c>
      <c r="B17" s="13" t="s">
        <v>12</v>
      </c>
      <c r="C17" s="13"/>
      <c r="D17" s="13"/>
      <c r="E17" s="63"/>
      <c r="F17" s="13"/>
      <c r="G17" s="13"/>
      <c r="H17" s="13" t="s">
        <v>68</v>
      </c>
      <c r="I17" s="13"/>
      <c r="J17" s="13" t="s">
        <v>44</v>
      </c>
      <c r="K17" s="101"/>
      <c r="L17" s="6"/>
      <c r="M17" s="57" t="s">
        <v>567</v>
      </c>
      <c r="N17" s="71" t="s">
        <v>572</v>
      </c>
      <c r="O17" s="69">
        <v>11</v>
      </c>
      <c r="P17" s="70" t="s">
        <v>531</v>
      </c>
      <c r="Q17" s="69">
        <v>0</v>
      </c>
      <c r="R17" s="69">
        <v>1</v>
      </c>
      <c r="S17" s="29" t="s">
        <v>545</v>
      </c>
      <c r="T17" s="29"/>
      <c r="U17" s="15"/>
      <c r="V17" s="62"/>
      <c r="W17"/>
    </row>
    <row r="18" spans="1:23" x14ac:dyDescent="0.2">
      <c r="A18" s="13" t="s">
        <v>70</v>
      </c>
      <c r="B18" s="13" t="s">
        <v>12</v>
      </c>
      <c r="C18" s="13"/>
      <c r="D18" s="13"/>
      <c r="E18" s="63"/>
      <c r="F18" s="13"/>
      <c r="G18" s="13"/>
      <c r="H18" s="13" t="s">
        <v>68</v>
      </c>
      <c r="I18" s="13"/>
      <c r="J18" s="13" t="s">
        <v>44</v>
      </c>
      <c r="K18" s="101"/>
      <c r="L18" s="6"/>
      <c r="M18" s="57" t="s">
        <v>530</v>
      </c>
      <c r="N18" s="71" t="s">
        <v>537</v>
      </c>
      <c r="O18" s="69">
        <v>4</v>
      </c>
      <c r="P18" s="70" t="s">
        <v>531</v>
      </c>
      <c r="Q18" s="69">
        <v>0</v>
      </c>
      <c r="R18" s="69">
        <v>2</v>
      </c>
      <c r="S18" s="29" t="s">
        <v>546</v>
      </c>
      <c r="T18" s="15"/>
      <c r="U18" s="62"/>
      <c r="V18" s="62"/>
      <c r="W18"/>
    </row>
    <row r="19" spans="1:23" x14ac:dyDescent="0.2">
      <c r="A19" s="13" t="s">
        <v>89</v>
      </c>
      <c r="B19" s="13" t="s">
        <v>12</v>
      </c>
      <c r="C19" s="13"/>
      <c r="D19" s="13"/>
      <c r="E19" s="63"/>
      <c r="F19" s="13"/>
      <c r="G19" s="13"/>
      <c r="H19" s="13" t="s">
        <v>68</v>
      </c>
      <c r="I19" s="13"/>
      <c r="J19" s="13" t="s">
        <v>44</v>
      </c>
      <c r="K19" s="101"/>
      <c r="L19" s="6"/>
      <c r="M19" s="57" t="s">
        <v>530</v>
      </c>
      <c r="N19" s="69" t="s">
        <v>539</v>
      </c>
      <c r="O19" s="69">
        <v>5</v>
      </c>
      <c r="P19" s="69" t="s">
        <v>535</v>
      </c>
      <c r="Q19" s="69">
        <v>0</v>
      </c>
      <c r="R19" s="69">
        <v>1</v>
      </c>
      <c r="S19" s="29" t="s">
        <v>547</v>
      </c>
      <c r="T19" s="15"/>
      <c r="U19" s="62"/>
      <c r="V19" s="62"/>
      <c r="W19"/>
    </row>
    <row r="20" spans="1:23" x14ac:dyDescent="0.2">
      <c r="A20" s="13" t="s">
        <v>197</v>
      </c>
      <c r="B20" s="13" t="s">
        <v>12</v>
      </c>
      <c r="C20" s="13"/>
      <c r="D20" s="13"/>
      <c r="E20" s="63"/>
      <c r="F20" s="13"/>
      <c r="G20" s="13"/>
      <c r="H20" s="14" t="s">
        <v>512</v>
      </c>
      <c r="I20" s="13"/>
      <c r="J20" s="13" t="s">
        <v>44</v>
      </c>
      <c r="K20" s="101"/>
      <c r="L20" s="6"/>
      <c r="M20" s="57" t="s">
        <v>530</v>
      </c>
      <c r="N20" s="69" t="s">
        <v>539</v>
      </c>
      <c r="O20" s="69">
        <v>6</v>
      </c>
      <c r="P20" s="69" t="s">
        <v>536</v>
      </c>
      <c r="Q20" s="69">
        <v>0</v>
      </c>
      <c r="R20" s="69">
        <v>2</v>
      </c>
      <c r="S20" s="29" t="s">
        <v>548</v>
      </c>
      <c r="T20" s="15"/>
      <c r="U20" s="62"/>
      <c r="V20" s="62"/>
      <c r="W20"/>
    </row>
    <row r="21" spans="1:23" x14ac:dyDescent="0.2">
      <c r="A21" s="3" t="s">
        <v>520</v>
      </c>
      <c r="B21" s="5" t="s">
        <v>12</v>
      </c>
      <c r="C21" s="5"/>
      <c r="D21" s="5"/>
      <c r="E21" s="64"/>
      <c r="F21" s="5"/>
      <c r="G21" s="5"/>
      <c r="H21" s="3" t="s">
        <v>512</v>
      </c>
      <c r="I21" s="5"/>
      <c r="J21" s="5" t="s">
        <v>44</v>
      </c>
      <c r="K21" s="101"/>
      <c r="L21" s="6"/>
      <c r="M21" s="57" t="s">
        <v>530</v>
      </c>
      <c r="N21" s="71" t="s">
        <v>570</v>
      </c>
      <c r="O21" s="69">
        <v>10</v>
      </c>
      <c r="P21" s="70" t="s">
        <v>533</v>
      </c>
      <c r="Q21" s="69">
        <v>0</v>
      </c>
      <c r="R21" s="69">
        <v>1</v>
      </c>
      <c r="S21" s="29" t="s">
        <v>549</v>
      </c>
      <c r="T21" s="15"/>
      <c r="U21" s="62"/>
      <c r="V21" s="62"/>
      <c r="W21"/>
    </row>
    <row r="22" spans="1:23" x14ac:dyDescent="0.2">
      <c r="A22" s="5" t="s">
        <v>26</v>
      </c>
      <c r="B22" s="5" t="s">
        <v>12</v>
      </c>
      <c r="C22" s="5"/>
      <c r="D22" s="5"/>
      <c r="E22" s="64"/>
      <c r="F22" s="5"/>
      <c r="G22" s="5"/>
      <c r="H22" s="5" t="s">
        <v>514</v>
      </c>
      <c r="I22" s="5"/>
      <c r="J22" s="5" t="s">
        <v>44</v>
      </c>
      <c r="K22" s="101"/>
      <c r="L22" s="6"/>
      <c r="M22" s="57" t="s">
        <v>530</v>
      </c>
      <c r="N22" s="69" t="s">
        <v>539</v>
      </c>
      <c r="O22" s="69">
        <v>8</v>
      </c>
      <c r="P22" s="69" t="s">
        <v>534</v>
      </c>
      <c r="Q22" s="69">
        <v>0</v>
      </c>
      <c r="R22" s="69">
        <v>2</v>
      </c>
      <c r="S22" s="29" t="s">
        <v>550</v>
      </c>
      <c r="T22" s="15"/>
      <c r="U22" s="62"/>
      <c r="V22" s="62"/>
      <c r="W22"/>
    </row>
    <row r="23" spans="1:23" x14ac:dyDescent="0.2">
      <c r="A23" s="3" t="s">
        <v>460</v>
      </c>
      <c r="B23" s="5" t="s">
        <v>12</v>
      </c>
      <c r="C23" s="5"/>
      <c r="D23" s="5"/>
      <c r="E23" s="64"/>
      <c r="F23" s="5"/>
      <c r="G23" s="5"/>
      <c r="H23" s="3" t="s">
        <v>461</v>
      </c>
      <c r="I23" s="5"/>
      <c r="J23" s="3" t="s">
        <v>194</v>
      </c>
      <c r="K23" s="101"/>
      <c r="L23" s="6"/>
      <c r="M23" s="57" t="s">
        <v>530</v>
      </c>
      <c r="N23" s="69" t="s">
        <v>539</v>
      </c>
      <c r="O23" s="69">
        <v>9</v>
      </c>
      <c r="P23" s="69" t="s">
        <v>531</v>
      </c>
      <c r="Q23" s="69">
        <v>0</v>
      </c>
      <c r="R23" s="69">
        <v>1</v>
      </c>
      <c r="S23" s="29" t="s">
        <v>551</v>
      </c>
      <c r="T23" s="15"/>
      <c r="U23" s="62"/>
      <c r="V23" s="62"/>
      <c r="W23"/>
    </row>
    <row r="24" spans="1:23" x14ac:dyDescent="0.2">
      <c r="A24" s="5"/>
      <c r="B24" s="5"/>
      <c r="C24" s="5"/>
      <c r="D24" s="5"/>
      <c r="E24" s="64"/>
      <c r="F24" s="5"/>
      <c r="G24" s="5"/>
      <c r="H24" s="5"/>
      <c r="I24" s="5"/>
      <c r="J24" s="5"/>
      <c r="K24" s="101"/>
      <c r="L24" s="6"/>
      <c r="M24" s="57"/>
      <c r="N24" s="69"/>
      <c r="O24" s="69"/>
      <c r="P24" s="69"/>
      <c r="Q24" s="69"/>
      <c r="R24" s="69"/>
      <c r="S24" s="29"/>
      <c r="T24" s="15"/>
      <c r="U24" s="62"/>
      <c r="V24" s="62"/>
      <c r="W24"/>
    </row>
    <row r="25" spans="1:23" x14ac:dyDescent="0.2">
      <c r="A25" s="8" t="s">
        <v>509</v>
      </c>
      <c r="B25" s="5"/>
      <c r="C25" s="5"/>
      <c r="D25" s="5"/>
      <c r="E25" s="64"/>
      <c r="F25" s="5"/>
      <c r="G25" s="5"/>
      <c r="H25" s="5"/>
      <c r="I25" s="5"/>
      <c r="J25" s="5"/>
      <c r="K25" s="101"/>
      <c r="L25" s="6"/>
      <c r="M25" s="57"/>
      <c r="N25" s="69"/>
      <c r="O25" s="69"/>
      <c r="P25" s="69"/>
      <c r="Q25" s="69"/>
      <c r="R25" s="69"/>
      <c r="S25" s="29"/>
      <c r="T25" s="15"/>
      <c r="U25" s="62"/>
      <c r="V25" s="62"/>
      <c r="W25"/>
    </row>
    <row r="26" spans="1:23" x14ac:dyDescent="0.2">
      <c r="A26" s="3" t="s">
        <v>510</v>
      </c>
      <c r="B26" s="3" t="s">
        <v>32</v>
      </c>
      <c r="C26" s="5"/>
      <c r="D26" s="5"/>
      <c r="E26" s="64"/>
      <c r="F26" s="5"/>
      <c r="G26" s="5"/>
      <c r="H26" s="3" t="s">
        <v>328</v>
      </c>
      <c r="I26" s="5"/>
      <c r="J26" s="3" t="s">
        <v>44</v>
      </c>
      <c r="K26" s="101"/>
      <c r="L26" s="6"/>
      <c r="M26" s="57" t="s">
        <v>530</v>
      </c>
      <c r="N26" s="71" t="s">
        <v>540</v>
      </c>
      <c r="O26" s="69">
        <v>10</v>
      </c>
      <c r="P26" s="70" t="s">
        <v>535</v>
      </c>
      <c r="Q26" s="69">
        <v>0</v>
      </c>
      <c r="R26" s="69">
        <v>1</v>
      </c>
      <c r="S26" s="29" t="s">
        <v>510</v>
      </c>
      <c r="T26" s="15"/>
      <c r="U26" s="62"/>
      <c r="V26" s="62"/>
      <c r="W26"/>
    </row>
    <row r="27" spans="1:23" x14ac:dyDescent="0.2">
      <c r="A27" s="14" t="s">
        <v>515</v>
      </c>
      <c r="B27" s="14" t="s">
        <v>32</v>
      </c>
      <c r="C27" s="13"/>
      <c r="D27" s="13"/>
      <c r="E27" s="63"/>
      <c r="F27" s="13"/>
      <c r="G27" s="13"/>
      <c r="H27" s="14" t="s">
        <v>193</v>
      </c>
      <c r="I27" s="13"/>
      <c r="J27" s="14" t="s">
        <v>194</v>
      </c>
      <c r="K27" s="101"/>
      <c r="L27" s="6"/>
      <c r="M27" s="57" t="s">
        <v>530</v>
      </c>
      <c r="N27" s="69" t="s">
        <v>540</v>
      </c>
      <c r="O27" s="69">
        <v>11</v>
      </c>
      <c r="P27" s="69" t="s">
        <v>536</v>
      </c>
      <c r="Q27" s="69">
        <v>0</v>
      </c>
      <c r="R27" s="69">
        <v>1</v>
      </c>
      <c r="S27" s="29" t="s">
        <v>515</v>
      </c>
      <c r="T27" s="15"/>
      <c r="U27" s="62"/>
      <c r="V27" s="62"/>
      <c r="W27"/>
    </row>
    <row r="28" spans="1:23" x14ac:dyDescent="0.2">
      <c r="A28" s="14" t="s">
        <v>519</v>
      </c>
      <c r="B28" s="14" t="s">
        <v>32</v>
      </c>
      <c r="C28" s="13"/>
      <c r="D28" s="13"/>
      <c r="E28" s="63"/>
      <c r="F28" s="13"/>
      <c r="G28" s="13"/>
      <c r="H28" s="14" t="s">
        <v>476</v>
      </c>
      <c r="I28" s="13"/>
      <c r="J28" s="14" t="s">
        <v>477</v>
      </c>
      <c r="K28" s="101"/>
      <c r="L28" s="6" t="str">
        <f>[10]!'id0?req2?FSMIsingleSpaceMARsingleSpace15_FUT_SOFFEX_CHF_~/20140801singleSpace23singleColon59singleColon59_2singleSpaceD_16_BID_ASK_0_1'</f>
        <v>FINISHED</v>
      </c>
      <c r="M28" s="57" t="s">
        <v>530</v>
      </c>
      <c r="N28" s="69" t="s">
        <v>541</v>
      </c>
      <c r="O28" s="69">
        <v>16</v>
      </c>
      <c r="P28" s="69" t="s">
        <v>533</v>
      </c>
      <c r="Q28" s="69">
        <v>0</v>
      </c>
      <c r="R28" s="69">
        <v>1</v>
      </c>
      <c r="S28" s="29" t="s">
        <v>555</v>
      </c>
      <c r="T28" s="15"/>
      <c r="U28" s="62"/>
      <c r="V28" s="62"/>
      <c r="W28"/>
    </row>
    <row r="29" spans="1:23" x14ac:dyDescent="0.2">
      <c r="A29" s="14" t="s">
        <v>525</v>
      </c>
      <c r="B29" s="14" t="s">
        <v>32</v>
      </c>
      <c r="C29" s="13"/>
      <c r="D29" s="13"/>
      <c r="E29" s="63"/>
      <c r="F29" s="13"/>
      <c r="G29" s="13"/>
      <c r="H29" s="14" t="s">
        <v>524</v>
      </c>
      <c r="I29" s="13"/>
      <c r="J29" s="14" t="s">
        <v>42</v>
      </c>
      <c r="K29" s="101"/>
      <c r="L29" s="6" t="str">
        <f>[10]!'id1?req2?FCEM6_FUT_MONEP_EUR_~/20140801singleSpace23singleColon59singleColon59_300singleSpaceS_2_TRADES_0_1'</f>
        <v>PROCESSING</v>
      </c>
      <c r="M29" s="57" t="s">
        <v>530</v>
      </c>
      <c r="N29" s="71" t="s">
        <v>537</v>
      </c>
      <c r="O29" s="69">
        <v>2</v>
      </c>
      <c r="P29" s="70" t="s">
        <v>534</v>
      </c>
      <c r="Q29" s="69">
        <v>0</v>
      </c>
      <c r="R29" s="69">
        <v>1</v>
      </c>
      <c r="S29" s="29" t="s">
        <v>556</v>
      </c>
      <c r="T29" s="15"/>
      <c r="U29" s="62"/>
      <c r="V29" s="62"/>
      <c r="W29"/>
    </row>
    <row r="30" spans="1:23" x14ac:dyDescent="0.2">
      <c r="A30" s="14" t="s">
        <v>552</v>
      </c>
      <c r="B30" s="14" t="s">
        <v>32</v>
      </c>
      <c r="C30" s="13"/>
      <c r="D30" s="13"/>
      <c r="E30" s="63"/>
      <c r="F30" s="13"/>
      <c r="G30" s="13"/>
      <c r="H30" s="14" t="s">
        <v>328</v>
      </c>
      <c r="I30" s="13"/>
      <c r="J30" s="14" t="s">
        <v>44</v>
      </c>
      <c r="K30" s="101"/>
      <c r="L30" s="6"/>
      <c r="M30" s="119" t="s">
        <v>554</v>
      </c>
      <c r="N30" s="69" t="s">
        <v>541</v>
      </c>
      <c r="O30" s="69">
        <v>11</v>
      </c>
      <c r="P30" s="69" t="s">
        <v>534</v>
      </c>
      <c r="Q30" s="69">
        <v>1</v>
      </c>
      <c r="R30" s="69">
        <v>1</v>
      </c>
      <c r="S30" s="29" t="s">
        <v>553</v>
      </c>
      <c r="T30" s="15" t="b">
        <v>1</v>
      </c>
      <c r="U30" s="62"/>
      <c r="V30" s="62"/>
      <c r="W30"/>
    </row>
    <row r="31" spans="1:23" x14ac:dyDescent="0.2">
      <c r="A31" s="14"/>
      <c r="B31" s="13"/>
      <c r="C31" s="13"/>
      <c r="D31" s="13"/>
      <c r="E31" s="63"/>
      <c r="F31" s="13"/>
      <c r="G31" s="13"/>
      <c r="H31" s="13"/>
      <c r="I31" s="13"/>
      <c r="J31" s="13"/>
      <c r="K31" s="101"/>
      <c r="L31" s="6"/>
      <c r="M31" s="119"/>
      <c r="N31" s="69"/>
      <c r="O31" s="69"/>
      <c r="P31" s="69"/>
      <c r="Q31" s="69"/>
      <c r="R31" s="69"/>
      <c r="S31" s="29"/>
      <c r="T31" s="15"/>
      <c r="U31" s="62"/>
      <c r="V31" s="62"/>
      <c r="W31"/>
    </row>
    <row r="32" spans="1:23" x14ac:dyDescent="0.2">
      <c r="A32" s="12" t="s">
        <v>34</v>
      </c>
      <c r="B32" s="13"/>
      <c r="C32" s="13"/>
      <c r="D32" s="13"/>
      <c r="E32" s="63"/>
      <c r="F32" s="13"/>
      <c r="G32" s="13"/>
      <c r="H32" s="13"/>
      <c r="I32" s="13"/>
      <c r="J32" s="13"/>
      <c r="K32" s="101"/>
      <c r="L32" s="6"/>
      <c r="M32" s="119"/>
      <c r="N32" s="69"/>
      <c r="O32" s="69"/>
      <c r="P32" s="69"/>
      <c r="Q32" s="69"/>
      <c r="R32" s="69"/>
      <c r="S32" s="29"/>
      <c r="T32" s="15"/>
      <c r="U32" s="62"/>
      <c r="V32" s="62"/>
      <c r="W32"/>
    </row>
    <row r="33" spans="1:23" x14ac:dyDescent="0.2">
      <c r="A33" s="14" t="s">
        <v>492</v>
      </c>
      <c r="B33" s="14" t="s">
        <v>31</v>
      </c>
      <c r="C33" s="13">
        <v>20151030</v>
      </c>
      <c r="D33" s="13">
        <v>120</v>
      </c>
      <c r="E33" s="181" t="s">
        <v>36</v>
      </c>
      <c r="F33" s="13">
        <v>100</v>
      </c>
      <c r="G33" s="13"/>
      <c r="H33" s="14" t="s">
        <v>68</v>
      </c>
      <c r="I33" s="13"/>
      <c r="J33" s="14" t="s">
        <v>44</v>
      </c>
      <c r="K33" s="101"/>
      <c r="L33" s="6"/>
      <c r="M33" s="57" t="s">
        <v>569</v>
      </c>
      <c r="N33" s="71" t="s">
        <v>566</v>
      </c>
      <c r="O33" s="69">
        <v>11</v>
      </c>
      <c r="P33" s="70" t="s">
        <v>531</v>
      </c>
      <c r="Q33" s="69">
        <v>1</v>
      </c>
      <c r="R33" s="69">
        <v>1</v>
      </c>
      <c r="S33" s="29" t="s">
        <v>542</v>
      </c>
      <c r="T33" s="15"/>
      <c r="U33" s="62"/>
      <c r="V33" s="62"/>
      <c r="W33"/>
    </row>
    <row r="34" spans="1:23" x14ac:dyDescent="0.2">
      <c r="A34" s="13"/>
      <c r="B34" s="13"/>
      <c r="C34" s="13"/>
      <c r="D34" s="13"/>
      <c r="E34" s="63"/>
      <c r="F34" s="13"/>
      <c r="G34" s="13"/>
      <c r="H34" s="13"/>
      <c r="I34" s="13"/>
      <c r="J34" s="13"/>
      <c r="K34" s="101"/>
      <c r="L34" s="6"/>
      <c r="M34" s="119"/>
      <c r="N34" s="69"/>
      <c r="O34" s="69"/>
      <c r="P34" s="69"/>
      <c r="Q34" s="69"/>
      <c r="R34" s="69"/>
      <c r="S34" s="29"/>
      <c r="T34" s="15"/>
      <c r="U34" s="62"/>
      <c r="V34" s="62"/>
      <c r="W34"/>
    </row>
    <row r="35" spans="1:23" x14ac:dyDescent="0.2">
      <c r="A35" s="14"/>
      <c r="B35" s="14"/>
      <c r="C35" s="13"/>
      <c r="D35" s="13"/>
      <c r="E35" s="181"/>
      <c r="F35" s="13"/>
      <c r="G35" s="13"/>
      <c r="H35" s="14"/>
      <c r="I35" s="13"/>
      <c r="J35" s="14"/>
      <c r="K35" s="101"/>
      <c r="L35" s="6"/>
      <c r="M35" s="57"/>
      <c r="N35" s="71"/>
      <c r="O35" s="69"/>
      <c r="P35" s="70"/>
      <c r="Q35" s="69"/>
      <c r="R35" s="69"/>
      <c r="S35" s="29"/>
      <c r="T35" s="15"/>
      <c r="U35" s="62"/>
      <c r="V35" s="62"/>
      <c r="W35"/>
    </row>
    <row r="36" spans="1:23" x14ac:dyDescent="0.2">
      <c r="A36" s="12"/>
      <c r="B36" s="13"/>
      <c r="C36" s="13"/>
      <c r="D36" s="13"/>
      <c r="E36" s="63"/>
      <c r="F36" s="13"/>
      <c r="G36" s="13"/>
      <c r="H36" s="13"/>
      <c r="I36" s="13"/>
      <c r="J36" s="13"/>
      <c r="K36" s="101"/>
      <c r="L36" s="6"/>
      <c r="M36" s="119"/>
      <c r="N36" s="69"/>
      <c r="O36" s="69"/>
      <c r="P36" s="69"/>
      <c r="Q36" s="69"/>
      <c r="R36" s="69"/>
      <c r="S36" s="29"/>
      <c r="T36" s="15"/>
      <c r="U36" s="62"/>
      <c r="V36" s="62"/>
      <c r="W36"/>
    </row>
    <row r="37" spans="1:23" x14ac:dyDescent="0.2">
      <c r="A37" s="13"/>
      <c r="B37" s="13"/>
      <c r="C37" s="13"/>
      <c r="D37" s="13"/>
      <c r="E37" s="63"/>
      <c r="F37" s="13"/>
      <c r="G37" s="13"/>
      <c r="H37" s="13"/>
      <c r="I37" s="13"/>
      <c r="J37" s="13"/>
      <c r="K37" s="101"/>
      <c r="L37" s="6"/>
      <c r="M37" s="119"/>
      <c r="N37" s="69"/>
      <c r="O37" s="69"/>
      <c r="P37" s="69"/>
      <c r="Q37" s="69"/>
      <c r="R37" s="69"/>
      <c r="S37" s="29"/>
      <c r="T37" s="15"/>
      <c r="U37" s="62"/>
      <c r="V37" s="62"/>
      <c r="W37"/>
    </row>
    <row r="38" spans="1:23" x14ac:dyDescent="0.2">
      <c r="A38" s="13"/>
      <c r="B38" s="13"/>
      <c r="C38" s="13"/>
      <c r="D38" s="13"/>
      <c r="E38" s="63"/>
      <c r="F38" s="13"/>
      <c r="G38" s="13"/>
      <c r="H38" s="13"/>
      <c r="I38" s="13"/>
      <c r="J38" s="13"/>
      <c r="K38" s="101"/>
      <c r="L38" s="6"/>
      <c r="M38" s="119"/>
      <c r="N38" s="69"/>
      <c r="O38" s="69"/>
      <c r="P38" s="69"/>
      <c r="Q38" s="69"/>
      <c r="R38" s="69"/>
      <c r="S38" s="29"/>
      <c r="T38" s="15"/>
      <c r="U38" s="62"/>
      <c r="V38" s="62"/>
      <c r="W38"/>
    </row>
    <row r="39" spans="1:23" x14ac:dyDescent="0.2">
      <c r="A39" s="12" t="s">
        <v>522</v>
      </c>
      <c r="B39" s="14"/>
      <c r="C39" s="13"/>
      <c r="D39" s="13"/>
      <c r="E39" s="63"/>
      <c r="F39" s="13"/>
      <c r="G39" s="13"/>
      <c r="H39" s="14"/>
      <c r="I39" s="13"/>
      <c r="J39" s="14"/>
      <c r="K39" s="101"/>
      <c r="L39" s="6"/>
      <c r="M39" s="119"/>
      <c r="N39" s="69"/>
      <c r="O39" s="69"/>
      <c r="P39" s="69"/>
      <c r="Q39" s="69"/>
      <c r="R39" s="69"/>
      <c r="S39" s="29"/>
      <c r="T39" s="15"/>
      <c r="U39" s="62"/>
      <c r="V39" s="62"/>
      <c r="W39"/>
    </row>
    <row r="40" spans="1:23" x14ac:dyDescent="0.2">
      <c r="A40" s="5" t="s">
        <v>42</v>
      </c>
      <c r="B40" s="5" t="s">
        <v>117</v>
      </c>
      <c r="C40" s="5">
        <v>20141205</v>
      </c>
      <c r="D40" s="5">
        <v>1.33</v>
      </c>
      <c r="E40" s="64" t="s">
        <v>36</v>
      </c>
      <c r="F40" s="5">
        <v>125000</v>
      </c>
      <c r="G40" s="5" t="s">
        <v>511</v>
      </c>
      <c r="H40" s="5" t="s">
        <v>328</v>
      </c>
      <c r="I40" s="5"/>
      <c r="J40" s="5" t="s">
        <v>44</v>
      </c>
      <c r="K40" s="101"/>
      <c r="L40" s="6"/>
      <c r="M40" s="57" t="s">
        <v>530</v>
      </c>
      <c r="N40" s="69" t="s">
        <v>539</v>
      </c>
      <c r="O40" s="69">
        <v>5</v>
      </c>
      <c r="P40" s="69" t="s">
        <v>536</v>
      </c>
      <c r="Q40" s="69">
        <v>1</v>
      </c>
      <c r="R40" s="69">
        <v>1</v>
      </c>
      <c r="S40" s="29" t="s">
        <v>544</v>
      </c>
      <c r="T40" s="15"/>
      <c r="U40" s="62"/>
      <c r="V40" s="62"/>
      <c r="W40"/>
    </row>
    <row r="41" spans="1:23" x14ac:dyDescent="0.2">
      <c r="A41" s="14"/>
      <c r="B41" s="14"/>
      <c r="C41" s="13"/>
      <c r="D41" s="13"/>
      <c r="E41" s="181"/>
      <c r="F41" s="13"/>
      <c r="G41" s="14"/>
      <c r="H41" s="14"/>
      <c r="I41" s="13"/>
      <c r="J41" s="14"/>
      <c r="K41" s="101"/>
      <c r="L41" s="6"/>
      <c r="M41" s="57"/>
      <c r="N41" s="69"/>
      <c r="O41" s="69"/>
      <c r="P41" s="69"/>
      <c r="Q41" s="69"/>
      <c r="R41" s="69"/>
      <c r="S41" s="29"/>
      <c r="T41" s="15"/>
      <c r="U41" s="62"/>
      <c r="V41" s="62"/>
      <c r="W41"/>
    </row>
    <row r="42" spans="1:23" x14ac:dyDescent="0.2">
      <c r="A42" s="13"/>
      <c r="B42" s="13"/>
      <c r="C42" s="13"/>
      <c r="D42" s="13"/>
      <c r="E42" s="63"/>
      <c r="F42" s="13"/>
      <c r="G42" s="13"/>
      <c r="H42" s="13"/>
      <c r="I42" s="13"/>
      <c r="J42" s="13"/>
      <c r="K42" s="101"/>
      <c r="L42" s="6"/>
      <c r="M42" s="119"/>
      <c r="N42" s="69"/>
      <c r="O42" s="69"/>
      <c r="P42" s="69"/>
      <c r="Q42" s="69"/>
      <c r="R42" s="69"/>
      <c r="S42" s="29"/>
      <c r="T42" s="15"/>
      <c r="U42" s="62"/>
      <c r="V42" s="62"/>
      <c r="W42"/>
    </row>
    <row r="43" spans="1:23" x14ac:dyDescent="0.2">
      <c r="A43" s="12" t="s">
        <v>37</v>
      </c>
      <c r="B43" s="13"/>
      <c r="C43" s="13"/>
      <c r="D43" s="13"/>
      <c r="E43" s="63"/>
      <c r="F43" s="13"/>
      <c r="G43" s="13"/>
      <c r="H43" s="13"/>
      <c r="I43" s="13"/>
      <c r="J43" s="13"/>
      <c r="K43" s="101"/>
      <c r="L43" s="6"/>
      <c r="M43" s="57"/>
      <c r="N43" s="71"/>
      <c r="O43" s="69"/>
      <c r="P43" s="70"/>
      <c r="Q43" s="69"/>
      <c r="R43" s="69"/>
      <c r="S43" s="29"/>
      <c r="T43" s="15"/>
      <c r="U43" s="62"/>
      <c r="V43" s="62"/>
      <c r="W43"/>
    </row>
    <row r="44" spans="1:23" x14ac:dyDescent="0.2">
      <c r="A44" s="14" t="s">
        <v>523</v>
      </c>
      <c r="B44" s="14" t="s">
        <v>39</v>
      </c>
      <c r="C44" s="13"/>
      <c r="D44" s="13"/>
      <c r="E44" s="63"/>
      <c r="F44" s="13"/>
      <c r="G44" s="13"/>
      <c r="H44" s="14" t="s">
        <v>524</v>
      </c>
      <c r="I44" s="13"/>
      <c r="J44" s="14" t="s">
        <v>42</v>
      </c>
      <c r="K44" s="101"/>
      <c r="L44" s="6"/>
      <c r="M44" s="57" t="s">
        <v>530</v>
      </c>
      <c r="N44" s="69" t="s">
        <v>540</v>
      </c>
      <c r="O44" s="69">
        <v>8</v>
      </c>
      <c r="P44" s="69" t="s">
        <v>534</v>
      </c>
      <c r="Q44" s="69">
        <v>0</v>
      </c>
      <c r="R44" s="69">
        <v>1</v>
      </c>
      <c r="S44" s="29" t="s">
        <v>538</v>
      </c>
      <c r="T44" s="15"/>
      <c r="U44" s="62"/>
      <c r="V44" s="62"/>
      <c r="W44"/>
    </row>
    <row r="45" spans="1:23" x14ac:dyDescent="0.2">
      <c r="A45" s="13"/>
      <c r="B45" s="13"/>
      <c r="C45" s="13"/>
      <c r="D45" s="13"/>
      <c r="E45" s="63"/>
      <c r="F45" s="13"/>
      <c r="G45" s="13"/>
      <c r="H45" s="13"/>
      <c r="I45" s="13"/>
      <c r="J45" s="13"/>
      <c r="K45" s="101"/>
      <c r="L45" s="6"/>
      <c r="M45" s="119"/>
      <c r="N45" s="69"/>
      <c r="O45" s="69"/>
      <c r="P45" s="69"/>
      <c r="Q45" s="69"/>
      <c r="R45" s="69"/>
      <c r="S45" s="29"/>
      <c r="T45" s="15"/>
      <c r="U45" s="62"/>
      <c r="V45" s="62"/>
      <c r="W45"/>
    </row>
    <row r="46" spans="1:23" x14ac:dyDescent="0.2">
      <c r="A46" s="12"/>
      <c r="B46" s="13"/>
      <c r="C46" s="13"/>
      <c r="D46" s="13"/>
      <c r="E46" s="63"/>
      <c r="F46" s="13"/>
      <c r="G46" s="13"/>
      <c r="H46" s="13"/>
      <c r="I46" s="13"/>
      <c r="J46" s="13"/>
      <c r="K46" s="101"/>
      <c r="L46" s="6"/>
      <c r="M46" s="119"/>
      <c r="N46" s="69"/>
      <c r="O46" s="69"/>
      <c r="P46" s="69"/>
      <c r="Q46" s="69"/>
      <c r="R46" s="69"/>
      <c r="S46" s="29"/>
      <c r="T46" s="15"/>
      <c r="U46" s="62"/>
      <c r="V46" s="62"/>
      <c r="W46"/>
    </row>
    <row r="47" spans="1:23" x14ac:dyDescent="0.2">
      <c r="A47" s="14"/>
      <c r="B47" s="13"/>
      <c r="C47" s="13"/>
      <c r="D47" s="13"/>
      <c r="E47" s="63"/>
      <c r="F47" s="13"/>
      <c r="G47" s="13"/>
      <c r="H47" s="13"/>
      <c r="I47" s="13"/>
      <c r="J47" s="13"/>
      <c r="K47" s="101"/>
      <c r="L47" s="6"/>
      <c r="M47" s="119"/>
      <c r="N47" s="69"/>
      <c r="O47" s="69"/>
      <c r="P47" s="69"/>
      <c r="Q47" s="69"/>
      <c r="R47" s="69"/>
      <c r="S47" s="29"/>
      <c r="T47" s="15"/>
      <c r="U47" s="62"/>
      <c r="V47" s="62"/>
      <c r="W47"/>
    </row>
    <row r="48" spans="1:23" x14ac:dyDescent="0.2">
      <c r="A48" s="13"/>
      <c r="B48" s="13"/>
      <c r="C48" s="13"/>
      <c r="D48" s="13"/>
      <c r="E48" s="63"/>
      <c r="F48" s="13"/>
      <c r="G48" s="13"/>
      <c r="H48" s="13"/>
      <c r="I48" s="13"/>
      <c r="J48" s="13"/>
      <c r="K48" s="101"/>
      <c r="L48" s="6"/>
      <c r="M48" s="119"/>
      <c r="N48" s="69"/>
      <c r="O48" s="69"/>
      <c r="P48" s="69"/>
      <c r="Q48" s="69"/>
      <c r="R48" s="69"/>
      <c r="S48" s="29"/>
      <c r="T48" s="15"/>
      <c r="U48" s="62"/>
      <c r="V48" s="62"/>
      <c r="W48"/>
    </row>
    <row r="49" spans="1:23" x14ac:dyDescent="0.2">
      <c r="A49" s="252" t="s">
        <v>575</v>
      </c>
      <c r="B49" s="252" t="s">
        <v>12</v>
      </c>
      <c r="C49" s="252"/>
      <c r="D49" s="252"/>
      <c r="E49" s="253"/>
      <c r="F49" s="252"/>
      <c r="G49" s="252"/>
      <c r="H49" s="252" t="s">
        <v>68</v>
      </c>
      <c r="I49" s="252"/>
      <c r="J49" s="252" t="s">
        <v>44</v>
      </c>
      <c r="K49" s="254"/>
      <c r="L49" s="255" t="str">
        <f>[10]!'id1?req?CCE_STK_SMART_USD_~/20160205singleSpace14singleColon35singleColon00_600singleSpaceS_1_TRADES_0_1'</f>
        <v>PROCESSING</v>
      </c>
      <c r="M49" s="256" t="str">
        <f>S3 &amp; " 14:35:00"</f>
        <v>20160205 14:35:00</v>
      </c>
      <c r="N49" s="257" t="s">
        <v>580</v>
      </c>
      <c r="O49" s="258">
        <v>1</v>
      </c>
      <c r="P49" s="70" t="s">
        <v>534</v>
      </c>
      <c r="Q49" s="258">
        <v>0</v>
      </c>
      <c r="R49" s="258">
        <v>1</v>
      </c>
      <c r="S49" s="259" t="s">
        <v>576</v>
      </c>
      <c r="T49" s="29"/>
      <c r="U49" s="15"/>
      <c r="V49" s="62" t="s">
        <v>579</v>
      </c>
      <c r="W49"/>
    </row>
    <row r="50" spans="1:23" x14ac:dyDescent="0.2">
      <c r="A50" s="252" t="str">
        <f>microStruc_symbol</f>
        <v>CCE</v>
      </c>
      <c r="B50" s="252" t="s">
        <v>12</v>
      </c>
      <c r="C50" s="252"/>
      <c r="D50" s="252"/>
      <c r="E50" s="253"/>
      <c r="F50" s="252"/>
      <c r="G50" s="252"/>
      <c r="H50" s="252" t="s">
        <v>68</v>
      </c>
      <c r="I50" s="252"/>
      <c r="J50" s="252" t="s">
        <v>44</v>
      </c>
      <c r="K50" s="254"/>
      <c r="L50" s="255" t="str">
        <f>[10]!'id0?req?CCE_STK_SMART_USD_~/20160205singleSpace23singleColon59singleColon59_50singleSpaceD_11_TRADES_0_1'</f>
        <v>PROCESSING</v>
      </c>
      <c r="M50" s="57" t="str">
        <f>$S$3 &amp;" 23:59:59"</f>
        <v>20160205 23:59:59</v>
      </c>
      <c r="N50" s="257" t="s">
        <v>578</v>
      </c>
      <c r="O50" s="258">
        <v>11</v>
      </c>
      <c r="P50" s="70" t="s">
        <v>534</v>
      </c>
      <c r="Q50" s="258">
        <v>0</v>
      </c>
      <c r="R50" s="258">
        <v>1</v>
      </c>
      <c r="S50" s="259" t="s">
        <v>577</v>
      </c>
      <c r="T50" s="29"/>
      <c r="U50" s="15"/>
      <c r="V50" s="62" t="s">
        <v>577</v>
      </c>
      <c r="W50"/>
    </row>
    <row r="51" spans="1:23" x14ac:dyDescent="0.2">
      <c r="A51" s="252" t="str">
        <f>microStruc_symbol</f>
        <v>CCE</v>
      </c>
      <c r="B51" s="252" t="s">
        <v>12</v>
      </c>
      <c r="C51" s="252"/>
      <c r="D51" s="252"/>
      <c r="E51" s="253"/>
      <c r="F51" s="252"/>
      <c r="G51" s="252"/>
      <c r="H51" s="252" t="s">
        <v>68</v>
      </c>
      <c r="I51" s="252"/>
      <c r="J51" s="252" t="s">
        <v>44</v>
      </c>
      <c r="K51" s="254"/>
      <c r="L51" s="255" t="str">
        <f>[10]!'id1?req?CCE_STK_SMART_USD_~/20160205singleSpace21singleColon05singleColon00_600singleSpaceS_3_ASK_0_1'</f>
        <v>PROCESSING</v>
      </c>
      <c r="M51" s="256" t="str">
        <f>S3 &amp; " 21:05:00"</f>
        <v>20160205 21:05:00</v>
      </c>
      <c r="N51" s="257" t="s">
        <v>580</v>
      </c>
      <c r="O51" s="258">
        <v>3</v>
      </c>
      <c r="P51" s="70" t="s">
        <v>536</v>
      </c>
      <c r="Q51" s="258">
        <v>0</v>
      </c>
      <c r="R51" s="258">
        <v>1</v>
      </c>
      <c r="S51" s="259" t="s">
        <v>83</v>
      </c>
      <c r="T51" s="29"/>
      <c r="U51" s="15"/>
      <c r="V51" s="62" t="s">
        <v>83</v>
      </c>
      <c r="W51"/>
    </row>
    <row r="52" spans="1:23" x14ac:dyDescent="0.2">
      <c r="A52" s="13"/>
      <c r="B52" s="13"/>
      <c r="C52" s="13"/>
      <c r="D52" s="13"/>
      <c r="E52" s="63"/>
      <c r="F52" s="13"/>
      <c r="G52" s="13"/>
      <c r="H52" s="13"/>
      <c r="I52" s="13"/>
      <c r="J52" s="13"/>
      <c r="K52" s="101"/>
      <c r="L52" s="6"/>
      <c r="M52" s="119"/>
      <c r="N52" s="69"/>
      <c r="O52" s="69"/>
      <c r="P52" s="69"/>
      <c r="Q52" s="69"/>
      <c r="R52" s="69"/>
      <c r="S52" s="29"/>
      <c r="T52" s="15"/>
      <c r="U52" s="62"/>
      <c r="V52" s="62"/>
      <c r="W52"/>
    </row>
    <row r="53" spans="1:23" x14ac:dyDescent="0.2">
      <c r="A53" s="13"/>
      <c r="B53" s="13"/>
      <c r="C53" s="13"/>
      <c r="D53" s="13"/>
      <c r="E53" s="63"/>
      <c r="F53" s="13"/>
      <c r="G53" s="13"/>
      <c r="H53" s="13"/>
      <c r="I53" s="13"/>
      <c r="J53" s="13"/>
      <c r="K53" s="101"/>
      <c r="L53" s="6"/>
      <c r="M53" s="119"/>
      <c r="N53" s="69"/>
      <c r="O53" s="69"/>
      <c r="P53" s="69"/>
      <c r="Q53" s="69"/>
      <c r="R53" s="69"/>
      <c r="S53" s="29"/>
      <c r="T53" s="15"/>
      <c r="U53" s="62"/>
      <c r="V53" s="62"/>
      <c r="W53"/>
    </row>
    <row r="54" spans="1:23" x14ac:dyDescent="0.2">
      <c r="A54" s="12"/>
      <c r="B54" s="13"/>
      <c r="C54" s="13"/>
      <c r="D54" s="13"/>
      <c r="E54" s="63"/>
      <c r="F54" s="13"/>
      <c r="G54" s="13"/>
      <c r="H54" s="13"/>
      <c r="I54" s="13"/>
      <c r="J54" s="13"/>
      <c r="K54" s="101"/>
      <c r="L54" s="6"/>
      <c r="M54" s="119"/>
      <c r="N54" s="69"/>
      <c r="O54" s="69"/>
      <c r="P54" s="69"/>
      <c r="Q54" s="69"/>
      <c r="R54" s="69"/>
      <c r="S54" s="29"/>
      <c r="T54" s="15"/>
      <c r="U54" s="62"/>
      <c r="V54" s="62"/>
      <c r="W54"/>
    </row>
    <row r="55" spans="1:23" x14ac:dyDescent="0.2">
      <c r="A55" s="13"/>
      <c r="B55" s="13"/>
      <c r="C55" s="13"/>
      <c r="D55" s="13"/>
      <c r="E55" s="63"/>
      <c r="F55" s="13"/>
      <c r="G55" s="13"/>
      <c r="H55" s="13"/>
      <c r="I55" s="13"/>
      <c r="J55" s="13"/>
      <c r="K55" s="101"/>
      <c r="L55" s="6"/>
      <c r="M55" s="57"/>
      <c r="N55" s="71"/>
      <c r="O55" s="69"/>
      <c r="P55" s="70"/>
      <c r="Q55" s="69"/>
      <c r="R55" s="69"/>
      <c r="S55" s="29"/>
      <c r="T55" s="15"/>
      <c r="U55" s="62"/>
      <c r="V55" s="62"/>
      <c r="W55"/>
    </row>
    <row r="56" spans="1:23" x14ac:dyDescent="0.2">
      <c r="A56" s="13"/>
      <c r="B56" s="13"/>
      <c r="C56" s="13"/>
      <c r="D56" s="13"/>
      <c r="E56" s="63"/>
      <c r="F56" s="13"/>
      <c r="G56" s="13"/>
      <c r="H56" s="13"/>
      <c r="I56" s="13"/>
      <c r="J56" s="13"/>
      <c r="K56" s="101"/>
      <c r="L56" s="6"/>
      <c r="M56" s="119"/>
      <c r="N56" s="69"/>
      <c r="O56" s="69"/>
      <c r="P56" s="69"/>
      <c r="Q56" s="69"/>
      <c r="R56" s="69"/>
      <c r="S56" s="29"/>
      <c r="T56" s="15"/>
      <c r="U56" s="62"/>
      <c r="V56" s="62"/>
      <c r="W56"/>
    </row>
    <row r="57" spans="1:23" x14ac:dyDescent="0.2">
      <c r="A57" s="13"/>
      <c r="B57" s="56"/>
      <c r="C57" s="56"/>
      <c r="D57" s="56"/>
      <c r="E57" s="65"/>
      <c r="F57" s="56"/>
      <c r="G57" s="56"/>
      <c r="H57" s="56"/>
      <c r="I57" s="56"/>
      <c r="J57" s="56"/>
      <c r="K57" s="56"/>
      <c r="L57" s="6"/>
      <c r="M57" s="119"/>
      <c r="N57" s="69"/>
      <c r="O57" s="69"/>
      <c r="P57" s="69"/>
      <c r="Q57" s="69"/>
      <c r="R57" s="69"/>
      <c r="S57" s="29"/>
      <c r="T57" s="15"/>
      <c r="U57" s="62"/>
      <c r="V57" s="62"/>
      <c r="W57"/>
    </row>
    <row r="58" spans="1:23" x14ac:dyDescent="0.2">
      <c r="A58" s="12"/>
      <c r="B58" s="11"/>
      <c r="C58" s="11"/>
      <c r="D58" s="11"/>
      <c r="E58" s="65"/>
      <c r="F58" s="11"/>
      <c r="G58" s="11"/>
      <c r="H58" s="11"/>
      <c r="I58" s="11"/>
      <c r="J58" s="11"/>
      <c r="K58" s="11"/>
      <c r="L58" s="6"/>
      <c r="M58" s="119"/>
      <c r="N58" s="69"/>
      <c r="O58" s="70"/>
      <c r="P58" s="69"/>
      <c r="Q58" s="69"/>
      <c r="R58" s="29"/>
      <c r="S58" s="29"/>
      <c r="T58" s="15"/>
      <c r="U58" s="62"/>
      <c r="V58" s="62"/>
      <c r="W58"/>
    </row>
    <row r="59" spans="1:23" x14ac:dyDescent="0.2">
      <c r="A59" s="14"/>
      <c r="B59" s="13"/>
      <c r="C59" s="13"/>
      <c r="D59" s="13"/>
      <c r="E59" s="63"/>
      <c r="F59" s="13"/>
      <c r="G59" s="13"/>
      <c r="H59" s="14"/>
      <c r="I59" s="13"/>
      <c r="J59" s="13"/>
      <c r="K59" s="180"/>
      <c r="L59" s="6"/>
      <c r="M59" s="57"/>
      <c r="N59" s="71"/>
      <c r="O59" s="69"/>
      <c r="P59" s="70"/>
      <c r="Q59" s="69"/>
      <c r="R59" s="69"/>
      <c r="S59" s="29"/>
      <c r="T59" s="15"/>
      <c r="U59" s="62"/>
      <c r="V59" s="62"/>
      <c r="W59"/>
    </row>
    <row r="60" spans="1:23" x14ac:dyDescent="0.2">
      <c r="A60" s="13"/>
      <c r="B60" s="13"/>
      <c r="C60" s="13"/>
      <c r="D60" s="13"/>
      <c r="E60" s="63"/>
      <c r="F60" s="13"/>
      <c r="G60" s="13"/>
      <c r="H60" s="13"/>
      <c r="I60" s="13"/>
      <c r="J60" s="13"/>
      <c r="K60" s="101"/>
      <c r="L60" s="6"/>
      <c r="M60" s="119"/>
      <c r="N60" s="69"/>
      <c r="O60" s="70"/>
      <c r="P60" s="69"/>
      <c r="Q60" s="69"/>
      <c r="R60" s="29"/>
      <c r="S60" s="29"/>
      <c r="T60" s="15"/>
      <c r="U60" s="62"/>
      <c r="V60" s="62"/>
      <c r="W60"/>
    </row>
    <row r="61" spans="1:23" x14ac:dyDescent="0.2">
      <c r="A61" s="13"/>
      <c r="B61" s="13"/>
      <c r="C61" s="13"/>
      <c r="D61" s="13"/>
      <c r="E61" s="63"/>
      <c r="F61" s="13"/>
      <c r="G61" s="13"/>
      <c r="H61" s="13"/>
      <c r="I61" s="13"/>
      <c r="J61" s="13"/>
      <c r="K61" s="101"/>
      <c r="L61" s="6"/>
      <c r="M61" s="119"/>
      <c r="N61" s="69"/>
      <c r="O61" s="70"/>
      <c r="P61" s="69"/>
      <c r="Q61" s="69"/>
      <c r="R61" s="29"/>
      <c r="S61" s="29"/>
      <c r="T61" s="15"/>
      <c r="U61" s="62"/>
      <c r="V61" s="62"/>
      <c r="W61"/>
    </row>
    <row r="62" spans="1:23" x14ac:dyDescent="0.2">
      <c r="A62" s="14"/>
      <c r="B62" s="13"/>
      <c r="C62" s="13"/>
      <c r="D62" s="13"/>
      <c r="E62" s="63"/>
      <c r="F62" s="13"/>
      <c r="G62" s="13"/>
      <c r="H62" s="13"/>
      <c r="I62" s="13"/>
      <c r="J62" s="13"/>
      <c r="K62" s="101"/>
      <c r="L62" s="6"/>
      <c r="M62" s="119"/>
      <c r="N62" s="69"/>
      <c r="O62" s="70"/>
      <c r="P62" s="69"/>
      <c r="Q62" s="69"/>
      <c r="R62" s="29"/>
      <c r="S62" s="29"/>
      <c r="T62" s="15"/>
      <c r="U62" s="62"/>
      <c r="V62" s="62"/>
      <c r="W62"/>
    </row>
    <row r="63" spans="1:23" x14ac:dyDescent="0.2">
      <c r="A63" s="14"/>
      <c r="B63" s="13"/>
      <c r="C63" s="13"/>
      <c r="D63" s="13"/>
      <c r="E63" s="63"/>
      <c r="F63" s="13"/>
      <c r="G63" s="13"/>
      <c r="H63" s="13"/>
      <c r="I63" s="13"/>
      <c r="J63" s="13"/>
      <c r="K63" s="101"/>
      <c r="L63" s="6"/>
      <c r="M63" s="119"/>
      <c r="N63" s="69"/>
      <c r="O63" s="70"/>
      <c r="P63" s="69"/>
      <c r="Q63" s="69"/>
      <c r="R63" s="29"/>
      <c r="S63" s="29"/>
      <c r="T63" s="15"/>
      <c r="U63" s="62"/>
      <c r="V63" s="62"/>
      <c r="W63"/>
    </row>
    <row r="64" spans="1:23" x14ac:dyDescent="0.2">
      <c r="A64" s="12"/>
      <c r="B64" s="13"/>
      <c r="C64" s="13"/>
      <c r="D64" s="13"/>
      <c r="E64" s="63"/>
      <c r="F64" s="13"/>
      <c r="G64" s="13"/>
      <c r="H64" s="13"/>
      <c r="I64" s="13"/>
      <c r="J64" s="13"/>
      <c r="K64" s="101"/>
      <c r="L64" s="6"/>
      <c r="M64" s="57"/>
      <c r="N64" s="71"/>
      <c r="O64" s="69"/>
      <c r="P64" s="70"/>
      <c r="Q64" s="69"/>
      <c r="R64" s="69"/>
      <c r="S64" s="29"/>
      <c r="T64" s="15"/>
      <c r="U64" s="62"/>
      <c r="V64" s="62"/>
      <c r="W64"/>
    </row>
    <row r="65" spans="1:23" x14ac:dyDescent="0.2">
      <c r="A65" s="216"/>
      <c r="B65" s="3"/>
      <c r="C65" s="5"/>
      <c r="D65" s="5"/>
      <c r="E65" s="63"/>
      <c r="F65" s="5"/>
      <c r="G65" s="5"/>
      <c r="H65" s="3"/>
      <c r="I65" s="5"/>
      <c r="J65" s="3"/>
      <c r="K65" s="37"/>
      <c r="L65" s="6"/>
      <c r="M65" s="57"/>
      <c r="N65" s="71"/>
      <c r="O65" s="69"/>
      <c r="P65" s="70"/>
      <c r="Q65" s="69"/>
      <c r="R65" s="69"/>
      <c r="S65" s="29"/>
      <c r="T65" s="15"/>
      <c r="U65" s="62"/>
      <c r="V65" s="62"/>
      <c r="W65"/>
    </row>
    <row r="66" spans="1:23" x14ac:dyDescent="0.2">
      <c r="A66" s="13"/>
      <c r="B66" s="13"/>
      <c r="C66" s="13"/>
      <c r="D66" s="13"/>
      <c r="E66" s="63"/>
      <c r="F66" s="13"/>
      <c r="G66" s="13"/>
      <c r="H66" s="13"/>
      <c r="I66" s="13"/>
      <c r="J66" s="13"/>
      <c r="K66" s="37"/>
      <c r="L66" s="6"/>
      <c r="M66" s="119"/>
      <c r="N66" s="69"/>
      <c r="O66" s="70"/>
      <c r="P66" s="69"/>
      <c r="Q66" s="69"/>
      <c r="R66" s="29"/>
      <c r="S66" s="29"/>
      <c r="T66" s="15"/>
      <c r="U66" s="62"/>
      <c r="V66" s="62"/>
      <c r="W66"/>
    </row>
    <row r="67" spans="1:23" x14ac:dyDescent="0.2">
      <c r="A67" s="217"/>
      <c r="B67" s="3"/>
      <c r="C67" s="5"/>
      <c r="D67" s="5"/>
      <c r="E67" s="63"/>
      <c r="F67" s="5"/>
      <c r="G67" s="5"/>
      <c r="H67" s="3"/>
      <c r="I67" s="5"/>
      <c r="J67" s="3"/>
      <c r="K67" s="37"/>
      <c r="L67" s="6"/>
      <c r="M67" s="119"/>
      <c r="N67" s="69"/>
      <c r="O67" s="70"/>
      <c r="P67" s="69"/>
      <c r="Q67" s="69"/>
      <c r="R67" s="29"/>
      <c r="S67" s="29"/>
      <c r="T67" s="15"/>
      <c r="U67" s="62"/>
      <c r="V67" s="62"/>
      <c r="W67"/>
    </row>
    <row r="68" spans="1:23" x14ac:dyDescent="0.2">
      <c r="A68" s="14"/>
      <c r="B68" s="14"/>
      <c r="C68" s="13"/>
      <c r="D68" s="13"/>
      <c r="E68" s="181"/>
      <c r="F68" s="13"/>
      <c r="G68" s="13"/>
      <c r="H68" s="14"/>
      <c r="I68" s="13"/>
      <c r="J68" s="14"/>
      <c r="K68" s="101"/>
      <c r="L68" s="6"/>
      <c r="M68" s="57"/>
      <c r="N68" s="71"/>
      <c r="O68" s="69"/>
      <c r="P68" s="70"/>
      <c r="Q68" s="69"/>
      <c r="R68" s="69"/>
      <c r="S68" s="29"/>
      <c r="T68" s="15"/>
      <c r="U68" s="62"/>
      <c r="V68" s="62"/>
      <c r="W68"/>
    </row>
    <row r="69" spans="1:23" x14ac:dyDescent="0.2">
      <c r="A69" s="217"/>
      <c r="B69" s="3"/>
      <c r="C69" s="5"/>
      <c r="D69" s="5"/>
      <c r="E69" s="63"/>
      <c r="F69" s="5"/>
      <c r="G69" s="5"/>
      <c r="H69" s="3"/>
      <c r="I69" s="5"/>
      <c r="J69" s="3"/>
      <c r="K69" s="37"/>
      <c r="L69" s="6"/>
      <c r="M69" s="119"/>
      <c r="N69" s="69"/>
      <c r="O69" s="70"/>
      <c r="P69" s="69"/>
      <c r="Q69" s="69"/>
      <c r="R69" s="29"/>
      <c r="S69" s="29"/>
      <c r="T69" s="15"/>
      <c r="U69" s="62"/>
      <c r="V69" s="62"/>
      <c r="W69"/>
    </row>
    <row r="70" spans="1:23" x14ac:dyDescent="0.2">
      <c r="A70" s="14"/>
      <c r="B70" s="14"/>
      <c r="C70" s="13"/>
      <c r="D70" s="13"/>
      <c r="E70" s="181"/>
      <c r="F70" s="13"/>
      <c r="G70" s="13"/>
      <c r="H70" s="14"/>
      <c r="I70" s="13"/>
      <c r="J70" s="14"/>
      <c r="K70" s="101"/>
      <c r="L70" s="6"/>
      <c r="M70" s="57"/>
      <c r="N70" s="71"/>
      <c r="O70" s="69"/>
      <c r="P70" s="70"/>
      <c r="Q70" s="69"/>
      <c r="R70" s="69"/>
      <c r="S70" s="29"/>
      <c r="T70" s="15"/>
      <c r="U70" s="62"/>
      <c r="V70" s="62"/>
      <c r="W70"/>
    </row>
    <row r="71" spans="1:23" x14ac:dyDescent="0.2">
      <c r="A71" s="13"/>
      <c r="B71" s="13"/>
      <c r="C71" s="13"/>
      <c r="D71" s="13"/>
      <c r="E71" s="63"/>
      <c r="F71" s="13"/>
      <c r="G71" s="13"/>
      <c r="H71" s="13"/>
      <c r="I71" s="13"/>
      <c r="J71" s="101"/>
      <c r="K71" s="101"/>
      <c r="L71" s="6"/>
      <c r="M71" s="119"/>
      <c r="N71" s="69"/>
      <c r="O71" s="70"/>
      <c r="P71" s="69"/>
      <c r="Q71" s="69"/>
      <c r="R71" s="29"/>
      <c r="S71" s="29"/>
      <c r="T71" s="15"/>
      <c r="U71" s="62"/>
      <c r="V71" s="62"/>
      <c r="W71"/>
    </row>
    <row r="72" spans="1:23" x14ac:dyDescent="0.2">
      <c r="A72" s="13"/>
      <c r="B72" s="13"/>
      <c r="C72" s="13"/>
      <c r="D72" s="13"/>
      <c r="E72" s="63"/>
      <c r="F72" s="13"/>
      <c r="G72" s="13"/>
      <c r="H72" s="13"/>
      <c r="I72" s="13"/>
      <c r="J72" s="101"/>
      <c r="K72" s="101"/>
      <c r="L72" s="6"/>
      <c r="M72" s="119"/>
      <c r="N72" s="69"/>
      <c r="O72" s="70"/>
      <c r="P72" s="69"/>
      <c r="Q72" s="69"/>
      <c r="R72" s="29"/>
      <c r="S72" s="29"/>
      <c r="T72" s="15"/>
      <c r="U72" s="62"/>
      <c r="V72" s="62"/>
      <c r="W72"/>
    </row>
    <row r="73" spans="1:23" x14ac:dyDescent="0.2">
      <c r="A73" s="13"/>
      <c r="B73" s="13"/>
      <c r="C73" s="13"/>
      <c r="D73" s="13"/>
      <c r="E73" s="63"/>
      <c r="F73" s="13"/>
      <c r="G73" s="13"/>
      <c r="H73" s="13"/>
      <c r="I73" s="13"/>
      <c r="J73" s="101"/>
      <c r="K73" s="101"/>
      <c r="L73" s="6"/>
      <c r="M73" s="119"/>
      <c r="N73" s="69"/>
      <c r="O73" s="70"/>
      <c r="P73" s="69"/>
      <c r="Q73" s="69"/>
      <c r="R73" s="29"/>
      <c r="S73" s="29"/>
      <c r="T73" s="15"/>
      <c r="U73" s="62"/>
      <c r="V73" s="62"/>
      <c r="W73"/>
    </row>
    <row r="74" spans="1:23" x14ac:dyDescent="0.2">
      <c r="A74" s="13"/>
      <c r="B74" s="13"/>
      <c r="C74" s="13"/>
      <c r="D74" s="13"/>
      <c r="E74" s="63"/>
      <c r="F74" s="13"/>
      <c r="G74" s="13"/>
      <c r="H74" s="13"/>
      <c r="I74" s="13"/>
      <c r="J74" s="101"/>
      <c r="K74" s="101"/>
      <c r="L74" s="6"/>
      <c r="M74" s="119"/>
      <c r="N74" s="69"/>
      <c r="O74" s="70"/>
      <c r="P74" s="69"/>
      <c r="Q74" s="69"/>
      <c r="R74" s="29"/>
      <c r="S74" s="29"/>
      <c r="T74" s="15"/>
      <c r="U74" s="62"/>
      <c r="V74" s="62"/>
      <c r="W74"/>
    </row>
    <row r="75" spans="1:23" x14ac:dyDescent="0.2">
      <c r="A75" s="13"/>
      <c r="B75" s="13"/>
      <c r="C75" s="13"/>
      <c r="D75" s="13"/>
      <c r="E75" s="63"/>
      <c r="F75" s="13"/>
      <c r="G75" s="13"/>
      <c r="H75" s="13"/>
      <c r="I75" s="13"/>
      <c r="J75" s="101"/>
      <c r="K75" s="101"/>
      <c r="L75" s="6"/>
      <c r="M75" s="119"/>
      <c r="N75" s="69"/>
      <c r="O75" s="70"/>
      <c r="P75" s="69"/>
      <c r="Q75" s="69"/>
      <c r="R75" s="29"/>
      <c r="S75" s="29"/>
      <c r="T75" s="15"/>
      <c r="U75" s="62"/>
      <c r="V75" s="62"/>
      <c r="W75"/>
    </row>
    <row r="76" spans="1:23" x14ac:dyDescent="0.2">
      <c r="A76" s="13"/>
      <c r="B76" s="13"/>
      <c r="C76" s="13"/>
      <c r="D76" s="13"/>
      <c r="E76" s="63"/>
      <c r="F76" s="13"/>
      <c r="G76" s="13"/>
      <c r="H76" s="13"/>
      <c r="I76" s="13"/>
      <c r="J76" s="101"/>
      <c r="K76" s="101"/>
      <c r="L76" s="6"/>
      <c r="M76" s="119"/>
      <c r="N76" s="69"/>
      <c r="O76" s="70"/>
      <c r="P76" s="69"/>
      <c r="Q76" s="69"/>
      <c r="R76" s="29"/>
      <c r="S76" s="29"/>
      <c r="T76" s="15"/>
      <c r="U76" s="62"/>
      <c r="V76" s="62"/>
      <c r="W76"/>
    </row>
    <row r="77" spans="1:23" x14ac:dyDescent="0.2">
      <c r="A77" s="13"/>
      <c r="B77" s="13"/>
      <c r="C77" s="13"/>
      <c r="D77" s="13"/>
      <c r="E77" s="63"/>
      <c r="F77" s="13"/>
      <c r="G77" s="13"/>
      <c r="H77" s="13"/>
      <c r="I77" s="13"/>
      <c r="J77" s="101"/>
      <c r="K77" s="101"/>
      <c r="L77" s="6"/>
      <c r="M77" s="119"/>
      <c r="N77" s="69"/>
      <c r="O77" s="70"/>
      <c r="P77" s="69"/>
      <c r="Q77" s="69"/>
      <c r="R77" s="29"/>
      <c r="S77" s="29"/>
      <c r="T77" s="15"/>
      <c r="U77" s="62"/>
      <c r="V77" s="62"/>
      <c r="W77"/>
    </row>
    <row r="78" spans="1:23" x14ac:dyDescent="0.2">
      <c r="A78" s="13"/>
      <c r="B78" s="13"/>
      <c r="C78" s="13"/>
      <c r="D78" s="13"/>
      <c r="E78" s="63"/>
      <c r="F78" s="13"/>
      <c r="G78" s="13"/>
      <c r="H78" s="13"/>
      <c r="I78" s="13"/>
      <c r="J78" s="101"/>
      <c r="K78" s="101"/>
      <c r="L78" s="6"/>
      <c r="M78" s="119"/>
      <c r="N78" s="69"/>
      <c r="O78" s="70"/>
      <c r="P78" s="69"/>
      <c r="Q78" s="69"/>
      <c r="R78" s="29"/>
      <c r="S78" s="29"/>
      <c r="T78" s="15"/>
      <c r="U78" s="62"/>
      <c r="V78" s="62"/>
      <c r="W78"/>
    </row>
    <row r="79" spans="1:23" x14ac:dyDescent="0.2">
      <c r="A79" s="13"/>
      <c r="B79" s="13"/>
      <c r="C79" s="13"/>
      <c r="D79" s="13"/>
      <c r="E79" s="63"/>
      <c r="F79" s="13"/>
      <c r="G79" s="13"/>
      <c r="H79" s="13"/>
      <c r="I79" s="13"/>
      <c r="J79" s="101"/>
      <c r="K79" s="101"/>
      <c r="L79" s="6"/>
      <c r="M79" s="119"/>
      <c r="N79" s="69"/>
      <c r="O79" s="70"/>
      <c r="P79" s="69"/>
      <c r="Q79" s="69"/>
      <c r="R79" s="29"/>
      <c r="S79" s="29"/>
      <c r="T79" s="15"/>
      <c r="U79" s="62"/>
      <c r="V79" s="62"/>
      <c r="W79"/>
    </row>
    <row r="80" spans="1:23" x14ac:dyDescent="0.2">
      <c r="A80" s="13"/>
      <c r="B80" s="13"/>
      <c r="C80" s="13"/>
      <c r="D80" s="13"/>
      <c r="E80" s="63"/>
      <c r="F80" s="13"/>
      <c r="G80" s="13"/>
      <c r="H80" s="13"/>
      <c r="I80" s="13"/>
      <c r="J80" s="101"/>
      <c r="K80" s="101"/>
      <c r="L80" s="6"/>
      <c r="M80" s="119"/>
      <c r="N80" s="69"/>
      <c r="O80" s="70"/>
      <c r="P80" s="69"/>
      <c r="Q80" s="69"/>
      <c r="R80" s="29"/>
      <c r="S80" s="29"/>
      <c r="T80" s="15"/>
      <c r="U80" s="62"/>
      <c r="V80" s="62"/>
      <c r="W80"/>
    </row>
    <row r="81" spans="1:23" x14ac:dyDescent="0.2">
      <c r="A81" s="13"/>
      <c r="B81" s="13"/>
      <c r="C81" s="13"/>
      <c r="D81" s="13"/>
      <c r="E81" s="63"/>
      <c r="F81" s="13"/>
      <c r="G81" s="13"/>
      <c r="H81" s="13"/>
      <c r="I81" s="13"/>
      <c r="J81" s="101"/>
      <c r="K81" s="101"/>
      <c r="L81" s="6"/>
      <c r="M81" s="119"/>
      <c r="N81" s="69"/>
      <c r="O81" s="70"/>
      <c r="P81" s="69"/>
      <c r="Q81" s="69"/>
      <c r="R81" s="29"/>
      <c r="S81" s="29"/>
      <c r="T81" s="15"/>
      <c r="U81" s="62"/>
      <c r="V81" s="62"/>
      <c r="W81"/>
    </row>
    <row r="82" spans="1:23" x14ac:dyDescent="0.2">
      <c r="A82" s="13"/>
      <c r="B82" s="13"/>
      <c r="C82" s="13"/>
      <c r="D82" s="13"/>
      <c r="E82" s="63"/>
      <c r="F82" s="13"/>
      <c r="G82" s="13"/>
      <c r="H82" s="13"/>
      <c r="I82" s="13"/>
      <c r="J82" s="101"/>
      <c r="K82" s="101"/>
      <c r="L82" s="6"/>
      <c r="M82" s="119"/>
      <c r="N82" s="69"/>
      <c r="O82" s="70"/>
      <c r="P82" s="69"/>
      <c r="Q82" s="69"/>
      <c r="R82" s="29"/>
      <c r="S82" s="29"/>
      <c r="T82" s="15"/>
      <c r="U82" s="62"/>
      <c r="V82" s="62"/>
      <c r="W82"/>
    </row>
    <row r="83" spans="1:23" x14ac:dyDescent="0.2">
      <c r="A83" s="13"/>
      <c r="B83" s="13"/>
      <c r="C83" s="13"/>
      <c r="D83" s="13"/>
      <c r="E83" s="63"/>
      <c r="F83" s="13"/>
      <c r="G83" s="13"/>
      <c r="H83" s="13"/>
      <c r="I83" s="13"/>
      <c r="J83" s="101"/>
      <c r="K83" s="101"/>
      <c r="L83" s="6"/>
      <c r="M83" s="119"/>
      <c r="N83" s="69"/>
      <c r="O83" s="70"/>
      <c r="P83" s="69"/>
      <c r="Q83" s="69"/>
      <c r="R83" s="29"/>
      <c r="S83" s="29"/>
      <c r="T83" s="15"/>
      <c r="U83" s="62"/>
      <c r="V83" s="62"/>
      <c r="W83"/>
    </row>
    <row r="84" spans="1:23" x14ac:dyDescent="0.2">
      <c r="A84" s="13"/>
      <c r="B84" s="13"/>
      <c r="C84" s="13"/>
      <c r="D84" s="13"/>
      <c r="E84" s="63"/>
      <c r="F84" s="13"/>
      <c r="G84" s="13"/>
      <c r="H84" s="13"/>
      <c r="I84" s="13"/>
      <c r="J84" s="101"/>
      <c r="K84" s="101"/>
      <c r="L84" s="6"/>
      <c r="M84" s="119"/>
      <c r="N84" s="69"/>
      <c r="O84" s="70"/>
      <c r="P84" s="69"/>
      <c r="Q84" s="69"/>
      <c r="R84" s="29"/>
      <c r="S84" s="29"/>
      <c r="T84" s="15"/>
      <c r="U84" s="62"/>
      <c r="V84" s="62"/>
      <c r="W84"/>
    </row>
    <row r="85" spans="1:23" x14ac:dyDescent="0.2">
      <c r="A85" s="13"/>
      <c r="B85" s="13"/>
      <c r="C85" s="13"/>
      <c r="D85" s="13"/>
      <c r="E85" s="63"/>
      <c r="F85" s="13"/>
      <c r="G85" s="13"/>
      <c r="H85" s="13"/>
      <c r="I85" s="13"/>
      <c r="J85" s="101"/>
      <c r="K85" s="101"/>
      <c r="L85" s="6"/>
      <c r="M85" s="119"/>
      <c r="N85" s="69"/>
      <c r="O85" s="70"/>
      <c r="P85" s="69"/>
      <c r="Q85" s="69"/>
      <c r="R85" s="29"/>
      <c r="S85" s="29"/>
      <c r="T85" s="15"/>
      <c r="U85" s="62"/>
      <c r="V85" s="62"/>
      <c r="W85"/>
    </row>
    <row r="86" spans="1:23" x14ac:dyDescent="0.2">
      <c r="A86" s="13"/>
      <c r="B86" s="13"/>
      <c r="C86" s="13"/>
      <c r="D86" s="13"/>
      <c r="E86" s="63"/>
      <c r="F86" s="13"/>
      <c r="G86" s="13"/>
      <c r="H86" s="13"/>
      <c r="I86" s="13"/>
      <c r="J86" s="101"/>
      <c r="K86" s="101"/>
      <c r="L86" s="6"/>
      <c r="M86" s="119"/>
      <c r="N86" s="69"/>
      <c r="O86" s="70"/>
      <c r="P86" s="69"/>
      <c r="Q86" s="69"/>
      <c r="R86" s="29"/>
      <c r="S86" s="29"/>
      <c r="T86" s="15"/>
      <c r="U86" s="62"/>
      <c r="V86" s="62"/>
      <c r="W86"/>
    </row>
    <row r="87" spans="1:23" x14ac:dyDescent="0.2">
      <c r="A87" s="13"/>
      <c r="B87" s="13"/>
      <c r="C87" s="13"/>
      <c r="D87" s="13"/>
      <c r="E87" s="63"/>
      <c r="F87" s="13"/>
      <c r="G87" s="13"/>
      <c r="H87" s="13"/>
      <c r="I87" s="13"/>
      <c r="J87" s="101"/>
      <c r="K87" s="101"/>
      <c r="L87" s="6"/>
      <c r="M87" s="119"/>
      <c r="N87" s="69"/>
      <c r="O87" s="70"/>
      <c r="P87" s="69"/>
      <c r="Q87" s="69"/>
      <c r="R87" s="29"/>
      <c r="S87" s="29"/>
      <c r="T87" s="15"/>
      <c r="U87" s="62"/>
      <c r="V87" s="62"/>
      <c r="W87"/>
    </row>
    <row r="88" spans="1:23" x14ac:dyDescent="0.2">
      <c r="A88" s="13"/>
      <c r="B88" s="13"/>
      <c r="C88" s="13"/>
      <c r="D88" s="13"/>
      <c r="E88" s="63"/>
      <c r="F88" s="13"/>
      <c r="G88" s="13"/>
      <c r="H88" s="13"/>
      <c r="I88" s="13"/>
      <c r="J88" s="101"/>
      <c r="K88" s="101"/>
      <c r="L88" s="6"/>
      <c r="M88" s="119"/>
      <c r="N88" s="69"/>
      <c r="O88" s="70"/>
      <c r="P88" s="69"/>
      <c r="Q88" s="69"/>
      <c r="R88" s="29"/>
      <c r="S88" s="29"/>
      <c r="T88" s="15"/>
      <c r="U88" s="62"/>
      <c r="V88" s="62"/>
      <c r="W88"/>
    </row>
    <row r="89" spans="1:23" x14ac:dyDescent="0.2">
      <c r="A89" s="13"/>
      <c r="B89" s="13"/>
      <c r="C89" s="13"/>
      <c r="D89" s="13"/>
      <c r="E89" s="63"/>
      <c r="F89" s="13"/>
      <c r="G89" s="13"/>
      <c r="H89" s="13"/>
      <c r="I89" s="13"/>
      <c r="J89" s="101"/>
      <c r="K89" s="101"/>
      <c r="L89" s="6"/>
      <c r="M89" s="119"/>
      <c r="N89" s="69"/>
      <c r="O89" s="70"/>
      <c r="P89" s="69"/>
      <c r="Q89" s="69"/>
      <c r="R89" s="29"/>
      <c r="S89" s="29"/>
      <c r="T89" s="15"/>
      <c r="U89" s="62"/>
      <c r="V89" s="62"/>
      <c r="W89"/>
    </row>
    <row r="90" spans="1:23" x14ac:dyDescent="0.2">
      <c r="A90" s="13"/>
      <c r="B90" s="13"/>
      <c r="C90" s="13"/>
      <c r="D90" s="13"/>
      <c r="E90" s="63"/>
      <c r="F90" s="13"/>
      <c r="G90" s="13"/>
      <c r="H90" s="13"/>
      <c r="I90" s="13"/>
      <c r="J90" s="101"/>
      <c r="K90" s="101"/>
      <c r="L90" s="6"/>
      <c r="M90" s="119"/>
      <c r="N90" s="69"/>
      <c r="O90" s="70"/>
      <c r="P90" s="69"/>
      <c r="Q90" s="69"/>
      <c r="R90" s="29"/>
      <c r="S90" s="29"/>
      <c r="T90" s="15"/>
      <c r="U90" s="62"/>
      <c r="V90" s="62"/>
      <c r="W90"/>
    </row>
    <row r="91" spans="1:23" x14ac:dyDescent="0.2">
      <c r="A91" s="13"/>
      <c r="B91" s="13"/>
      <c r="C91" s="13"/>
      <c r="D91" s="13"/>
      <c r="E91" s="63"/>
      <c r="F91" s="13"/>
      <c r="G91" s="13"/>
      <c r="H91" s="13"/>
      <c r="I91" s="13"/>
      <c r="J91" s="101"/>
      <c r="K91" s="101"/>
      <c r="L91" s="6"/>
      <c r="M91" s="119"/>
      <c r="N91" s="69"/>
      <c r="O91" s="70"/>
      <c r="P91" s="69"/>
      <c r="Q91" s="69"/>
      <c r="R91" s="29"/>
      <c r="S91" s="29"/>
      <c r="T91" s="15"/>
      <c r="U91" s="62"/>
      <c r="V91" s="62"/>
      <c r="W91"/>
    </row>
    <row r="92" spans="1:23" x14ac:dyDescent="0.2">
      <c r="A92" s="13"/>
      <c r="B92" s="13"/>
      <c r="C92" s="13"/>
      <c r="D92" s="13"/>
      <c r="E92" s="63"/>
      <c r="F92" s="13"/>
      <c r="G92" s="13"/>
      <c r="H92" s="13"/>
      <c r="I92" s="13"/>
      <c r="J92" s="101"/>
      <c r="K92" s="101"/>
      <c r="L92" s="6"/>
      <c r="M92" s="119"/>
      <c r="N92" s="69"/>
      <c r="O92" s="70"/>
      <c r="P92" s="69"/>
      <c r="Q92" s="69"/>
      <c r="R92" s="29"/>
      <c r="S92" s="29"/>
      <c r="T92" s="15"/>
      <c r="U92" s="62"/>
      <c r="V92" s="62"/>
      <c r="W92"/>
    </row>
    <row r="93" spans="1:23" x14ac:dyDescent="0.2">
      <c r="A93" s="13"/>
      <c r="B93" s="13"/>
      <c r="C93" s="13"/>
      <c r="D93" s="13"/>
      <c r="E93" s="63"/>
      <c r="F93" s="13"/>
      <c r="G93" s="13"/>
      <c r="H93" s="13"/>
      <c r="I93" s="13"/>
      <c r="J93" s="101"/>
      <c r="K93" s="101"/>
      <c r="L93" s="6"/>
      <c r="M93" s="119"/>
      <c r="N93" s="69"/>
      <c r="O93" s="70"/>
      <c r="P93" s="69"/>
      <c r="Q93" s="69"/>
      <c r="R93" s="29"/>
      <c r="S93" s="29"/>
      <c r="T93" s="15"/>
      <c r="U93" s="62"/>
      <c r="V93" s="62"/>
      <c r="W93"/>
    </row>
    <row r="94" spans="1:23" x14ac:dyDescent="0.2">
      <c r="A94" s="13"/>
      <c r="B94" s="13"/>
      <c r="C94" s="13"/>
      <c r="D94" s="13"/>
      <c r="E94" s="63"/>
      <c r="F94" s="13"/>
      <c r="G94" s="13"/>
      <c r="H94" s="13"/>
      <c r="I94" s="13"/>
      <c r="J94" s="101"/>
      <c r="K94" s="101"/>
      <c r="L94" s="6"/>
      <c r="M94" s="119"/>
      <c r="N94" s="69"/>
      <c r="O94" s="70"/>
      <c r="P94" s="69"/>
      <c r="Q94" s="69"/>
      <c r="R94" s="29"/>
      <c r="S94" s="29"/>
      <c r="T94" s="15"/>
      <c r="U94" s="62"/>
      <c r="V94" s="62"/>
      <c r="W94"/>
    </row>
    <row r="95" spans="1:23" x14ac:dyDescent="0.2">
      <c r="A95" s="13"/>
      <c r="B95" s="13"/>
      <c r="C95" s="13"/>
      <c r="D95" s="13"/>
      <c r="E95" s="63"/>
      <c r="F95" s="13"/>
      <c r="G95" s="13"/>
      <c r="H95" s="13"/>
      <c r="I95" s="13"/>
      <c r="J95" s="101"/>
      <c r="K95" s="101"/>
      <c r="L95" s="6"/>
      <c r="M95" s="119"/>
      <c r="N95" s="69"/>
      <c r="O95" s="70"/>
      <c r="P95" s="69"/>
      <c r="Q95" s="69"/>
      <c r="R95" s="29"/>
      <c r="S95" s="29"/>
      <c r="T95" s="15"/>
      <c r="U95" s="62"/>
      <c r="V95" s="62"/>
      <c r="W95"/>
    </row>
    <row r="96" spans="1:23" x14ac:dyDescent="0.2">
      <c r="A96" s="13"/>
      <c r="B96" s="13"/>
      <c r="C96" s="13"/>
      <c r="D96" s="13"/>
      <c r="E96" s="63"/>
      <c r="F96" s="13"/>
      <c r="G96" s="13"/>
      <c r="H96" s="13"/>
      <c r="I96" s="13"/>
      <c r="J96" s="101"/>
      <c r="K96" s="101"/>
      <c r="L96" s="6"/>
      <c r="M96" s="119"/>
      <c r="N96" s="69"/>
      <c r="O96" s="70"/>
      <c r="P96" s="69"/>
      <c r="Q96" s="69"/>
      <c r="R96" s="29"/>
      <c r="S96" s="29"/>
      <c r="T96" s="15"/>
      <c r="U96" s="62"/>
      <c r="V96" s="62"/>
      <c r="W96"/>
    </row>
    <row r="97" spans="1:23" x14ac:dyDescent="0.2">
      <c r="A97" s="13"/>
      <c r="B97" s="13"/>
      <c r="C97" s="13"/>
      <c r="D97" s="13"/>
      <c r="E97" s="63"/>
      <c r="F97" s="13"/>
      <c r="G97" s="13"/>
      <c r="H97" s="13"/>
      <c r="I97" s="13"/>
      <c r="J97" s="101"/>
      <c r="K97" s="101"/>
      <c r="L97" s="6"/>
      <c r="M97" s="119"/>
      <c r="N97" s="69"/>
      <c r="O97" s="70"/>
      <c r="P97" s="69"/>
      <c r="Q97" s="69"/>
      <c r="R97" s="29"/>
      <c r="S97" s="29"/>
      <c r="T97" s="15"/>
      <c r="U97" s="62"/>
      <c r="V97" s="62"/>
      <c r="W97"/>
    </row>
    <row r="98" spans="1:23" x14ac:dyDescent="0.2">
      <c r="A98" s="13"/>
      <c r="B98" s="13"/>
      <c r="C98" s="13"/>
      <c r="D98" s="13"/>
      <c r="E98" s="63"/>
      <c r="F98" s="13"/>
      <c r="G98" s="13"/>
      <c r="H98" s="13"/>
      <c r="I98" s="13"/>
      <c r="J98" s="101"/>
      <c r="K98" s="101"/>
      <c r="L98" s="6"/>
      <c r="M98" s="119"/>
      <c r="N98" s="69"/>
      <c r="O98" s="70"/>
      <c r="P98" s="69"/>
      <c r="Q98" s="69"/>
      <c r="R98" s="29"/>
      <c r="S98" s="29"/>
      <c r="T98" s="15"/>
      <c r="U98" s="62"/>
      <c r="V98" s="62"/>
      <c r="W98"/>
    </row>
    <row r="99" spans="1:23" x14ac:dyDescent="0.2">
      <c r="A99" s="13"/>
      <c r="B99" s="13"/>
      <c r="C99" s="13"/>
      <c r="D99" s="13"/>
      <c r="E99" s="63"/>
      <c r="F99" s="13"/>
      <c r="G99" s="13"/>
      <c r="H99" s="13"/>
      <c r="I99" s="13"/>
      <c r="J99" s="101"/>
      <c r="K99" s="101"/>
      <c r="L99" s="6"/>
      <c r="M99" s="119"/>
      <c r="N99" s="69"/>
      <c r="O99" s="70"/>
      <c r="P99" s="69"/>
      <c r="Q99" s="69"/>
      <c r="R99" s="29"/>
      <c r="S99" s="29"/>
      <c r="T99" s="15"/>
      <c r="U99" s="62"/>
      <c r="V99" s="62"/>
      <c r="W99"/>
    </row>
    <row r="100" spans="1:23" x14ac:dyDescent="0.2">
      <c r="A100" s="13"/>
      <c r="B100" s="13"/>
      <c r="C100" s="13"/>
      <c r="D100" s="13"/>
      <c r="E100" s="63"/>
      <c r="F100" s="13"/>
      <c r="G100" s="13"/>
      <c r="H100" s="13"/>
      <c r="I100" s="13"/>
      <c r="J100" s="101"/>
      <c r="K100" s="101"/>
      <c r="L100" s="6"/>
      <c r="M100" s="119"/>
      <c r="N100" s="69"/>
      <c r="O100" s="70"/>
      <c r="P100" s="69"/>
      <c r="Q100" s="69"/>
      <c r="R100" s="29"/>
      <c r="S100" s="29"/>
      <c r="T100" s="15"/>
      <c r="U100" s="62"/>
      <c r="V100" s="62"/>
      <c r="W100"/>
    </row>
    <row r="101" spans="1:23" x14ac:dyDescent="0.2">
      <c r="A101" s="13"/>
      <c r="B101" s="13"/>
      <c r="C101" s="13"/>
      <c r="D101" s="13"/>
      <c r="E101" s="63"/>
      <c r="F101" s="13"/>
      <c r="G101" s="13"/>
      <c r="H101" s="13"/>
      <c r="I101" s="13"/>
      <c r="J101" s="101"/>
      <c r="K101" s="101"/>
      <c r="L101" s="6"/>
      <c r="M101" s="119"/>
      <c r="N101" s="69"/>
      <c r="O101" s="70"/>
      <c r="P101" s="69"/>
      <c r="Q101" s="69"/>
      <c r="R101" s="29"/>
      <c r="S101" s="29"/>
      <c r="T101" s="15"/>
      <c r="U101" s="62"/>
      <c r="V101" s="62"/>
      <c r="W101"/>
    </row>
    <row r="102" spans="1:23" x14ac:dyDescent="0.2">
      <c r="A102" s="13"/>
      <c r="B102" s="13"/>
      <c r="C102" s="13"/>
      <c r="D102" s="13"/>
      <c r="E102" s="63"/>
      <c r="F102" s="13"/>
      <c r="G102" s="13"/>
      <c r="H102" s="13"/>
      <c r="I102" s="13"/>
      <c r="J102" s="101"/>
      <c r="K102" s="101"/>
      <c r="L102" s="6"/>
      <c r="M102" s="119"/>
      <c r="N102" s="69"/>
      <c r="O102" s="70"/>
      <c r="P102" s="69"/>
      <c r="Q102" s="69"/>
      <c r="R102" s="29"/>
      <c r="S102" s="29"/>
      <c r="T102" s="15"/>
      <c r="U102" s="62"/>
      <c r="V102" s="62"/>
      <c r="W102"/>
    </row>
    <row r="103" spans="1:23" x14ac:dyDescent="0.2">
      <c r="A103" s="13"/>
      <c r="B103" s="13"/>
      <c r="C103" s="13"/>
      <c r="D103" s="13"/>
      <c r="E103" s="63"/>
      <c r="F103" s="13"/>
      <c r="G103" s="13"/>
      <c r="H103" s="13"/>
      <c r="I103" s="13"/>
      <c r="J103" s="101"/>
      <c r="K103" s="101"/>
      <c r="L103" s="6"/>
      <c r="M103" s="119"/>
      <c r="N103" s="69"/>
      <c r="O103" s="70"/>
      <c r="P103" s="69"/>
      <c r="Q103" s="69"/>
      <c r="R103" s="29"/>
      <c r="S103" s="29"/>
      <c r="T103" s="15"/>
      <c r="U103" s="62"/>
      <c r="V103" s="62"/>
      <c r="W103"/>
    </row>
    <row r="104" spans="1:23" x14ac:dyDescent="0.2">
      <c r="A104" s="13"/>
      <c r="B104" s="13"/>
      <c r="C104" s="13"/>
      <c r="D104" s="13"/>
      <c r="E104" s="63"/>
      <c r="F104" s="13"/>
      <c r="G104" s="13"/>
      <c r="H104" s="13"/>
      <c r="I104" s="13"/>
      <c r="J104" s="101"/>
      <c r="K104" s="101"/>
      <c r="L104" s="6"/>
      <c r="M104" s="119"/>
      <c r="N104" s="69"/>
      <c r="O104" s="70"/>
      <c r="P104" s="69"/>
      <c r="Q104" s="69"/>
      <c r="R104" s="29"/>
      <c r="S104" s="29"/>
      <c r="T104" s="15"/>
      <c r="U104" s="62"/>
      <c r="V104" s="62"/>
      <c r="W104"/>
    </row>
    <row r="105" spans="1:23" x14ac:dyDescent="0.2">
      <c r="A105" s="13"/>
      <c r="B105" s="13"/>
      <c r="C105" s="13"/>
      <c r="D105" s="13"/>
      <c r="E105" s="63"/>
      <c r="F105" s="13"/>
      <c r="G105" s="13"/>
      <c r="H105" s="13"/>
      <c r="I105" s="13"/>
      <c r="J105" s="101"/>
      <c r="K105" s="101"/>
      <c r="L105" s="6"/>
      <c r="M105" s="119"/>
      <c r="N105" s="69"/>
      <c r="O105" s="70"/>
      <c r="P105" s="69"/>
      <c r="Q105" s="69"/>
      <c r="R105" s="29"/>
      <c r="S105" s="29"/>
      <c r="T105" s="15"/>
      <c r="U105" s="62"/>
      <c r="V105" s="62"/>
      <c r="W105"/>
    </row>
    <row r="106" spans="1:23" x14ac:dyDescent="0.2">
      <c r="A106" s="13"/>
      <c r="B106" s="13"/>
      <c r="C106" s="13"/>
      <c r="D106" s="13"/>
      <c r="E106" s="63"/>
      <c r="F106" s="13"/>
      <c r="G106" s="13"/>
      <c r="H106" s="13"/>
      <c r="I106" s="13"/>
      <c r="J106" s="101"/>
      <c r="K106" s="101"/>
      <c r="L106" s="6"/>
      <c r="M106" s="119"/>
      <c r="N106" s="69"/>
      <c r="O106" s="70"/>
      <c r="P106" s="69"/>
      <c r="Q106" s="69"/>
      <c r="R106" s="29"/>
      <c r="S106" s="29"/>
      <c r="T106" s="15"/>
      <c r="U106" s="62"/>
      <c r="V106" s="62"/>
      <c r="W106"/>
    </row>
    <row r="107" spans="1:23" x14ac:dyDescent="0.2">
      <c r="A107" s="13"/>
      <c r="B107" s="13"/>
      <c r="C107" s="13"/>
      <c r="D107" s="13"/>
      <c r="E107" s="63"/>
      <c r="F107" s="13"/>
      <c r="G107" s="13"/>
      <c r="H107" s="13"/>
      <c r="I107" s="13"/>
      <c r="J107" s="101"/>
      <c r="K107" s="101"/>
      <c r="L107" s="6"/>
      <c r="M107" s="119"/>
      <c r="N107" s="69"/>
      <c r="O107" s="70"/>
      <c r="P107" s="69"/>
      <c r="Q107" s="69"/>
      <c r="R107" s="29"/>
      <c r="S107" s="29"/>
      <c r="T107" s="15"/>
      <c r="U107" s="62"/>
      <c r="V107" s="62"/>
      <c r="W107"/>
    </row>
    <row r="108" spans="1:23" x14ac:dyDescent="0.2">
      <c r="A108" s="13"/>
      <c r="B108" s="13"/>
      <c r="C108" s="13"/>
      <c r="D108" s="13"/>
      <c r="E108" s="63"/>
      <c r="F108" s="13"/>
      <c r="G108" s="13"/>
      <c r="H108" s="13"/>
      <c r="I108" s="13"/>
      <c r="J108" s="101"/>
      <c r="K108" s="101"/>
      <c r="L108" s="6"/>
      <c r="M108" s="119"/>
      <c r="N108" s="69"/>
      <c r="O108" s="70"/>
      <c r="P108" s="69"/>
      <c r="Q108" s="69"/>
      <c r="R108" s="29"/>
      <c r="S108" s="29"/>
      <c r="T108" s="15"/>
      <c r="U108" s="62"/>
      <c r="V108" s="62"/>
      <c r="W108"/>
    </row>
    <row r="109" spans="1:23" x14ac:dyDescent="0.2">
      <c r="A109" s="13"/>
      <c r="B109" s="13"/>
      <c r="C109" s="13"/>
      <c r="D109" s="13"/>
      <c r="E109" s="63"/>
      <c r="F109" s="13"/>
      <c r="G109" s="13"/>
      <c r="H109" s="13"/>
      <c r="I109" s="13"/>
      <c r="J109" s="101"/>
      <c r="K109" s="101"/>
      <c r="L109" s="6"/>
      <c r="M109" s="119"/>
      <c r="N109" s="69"/>
      <c r="O109" s="70"/>
      <c r="P109" s="69"/>
      <c r="Q109" s="69"/>
      <c r="R109" s="29"/>
      <c r="S109" s="29"/>
      <c r="T109" s="15"/>
      <c r="U109" s="62"/>
      <c r="V109" s="62"/>
      <c r="W109"/>
    </row>
    <row r="110" spans="1:23" x14ac:dyDescent="0.2">
      <c r="A110" s="13"/>
      <c r="B110" s="13"/>
      <c r="C110" s="13"/>
      <c r="D110" s="13"/>
      <c r="E110" s="63"/>
      <c r="F110" s="13"/>
      <c r="G110" s="13"/>
      <c r="H110" s="13"/>
      <c r="I110" s="13"/>
      <c r="J110" s="101"/>
      <c r="K110" s="101"/>
      <c r="L110" s="6"/>
      <c r="M110" s="119"/>
      <c r="N110" s="69"/>
      <c r="O110" s="70"/>
      <c r="P110" s="69"/>
      <c r="Q110" s="69"/>
      <c r="R110" s="29"/>
      <c r="S110" s="29"/>
      <c r="T110" s="15"/>
      <c r="U110" s="62"/>
      <c r="V110" s="62"/>
      <c r="W110"/>
    </row>
    <row r="111" spans="1:23" x14ac:dyDescent="0.2">
      <c r="A111" s="13"/>
      <c r="B111" s="13"/>
      <c r="C111" s="13"/>
      <c r="D111" s="13"/>
      <c r="E111" s="63"/>
      <c r="F111" s="13"/>
      <c r="G111" s="13"/>
      <c r="H111" s="13"/>
      <c r="I111" s="13"/>
      <c r="J111" s="101"/>
      <c r="K111" s="101"/>
      <c r="L111" s="6"/>
      <c r="M111" s="119"/>
      <c r="N111" s="69"/>
      <c r="O111" s="70"/>
      <c r="P111" s="69"/>
      <c r="Q111" s="69"/>
      <c r="R111" s="29"/>
      <c r="S111" s="29"/>
      <c r="T111" s="15"/>
      <c r="U111" s="62"/>
      <c r="V111" s="62"/>
      <c r="W111"/>
    </row>
    <row r="112" spans="1:23" x14ac:dyDescent="0.2">
      <c r="A112" s="13"/>
      <c r="B112" s="13"/>
      <c r="C112" s="13"/>
      <c r="D112" s="13"/>
      <c r="E112" s="63"/>
      <c r="F112" s="13"/>
      <c r="G112" s="13"/>
      <c r="H112" s="13"/>
      <c r="I112" s="13"/>
      <c r="J112" s="101"/>
      <c r="K112" s="101"/>
      <c r="L112" s="6"/>
      <c r="M112" s="119"/>
      <c r="N112" s="69"/>
      <c r="O112" s="70"/>
      <c r="P112" s="69"/>
      <c r="Q112" s="69"/>
      <c r="R112" s="29"/>
      <c r="S112" s="29"/>
      <c r="T112" s="15"/>
      <c r="U112" s="62"/>
      <c r="V112" s="62"/>
      <c r="W112"/>
    </row>
    <row r="113" spans="1:23" x14ac:dyDescent="0.2">
      <c r="A113" s="13"/>
      <c r="B113" s="13"/>
      <c r="C113" s="13"/>
      <c r="D113" s="13"/>
      <c r="E113" s="63"/>
      <c r="F113" s="13"/>
      <c r="G113" s="13"/>
      <c r="H113" s="13"/>
      <c r="I113" s="13"/>
      <c r="J113" s="101"/>
      <c r="K113" s="101"/>
      <c r="L113" s="6"/>
      <c r="M113" s="119"/>
      <c r="N113" s="69"/>
      <c r="O113" s="70"/>
      <c r="P113" s="69"/>
      <c r="Q113" s="69"/>
      <c r="R113" s="29"/>
      <c r="S113" s="29"/>
      <c r="T113" s="15"/>
      <c r="U113" s="62"/>
      <c r="V113" s="62"/>
      <c r="W113"/>
    </row>
    <row r="114" spans="1:23" x14ac:dyDescent="0.2">
      <c r="A114" s="13"/>
      <c r="B114" s="13"/>
      <c r="C114" s="13"/>
      <c r="D114" s="13"/>
      <c r="E114" s="63"/>
      <c r="F114" s="13"/>
      <c r="G114" s="13"/>
      <c r="H114" s="13"/>
      <c r="I114" s="13"/>
      <c r="J114" s="101"/>
      <c r="K114" s="101"/>
      <c r="L114" s="6"/>
      <c r="M114" s="119"/>
      <c r="N114" s="69"/>
      <c r="O114" s="70"/>
      <c r="P114" s="69"/>
      <c r="Q114" s="69"/>
      <c r="R114" s="29"/>
      <c r="S114" s="29"/>
      <c r="T114" s="15"/>
      <c r="U114" s="62"/>
      <c r="V114" s="62"/>
      <c r="W114"/>
    </row>
    <row r="115" spans="1:23" x14ac:dyDescent="0.2">
      <c r="A115" s="13"/>
      <c r="B115" s="13"/>
      <c r="C115" s="13"/>
      <c r="D115" s="13"/>
      <c r="E115" s="63"/>
      <c r="F115" s="13"/>
      <c r="G115" s="13"/>
      <c r="H115" s="13"/>
      <c r="I115" s="13"/>
      <c r="J115" s="101"/>
      <c r="K115" s="101"/>
      <c r="L115" s="6"/>
      <c r="M115" s="119"/>
      <c r="N115" s="69"/>
      <c r="O115" s="70"/>
      <c r="P115" s="69"/>
      <c r="Q115" s="69"/>
      <c r="R115" s="29"/>
      <c r="S115" s="29"/>
      <c r="T115" s="15"/>
      <c r="U115" s="62"/>
      <c r="V115" s="62"/>
      <c r="W115"/>
    </row>
    <row r="116" spans="1:23" x14ac:dyDescent="0.2">
      <c r="A116" s="13"/>
      <c r="B116" s="13"/>
      <c r="C116" s="13"/>
      <c r="D116" s="13"/>
      <c r="E116" s="63"/>
      <c r="F116" s="13"/>
      <c r="G116" s="13"/>
      <c r="H116" s="13"/>
      <c r="I116" s="13"/>
      <c r="J116" s="101"/>
      <c r="K116" s="101"/>
      <c r="L116" s="6"/>
      <c r="M116" s="119"/>
      <c r="N116" s="69"/>
      <c r="O116" s="70"/>
      <c r="P116" s="69"/>
      <c r="Q116" s="69"/>
      <c r="R116" s="29"/>
      <c r="S116" s="29"/>
      <c r="T116" s="15"/>
      <c r="U116" s="62"/>
      <c r="V116" s="62"/>
      <c r="W116"/>
    </row>
    <row r="117" spans="1:23" x14ac:dyDescent="0.2">
      <c r="A117" s="13"/>
      <c r="B117" s="13"/>
      <c r="C117" s="13"/>
      <c r="D117" s="13"/>
      <c r="E117" s="63"/>
      <c r="F117" s="13"/>
      <c r="G117" s="13"/>
      <c r="H117" s="13"/>
      <c r="I117" s="13"/>
      <c r="J117" s="101"/>
      <c r="K117" s="101"/>
      <c r="L117" s="6"/>
      <c r="M117" s="119"/>
      <c r="N117" s="69"/>
      <c r="O117" s="70"/>
      <c r="P117" s="69"/>
      <c r="Q117" s="69"/>
      <c r="R117" s="29"/>
      <c r="S117" s="29"/>
      <c r="T117" s="15"/>
      <c r="U117" s="62"/>
      <c r="V117" s="62"/>
      <c r="W117"/>
    </row>
    <row r="118" spans="1:23" x14ac:dyDescent="0.2">
      <c r="A118" s="13"/>
      <c r="B118" s="13"/>
      <c r="C118" s="13"/>
      <c r="D118" s="13"/>
      <c r="E118" s="63"/>
      <c r="F118" s="13"/>
      <c r="G118" s="13"/>
      <c r="H118" s="13"/>
      <c r="I118" s="13"/>
      <c r="J118" s="101"/>
      <c r="K118" s="101"/>
      <c r="L118" s="6"/>
      <c r="M118" s="119"/>
      <c r="N118" s="69"/>
      <c r="O118" s="70"/>
      <c r="P118" s="69"/>
      <c r="Q118" s="69"/>
      <c r="R118" s="29"/>
      <c r="S118" s="29"/>
      <c r="T118" s="15"/>
      <c r="U118" s="62"/>
      <c r="V118" s="62"/>
      <c r="W118"/>
    </row>
    <row r="119" spans="1:23" x14ac:dyDescent="0.2">
      <c r="A119" s="13"/>
      <c r="B119" s="13"/>
      <c r="C119" s="13"/>
      <c r="D119" s="13"/>
      <c r="E119" s="63"/>
      <c r="F119" s="13"/>
      <c r="G119" s="13"/>
      <c r="H119" s="13"/>
      <c r="I119" s="13"/>
      <c r="J119" s="101"/>
      <c r="K119" s="101"/>
      <c r="L119" s="6"/>
      <c r="M119" s="119"/>
      <c r="N119" s="69"/>
      <c r="O119" s="70"/>
      <c r="P119" s="69"/>
      <c r="Q119" s="69"/>
      <c r="R119" s="29"/>
      <c r="S119" s="29"/>
      <c r="T119" s="15"/>
      <c r="U119" s="62"/>
      <c r="V119" s="62"/>
      <c r="W119"/>
    </row>
    <row r="120" spans="1:23" x14ac:dyDescent="0.2">
      <c r="A120" s="13"/>
      <c r="B120" s="13"/>
      <c r="C120" s="13"/>
      <c r="D120" s="13"/>
      <c r="E120" s="63"/>
      <c r="F120" s="13"/>
      <c r="G120" s="13"/>
      <c r="H120" s="13"/>
      <c r="I120" s="13"/>
      <c r="J120" s="101"/>
      <c r="K120" s="101"/>
      <c r="L120" s="6"/>
      <c r="M120" s="119"/>
      <c r="N120" s="69"/>
      <c r="O120" s="70"/>
      <c r="P120" s="69"/>
      <c r="Q120" s="69"/>
      <c r="R120" s="29"/>
      <c r="S120" s="29"/>
      <c r="T120" s="15"/>
      <c r="U120" s="62"/>
      <c r="V120" s="62"/>
      <c r="W120"/>
    </row>
    <row r="121" spans="1:23" x14ac:dyDescent="0.2">
      <c r="A121" s="13"/>
      <c r="B121" s="13"/>
      <c r="C121" s="13"/>
      <c r="D121" s="13"/>
      <c r="E121" s="63"/>
      <c r="F121" s="13"/>
      <c r="G121" s="13"/>
      <c r="H121" s="13"/>
      <c r="I121" s="13"/>
      <c r="J121" s="101"/>
      <c r="K121" s="101"/>
      <c r="L121" s="6"/>
      <c r="M121" s="119"/>
      <c r="N121" s="69"/>
      <c r="O121" s="70"/>
      <c r="P121" s="69"/>
      <c r="Q121" s="69"/>
      <c r="R121" s="29"/>
      <c r="S121" s="29"/>
      <c r="T121" s="15"/>
      <c r="U121" s="62"/>
      <c r="V121" s="62"/>
      <c r="W121"/>
    </row>
    <row r="122" spans="1:23" x14ac:dyDescent="0.2">
      <c r="A122" s="13"/>
      <c r="B122" s="13"/>
      <c r="C122" s="13"/>
      <c r="D122" s="13"/>
      <c r="E122" s="63"/>
      <c r="F122" s="13"/>
      <c r="G122" s="13"/>
      <c r="H122" s="13"/>
      <c r="I122" s="13"/>
      <c r="J122" s="101"/>
      <c r="K122" s="101"/>
      <c r="L122" s="6"/>
      <c r="M122" s="119"/>
      <c r="N122" s="69"/>
      <c r="O122" s="70"/>
      <c r="P122" s="69"/>
      <c r="Q122" s="69"/>
      <c r="R122" s="29"/>
      <c r="S122" s="29"/>
      <c r="T122" s="15"/>
      <c r="U122" s="62"/>
      <c r="V122" s="62"/>
      <c r="W122"/>
    </row>
    <row r="123" spans="1:23" x14ac:dyDescent="0.2">
      <c r="A123" s="13"/>
      <c r="B123" s="13"/>
      <c r="C123" s="13"/>
      <c r="D123" s="13"/>
      <c r="E123" s="63"/>
      <c r="F123" s="13"/>
      <c r="G123" s="13"/>
      <c r="H123" s="13"/>
      <c r="I123" s="13"/>
      <c r="J123" s="101"/>
      <c r="K123" s="101"/>
      <c r="L123" s="6"/>
      <c r="M123" s="119"/>
      <c r="N123" s="69"/>
      <c r="O123" s="70"/>
      <c r="P123" s="69"/>
      <c r="Q123" s="69"/>
      <c r="R123" s="29"/>
      <c r="S123" s="29"/>
      <c r="T123" s="15"/>
      <c r="U123" s="62"/>
      <c r="V123" s="62"/>
      <c r="W123"/>
    </row>
    <row r="124" spans="1:23" x14ac:dyDescent="0.2">
      <c r="A124" s="13"/>
      <c r="B124" s="13"/>
      <c r="C124" s="13"/>
      <c r="D124" s="13"/>
      <c r="E124" s="63"/>
      <c r="F124" s="13"/>
      <c r="G124" s="13"/>
      <c r="H124" s="13"/>
      <c r="I124" s="13"/>
      <c r="J124" s="101"/>
      <c r="K124" s="101"/>
      <c r="L124" s="6"/>
      <c r="M124" s="119"/>
      <c r="N124" s="69"/>
      <c r="O124" s="70"/>
      <c r="P124" s="69"/>
      <c r="Q124" s="69"/>
      <c r="R124" s="29"/>
      <c r="S124" s="29"/>
      <c r="T124" s="15"/>
      <c r="U124" s="62"/>
      <c r="V124" s="62"/>
      <c r="W124"/>
    </row>
    <row r="125" spans="1:23" x14ac:dyDescent="0.2">
      <c r="A125" s="13"/>
      <c r="B125" s="13"/>
      <c r="C125" s="13"/>
      <c r="D125" s="13"/>
      <c r="E125" s="63"/>
      <c r="F125" s="13"/>
      <c r="G125" s="13"/>
      <c r="H125" s="13"/>
      <c r="I125" s="13"/>
      <c r="J125" s="101"/>
      <c r="K125" s="101"/>
      <c r="L125" s="6"/>
      <c r="M125" s="119"/>
      <c r="N125" s="69"/>
      <c r="O125" s="70"/>
      <c r="P125" s="69"/>
      <c r="Q125" s="69"/>
      <c r="R125" s="29"/>
      <c r="S125" s="29"/>
      <c r="T125" s="15"/>
      <c r="U125" s="62"/>
      <c r="V125" s="62"/>
      <c r="W125"/>
    </row>
    <row r="126" spans="1:23" x14ac:dyDescent="0.2">
      <c r="A126" s="13"/>
      <c r="B126" s="13"/>
      <c r="C126" s="13"/>
      <c r="D126" s="13"/>
      <c r="E126" s="63"/>
      <c r="F126" s="13"/>
      <c r="G126" s="13"/>
      <c r="H126" s="13"/>
      <c r="I126" s="13"/>
      <c r="J126" s="101"/>
      <c r="K126" s="101"/>
      <c r="L126" s="6"/>
      <c r="M126" s="119"/>
      <c r="N126" s="69"/>
      <c r="O126" s="70"/>
      <c r="P126" s="69"/>
      <c r="Q126" s="69"/>
      <c r="R126" s="29"/>
      <c r="S126" s="29"/>
      <c r="T126" s="15"/>
      <c r="U126" s="62"/>
      <c r="V126" s="62"/>
      <c r="W126"/>
    </row>
    <row r="127" spans="1:23" x14ac:dyDescent="0.2">
      <c r="A127" s="13"/>
      <c r="B127" s="13"/>
      <c r="C127" s="13"/>
      <c r="D127" s="13"/>
      <c r="E127" s="63"/>
      <c r="F127" s="13"/>
      <c r="G127" s="13"/>
      <c r="H127" s="13"/>
      <c r="I127" s="13"/>
      <c r="J127" s="101"/>
      <c r="K127" s="101"/>
      <c r="L127" s="6"/>
      <c r="M127" s="119"/>
      <c r="N127" s="69"/>
      <c r="O127" s="70"/>
      <c r="P127" s="69"/>
      <c r="Q127" s="69"/>
      <c r="R127" s="29"/>
      <c r="S127" s="29"/>
      <c r="T127" s="15"/>
      <c r="U127" s="62"/>
      <c r="V127" s="62"/>
      <c r="W127"/>
    </row>
    <row r="128" spans="1:23" x14ac:dyDescent="0.2">
      <c r="A128" s="13"/>
      <c r="B128" s="13"/>
      <c r="C128" s="13"/>
      <c r="D128" s="13"/>
      <c r="E128" s="63"/>
      <c r="F128" s="13"/>
      <c r="G128" s="13"/>
      <c r="H128" s="13"/>
      <c r="I128" s="13"/>
      <c r="J128" s="101"/>
      <c r="K128" s="101"/>
      <c r="L128" s="6"/>
      <c r="M128" s="119"/>
      <c r="N128" s="69"/>
      <c r="O128" s="70"/>
      <c r="P128" s="69"/>
      <c r="Q128" s="69"/>
      <c r="R128" s="29"/>
      <c r="S128" s="29"/>
      <c r="T128" s="15"/>
      <c r="U128" s="62"/>
      <c r="V128" s="62"/>
      <c r="W128"/>
    </row>
    <row r="129" spans="1:23" x14ac:dyDescent="0.2">
      <c r="A129" s="13"/>
      <c r="B129" s="13"/>
      <c r="C129" s="13"/>
      <c r="D129" s="13"/>
      <c r="E129" s="63"/>
      <c r="F129" s="13"/>
      <c r="G129" s="13"/>
      <c r="H129" s="13"/>
      <c r="I129" s="13"/>
      <c r="J129" s="101"/>
      <c r="K129" s="101"/>
      <c r="L129" s="6"/>
      <c r="M129" s="119"/>
      <c r="N129" s="69"/>
      <c r="O129" s="70"/>
      <c r="P129" s="69"/>
      <c r="Q129" s="69"/>
      <c r="R129" s="29"/>
      <c r="S129" s="29"/>
      <c r="T129" s="15"/>
      <c r="U129" s="62"/>
      <c r="V129" s="62"/>
      <c r="W129"/>
    </row>
    <row r="130" spans="1:23" x14ac:dyDescent="0.2">
      <c r="A130" s="13"/>
      <c r="B130" s="13"/>
      <c r="C130" s="13"/>
      <c r="D130" s="13"/>
      <c r="E130" s="63"/>
      <c r="F130" s="13"/>
      <c r="G130" s="13"/>
      <c r="H130" s="13"/>
      <c r="I130" s="13"/>
      <c r="J130" s="101"/>
      <c r="K130" s="101"/>
      <c r="L130" s="6"/>
      <c r="M130" s="119"/>
      <c r="N130" s="69"/>
      <c r="O130" s="70"/>
      <c r="P130" s="69"/>
      <c r="Q130" s="69"/>
      <c r="R130" s="29"/>
      <c r="S130" s="29"/>
      <c r="T130" s="15"/>
      <c r="U130" s="62"/>
      <c r="V130" s="62"/>
      <c r="W130"/>
    </row>
    <row r="131" spans="1:23" x14ac:dyDescent="0.2">
      <c r="A131" s="13"/>
      <c r="B131" s="13"/>
      <c r="C131" s="13"/>
      <c r="D131" s="13"/>
      <c r="E131" s="63"/>
      <c r="F131" s="13"/>
      <c r="G131" s="13"/>
      <c r="H131" s="13"/>
      <c r="I131" s="13"/>
      <c r="J131" s="101"/>
      <c r="K131" s="101"/>
      <c r="L131" s="6"/>
      <c r="M131" s="119"/>
      <c r="N131" s="69"/>
      <c r="O131" s="70"/>
      <c r="P131" s="69"/>
      <c r="Q131" s="69"/>
      <c r="R131" s="29"/>
      <c r="S131" s="29"/>
      <c r="T131" s="15"/>
      <c r="U131" s="62"/>
      <c r="V131" s="62"/>
      <c r="W131"/>
    </row>
    <row r="132" spans="1:23" x14ac:dyDescent="0.2">
      <c r="A132" s="13"/>
      <c r="B132" s="13"/>
      <c r="C132" s="13"/>
      <c r="D132" s="13"/>
      <c r="E132" s="63"/>
      <c r="F132" s="13"/>
      <c r="G132" s="13"/>
      <c r="H132" s="13"/>
      <c r="I132" s="13"/>
      <c r="J132" s="101"/>
      <c r="K132" s="101"/>
      <c r="L132" s="6"/>
      <c r="M132" s="119"/>
      <c r="N132" s="69"/>
      <c r="O132" s="70"/>
      <c r="P132" s="69"/>
      <c r="Q132" s="69"/>
      <c r="R132" s="29"/>
      <c r="S132" s="29"/>
      <c r="T132" s="15"/>
      <c r="U132" s="62"/>
      <c r="V132" s="62"/>
      <c r="W132"/>
    </row>
    <row r="133" spans="1:23" x14ac:dyDescent="0.2">
      <c r="A133" s="13"/>
      <c r="B133" s="13"/>
      <c r="C133" s="13"/>
      <c r="D133" s="13"/>
      <c r="E133" s="63"/>
      <c r="F133" s="13"/>
      <c r="G133" s="13"/>
      <c r="H133" s="13"/>
      <c r="I133" s="13"/>
      <c r="J133" s="101"/>
      <c r="K133" s="101"/>
      <c r="L133" s="6"/>
      <c r="M133" s="119"/>
      <c r="N133" s="69"/>
      <c r="O133" s="70"/>
      <c r="P133" s="69"/>
      <c r="Q133" s="69"/>
      <c r="R133" s="29"/>
      <c r="S133" s="29"/>
      <c r="T133" s="15"/>
      <c r="U133" s="62"/>
      <c r="V133" s="62"/>
      <c r="W133"/>
    </row>
    <row r="134" spans="1:23" x14ac:dyDescent="0.2">
      <c r="A134" s="13"/>
      <c r="B134" s="13"/>
      <c r="C134" s="13"/>
      <c r="D134" s="13"/>
      <c r="E134" s="63"/>
      <c r="F134" s="13"/>
      <c r="G134" s="13"/>
      <c r="H134" s="13"/>
      <c r="I134" s="13"/>
      <c r="J134" s="101"/>
      <c r="K134" s="101"/>
      <c r="L134" s="6"/>
      <c r="M134" s="119"/>
      <c r="N134" s="69"/>
      <c r="O134" s="70"/>
      <c r="P134" s="69"/>
      <c r="Q134" s="69"/>
      <c r="R134" s="29"/>
      <c r="S134" s="29"/>
      <c r="T134" s="15"/>
      <c r="U134" s="62"/>
      <c r="V134" s="62"/>
      <c r="W134"/>
    </row>
    <row r="135" spans="1:23" x14ac:dyDescent="0.2">
      <c r="A135" s="13"/>
      <c r="B135" s="13"/>
      <c r="C135" s="13"/>
      <c r="D135" s="13"/>
      <c r="E135" s="63"/>
      <c r="F135" s="13"/>
      <c r="G135" s="13"/>
      <c r="H135" s="13"/>
      <c r="I135" s="13"/>
      <c r="J135" s="101"/>
      <c r="K135" s="101"/>
      <c r="L135" s="6"/>
      <c r="M135" s="119"/>
      <c r="N135" s="69"/>
      <c r="O135" s="70"/>
      <c r="P135" s="69"/>
      <c r="Q135" s="69"/>
      <c r="R135" s="29"/>
      <c r="S135" s="29"/>
      <c r="T135" s="15"/>
      <c r="U135" s="62"/>
      <c r="V135" s="62"/>
      <c r="W135"/>
    </row>
    <row r="136" spans="1:23" x14ac:dyDescent="0.2">
      <c r="A136" s="13"/>
      <c r="B136" s="13"/>
      <c r="C136" s="13"/>
      <c r="D136" s="13"/>
      <c r="E136" s="63"/>
      <c r="F136" s="13"/>
      <c r="G136" s="13"/>
      <c r="H136" s="13"/>
      <c r="I136" s="13"/>
      <c r="J136" s="101"/>
      <c r="K136" s="101"/>
      <c r="L136" s="6"/>
      <c r="M136" s="119"/>
      <c r="N136" s="69"/>
      <c r="O136" s="70"/>
      <c r="P136" s="69"/>
      <c r="Q136" s="69"/>
      <c r="R136" s="29"/>
      <c r="S136" s="29"/>
      <c r="T136" s="15"/>
      <c r="U136" s="62"/>
      <c r="V136" s="62"/>
      <c r="W136"/>
    </row>
    <row r="137" spans="1:23" x14ac:dyDescent="0.2">
      <c r="A137" s="13"/>
      <c r="B137" s="13"/>
      <c r="C137" s="13"/>
      <c r="D137" s="13"/>
      <c r="E137" s="63"/>
      <c r="F137" s="13"/>
      <c r="G137" s="13"/>
      <c r="H137" s="13"/>
      <c r="I137" s="13"/>
      <c r="J137" s="101"/>
      <c r="K137" s="101"/>
      <c r="L137" s="6"/>
      <c r="M137" s="119"/>
      <c r="N137" s="69"/>
      <c r="O137" s="70"/>
      <c r="P137" s="69"/>
      <c r="Q137" s="69"/>
      <c r="R137" s="29"/>
      <c r="S137" s="29"/>
      <c r="T137" s="15"/>
      <c r="U137" s="62"/>
      <c r="V137" s="62"/>
      <c r="W137"/>
    </row>
    <row r="138" spans="1:23" x14ac:dyDescent="0.2">
      <c r="A138" s="13"/>
      <c r="B138" s="13"/>
      <c r="C138" s="13"/>
      <c r="D138" s="13"/>
      <c r="E138" s="63"/>
      <c r="F138" s="13"/>
      <c r="G138" s="13"/>
      <c r="H138" s="13"/>
      <c r="I138" s="13"/>
      <c r="J138" s="101"/>
      <c r="K138" s="101"/>
      <c r="L138" s="6"/>
      <c r="M138" s="119"/>
      <c r="N138" s="69"/>
      <c r="O138" s="70"/>
      <c r="P138" s="69"/>
      <c r="Q138" s="69"/>
      <c r="R138" s="29"/>
      <c r="S138" s="29"/>
      <c r="T138" s="15"/>
      <c r="U138" s="62"/>
      <c r="V138" s="62"/>
      <c r="W138"/>
    </row>
    <row r="139" spans="1:23" x14ac:dyDescent="0.2">
      <c r="A139" s="13"/>
      <c r="B139" s="13"/>
      <c r="C139" s="13"/>
      <c r="D139" s="13"/>
      <c r="E139" s="63"/>
      <c r="F139" s="13"/>
      <c r="G139" s="13"/>
      <c r="H139" s="13"/>
      <c r="I139" s="13"/>
      <c r="J139" s="101"/>
      <c r="K139" s="101"/>
      <c r="L139" s="6"/>
      <c r="M139" s="119"/>
      <c r="N139" s="69"/>
      <c r="O139" s="70"/>
      <c r="P139" s="69"/>
      <c r="Q139" s="69"/>
      <c r="R139" s="29"/>
      <c r="S139" s="29"/>
      <c r="T139" s="15"/>
      <c r="U139" s="62"/>
      <c r="V139" s="62"/>
      <c r="W139"/>
    </row>
    <row r="140" spans="1:23" x14ac:dyDescent="0.2">
      <c r="A140" s="13"/>
      <c r="B140" s="13"/>
      <c r="C140" s="13"/>
      <c r="D140" s="13"/>
      <c r="E140" s="63"/>
      <c r="F140" s="13"/>
      <c r="G140" s="13"/>
      <c r="H140" s="13"/>
      <c r="I140" s="13"/>
      <c r="J140" s="101"/>
      <c r="K140" s="101"/>
      <c r="L140" s="6"/>
      <c r="M140" s="119"/>
      <c r="N140" s="69"/>
      <c r="O140" s="70"/>
      <c r="P140" s="69"/>
      <c r="Q140" s="69"/>
      <c r="R140" s="29"/>
      <c r="S140" s="29"/>
      <c r="T140" s="15"/>
      <c r="U140" s="62"/>
      <c r="V140" s="62"/>
      <c r="W140"/>
    </row>
    <row r="141" spans="1:23" x14ac:dyDescent="0.2">
      <c r="A141" s="13"/>
      <c r="B141" s="13"/>
      <c r="C141" s="13"/>
      <c r="D141" s="13"/>
      <c r="E141" s="63"/>
      <c r="F141" s="13"/>
      <c r="G141" s="13"/>
      <c r="H141" s="13"/>
      <c r="I141" s="13"/>
      <c r="J141" s="101"/>
      <c r="K141" s="101"/>
      <c r="L141" s="6"/>
      <c r="M141" s="119"/>
      <c r="N141" s="69"/>
      <c r="O141" s="70"/>
      <c r="P141" s="69"/>
      <c r="Q141" s="69"/>
      <c r="R141" s="29"/>
      <c r="S141" s="29"/>
      <c r="T141" s="15"/>
      <c r="U141" s="62"/>
      <c r="V141" s="62"/>
      <c r="W141"/>
    </row>
    <row r="142" spans="1:23" x14ac:dyDescent="0.2">
      <c r="A142" s="13"/>
      <c r="B142" s="13"/>
      <c r="C142" s="13"/>
      <c r="D142" s="13"/>
      <c r="E142" s="63"/>
      <c r="F142" s="13"/>
      <c r="G142" s="13"/>
      <c r="H142" s="13"/>
      <c r="I142" s="13"/>
      <c r="J142" s="101"/>
      <c r="K142" s="101"/>
      <c r="L142" s="6"/>
      <c r="M142" s="119"/>
      <c r="N142" s="69"/>
      <c r="O142" s="70"/>
      <c r="P142" s="69"/>
      <c r="Q142" s="69"/>
      <c r="R142" s="29"/>
      <c r="S142" s="29"/>
      <c r="T142" s="15"/>
      <c r="U142" s="62"/>
      <c r="V142" s="62"/>
      <c r="W142"/>
    </row>
    <row r="143" spans="1:23" x14ac:dyDescent="0.2">
      <c r="A143" s="13"/>
      <c r="B143" s="13"/>
      <c r="C143" s="13"/>
      <c r="D143" s="13"/>
      <c r="E143" s="63"/>
      <c r="F143" s="13"/>
      <c r="G143" s="13"/>
      <c r="H143" s="13"/>
      <c r="I143" s="13"/>
      <c r="J143" s="101"/>
      <c r="K143" s="101"/>
      <c r="L143" s="6"/>
      <c r="M143" s="119"/>
      <c r="N143" s="69"/>
      <c r="O143" s="70"/>
      <c r="P143" s="69"/>
      <c r="Q143" s="69"/>
      <c r="R143" s="29"/>
      <c r="S143" s="29"/>
      <c r="T143" s="15"/>
      <c r="U143" s="62"/>
      <c r="V143" s="62"/>
      <c r="W143"/>
    </row>
    <row r="144" spans="1:23" x14ac:dyDescent="0.2">
      <c r="A144" s="13"/>
      <c r="B144" s="13"/>
      <c r="C144" s="13"/>
      <c r="D144" s="13"/>
      <c r="E144" s="63"/>
      <c r="F144" s="13"/>
      <c r="G144" s="13"/>
      <c r="H144" s="13"/>
      <c r="I144" s="13"/>
      <c r="J144" s="101"/>
      <c r="K144" s="101"/>
      <c r="L144" s="6"/>
      <c r="M144" s="119"/>
      <c r="N144" s="69"/>
      <c r="O144" s="70"/>
      <c r="P144" s="69"/>
      <c r="Q144" s="69"/>
      <c r="R144" s="29"/>
      <c r="S144" s="29"/>
      <c r="T144" s="15"/>
      <c r="U144" s="62"/>
      <c r="V144" s="62"/>
      <c r="W144"/>
    </row>
    <row r="145" spans="1:23" x14ac:dyDescent="0.2">
      <c r="A145" s="13"/>
      <c r="B145" s="13"/>
      <c r="C145" s="13"/>
      <c r="D145" s="13"/>
      <c r="E145" s="63"/>
      <c r="F145" s="13"/>
      <c r="G145" s="13"/>
      <c r="H145" s="13"/>
      <c r="I145" s="13"/>
      <c r="J145" s="101"/>
      <c r="K145" s="101"/>
      <c r="L145" s="6"/>
      <c r="M145" s="119"/>
      <c r="N145" s="69"/>
      <c r="O145" s="70"/>
      <c r="P145" s="69"/>
      <c r="Q145" s="69"/>
      <c r="R145" s="29"/>
      <c r="S145" s="29"/>
      <c r="T145" s="15"/>
      <c r="U145" s="62"/>
      <c r="V145" s="62"/>
      <c r="W145"/>
    </row>
    <row r="146" spans="1:23" x14ac:dyDescent="0.2">
      <c r="A146" s="13"/>
      <c r="B146" s="13"/>
      <c r="C146" s="13"/>
      <c r="D146" s="13"/>
      <c r="E146" s="63"/>
      <c r="F146" s="13"/>
      <c r="G146" s="13"/>
      <c r="H146" s="13"/>
      <c r="I146" s="13"/>
      <c r="J146" s="101"/>
      <c r="K146" s="101"/>
      <c r="L146" s="6"/>
      <c r="M146" s="119"/>
      <c r="N146" s="69"/>
      <c r="O146" s="70"/>
      <c r="P146" s="69"/>
      <c r="Q146" s="69"/>
      <c r="R146" s="29"/>
      <c r="S146" s="29"/>
      <c r="T146" s="15"/>
      <c r="U146" s="62"/>
      <c r="V146" s="62"/>
      <c r="W146"/>
    </row>
    <row r="147" spans="1:23" x14ac:dyDescent="0.2">
      <c r="A147" s="13"/>
      <c r="B147" s="13"/>
      <c r="C147" s="13"/>
      <c r="D147" s="13"/>
      <c r="E147" s="63"/>
      <c r="F147" s="13"/>
      <c r="G147" s="13"/>
      <c r="H147" s="13"/>
      <c r="I147" s="13"/>
      <c r="J147" s="101"/>
      <c r="K147" s="101"/>
      <c r="L147" s="6"/>
      <c r="M147" s="119"/>
      <c r="N147" s="69"/>
      <c r="O147" s="70"/>
      <c r="P147" s="69"/>
      <c r="Q147" s="69"/>
      <c r="R147" s="29"/>
      <c r="S147" s="29"/>
      <c r="T147" s="15"/>
      <c r="U147" s="62"/>
      <c r="V147" s="62"/>
      <c r="W147"/>
    </row>
    <row r="148" spans="1:23" x14ac:dyDescent="0.2">
      <c r="A148" s="13"/>
      <c r="B148" s="13"/>
      <c r="C148" s="13"/>
      <c r="D148" s="13"/>
      <c r="E148" s="63"/>
      <c r="F148" s="13"/>
      <c r="G148" s="13"/>
      <c r="H148" s="13"/>
      <c r="I148" s="13"/>
      <c r="J148" s="101"/>
      <c r="K148" s="101"/>
      <c r="L148" s="6"/>
      <c r="M148" s="119"/>
      <c r="N148" s="69"/>
      <c r="O148" s="70"/>
      <c r="P148" s="69"/>
      <c r="Q148" s="69"/>
      <c r="R148" s="29"/>
      <c r="S148" s="29"/>
      <c r="T148" s="15"/>
      <c r="U148" s="62"/>
      <c r="V148" s="62"/>
      <c r="W148"/>
    </row>
    <row r="149" spans="1:23" x14ac:dyDescent="0.2">
      <c r="A149" s="13"/>
      <c r="B149" s="13"/>
      <c r="C149" s="13"/>
      <c r="D149" s="13"/>
      <c r="E149" s="63"/>
      <c r="F149" s="13"/>
      <c r="G149" s="13"/>
      <c r="H149" s="13"/>
      <c r="I149" s="13"/>
      <c r="J149" s="101"/>
      <c r="K149" s="101"/>
      <c r="L149" s="6"/>
      <c r="M149" s="119"/>
      <c r="N149" s="69"/>
      <c r="O149" s="70"/>
      <c r="P149" s="69"/>
      <c r="Q149" s="69"/>
      <c r="R149" s="29"/>
      <c r="S149" s="29"/>
      <c r="T149" s="15"/>
      <c r="U149" s="62"/>
      <c r="V149" s="62"/>
      <c r="W149"/>
    </row>
    <row r="150" spans="1:23" x14ac:dyDescent="0.2">
      <c r="A150" s="13"/>
      <c r="B150" s="13"/>
      <c r="C150" s="13"/>
      <c r="D150" s="13"/>
      <c r="E150" s="63"/>
      <c r="F150" s="13"/>
      <c r="G150" s="13"/>
      <c r="H150" s="13"/>
      <c r="I150" s="13"/>
      <c r="J150" s="101"/>
      <c r="K150" s="101"/>
      <c r="L150" s="6"/>
      <c r="M150" s="119"/>
      <c r="N150" s="69"/>
      <c r="O150" s="70"/>
      <c r="P150" s="69"/>
      <c r="Q150" s="69"/>
      <c r="R150" s="29"/>
      <c r="S150" s="29"/>
      <c r="T150" s="15"/>
      <c r="U150" s="62"/>
      <c r="V150" s="62"/>
      <c r="W150"/>
    </row>
    <row r="151" spans="1:23" x14ac:dyDescent="0.2">
      <c r="A151" s="13"/>
      <c r="B151" s="13"/>
      <c r="C151" s="13"/>
      <c r="D151" s="13"/>
      <c r="E151" s="63"/>
      <c r="F151" s="13"/>
      <c r="G151" s="13"/>
      <c r="H151" s="13"/>
      <c r="I151" s="13"/>
      <c r="J151" s="101"/>
      <c r="K151" s="101"/>
      <c r="L151" s="6"/>
      <c r="M151" s="119"/>
      <c r="N151" s="69"/>
      <c r="O151" s="70"/>
      <c r="P151" s="69"/>
      <c r="Q151" s="69"/>
      <c r="R151" s="29"/>
      <c r="S151" s="29"/>
      <c r="T151" s="15"/>
      <c r="U151" s="62"/>
      <c r="V151" s="62"/>
      <c r="W151"/>
    </row>
    <row r="152" spans="1:23" x14ac:dyDescent="0.2">
      <c r="A152" s="13"/>
      <c r="B152" s="13"/>
      <c r="C152" s="13"/>
      <c r="D152" s="13"/>
      <c r="E152" s="63"/>
      <c r="F152" s="13"/>
      <c r="G152" s="13"/>
      <c r="H152" s="13"/>
      <c r="I152" s="13"/>
      <c r="J152" s="101"/>
      <c r="K152" s="101"/>
      <c r="L152" s="6"/>
      <c r="M152" s="119"/>
      <c r="N152" s="69"/>
      <c r="O152" s="70"/>
      <c r="P152" s="69"/>
      <c r="Q152" s="69"/>
      <c r="R152" s="29"/>
      <c r="S152" s="29"/>
      <c r="T152" s="15"/>
      <c r="U152" s="62"/>
      <c r="V152" s="62"/>
      <c r="W152"/>
    </row>
    <row r="153" spans="1:23" x14ac:dyDescent="0.2">
      <c r="A153" s="13"/>
      <c r="B153" s="13"/>
      <c r="C153" s="13"/>
      <c r="D153" s="13"/>
      <c r="E153" s="63"/>
      <c r="F153" s="13"/>
      <c r="G153" s="13"/>
      <c r="H153" s="13"/>
      <c r="I153" s="13"/>
      <c r="J153" s="101"/>
      <c r="K153" s="101"/>
      <c r="L153" s="6"/>
      <c r="M153" s="119"/>
      <c r="N153" s="69"/>
      <c r="O153" s="70"/>
      <c r="P153" s="69"/>
      <c r="Q153" s="69"/>
      <c r="R153" s="29"/>
      <c r="S153" s="29"/>
      <c r="T153" s="15"/>
      <c r="U153" s="62"/>
      <c r="V153" s="62"/>
      <c r="W153"/>
    </row>
    <row r="154" spans="1:23" x14ac:dyDescent="0.2">
      <c r="A154" s="13"/>
      <c r="B154" s="13"/>
      <c r="C154" s="13"/>
      <c r="D154" s="13"/>
      <c r="E154" s="63"/>
      <c r="F154" s="13"/>
      <c r="G154" s="13"/>
      <c r="H154" s="13"/>
      <c r="I154" s="13"/>
      <c r="J154" s="101"/>
      <c r="K154" s="101"/>
      <c r="L154" s="6"/>
      <c r="M154" s="119"/>
      <c r="N154" s="69"/>
      <c r="O154" s="70"/>
      <c r="P154" s="69"/>
      <c r="Q154" s="69"/>
      <c r="R154" s="29"/>
      <c r="S154" s="29"/>
      <c r="T154" s="15"/>
      <c r="U154" s="62"/>
      <c r="V154" s="62"/>
      <c r="W154"/>
    </row>
    <row r="155" spans="1:23" x14ac:dyDescent="0.2">
      <c r="A155" s="13"/>
      <c r="B155" s="13"/>
      <c r="C155" s="13"/>
      <c r="D155" s="13"/>
      <c r="E155" s="63"/>
      <c r="F155" s="13"/>
      <c r="G155" s="13"/>
      <c r="H155" s="13"/>
      <c r="I155" s="13"/>
      <c r="J155" s="101"/>
      <c r="K155" s="101"/>
      <c r="L155" s="6"/>
      <c r="M155" s="119"/>
      <c r="N155" s="69"/>
      <c r="O155" s="70"/>
      <c r="P155" s="69"/>
      <c r="Q155" s="69"/>
      <c r="R155" s="29"/>
      <c r="S155" s="29"/>
      <c r="T155" s="15"/>
      <c r="U155" s="62"/>
      <c r="V155" s="62"/>
      <c r="W155"/>
    </row>
    <row r="156" spans="1:23" x14ac:dyDescent="0.2">
      <c r="A156" s="13"/>
      <c r="B156" s="13"/>
      <c r="C156" s="13"/>
      <c r="D156" s="13"/>
      <c r="E156" s="63"/>
      <c r="F156" s="13"/>
      <c r="G156" s="13"/>
      <c r="H156" s="13"/>
      <c r="I156" s="13"/>
      <c r="J156" s="101"/>
      <c r="K156" s="101"/>
      <c r="L156" s="6"/>
      <c r="M156" s="119"/>
      <c r="N156" s="69"/>
      <c r="O156" s="70"/>
      <c r="P156" s="69"/>
      <c r="Q156" s="69"/>
      <c r="R156" s="29"/>
      <c r="S156" s="29"/>
      <c r="T156" s="15"/>
      <c r="U156" s="62"/>
      <c r="V156" s="62"/>
      <c r="W156"/>
    </row>
    <row r="157" spans="1:23" x14ac:dyDescent="0.2">
      <c r="A157" s="13"/>
      <c r="B157" s="13"/>
      <c r="C157" s="13"/>
      <c r="D157" s="13"/>
      <c r="E157" s="63"/>
      <c r="F157" s="13"/>
      <c r="G157" s="13"/>
      <c r="H157" s="13"/>
      <c r="I157" s="13"/>
      <c r="J157" s="101"/>
      <c r="K157" s="101"/>
      <c r="L157" s="6"/>
      <c r="M157" s="119"/>
      <c r="N157" s="69"/>
      <c r="O157" s="70"/>
      <c r="P157" s="69"/>
      <c r="Q157" s="69"/>
      <c r="R157" s="29"/>
      <c r="S157" s="29"/>
      <c r="T157" s="15"/>
      <c r="U157" s="62"/>
      <c r="V157" s="62"/>
      <c r="W157"/>
    </row>
    <row r="158" spans="1:23" x14ac:dyDescent="0.2">
      <c r="A158" s="13"/>
      <c r="B158" s="13"/>
      <c r="C158" s="13"/>
      <c r="D158" s="13"/>
      <c r="E158" s="63"/>
      <c r="F158" s="13"/>
      <c r="G158" s="13"/>
      <c r="H158" s="13"/>
      <c r="I158" s="13"/>
      <c r="J158" s="101"/>
      <c r="K158" s="101"/>
      <c r="L158" s="6"/>
      <c r="M158" s="119"/>
      <c r="N158" s="69"/>
      <c r="O158" s="70"/>
      <c r="P158" s="69"/>
      <c r="Q158" s="69"/>
      <c r="R158" s="29"/>
      <c r="S158" s="29"/>
      <c r="T158" s="15"/>
      <c r="U158" s="62"/>
      <c r="V158" s="62"/>
      <c r="W158"/>
    </row>
    <row r="159" spans="1:23" x14ac:dyDescent="0.2">
      <c r="A159" s="13"/>
      <c r="B159" s="13"/>
      <c r="C159" s="13"/>
      <c r="D159" s="13"/>
      <c r="E159" s="63"/>
      <c r="F159" s="13"/>
      <c r="G159" s="13"/>
      <c r="H159" s="13"/>
      <c r="I159" s="13"/>
      <c r="J159" s="101"/>
      <c r="K159" s="101"/>
      <c r="L159" s="6"/>
      <c r="M159" s="119"/>
      <c r="N159" s="69"/>
      <c r="O159" s="70"/>
      <c r="P159" s="69"/>
      <c r="Q159" s="69"/>
      <c r="R159" s="29"/>
      <c r="S159" s="29"/>
      <c r="T159" s="15"/>
      <c r="U159" s="62"/>
      <c r="V159" s="62"/>
      <c r="W159"/>
    </row>
    <row r="160" spans="1:23" x14ac:dyDescent="0.2">
      <c r="A160" s="13"/>
      <c r="B160" s="13"/>
      <c r="C160" s="13"/>
      <c r="D160" s="13"/>
      <c r="E160" s="63"/>
      <c r="F160" s="13"/>
      <c r="G160" s="13"/>
      <c r="H160" s="13"/>
      <c r="I160" s="13"/>
      <c r="J160" s="101"/>
      <c r="K160" s="101"/>
      <c r="L160" s="6"/>
      <c r="M160" s="119"/>
      <c r="N160" s="69"/>
      <c r="O160" s="70"/>
      <c r="P160" s="69"/>
      <c r="Q160" s="69"/>
      <c r="R160" s="29"/>
      <c r="S160" s="29"/>
      <c r="T160" s="15"/>
      <c r="U160" s="62"/>
      <c r="V160" s="62"/>
      <c r="W160"/>
    </row>
    <row r="161" spans="1:23" x14ac:dyDescent="0.2">
      <c r="A161" s="13"/>
      <c r="B161" s="13"/>
      <c r="C161" s="13"/>
      <c r="D161" s="13"/>
      <c r="E161" s="63"/>
      <c r="F161" s="13"/>
      <c r="G161" s="13"/>
      <c r="H161" s="13"/>
      <c r="I161" s="13"/>
      <c r="J161" s="101"/>
      <c r="K161" s="101"/>
      <c r="L161" s="6"/>
      <c r="M161" s="119"/>
      <c r="N161" s="69"/>
      <c r="O161" s="70"/>
      <c r="P161" s="69"/>
      <c r="Q161" s="69"/>
      <c r="R161" s="29"/>
      <c r="S161" s="29"/>
      <c r="T161" s="15"/>
      <c r="U161" s="62"/>
      <c r="V161" s="62"/>
      <c r="W161"/>
    </row>
    <row r="162" spans="1:23" x14ac:dyDescent="0.2">
      <c r="A162" s="13"/>
      <c r="B162" s="13"/>
      <c r="C162" s="13"/>
      <c r="D162" s="13"/>
      <c r="E162" s="63"/>
      <c r="F162" s="13"/>
      <c r="G162" s="13"/>
      <c r="H162" s="13"/>
      <c r="I162" s="13"/>
      <c r="J162" s="101"/>
      <c r="K162" s="101"/>
      <c r="L162" s="6"/>
      <c r="M162" s="119"/>
      <c r="N162" s="69"/>
      <c r="O162" s="70"/>
      <c r="P162" s="69"/>
      <c r="Q162" s="69"/>
      <c r="R162" s="29"/>
      <c r="S162" s="29"/>
      <c r="T162" s="15"/>
      <c r="U162" s="62"/>
      <c r="V162" s="62"/>
      <c r="W162"/>
    </row>
    <row r="163" spans="1:23" x14ac:dyDescent="0.2">
      <c r="A163" s="13"/>
      <c r="B163" s="13"/>
      <c r="C163" s="13"/>
      <c r="D163" s="13"/>
      <c r="E163" s="63"/>
      <c r="F163" s="13"/>
      <c r="G163" s="13"/>
      <c r="H163" s="13"/>
      <c r="I163" s="13"/>
      <c r="J163" s="101"/>
      <c r="K163" s="101"/>
      <c r="L163" s="6"/>
      <c r="M163" s="119"/>
      <c r="N163" s="69"/>
      <c r="O163" s="70"/>
      <c r="P163" s="69"/>
      <c r="Q163" s="69"/>
      <c r="R163" s="29"/>
      <c r="S163" s="29"/>
      <c r="T163" s="15"/>
      <c r="U163" s="62"/>
      <c r="V163" s="62"/>
      <c r="W163"/>
    </row>
    <row r="164" spans="1:23" x14ac:dyDescent="0.2">
      <c r="A164" s="13"/>
      <c r="B164" s="13"/>
      <c r="C164" s="13"/>
      <c r="D164" s="13"/>
      <c r="E164" s="63"/>
      <c r="F164" s="13"/>
      <c r="G164" s="13"/>
      <c r="H164" s="13"/>
      <c r="I164" s="13"/>
      <c r="J164" s="101"/>
      <c r="K164" s="101"/>
      <c r="L164" s="6"/>
      <c r="M164" s="119"/>
      <c r="N164" s="69"/>
      <c r="O164" s="70"/>
      <c r="P164" s="69"/>
      <c r="Q164" s="69"/>
      <c r="R164" s="29"/>
      <c r="S164" s="29"/>
      <c r="T164" s="15"/>
      <c r="U164" s="62"/>
      <c r="V164" s="62"/>
      <c r="W164"/>
    </row>
    <row r="165" spans="1:23" x14ac:dyDescent="0.2">
      <c r="A165" s="13"/>
      <c r="B165" s="13"/>
      <c r="C165" s="13"/>
      <c r="D165" s="13"/>
      <c r="E165" s="63"/>
      <c r="F165" s="13"/>
      <c r="G165" s="13"/>
      <c r="H165" s="13"/>
      <c r="I165" s="13"/>
      <c r="J165" s="101"/>
      <c r="K165" s="101"/>
      <c r="L165" s="6"/>
      <c r="M165" s="119"/>
      <c r="N165" s="69"/>
      <c r="O165" s="70"/>
      <c r="P165" s="69"/>
      <c r="Q165" s="69"/>
      <c r="R165" s="29"/>
      <c r="S165" s="29"/>
      <c r="T165" s="15"/>
      <c r="U165" s="62"/>
      <c r="V165" s="62"/>
      <c r="W165"/>
    </row>
    <row r="166" spans="1:23" x14ac:dyDescent="0.2">
      <c r="A166" s="13"/>
      <c r="B166" s="13"/>
      <c r="C166" s="13"/>
      <c r="D166" s="13"/>
      <c r="E166" s="63"/>
      <c r="F166" s="13"/>
      <c r="G166" s="13"/>
      <c r="H166" s="13"/>
      <c r="I166" s="13"/>
      <c r="J166" s="101"/>
      <c r="K166" s="101"/>
      <c r="L166" s="6"/>
      <c r="M166" s="119"/>
      <c r="N166" s="69"/>
      <c r="O166" s="70"/>
      <c r="P166" s="69"/>
      <c r="Q166" s="69"/>
      <c r="R166" s="29"/>
      <c r="S166" s="29"/>
      <c r="T166" s="15"/>
      <c r="U166" s="62"/>
      <c r="V166" s="62"/>
      <c r="W166"/>
    </row>
    <row r="167" spans="1:23" x14ac:dyDescent="0.2">
      <c r="A167" s="13"/>
      <c r="B167" s="13"/>
      <c r="C167" s="13"/>
      <c r="D167" s="13"/>
      <c r="E167" s="63"/>
      <c r="F167" s="13"/>
      <c r="G167" s="13"/>
      <c r="H167" s="13"/>
      <c r="I167" s="13"/>
      <c r="J167" s="101"/>
      <c r="K167" s="101"/>
      <c r="L167" s="6"/>
      <c r="M167" s="119"/>
      <c r="N167" s="69"/>
      <c r="O167" s="70"/>
      <c r="P167" s="69"/>
      <c r="Q167" s="69"/>
      <c r="R167" s="29"/>
      <c r="S167" s="29"/>
      <c r="T167" s="15"/>
      <c r="U167" s="62"/>
      <c r="V167" s="62"/>
      <c r="W167"/>
    </row>
    <row r="168" spans="1:23" x14ac:dyDescent="0.2">
      <c r="A168" s="13"/>
      <c r="B168" s="13"/>
      <c r="C168" s="13"/>
      <c r="D168" s="13"/>
      <c r="E168" s="63"/>
      <c r="F168" s="13"/>
      <c r="G168" s="13"/>
      <c r="H168" s="13"/>
      <c r="I168" s="13"/>
      <c r="J168" s="101"/>
      <c r="K168" s="101"/>
      <c r="L168" s="6"/>
      <c r="M168" s="119"/>
      <c r="N168" s="69"/>
      <c r="O168" s="70"/>
      <c r="P168" s="69"/>
      <c r="Q168" s="69"/>
      <c r="R168" s="29"/>
      <c r="S168" s="29"/>
      <c r="T168" s="15"/>
      <c r="U168" s="62"/>
      <c r="V168" s="62"/>
      <c r="W168"/>
    </row>
    <row r="169" spans="1:23" x14ac:dyDescent="0.2">
      <c r="A169" s="13"/>
      <c r="B169" s="13"/>
      <c r="C169" s="13"/>
      <c r="D169" s="13"/>
      <c r="E169" s="63"/>
      <c r="F169" s="13"/>
      <c r="G169" s="13"/>
      <c r="H169" s="13"/>
      <c r="I169" s="13"/>
      <c r="J169" s="101"/>
      <c r="K169" s="101"/>
      <c r="L169" s="6"/>
      <c r="M169" s="119"/>
      <c r="N169" s="69"/>
      <c r="O169" s="70"/>
      <c r="P169" s="69"/>
      <c r="Q169" s="69"/>
      <c r="R169" s="29"/>
      <c r="S169" s="29"/>
      <c r="T169" s="15"/>
      <c r="U169" s="62"/>
      <c r="V169" s="62"/>
      <c r="W169"/>
    </row>
    <row r="170" spans="1:23" x14ac:dyDescent="0.2">
      <c r="A170" s="13"/>
      <c r="B170" s="13"/>
      <c r="C170" s="13"/>
      <c r="D170" s="13"/>
      <c r="E170" s="63"/>
      <c r="F170" s="13"/>
      <c r="G170" s="13"/>
      <c r="H170" s="13"/>
      <c r="I170" s="13"/>
      <c r="J170" s="101"/>
      <c r="K170" s="101"/>
      <c r="L170" s="6"/>
      <c r="M170" s="119"/>
      <c r="N170" s="69"/>
      <c r="O170" s="70"/>
      <c r="P170" s="69"/>
      <c r="Q170" s="69"/>
      <c r="R170" s="29"/>
      <c r="S170" s="29"/>
      <c r="T170" s="15"/>
      <c r="U170" s="62"/>
      <c r="V170" s="62"/>
      <c r="W170"/>
    </row>
    <row r="171" spans="1:23" x14ac:dyDescent="0.2">
      <c r="A171" s="13"/>
      <c r="B171" s="13"/>
      <c r="C171" s="13"/>
      <c r="D171" s="13"/>
      <c r="E171" s="63"/>
      <c r="F171" s="13"/>
      <c r="G171" s="13"/>
      <c r="H171" s="13"/>
      <c r="I171" s="13"/>
      <c r="J171" s="101"/>
      <c r="K171" s="101"/>
      <c r="L171" s="6"/>
      <c r="M171" s="119"/>
      <c r="N171" s="69"/>
      <c r="O171" s="70"/>
      <c r="P171" s="69"/>
      <c r="Q171" s="69"/>
      <c r="R171" s="29"/>
      <c r="S171" s="29"/>
      <c r="T171" s="15"/>
      <c r="U171" s="62"/>
      <c r="V171" s="62"/>
      <c r="W171"/>
    </row>
    <row r="172" spans="1:23" x14ac:dyDescent="0.2">
      <c r="A172" s="13"/>
      <c r="B172" s="13"/>
      <c r="C172" s="13"/>
      <c r="D172" s="13"/>
      <c r="E172" s="63"/>
      <c r="F172" s="13"/>
      <c r="G172" s="13"/>
      <c r="H172" s="13"/>
      <c r="I172" s="13"/>
      <c r="J172" s="101"/>
      <c r="K172" s="101"/>
      <c r="L172" s="6"/>
      <c r="M172" s="119"/>
      <c r="N172" s="69"/>
      <c r="O172" s="70"/>
      <c r="P172" s="69"/>
      <c r="Q172" s="69"/>
      <c r="R172" s="29"/>
      <c r="S172" s="29"/>
      <c r="T172" s="15"/>
      <c r="U172" s="62"/>
      <c r="V172" s="62"/>
      <c r="W172"/>
    </row>
    <row r="173" spans="1:23" x14ac:dyDescent="0.2">
      <c r="A173" s="13"/>
      <c r="B173" s="13"/>
      <c r="C173" s="13"/>
      <c r="D173" s="13"/>
      <c r="E173" s="63"/>
      <c r="F173" s="13"/>
      <c r="G173" s="13"/>
      <c r="H173" s="13"/>
      <c r="I173" s="13"/>
      <c r="J173" s="101"/>
      <c r="K173" s="101"/>
      <c r="L173" s="6"/>
      <c r="M173" s="119"/>
      <c r="N173" s="69"/>
      <c r="O173" s="70"/>
      <c r="P173" s="69"/>
      <c r="Q173" s="69"/>
      <c r="R173" s="29"/>
      <c r="S173" s="29"/>
      <c r="T173" s="15"/>
      <c r="U173" s="62"/>
      <c r="V173" s="62"/>
      <c r="W173"/>
    </row>
    <row r="174" spans="1:23" x14ac:dyDescent="0.2">
      <c r="A174" s="13"/>
      <c r="B174" s="13"/>
      <c r="C174" s="13"/>
      <c r="D174" s="13"/>
      <c r="E174" s="63"/>
      <c r="F174" s="13"/>
      <c r="G174" s="13"/>
      <c r="H174" s="13"/>
      <c r="I174" s="13"/>
      <c r="J174" s="101"/>
      <c r="K174" s="101"/>
      <c r="L174" s="6"/>
      <c r="M174" s="119"/>
      <c r="N174" s="69"/>
      <c r="O174" s="70"/>
      <c r="P174" s="69"/>
      <c r="Q174" s="69"/>
      <c r="R174" s="29"/>
      <c r="S174" s="29"/>
      <c r="T174" s="15"/>
      <c r="U174" s="62"/>
      <c r="V174" s="62"/>
      <c r="W174"/>
    </row>
    <row r="175" spans="1:23" x14ac:dyDescent="0.2">
      <c r="A175" s="13"/>
      <c r="B175" s="13"/>
      <c r="C175" s="13"/>
      <c r="D175" s="13"/>
      <c r="E175" s="63"/>
      <c r="F175" s="13"/>
      <c r="G175" s="13"/>
      <c r="H175" s="13"/>
      <c r="I175" s="13"/>
      <c r="J175" s="101"/>
      <c r="K175" s="101"/>
      <c r="L175" s="6"/>
      <c r="M175" s="119"/>
      <c r="N175" s="69"/>
      <c r="O175" s="70"/>
      <c r="P175" s="69"/>
      <c r="Q175" s="69"/>
      <c r="R175" s="29"/>
      <c r="S175" s="29"/>
      <c r="T175" s="15"/>
      <c r="U175" s="62"/>
      <c r="V175" s="62"/>
      <c r="W175"/>
    </row>
    <row r="176" spans="1:23" x14ac:dyDescent="0.2">
      <c r="A176" s="13"/>
      <c r="B176" s="13"/>
      <c r="C176" s="13"/>
      <c r="D176" s="13"/>
      <c r="E176" s="63"/>
      <c r="F176" s="13"/>
      <c r="G176" s="13"/>
      <c r="H176" s="13"/>
      <c r="I176" s="13"/>
      <c r="J176" s="101"/>
      <c r="K176" s="101"/>
      <c r="L176" s="6"/>
      <c r="M176" s="119"/>
      <c r="N176" s="69"/>
      <c r="O176" s="70"/>
      <c r="P176" s="69"/>
      <c r="Q176" s="69"/>
      <c r="R176" s="29"/>
      <c r="S176" s="29"/>
      <c r="T176" s="15"/>
      <c r="U176" s="62"/>
      <c r="V176" s="62"/>
      <c r="W176"/>
    </row>
    <row r="177" spans="1:23" x14ac:dyDescent="0.2">
      <c r="A177" s="13"/>
      <c r="B177" s="13"/>
      <c r="C177" s="13"/>
      <c r="D177" s="13"/>
      <c r="E177" s="63"/>
      <c r="F177" s="13"/>
      <c r="G177" s="13"/>
      <c r="H177" s="13"/>
      <c r="I177" s="13"/>
      <c r="J177" s="101"/>
      <c r="K177" s="101"/>
      <c r="L177" s="6"/>
      <c r="M177" s="119"/>
      <c r="N177" s="69"/>
      <c r="O177" s="70"/>
      <c r="P177" s="69"/>
      <c r="Q177" s="69"/>
      <c r="R177" s="29"/>
      <c r="S177" s="29"/>
      <c r="T177" s="15"/>
      <c r="U177" s="62"/>
      <c r="V177" s="62"/>
      <c r="W177"/>
    </row>
    <row r="178" spans="1:23" x14ac:dyDescent="0.2">
      <c r="A178" s="13"/>
      <c r="B178" s="13"/>
      <c r="C178" s="13"/>
      <c r="D178" s="13"/>
      <c r="E178" s="63"/>
      <c r="F178" s="13"/>
      <c r="G178" s="13"/>
      <c r="H178" s="13"/>
      <c r="I178" s="13"/>
      <c r="J178" s="101"/>
      <c r="K178" s="101"/>
      <c r="L178" s="6"/>
      <c r="M178" s="119"/>
      <c r="N178" s="69"/>
      <c r="O178" s="70"/>
      <c r="P178" s="69"/>
      <c r="Q178" s="69"/>
      <c r="R178" s="29"/>
      <c r="S178" s="29"/>
      <c r="T178" s="15"/>
      <c r="U178" s="62"/>
      <c r="V178" s="62"/>
      <c r="W178"/>
    </row>
    <row r="179" spans="1:23" x14ac:dyDescent="0.2">
      <c r="A179" s="13"/>
      <c r="B179" s="13"/>
      <c r="C179" s="13"/>
      <c r="D179" s="13"/>
      <c r="E179" s="63"/>
      <c r="F179" s="13"/>
      <c r="G179" s="13"/>
      <c r="H179" s="13"/>
      <c r="I179" s="13"/>
      <c r="J179" s="101"/>
      <c r="K179" s="101"/>
      <c r="L179" s="6"/>
      <c r="M179" s="119"/>
      <c r="N179" s="69"/>
      <c r="O179" s="70"/>
      <c r="P179" s="69"/>
      <c r="Q179" s="69"/>
      <c r="R179" s="29"/>
      <c r="S179" s="29"/>
      <c r="T179" s="15"/>
      <c r="U179" s="62"/>
      <c r="V179" s="62"/>
      <c r="W179"/>
    </row>
    <row r="180" spans="1:23" x14ac:dyDescent="0.2">
      <c r="A180" s="13"/>
      <c r="B180" s="13"/>
      <c r="C180" s="13"/>
      <c r="D180" s="13"/>
      <c r="E180" s="63"/>
      <c r="F180" s="13"/>
      <c r="G180" s="13"/>
      <c r="H180" s="13"/>
      <c r="I180" s="13"/>
      <c r="J180" s="101"/>
      <c r="K180" s="101"/>
      <c r="L180" s="6"/>
      <c r="M180" s="119"/>
      <c r="N180" s="69"/>
      <c r="O180" s="70"/>
      <c r="P180" s="69"/>
      <c r="Q180" s="69"/>
      <c r="R180" s="29"/>
      <c r="S180" s="29"/>
      <c r="T180" s="15"/>
      <c r="U180" s="62"/>
      <c r="V180" s="62"/>
      <c r="W180"/>
    </row>
    <row r="181" spans="1:23" x14ac:dyDescent="0.2">
      <c r="A181" s="13"/>
      <c r="B181" s="13"/>
      <c r="C181" s="13"/>
      <c r="D181" s="13"/>
      <c r="E181" s="63"/>
      <c r="F181" s="13"/>
      <c r="G181" s="13"/>
      <c r="H181" s="13"/>
      <c r="I181" s="13"/>
      <c r="J181" s="101"/>
      <c r="K181" s="101"/>
      <c r="L181" s="6"/>
      <c r="M181" s="119"/>
      <c r="N181" s="69"/>
      <c r="O181" s="70"/>
      <c r="P181" s="69"/>
      <c r="Q181" s="69"/>
      <c r="R181" s="29"/>
      <c r="S181" s="29"/>
      <c r="T181" s="15"/>
      <c r="U181" s="62"/>
      <c r="V181" s="62"/>
      <c r="W181"/>
    </row>
    <row r="182" spans="1:23" x14ac:dyDescent="0.2">
      <c r="A182" s="13"/>
      <c r="B182" s="13"/>
      <c r="C182" s="13"/>
      <c r="D182" s="13"/>
      <c r="E182" s="63"/>
      <c r="F182" s="13"/>
      <c r="G182" s="13"/>
      <c r="H182" s="13"/>
      <c r="I182" s="13"/>
      <c r="J182" s="101"/>
      <c r="K182" s="101"/>
      <c r="L182" s="6"/>
      <c r="M182" s="119"/>
      <c r="N182" s="69"/>
      <c r="O182" s="70"/>
      <c r="P182" s="69"/>
      <c r="Q182" s="69"/>
      <c r="R182" s="29"/>
      <c r="S182" s="29"/>
      <c r="T182" s="15"/>
      <c r="U182" s="62"/>
      <c r="V182" s="62"/>
      <c r="W182"/>
    </row>
    <row r="183" spans="1:23" x14ac:dyDescent="0.2">
      <c r="A183" s="13"/>
      <c r="B183" s="13"/>
      <c r="C183" s="13"/>
      <c r="D183" s="13"/>
      <c r="E183" s="63"/>
      <c r="F183" s="13"/>
      <c r="G183" s="13"/>
      <c r="H183" s="13"/>
      <c r="I183" s="13"/>
      <c r="J183" s="101"/>
      <c r="K183" s="101"/>
      <c r="L183" s="6"/>
      <c r="M183" s="119"/>
      <c r="N183" s="69"/>
      <c r="O183" s="70"/>
      <c r="P183" s="69"/>
      <c r="Q183" s="69"/>
      <c r="R183" s="29"/>
      <c r="S183" s="29"/>
      <c r="T183" s="15"/>
      <c r="U183" s="62"/>
      <c r="V183" s="62"/>
      <c r="W183"/>
    </row>
    <row r="184" spans="1:23" x14ac:dyDescent="0.2">
      <c r="A184" s="13"/>
      <c r="B184" s="13"/>
      <c r="C184" s="13"/>
      <c r="D184" s="13"/>
      <c r="E184" s="63"/>
      <c r="F184" s="13"/>
      <c r="G184" s="13"/>
      <c r="H184" s="13"/>
      <c r="I184" s="13"/>
      <c r="J184" s="101"/>
      <c r="K184" s="101"/>
      <c r="L184" s="6"/>
      <c r="M184" s="119"/>
      <c r="N184" s="69"/>
      <c r="O184" s="70"/>
      <c r="P184" s="69"/>
      <c r="Q184" s="69"/>
      <c r="R184" s="29"/>
      <c r="S184" s="29"/>
      <c r="T184" s="15"/>
      <c r="U184" s="62"/>
      <c r="V184" s="62"/>
      <c r="W184"/>
    </row>
    <row r="185" spans="1:23" x14ac:dyDescent="0.2">
      <c r="A185" s="13"/>
      <c r="B185" s="13"/>
      <c r="C185" s="13"/>
      <c r="D185" s="13"/>
      <c r="E185" s="63"/>
      <c r="F185" s="13"/>
      <c r="G185" s="13"/>
      <c r="H185" s="13"/>
      <c r="I185" s="13"/>
      <c r="J185" s="101"/>
      <c r="K185" s="101"/>
      <c r="L185" s="6"/>
      <c r="M185" s="119"/>
      <c r="N185" s="69"/>
      <c r="O185" s="70"/>
      <c r="P185" s="69"/>
      <c r="Q185" s="69"/>
      <c r="R185" s="29"/>
      <c r="S185" s="29"/>
      <c r="T185" s="15"/>
      <c r="U185" s="62"/>
      <c r="V185" s="62"/>
      <c r="W185"/>
    </row>
    <row r="186" spans="1:23" x14ac:dyDescent="0.2">
      <c r="A186" s="13"/>
      <c r="B186" s="13"/>
      <c r="C186" s="13"/>
      <c r="D186" s="13"/>
      <c r="E186" s="63"/>
      <c r="F186" s="13"/>
      <c r="G186" s="13"/>
      <c r="H186" s="13"/>
      <c r="I186" s="13"/>
      <c r="J186" s="101"/>
      <c r="K186" s="101"/>
      <c r="L186" s="6"/>
      <c r="M186" s="119"/>
      <c r="N186" s="69"/>
      <c r="O186" s="70"/>
      <c r="P186" s="69"/>
      <c r="Q186" s="69"/>
      <c r="R186" s="29"/>
      <c r="S186" s="29"/>
      <c r="T186" s="15"/>
      <c r="U186" s="62"/>
      <c r="V186" s="62"/>
      <c r="W186"/>
    </row>
    <row r="187" spans="1:23" x14ac:dyDescent="0.2">
      <c r="A187" s="13"/>
      <c r="B187" s="13"/>
      <c r="C187" s="13"/>
      <c r="D187" s="13"/>
      <c r="E187" s="63"/>
      <c r="F187" s="13"/>
      <c r="G187" s="13"/>
      <c r="H187" s="13"/>
      <c r="I187" s="13"/>
      <c r="J187" s="101"/>
      <c r="K187" s="101"/>
      <c r="L187" s="6"/>
      <c r="M187" s="119"/>
      <c r="N187" s="69"/>
      <c r="O187" s="70"/>
      <c r="P187" s="69"/>
      <c r="Q187" s="69"/>
      <c r="R187" s="29"/>
      <c r="S187" s="29"/>
      <c r="T187" s="15"/>
      <c r="U187" s="62"/>
      <c r="V187" s="62"/>
      <c r="W187"/>
    </row>
    <row r="188" spans="1:23" x14ac:dyDescent="0.2">
      <c r="A188" s="13"/>
      <c r="B188" s="13"/>
      <c r="C188" s="13"/>
      <c r="D188" s="13"/>
      <c r="E188" s="63"/>
      <c r="F188" s="13"/>
      <c r="G188" s="13"/>
      <c r="H188" s="13"/>
      <c r="I188" s="13"/>
      <c r="J188" s="101"/>
      <c r="K188" s="101"/>
      <c r="L188" s="6"/>
      <c r="M188" s="119"/>
      <c r="N188" s="69"/>
      <c r="O188" s="70"/>
      <c r="P188" s="69"/>
      <c r="Q188" s="69"/>
      <c r="R188" s="29"/>
      <c r="S188" s="29"/>
      <c r="T188" s="15"/>
      <c r="U188" s="62"/>
      <c r="V188" s="62"/>
      <c r="W188"/>
    </row>
    <row r="189" spans="1:23" x14ac:dyDescent="0.2">
      <c r="A189" s="13"/>
      <c r="B189" s="13"/>
      <c r="C189" s="13"/>
      <c r="D189" s="13"/>
      <c r="E189" s="63"/>
      <c r="F189" s="13"/>
      <c r="G189" s="13"/>
      <c r="H189" s="13"/>
      <c r="I189" s="13"/>
      <c r="J189" s="101"/>
      <c r="K189" s="101"/>
      <c r="L189" s="6"/>
      <c r="M189" s="119"/>
      <c r="N189" s="69"/>
      <c r="O189" s="70"/>
      <c r="P189" s="69"/>
      <c r="Q189" s="69"/>
      <c r="R189" s="29"/>
      <c r="S189" s="29"/>
      <c r="T189" s="15"/>
      <c r="U189" s="62"/>
      <c r="V189" s="62"/>
      <c r="W189"/>
    </row>
    <row r="190" spans="1:23" x14ac:dyDescent="0.2">
      <c r="A190" s="13"/>
      <c r="B190" s="13"/>
      <c r="C190" s="13"/>
      <c r="D190" s="13"/>
      <c r="E190" s="63"/>
      <c r="F190" s="13"/>
      <c r="G190" s="13"/>
      <c r="H190" s="13"/>
      <c r="I190" s="13"/>
      <c r="J190" s="101"/>
      <c r="K190" s="101"/>
      <c r="L190" s="6"/>
      <c r="M190" s="119"/>
      <c r="N190" s="69"/>
      <c r="O190" s="70"/>
      <c r="P190" s="69"/>
      <c r="Q190" s="69"/>
      <c r="R190" s="29"/>
      <c r="S190" s="29"/>
      <c r="T190" s="15"/>
      <c r="U190" s="62"/>
      <c r="V190" s="62"/>
      <c r="W190"/>
    </row>
    <row r="191" spans="1:23" x14ac:dyDescent="0.2">
      <c r="A191" s="13"/>
      <c r="B191" s="13"/>
      <c r="C191" s="13"/>
      <c r="D191" s="13"/>
      <c r="E191" s="63"/>
      <c r="F191" s="13"/>
      <c r="G191" s="13"/>
      <c r="H191" s="13"/>
      <c r="I191" s="13"/>
      <c r="J191" s="101"/>
      <c r="K191" s="101"/>
      <c r="L191" s="6"/>
      <c r="M191" s="119"/>
      <c r="N191" s="69"/>
      <c r="O191" s="70"/>
      <c r="P191" s="69"/>
      <c r="Q191" s="69"/>
      <c r="R191" s="29"/>
      <c r="S191" s="29"/>
      <c r="T191" s="15"/>
      <c r="U191" s="62"/>
      <c r="V191" s="62"/>
      <c r="W191"/>
    </row>
    <row r="192" spans="1:23" x14ac:dyDescent="0.2">
      <c r="A192" s="13"/>
      <c r="B192" s="13"/>
      <c r="C192" s="13"/>
      <c r="D192" s="13"/>
      <c r="E192" s="63"/>
      <c r="F192" s="13"/>
      <c r="G192" s="13"/>
      <c r="H192" s="13"/>
      <c r="I192" s="13"/>
      <c r="J192" s="101"/>
      <c r="K192" s="101"/>
      <c r="L192" s="6"/>
      <c r="M192" s="119"/>
      <c r="N192" s="69"/>
      <c r="O192" s="70"/>
      <c r="P192" s="69"/>
      <c r="Q192" s="69"/>
      <c r="R192" s="29"/>
      <c r="S192" s="29"/>
      <c r="T192" s="15"/>
      <c r="U192" s="62"/>
      <c r="V192" s="62"/>
      <c r="W192"/>
    </row>
    <row r="193" spans="1:23" x14ac:dyDescent="0.2">
      <c r="A193" s="13"/>
      <c r="B193" s="13"/>
      <c r="C193" s="13"/>
      <c r="D193" s="13"/>
      <c r="E193" s="63"/>
      <c r="F193" s="13"/>
      <c r="G193" s="13"/>
      <c r="H193" s="13"/>
      <c r="I193" s="13"/>
      <c r="J193" s="101"/>
      <c r="K193" s="101"/>
      <c r="L193" s="6"/>
      <c r="M193" s="119"/>
      <c r="N193" s="69"/>
      <c r="O193" s="70"/>
      <c r="P193" s="69"/>
      <c r="Q193" s="69"/>
      <c r="R193" s="29"/>
      <c r="S193" s="29"/>
      <c r="T193" s="15"/>
      <c r="U193" s="62"/>
      <c r="V193" s="62"/>
      <c r="W193"/>
    </row>
    <row r="194" spans="1:23" x14ac:dyDescent="0.2">
      <c r="A194" s="13"/>
      <c r="B194" s="13"/>
      <c r="C194" s="13"/>
      <c r="D194" s="13"/>
      <c r="E194" s="63"/>
      <c r="F194" s="13"/>
      <c r="G194" s="13"/>
      <c r="H194" s="13"/>
      <c r="I194" s="13"/>
      <c r="J194" s="101"/>
      <c r="K194" s="101"/>
      <c r="L194" s="6"/>
      <c r="M194" s="119"/>
      <c r="N194" s="69"/>
      <c r="O194" s="70"/>
      <c r="P194" s="69"/>
      <c r="Q194" s="69"/>
      <c r="R194" s="29"/>
      <c r="S194" s="29"/>
      <c r="T194" s="15"/>
      <c r="U194" s="62"/>
      <c r="V194" s="62"/>
      <c r="W194"/>
    </row>
    <row r="195" spans="1:23" x14ac:dyDescent="0.2">
      <c r="A195" s="13"/>
      <c r="B195" s="13"/>
      <c r="C195" s="13"/>
      <c r="D195" s="13"/>
      <c r="E195" s="63"/>
      <c r="F195" s="13"/>
      <c r="G195" s="13"/>
      <c r="H195" s="13"/>
      <c r="I195" s="13"/>
      <c r="J195" s="101"/>
      <c r="K195" s="101"/>
      <c r="L195" s="6"/>
      <c r="M195" s="119"/>
      <c r="N195" s="69"/>
      <c r="O195" s="70"/>
      <c r="P195" s="69"/>
      <c r="Q195" s="69"/>
      <c r="R195" s="29"/>
      <c r="S195" s="29"/>
      <c r="T195" s="15"/>
      <c r="U195" s="62"/>
      <c r="V195" s="62"/>
      <c r="W195"/>
    </row>
    <row r="196" spans="1:23" x14ac:dyDescent="0.2">
      <c r="A196" s="13"/>
      <c r="B196" s="13"/>
      <c r="C196" s="13"/>
      <c r="D196" s="13"/>
      <c r="E196" s="63"/>
      <c r="F196" s="13"/>
      <c r="G196" s="13"/>
      <c r="H196" s="13"/>
      <c r="I196" s="13"/>
      <c r="J196" s="101"/>
      <c r="K196" s="101"/>
      <c r="L196" s="6"/>
      <c r="M196" s="119"/>
      <c r="N196" s="69"/>
      <c r="O196" s="70"/>
      <c r="P196" s="69"/>
      <c r="Q196" s="69"/>
      <c r="R196" s="29"/>
      <c r="S196" s="29"/>
      <c r="T196" s="15"/>
      <c r="U196" s="62"/>
      <c r="V196" s="62"/>
      <c r="W196"/>
    </row>
    <row r="197" spans="1:23" x14ac:dyDescent="0.2">
      <c r="A197" s="13"/>
      <c r="B197" s="13"/>
      <c r="C197" s="13"/>
      <c r="D197" s="13"/>
      <c r="E197" s="63"/>
      <c r="F197" s="13"/>
      <c r="G197" s="13"/>
      <c r="H197" s="13"/>
      <c r="I197" s="13"/>
      <c r="J197" s="101"/>
      <c r="K197" s="101"/>
      <c r="L197" s="6"/>
      <c r="M197" s="119"/>
      <c r="N197" s="69"/>
      <c r="O197" s="70"/>
      <c r="P197" s="69"/>
      <c r="Q197" s="69"/>
      <c r="R197" s="29"/>
      <c r="S197" s="29"/>
      <c r="T197" s="15"/>
      <c r="U197" s="62"/>
      <c r="V197" s="62"/>
      <c r="W197"/>
    </row>
    <row r="198" spans="1:23" x14ac:dyDescent="0.2">
      <c r="A198" s="13"/>
      <c r="B198" s="13"/>
      <c r="C198" s="13"/>
      <c r="D198" s="13"/>
      <c r="E198" s="63"/>
      <c r="F198" s="13"/>
      <c r="G198" s="13"/>
      <c r="H198" s="13"/>
      <c r="I198" s="13"/>
      <c r="J198" s="101"/>
      <c r="K198" s="101"/>
      <c r="L198" s="6"/>
      <c r="M198" s="119"/>
      <c r="N198" s="69"/>
      <c r="O198" s="70"/>
      <c r="P198" s="69"/>
      <c r="Q198" s="69"/>
      <c r="R198" s="29"/>
      <c r="S198" s="29"/>
      <c r="T198" s="15"/>
      <c r="U198" s="62"/>
      <c r="V198" s="62"/>
      <c r="W198"/>
    </row>
    <row r="199" spans="1:23" x14ac:dyDescent="0.2">
      <c r="A199" s="13"/>
      <c r="B199" s="13"/>
      <c r="C199" s="13"/>
      <c r="D199" s="13"/>
      <c r="E199" s="63"/>
      <c r="F199" s="13"/>
      <c r="G199" s="13"/>
      <c r="H199" s="13"/>
      <c r="I199" s="13"/>
      <c r="J199" s="101"/>
      <c r="K199" s="101"/>
      <c r="L199" s="6"/>
      <c r="M199" s="119"/>
      <c r="N199" s="69"/>
      <c r="O199" s="70"/>
      <c r="P199" s="69"/>
      <c r="Q199" s="69"/>
      <c r="R199" s="29"/>
      <c r="S199" s="29"/>
      <c r="T199" s="15"/>
      <c r="U199" s="62"/>
      <c r="V199" s="62"/>
      <c r="W199"/>
    </row>
    <row r="200" spans="1:23" x14ac:dyDescent="0.2">
      <c r="A200" s="13"/>
      <c r="B200" s="13"/>
      <c r="C200" s="13"/>
      <c r="D200" s="13"/>
      <c r="E200" s="63"/>
      <c r="F200" s="13"/>
      <c r="G200" s="13"/>
      <c r="H200" s="13"/>
      <c r="I200" s="13"/>
      <c r="J200" s="101"/>
      <c r="K200" s="101"/>
      <c r="L200" s="6"/>
      <c r="M200" s="119"/>
      <c r="N200" s="69"/>
      <c r="O200" s="70"/>
      <c r="P200" s="69"/>
      <c r="Q200" s="69"/>
      <c r="R200" s="29"/>
      <c r="S200" s="29"/>
      <c r="T200" s="15"/>
      <c r="U200" s="62"/>
      <c r="V200" s="62"/>
      <c r="W200"/>
    </row>
    <row r="201" spans="1:23" x14ac:dyDescent="0.2">
      <c r="A201" s="13"/>
      <c r="B201" s="13"/>
      <c r="C201" s="13"/>
      <c r="D201" s="13"/>
      <c r="E201" s="63"/>
      <c r="F201" s="13"/>
      <c r="G201" s="13"/>
      <c r="H201" s="13"/>
      <c r="I201" s="13"/>
      <c r="J201" s="101"/>
      <c r="K201" s="101"/>
      <c r="L201" s="6"/>
      <c r="M201" s="119"/>
      <c r="N201" s="69"/>
      <c r="O201" s="70"/>
      <c r="P201" s="69"/>
      <c r="Q201" s="69"/>
      <c r="R201" s="29"/>
      <c r="S201" s="29"/>
      <c r="T201" s="15"/>
      <c r="U201" s="62"/>
      <c r="V201" s="62"/>
      <c r="W201"/>
    </row>
    <row r="202" spans="1:23" x14ac:dyDescent="0.2">
      <c r="A202" s="13"/>
      <c r="B202" s="13"/>
      <c r="C202" s="13"/>
      <c r="D202" s="13"/>
      <c r="E202" s="63"/>
      <c r="F202" s="13"/>
      <c r="G202" s="13"/>
      <c r="H202" s="13"/>
      <c r="I202" s="13"/>
      <c r="J202" s="101"/>
      <c r="K202" s="101"/>
      <c r="L202" s="6"/>
      <c r="M202" s="119"/>
      <c r="N202" s="69"/>
      <c r="O202" s="70"/>
      <c r="P202" s="69"/>
      <c r="Q202" s="69"/>
      <c r="R202" s="29"/>
      <c r="S202" s="29"/>
      <c r="T202" s="15"/>
      <c r="U202" s="62"/>
      <c r="V202" s="62"/>
      <c r="W202"/>
    </row>
    <row r="203" spans="1:23" x14ac:dyDescent="0.2">
      <c r="A203" s="13"/>
      <c r="B203" s="13"/>
      <c r="C203" s="13"/>
      <c r="D203" s="13"/>
      <c r="E203" s="63"/>
      <c r="F203" s="13"/>
      <c r="G203" s="13"/>
      <c r="H203" s="13"/>
      <c r="I203" s="13"/>
      <c r="J203" s="101"/>
      <c r="K203" s="101"/>
      <c r="L203" s="6"/>
      <c r="M203" s="119"/>
      <c r="N203" s="69"/>
      <c r="O203" s="70"/>
      <c r="P203" s="69"/>
      <c r="Q203" s="69"/>
      <c r="R203" s="29"/>
      <c r="S203" s="29"/>
      <c r="T203" s="15"/>
      <c r="U203" s="62"/>
      <c r="V203" s="62"/>
      <c r="W203"/>
    </row>
    <row r="204" spans="1:23" x14ac:dyDescent="0.2">
      <c r="A204" s="13"/>
      <c r="B204" s="13"/>
      <c r="C204" s="13"/>
      <c r="D204" s="13"/>
      <c r="E204" s="63"/>
      <c r="F204" s="13"/>
      <c r="G204" s="13"/>
      <c r="H204" s="13"/>
      <c r="I204" s="13"/>
      <c r="J204" s="101"/>
      <c r="K204" s="101"/>
      <c r="L204" s="6"/>
      <c r="M204" s="119"/>
      <c r="N204" s="69"/>
      <c r="O204" s="70"/>
      <c r="P204" s="69"/>
      <c r="Q204" s="69"/>
      <c r="R204" s="29"/>
      <c r="S204" s="29"/>
      <c r="T204" s="15"/>
      <c r="U204" s="62"/>
      <c r="V204" s="62"/>
      <c r="W204"/>
    </row>
    <row r="205" spans="1:23" x14ac:dyDescent="0.2">
      <c r="A205" s="13"/>
      <c r="B205" s="13"/>
      <c r="C205" s="13"/>
      <c r="D205" s="13"/>
      <c r="E205" s="63"/>
      <c r="F205" s="13"/>
      <c r="G205" s="13"/>
      <c r="H205" s="13"/>
      <c r="I205" s="13"/>
      <c r="J205" s="101"/>
      <c r="K205" s="101"/>
      <c r="L205" s="6"/>
      <c r="M205" s="119"/>
      <c r="N205" s="69"/>
      <c r="O205" s="70"/>
      <c r="P205" s="69"/>
      <c r="Q205" s="69"/>
      <c r="R205" s="29"/>
      <c r="S205" s="29"/>
      <c r="T205" s="15"/>
      <c r="U205" s="62"/>
      <c r="V205" s="62"/>
      <c r="W205"/>
    </row>
    <row r="206" spans="1:23" x14ac:dyDescent="0.2">
      <c r="A206" s="13"/>
      <c r="B206" s="13"/>
      <c r="C206" s="13"/>
      <c r="D206" s="13"/>
      <c r="E206" s="63"/>
      <c r="F206" s="13"/>
      <c r="G206" s="13"/>
      <c r="H206" s="13"/>
      <c r="I206" s="13"/>
      <c r="J206" s="101"/>
      <c r="K206" s="101"/>
      <c r="L206" s="6"/>
      <c r="M206" s="119"/>
      <c r="N206" s="69"/>
      <c r="O206" s="70"/>
      <c r="P206" s="69"/>
      <c r="Q206" s="69"/>
      <c r="R206" s="29"/>
      <c r="S206" s="29"/>
      <c r="T206" s="15"/>
      <c r="U206" s="62"/>
      <c r="V206" s="62"/>
      <c r="W206"/>
    </row>
    <row r="207" spans="1:23" x14ac:dyDescent="0.2">
      <c r="L207" s="6"/>
    </row>
    <row r="208" spans="1:23" x14ac:dyDescent="0.2">
      <c r="L208" s="6"/>
    </row>
    <row r="209" spans="12:12" x14ac:dyDescent="0.2">
      <c r="L209" s="6"/>
    </row>
  </sheetData>
  <mergeCells count="9">
    <mergeCell ref="A8:K8"/>
    <mergeCell ref="A1:J1"/>
    <mergeCell ref="A2:J2"/>
    <mergeCell ref="L2:Q2"/>
    <mergeCell ref="L8:V8"/>
    <mergeCell ref="A3:I3"/>
    <mergeCell ref="A5:C5"/>
    <mergeCell ref="D5:E5"/>
    <mergeCell ref="A7:V7"/>
  </mergeCells>
  <phoneticPr fontId="0" type="noConversion"/>
  <conditionalFormatting sqref="C21 C24">
    <cfRule type="expression" dxfId="8" priority="4" stopIfTrue="1">
      <formula>TRUE</formula>
    </cfRule>
  </conditionalFormatting>
  <dataValidations count="1">
    <dataValidation type="list" allowBlank="1" showInputMessage="1" showErrorMessage="1" sqref="P49:P51">
      <formula1>$W$2:$W$6</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createTicker">
                <anchor moveWithCells="1">
                  <from>
                    <xdr:col>0</xdr:col>
                    <xdr:colOff>180975</xdr:colOff>
                    <xdr:row>1</xdr:row>
                    <xdr:rowOff>76200</xdr:rowOff>
                  </from>
                  <to>
                    <xdr:col>0</xdr:col>
                    <xdr:colOff>1066800</xdr:colOff>
                    <xdr:row>1</xdr:row>
                    <xdr:rowOff>276225</xdr:rowOff>
                  </to>
                </anchor>
              </controlPr>
            </control>
          </mc:Choice>
        </mc:AlternateContent>
        <mc:AlternateContent xmlns:mc="http://schemas.openxmlformats.org/markup-compatibility/2006">
          <mc:Choice Requires="x14">
            <control shapeId="18434" r:id="rId5" name="Button 2">
              <controlPr defaultSize="0" print="0" autoFill="0" autoPict="0" macro="[0]!Sheet12.requestHistoricalData">
                <anchor moveWithCells="1">
                  <from>
                    <xdr:col>2</xdr:col>
                    <xdr:colOff>542925</xdr:colOff>
                    <xdr:row>1</xdr:row>
                    <xdr:rowOff>76200</xdr:rowOff>
                  </from>
                  <to>
                    <xdr:col>4</xdr:col>
                    <xdr:colOff>552450</xdr:colOff>
                    <xdr:row>1</xdr:row>
                    <xdr:rowOff>276225</xdr:rowOff>
                  </to>
                </anchor>
              </controlPr>
            </control>
          </mc:Choice>
        </mc:AlternateContent>
        <mc:AlternateContent xmlns:mc="http://schemas.openxmlformats.org/markup-compatibility/2006">
          <mc:Choice Requires="x14">
            <control shapeId="18437" r:id="rId6" name="Button 5">
              <controlPr defaultSize="0" print="0" autoFill="0" autoPict="0" macro="[0]!createComboLegs">
                <anchor moveWithCells="1">
                  <from>
                    <xdr:col>1</xdr:col>
                    <xdr:colOff>38100</xdr:colOff>
                    <xdr:row>1</xdr:row>
                    <xdr:rowOff>76200</xdr:rowOff>
                  </from>
                  <to>
                    <xdr:col>2</xdr:col>
                    <xdr:colOff>247650</xdr:colOff>
                    <xdr:row>1</xdr:row>
                    <xdr:rowOff>276225</xdr:rowOff>
                  </to>
                </anchor>
              </controlPr>
            </control>
          </mc:Choice>
        </mc:AlternateContent>
        <mc:AlternateContent xmlns:mc="http://schemas.openxmlformats.org/markup-compatibility/2006">
          <mc:Choice Requires="x14">
            <control shapeId="18441" r:id="rId7" name="Button 9">
              <controlPr defaultSize="0" print="0" autoFill="0" autoPict="0" macro="[0]!Sheet12.cancelHistoricalData">
                <anchor moveWithCells="1" sizeWithCells="1">
                  <from>
                    <xdr:col>6</xdr:col>
                    <xdr:colOff>0</xdr:colOff>
                    <xdr:row>1</xdr:row>
                    <xdr:rowOff>76200</xdr:rowOff>
                  </from>
                  <to>
                    <xdr:col>8</xdr:col>
                    <xdr:colOff>19050</xdr:colOff>
                    <xdr:row>1</xdr:row>
                    <xdr:rowOff>276225</xdr:rowOff>
                  </to>
                </anchor>
              </controlPr>
            </control>
          </mc:Choice>
        </mc:AlternateContent>
        <mc:AlternateContent xmlns:mc="http://schemas.openxmlformats.org/markup-compatibility/2006">
          <mc:Choice Requires="x14">
            <control shapeId="18442" r:id="rId8" name="Button 10">
              <controlPr defaultSize="0" print="0" autoFill="0" autoPict="0" macro="[0]!Sheet12.onShowError">
                <anchor moveWithCells="1">
                  <from>
                    <xdr:col>8</xdr:col>
                    <xdr:colOff>342900</xdr:colOff>
                    <xdr:row>1</xdr:row>
                    <xdr:rowOff>76200</xdr:rowOff>
                  </from>
                  <to>
                    <xdr:col>9</xdr:col>
                    <xdr:colOff>38100</xdr:colOff>
                    <xdr:row>1</xdr:row>
                    <xdr:rowOff>276225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00000"/>
  </sheetPr>
  <dimension ref="A1:C698"/>
  <sheetViews>
    <sheetView tabSelected="1" workbookViewId="0">
      <selection activeCell="L10" sqref="L10"/>
    </sheetView>
  </sheetViews>
  <sheetFormatPr defaultRowHeight="12.75" x14ac:dyDescent="0.2"/>
  <cols>
    <col min="3" max="3" width="11" customWidth="1"/>
  </cols>
  <sheetData>
    <row r="1" spans="1:3" x14ac:dyDescent="0.2">
      <c r="A1" s="176" t="s">
        <v>1272</v>
      </c>
      <c r="B1" s="176" t="s">
        <v>1273</v>
      </c>
      <c r="C1" s="176" t="s">
        <v>585</v>
      </c>
    </row>
    <row r="2" spans="1:3" x14ac:dyDescent="0.2">
      <c r="A2" s="176" t="s">
        <v>794</v>
      </c>
      <c r="B2" s="13" t="b">
        <v>1</v>
      </c>
      <c r="C2">
        <v>4931</v>
      </c>
    </row>
    <row r="3" spans="1:3" x14ac:dyDescent="0.2">
      <c r="A3" s="176" t="s">
        <v>795</v>
      </c>
      <c r="B3" s="13" t="b">
        <v>1</v>
      </c>
      <c r="C3">
        <v>661417</v>
      </c>
    </row>
    <row r="4" spans="1:3" x14ac:dyDescent="0.2">
      <c r="A4" s="176" t="s">
        <v>796</v>
      </c>
      <c r="B4" s="13" t="b">
        <v>1</v>
      </c>
      <c r="C4">
        <v>9690</v>
      </c>
    </row>
    <row r="5" spans="1:3" x14ac:dyDescent="0.2">
      <c r="A5" s="176" t="s">
        <v>797</v>
      </c>
      <c r="B5" s="13" t="b">
        <v>0</v>
      </c>
      <c r="C5">
        <v>9365</v>
      </c>
    </row>
    <row r="6" spans="1:3" x14ac:dyDescent="0.2">
      <c r="A6" s="176" t="s">
        <v>798</v>
      </c>
      <c r="B6" s="13" t="b">
        <v>1</v>
      </c>
      <c r="C6">
        <v>8093509</v>
      </c>
    </row>
    <row r="7" spans="1:3" x14ac:dyDescent="0.2">
      <c r="A7" s="176" t="s">
        <v>799</v>
      </c>
      <c r="B7" s="13" t="b">
        <v>0</v>
      </c>
      <c r="C7">
        <v>52424577</v>
      </c>
    </row>
    <row r="8" spans="1:3" x14ac:dyDescent="0.2">
      <c r="A8" s="176" t="s">
        <v>800</v>
      </c>
      <c r="B8" s="13" t="b">
        <v>1</v>
      </c>
      <c r="C8">
        <v>2585769</v>
      </c>
    </row>
    <row r="9" spans="1:3" x14ac:dyDescent="0.2">
      <c r="A9" s="176" t="s">
        <v>801</v>
      </c>
      <c r="B9" s="13" t="b">
        <v>1</v>
      </c>
      <c r="C9">
        <v>661507</v>
      </c>
    </row>
    <row r="10" spans="1:3" x14ac:dyDescent="0.2">
      <c r="A10" s="176" t="s">
        <v>69</v>
      </c>
      <c r="B10" s="13" t="b">
        <v>0</v>
      </c>
      <c r="C10">
        <v>272093</v>
      </c>
    </row>
    <row r="11" spans="1:3" x14ac:dyDescent="0.2">
      <c r="A11" s="176" t="s">
        <v>802</v>
      </c>
      <c r="B11" s="13" t="b">
        <v>0</v>
      </c>
      <c r="C11">
        <v>9939</v>
      </c>
    </row>
    <row r="12" spans="1:3" x14ac:dyDescent="0.2">
      <c r="A12" s="176" t="s">
        <v>803</v>
      </c>
      <c r="B12" s="13" t="b">
        <v>0</v>
      </c>
      <c r="C12">
        <v>271568</v>
      </c>
    </row>
    <row r="13" spans="1:3" x14ac:dyDescent="0.2">
      <c r="A13" s="176" t="s">
        <v>804</v>
      </c>
      <c r="B13" s="13" t="b">
        <v>1</v>
      </c>
      <c r="C13">
        <v>9720</v>
      </c>
    </row>
    <row r="14" spans="1:3" x14ac:dyDescent="0.2">
      <c r="A14" s="176" t="s">
        <v>805</v>
      </c>
      <c r="B14" s="13" t="b">
        <v>1</v>
      </c>
      <c r="C14">
        <v>271967</v>
      </c>
    </row>
    <row r="15" spans="1:3" x14ac:dyDescent="0.2">
      <c r="A15" s="176" t="s">
        <v>806</v>
      </c>
      <c r="B15" s="13" t="b">
        <v>1</v>
      </c>
      <c r="C15">
        <v>8949</v>
      </c>
    </row>
    <row r="16" spans="1:3" x14ac:dyDescent="0.2">
      <c r="A16" s="176" t="s">
        <v>807</v>
      </c>
      <c r="B16" s="13" t="b">
        <v>1</v>
      </c>
      <c r="C16">
        <v>9952</v>
      </c>
    </row>
    <row r="17" spans="1:3" x14ac:dyDescent="0.2">
      <c r="A17" s="176" t="s">
        <v>808</v>
      </c>
      <c r="B17" s="13" t="b">
        <v>0</v>
      </c>
      <c r="C17">
        <v>9869443</v>
      </c>
    </row>
    <row r="18" spans="1:3" x14ac:dyDescent="0.2">
      <c r="A18" s="176" t="s">
        <v>809</v>
      </c>
      <c r="B18" s="13" t="b">
        <v>1</v>
      </c>
      <c r="C18">
        <v>10517</v>
      </c>
    </row>
    <row r="19" spans="1:3" x14ac:dyDescent="0.2">
      <c r="A19" s="176" t="s">
        <v>810</v>
      </c>
      <c r="B19" s="13" t="b">
        <v>1</v>
      </c>
      <c r="C19">
        <v>9599491</v>
      </c>
    </row>
    <row r="20" spans="1:3" x14ac:dyDescent="0.2">
      <c r="A20" s="176" t="s">
        <v>811</v>
      </c>
      <c r="B20" s="13" t="b">
        <v>1</v>
      </c>
      <c r="C20">
        <v>2585583</v>
      </c>
    </row>
    <row r="21" spans="1:3" x14ac:dyDescent="0.2">
      <c r="A21" s="176" t="s">
        <v>812</v>
      </c>
      <c r="B21" s="13" t="b">
        <v>0</v>
      </c>
      <c r="C21">
        <v>49921110</v>
      </c>
    </row>
    <row r="22" spans="1:3" x14ac:dyDescent="0.2">
      <c r="A22" s="176" t="s">
        <v>813</v>
      </c>
      <c r="B22" s="13" t="b">
        <v>1</v>
      </c>
      <c r="C22">
        <v>10209</v>
      </c>
    </row>
    <row r="23" spans="1:3" x14ac:dyDescent="0.2">
      <c r="A23" s="176" t="s">
        <v>814</v>
      </c>
      <c r="B23" s="13" t="b">
        <v>1</v>
      </c>
      <c r="C23">
        <v>10627</v>
      </c>
    </row>
    <row r="24" spans="1:3" x14ac:dyDescent="0.2">
      <c r="A24" s="176" t="s">
        <v>815</v>
      </c>
      <c r="B24" s="13" t="b">
        <v>1</v>
      </c>
      <c r="C24">
        <v>1715032</v>
      </c>
    </row>
    <row r="25" spans="1:3" x14ac:dyDescent="0.2">
      <c r="A25" s="176" t="s">
        <v>816</v>
      </c>
      <c r="B25" s="13" t="b">
        <v>1</v>
      </c>
      <c r="C25">
        <v>10174</v>
      </c>
    </row>
    <row r="26" spans="1:3" x14ac:dyDescent="0.2">
      <c r="A26" s="176" t="s">
        <v>817</v>
      </c>
      <c r="B26" s="13" t="b">
        <v>1</v>
      </c>
      <c r="C26">
        <v>10291</v>
      </c>
    </row>
    <row r="27" spans="1:3" x14ac:dyDescent="0.2">
      <c r="A27" s="176" t="s">
        <v>818</v>
      </c>
      <c r="B27" s="13" t="b">
        <v>1</v>
      </c>
      <c r="C27">
        <v>10109</v>
      </c>
    </row>
    <row r="28" spans="1:3" x14ac:dyDescent="0.2">
      <c r="A28" s="176" t="s">
        <v>197</v>
      </c>
      <c r="B28" s="13" t="b">
        <v>0</v>
      </c>
      <c r="C28">
        <v>208813720</v>
      </c>
    </row>
    <row r="29" spans="1:3" x14ac:dyDescent="0.2">
      <c r="A29" s="176" t="s">
        <v>819</v>
      </c>
      <c r="B29" s="13" t="b">
        <v>0</v>
      </c>
      <c r="C29">
        <v>3691937</v>
      </c>
    </row>
    <row r="30" spans="1:3" x14ac:dyDescent="0.2">
      <c r="A30" s="176" t="s">
        <v>820</v>
      </c>
      <c r="B30" s="13" t="b">
        <v>1</v>
      </c>
      <c r="C30">
        <v>4065</v>
      </c>
    </row>
    <row r="31" spans="1:3" x14ac:dyDescent="0.2">
      <c r="A31" s="176" t="s">
        <v>821</v>
      </c>
      <c r="B31" s="13" t="b">
        <v>1</v>
      </c>
      <c r="C31">
        <v>2560358</v>
      </c>
    </row>
    <row r="32" spans="1:3" x14ac:dyDescent="0.2">
      <c r="A32" s="176" t="s">
        <v>26</v>
      </c>
      <c r="B32" s="13" t="b">
        <v>1</v>
      </c>
      <c r="C32">
        <v>8314</v>
      </c>
    </row>
    <row r="33" spans="1:3" x14ac:dyDescent="0.2">
      <c r="A33" s="176" t="s">
        <v>822</v>
      </c>
      <c r="B33" s="13" t="b">
        <v>0</v>
      </c>
      <c r="C33">
        <v>265768</v>
      </c>
    </row>
    <row r="34" spans="1:3" x14ac:dyDescent="0.2">
      <c r="A34" s="176" t="s">
        <v>823</v>
      </c>
      <c r="B34" s="13" t="b">
        <v>1</v>
      </c>
      <c r="C34">
        <v>4487</v>
      </c>
    </row>
    <row r="35" spans="1:3" x14ac:dyDescent="0.2">
      <c r="A35" s="176" t="s">
        <v>824</v>
      </c>
      <c r="B35" s="13" t="b">
        <v>1</v>
      </c>
      <c r="C35">
        <v>6366</v>
      </c>
    </row>
    <row r="36" spans="1:3" x14ac:dyDescent="0.2">
      <c r="A36" s="176" t="s">
        <v>825</v>
      </c>
      <c r="B36" s="13" t="b">
        <v>1</v>
      </c>
      <c r="C36">
        <v>5021340</v>
      </c>
    </row>
    <row r="37" spans="1:3" x14ac:dyDescent="0.2">
      <c r="A37" s="176" t="s">
        <v>245</v>
      </c>
      <c r="B37" s="13" t="b">
        <v>1</v>
      </c>
      <c r="C37">
        <v>4357</v>
      </c>
    </row>
    <row r="38" spans="1:3" x14ac:dyDescent="0.2">
      <c r="A38" s="176" t="s">
        <v>826</v>
      </c>
      <c r="B38" s="13" t="b">
        <v>1</v>
      </c>
      <c r="C38">
        <v>4350</v>
      </c>
    </row>
    <row r="39" spans="1:3" x14ac:dyDescent="0.2">
      <c r="A39" s="176" t="s">
        <v>827</v>
      </c>
      <c r="B39" s="13" t="b">
        <v>1</v>
      </c>
      <c r="C39">
        <v>4005</v>
      </c>
    </row>
    <row r="40" spans="1:3" x14ac:dyDescent="0.2">
      <c r="A40" s="176" t="s">
        <v>828</v>
      </c>
      <c r="B40" s="13" t="b">
        <v>0</v>
      </c>
      <c r="C40">
        <v>266145</v>
      </c>
    </row>
    <row r="41" spans="1:3" x14ac:dyDescent="0.2">
      <c r="A41" s="176" t="s">
        <v>829</v>
      </c>
      <c r="B41" s="13" t="b">
        <v>1</v>
      </c>
      <c r="C41">
        <v>39118796</v>
      </c>
    </row>
    <row r="42" spans="1:3" x14ac:dyDescent="0.2">
      <c r="A42" s="176" t="s">
        <v>830</v>
      </c>
      <c r="B42" s="13" t="b">
        <v>1</v>
      </c>
      <c r="C42">
        <v>4721</v>
      </c>
    </row>
    <row r="43" spans="1:3" x14ac:dyDescent="0.2">
      <c r="A43" s="176" t="s">
        <v>831</v>
      </c>
      <c r="B43" s="13" t="b">
        <v>1</v>
      </c>
      <c r="C43">
        <v>4211</v>
      </c>
    </row>
    <row r="44" spans="1:3" x14ac:dyDescent="0.2">
      <c r="A44" s="176" t="s">
        <v>832</v>
      </c>
      <c r="B44" s="13" t="b">
        <v>1</v>
      </c>
      <c r="C44">
        <v>4227</v>
      </c>
    </row>
    <row r="45" spans="1:3" x14ac:dyDescent="0.2">
      <c r="A45" s="176" t="s">
        <v>833</v>
      </c>
      <c r="B45" s="13" t="b">
        <v>1</v>
      </c>
      <c r="C45">
        <v>61319701</v>
      </c>
    </row>
    <row r="46" spans="1:3" x14ac:dyDescent="0.2">
      <c r="A46" s="176" t="s">
        <v>834</v>
      </c>
      <c r="B46" s="13" t="b">
        <v>0</v>
      </c>
      <c r="C46">
        <v>4157</v>
      </c>
    </row>
    <row r="47" spans="1:3" x14ac:dyDescent="0.2">
      <c r="A47" s="176" t="s">
        <v>835</v>
      </c>
      <c r="B47" s="13" t="b">
        <v>1</v>
      </c>
      <c r="C47">
        <v>4482</v>
      </c>
    </row>
    <row r="48" spans="1:3" x14ac:dyDescent="0.2">
      <c r="A48" s="176" t="s">
        <v>836</v>
      </c>
      <c r="B48" s="13" t="b">
        <v>0</v>
      </c>
      <c r="C48">
        <v>4726176</v>
      </c>
    </row>
    <row r="49" spans="1:3" x14ac:dyDescent="0.2">
      <c r="A49" s="176" t="s">
        <v>837</v>
      </c>
      <c r="B49" s="13" t="b">
        <v>1</v>
      </c>
      <c r="C49">
        <v>13497</v>
      </c>
    </row>
    <row r="50" spans="1:3" x14ac:dyDescent="0.2">
      <c r="A50" s="176" t="s">
        <v>838</v>
      </c>
      <c r="B50" s="13" t="b">
        <v>1</v>
      </c>
      <c r="C50">
        <v>4472</v>
      </c>
    </row>
    <row r="51" spans="1:3" x14ac:dyDescent="0.2">
      <c r="A51" s="176" t="s">
        <v>839</v>
      </c>
      <c r="B51" s="13" t="b">
        <v>0</v>
      </c>
      <c r="C51">
        <v>267748</v>
      </c>
    </row>
    <row r="52" spans="1:3" x14ac:dyDescent="0.2">
      <c r="A52" s="176" t="s">
        <v>492</v>
      </c>
      <c r="B52" s="13" t="b">
        <v>0</v>
      </c>
      <c r="C52">
        <v>265598</v>
      </c>
    </row>
    <row r="53" spans="1:3" x14ac:dyDescent="0.2">
      <c r="A53" s="176" t="s">
        <v>840</v>
      </c>
      <c r="B53" s="13" t="b">
        <v>0</v>
      </c>
      <c r="C53">
        <v>266093</v>
      </c>
    </row>
    <row r="54" spans="1:3" x14ac:dyDescent="0.2">
      <c r="A54" s="176" t="s">
        <v>841</v>
      </c>
      <c r="B54" s="13" t="b">
        <v>1</v>
      </c>
      <c r="C54">
        <v>4165</v>
      </c>
    </row>
    <row r="55" spans="1:3" x14ac:dyDescent="0.2">
      <c r="A55" s="176" t="s">
        <v>842</v>
      </c>
      <c r="B55" s="13" t="b">
        <v>1</v>
      </c>
      <c r="C55">
        <v>11257</v>
      </c>
    </row>
    <row r="56" spans="1:3" x14ac:dyDescent="0.2">
      <c r="A56" s="176" t="s">
        <v>843</v>
      </c>
      <c r="B56" s="13" t="b">
        <v>1</v>
      </c>
      <c r="C56">
        <v>13181</v>
      </c>
    </row>
    <row r="57" spans="1:3" x14ac:dyDescent="0.2">
      <c r="A57" s="176" t="s">
        <v>844</v>
      </c>
      <c r="B57" s="13" t="b">
        <v>1</v>
      </c>
      <c r="C57">
        <v>4316</v>
      </c>
    </row>
    <row r="58" spans="1:3" x14ac:dyDescent="0.2">
      <c r="A58" s="176" t="s">
        <v>845</v>
      </c>
      <c r="B58" s="13" t="b">
        <v>0</v>
      </c>
      <c r="C58">
        <v>265681</v>
      </c>
    </row>
    <row r="59" spans="1:3" x14ac:dyDescent="0.2">
      <c r="A59" s="176" t="s">
        <v>846</v>
      </c>
      <c r="B59" s="13" t="b">
        <v>0</v>
      </c>
      <c r="C59">
        <v>4661</v>
      </c>
    </row>
    <row r="60" spans="1:3" x14ac:dyDescent="0.2">
      <c r="A60" s="176" t="s">
        <v>847</v>
      </c>
      <c r="B60" s="13" t="b">
        <v>1</v>
      </c>
      <c r="C60">
        <v>4750</v>
      </c>
    </row>
    <row r="61" spans="1:3" x14ac:dyDescent="0.2">
      <c r="A61" s="176" t="s">
        <v>848</v>
      </c>
      <c r="B61" s="13" t="b">
        <v>1</v>
      </c>
      <c r="C61">
        <v>4694</v>
      </c>
    </row>
    <row r="62" spans="1:3" x14ac:dyDescent="0.2">
      <c r="A62" s="176" t="s">
        <v>849</v>
      </c>
      <c r="B62" s="13" t="b">
        <v>1</v>
      </c>
      <c r="C62">
        <v>4981</v>
      </c>
    </row>
    <row r="63" spans="1:3" x14ac:dyDescent="0.2">
      <c r="A63" s="176" t="s">
        <v>850</v>
      </c>
      <c r="B63" s="13" t="b">
        <v>1</v>
      </c>
      <c r="C63">
        <v>5052</v>
      </c>
    </row>
    <row r="64" spans="1:3" x14ac:dyDescent="0.2">
      <c r="A64" s="176" t="s">
        <v>851</v>
      </c>
      <c r="B64" s="13" t="b">
        <v>1</v>
      </c>
      <c r="C64">
        <v>4851</v>
      </c>
    </row>
    <row r="65" spans="1:3" x14ac:dyDescent="0.2">
      <c r="A65" s="176" t="s">
        <v>852</v>
      </c>
      <c r="B65" s="13" t="b">
        <v>1</v>
      </c>
      <c r="C65">
        <v>8111188</v>
      </c>
    </row>
    <row r="66" spans="1:3" x14ac:dyDescent="0.2">
      <c r="A66" s="176" t="s">
        <v>853</v>
      </c>
      <c r="B66" s="13" t="b">
        <v>0</v>
      </c>
      <c r="C66">
        <v>266630</v>
      </c>
    </row>
    <row r="67" spans="1:3" x14ac:dyDescent="0.2">
      <c r="A67" s="176" t="s">
        <v>854</v>
      </c>
      <c r="B67" s="13" t="b">
        <v>1</v>
      </c>
      <c r="C67">
        <v>4886</v>
      </c>
    </row>
    <row r="68" spans="1:3" x14ac:dyDescent="0.2">
      <c r="A68" s="176" t="s">
        <v>855</v>
      </c>
      <c r="B68" s="13" t="b">
        <v>1</v>
      </c>
      <c r="C68">
        <v>4392</v>
      </c>
    </row>
    <row r="69" spans="1:3" x14ac:dyDescent="0.2">
      <c r="A69" s="176" t="s">
        <v>856</v>
      </c>
      <c r="B69" s="13" t="b">
        <v>1</v>
      </c>
      <c r="C69">
        <v>4901</v>
      </c>
    </row>
    <row r="70" spans="1:3" x14ac:dyDescent="0.2">
      <c r="A70" s="176" t="s">
        <v>857</v>
      </c>
      <c r="B70" s="13" t="b">
        <v>1</v>
      </c>
      <c r="C70">
        <v>4817</v>
      </c>
    </row>
    <row r="71" spans="1:3" x14ac:dyDescent="0.2">
      <c r="A71" s="176" t="s">
        <v>858</v>
      </c>
      <c r="B71" s="13" t="b">
        <v>1</v>
      </c>
      <c r="C71">
        <v>6608473</v>
      </c>
    </row>
    <row r="72" spans="1:3" x14ac:dyDescent="0.2">
      <c r="A72" s="176" t="s">
        <v>859</v>
      </c>
      <c r="B72" s="13" t="b">
        <v>1</v>
      </c>
      <c r="C72">
        <v>3206042</v>
      </c>
    </row>
    <row r="73" spans="1:3" x14ac:dyDescent="0.2">
      <c r="A73" s="176" t="s">
        <v>860</v>
      </c>
      <c r="B73" s="13" t="b">
        <v>1</v>
      </c>
      <c r="C73">
        <v>3265376</v>
      </c>
    </row>
    <row r="74" spans="1:3" x14ac:dyDescent="0.2">
      <c r="A74" s="176" t="s">
        <v>861</v>
      </c>
      <c r="B74" s="13" t="b">
        <v>1</v>
      </c>
      <c r="C74">
        <v>8130</v>
      </c>
    </row>
    <row r="75" spans="1:3" x14ac:dyDescent="0.2">
      <c r="A75" s="176" t="s">
        <v>862</v>
      </c>
      <c r="B75" s="13" t="b">
        <v>1</v>
      </c>
      <c r="C75">
        <v>4762</v>
      </c>
    </row>
    <row r="76" spans="1:3" x14ac:dyDescent="0.2">
      <c r="A76" s="176" t="s">
        <v>863</v>
      </c>
      <c r="B76" s="13" t="b">
        <v>1</v>
      </c>
      <c r="C76">
        <v>11634</v>
      </c>
    </row>
    <row r="77" spans="1:3" x14ac:dyDescent="0.2">
      <c r="A77" s="176" t="s">
        <v>864</v>
      </c>
      <c r="B77" s="13" t="b">
        <v>1</v>
      </c>
      <c r="C77">
        <v>5336</v>
      </c>
    </row>
    <row r="78" spans="1:3" x14ac:dyDescent="0.2">
      <c r="A78" s="176" t="s">
        <v>865</v>
      </c>
      <c r="B78" s="13" t="b">
        <v>1</v>
      </c>
      <c r="C78">
        <v>5270</v>
      </c>
    </row>
    <row r="79" spans="1:3" x14ac:dyDescent="0.2">
      <c r="A79" s="176" t="s">
        <v>866</v>
      </c>
      <c r="B79" s="13" t="b">
        <v>0</v>
      </c>
      <c r="C79">
        <v>36320731</v>
      </c>
    </row>
    <row r="80" spans="1:3" x14ac:dyDescent="0.2">
      <c r="A80" s="176" t="s">
        <v>867</v>
      </c>
      <c r="B80" s="13" t="b">
        <v>1</v>
      </c>
      <c r="C80">
        <v>5111</v>
      </c>
    </row>
    <row r="81" spans="1:3" x14ac:dyDescent="0.2">
      <c r="A81" s="176" t="s">
        <v>868</v>
      </c>
      <c r="B81" s="13" t="b">
        <v>1</v>
      </c>
      <c r="C81">
        <v>6607470</v>
      </c>
    </row>
    <row r="82" spans="1:3" x14ac:dyDescent="0.2">
      <c r="A82" s="176" t="s">
        <v>869</v>
      </c>
      <c r="B82" s="13" t="b">
        <v>1</v>
      </c>
      <c r="C82">
        <v>10794</v>
      </c>
    </row>
    <row r="83" spans="1:3" x14ac:dyDescent="0.2">
      <c r="A83" s="176" t="s">
        <v>870</v>
      </c>
      <c r="B83" s="13" t="b">
        <v>1</v>
      </c>
      <c r="C83">
        <v>5026974</v>
      </c>
    </row>
    <row r="84" spans="1:3" x14ac:dyDescent="0.2">
      <c r="A84" s="176" t="s">
        <v>871</v>
      </c>
      <c r="B84" s="13" t="b">
        <v>1</v>
      </c>
      <c r="C84">
        <v>3629755</v>
      </c>
    </row>
    <row r="85" spans="1:3" x14ac:dyDescent="0.2">
      <c r="A85" s="176" t="s">
        <v>872</v>
      </c>
      <c r="B85" s="13" t="b">
        <v>1</v>
      </c>
      <c r="C85">
        <v>11020</v>
      </c>
    </row>
    <row r="86" spans="1:3" x14ac:dyDescent="0.2">
      <c r="A86" s="176" t="s">
        <v>873</v>
      </c>
      <c r="B86" s="13" t="b">
        <v>1</v>
      </c>
      <c r="C86">
        <v>5100583</v>
      </c>
    </row>
    <row r="87" spans="1:3" x14ac:dyDescent="0.2">
      <c r="A87" s="176" t="s">
        <v>874</v>
      </c>
      <c r="B87" s="13" t="b">
        <v>0</v>
      </c>
      <c r="C87">
        <v>4173050</v>
      </c>
    </row>
    <row r="88" spans="1:3" x14ac:dyDescent="0.2">
      <c r="A88" s="176" t="s">
        <v>875</v>
      </c>
      <c r="B88" s="13" t="b">
        <v>1</v>
      </c>
      <c r="C88">
        <v>4493</v>
      </c>
    </row>
    <row r="89" spans="1:3" x14ac:dyDescent="0.2">
      <c r="A89" s="176" t="s">
        <v>876</v>
      </c>
      <c r="B89" s="13" t="b">
        <v>1</v>
      </c>
      <c r="C89">
        <v>6608432</v>
      </c>
    </row>
    <row r="90" spans="1:3" x14ac:dyDescent="0.2">
      <c r="A90" s="176" t="s">
        <v>877</v>
      </c>
      <c r="B90" s="13" t="b">
        <v>0</v>
      </c>
      <c r="C90">
        <v>6150</v>
      </c>
    </row>
    <row r="91" spans="1:3" x14ac:dyDescent="0.2">
      <c r="A91" s="176" t="s">
        <v>878</v>
      </c>
      <c r="B91" s="13" t="b">
        <v>1</v>
      </c>
      <c r="C91">
        <v>5946</v>
      </c>
    </row>
    <row r="92" spans="1:3" x14ac:dyDescent="0.2">
      <c r="A92" s="176" t="s">
        <v>879</v>
      </c>
      <c r="B92" s="13" t="b">
        <v>1</v>
      </c>
      <c r="C92">
        <v>5980</v>
      </c>
    </row>
    <row r="93" spans="1:3" x14ac:dyDescent="0.2">
      <c r="A93" s="176" t="s">
        <v>880</v>
      </c>
      <c r="B93" s="13" t="b">
        <v>1</v>
      </c>
      <c r="C93">
        <v>276066</v>
      </c>
    </row>
    <row r="94" spans="1:3" x14ac:dyDescent="0.2">
      <c r="A94" s="176" t="s">
        <v>881</v>
      </c>
      <c r="B94" s="13" t="b">
        <v>1</v>
      </c>
      <c r="C94">
        <v>5407</v>
      </c>
    </row>
    <row r="95" spans="1:3" x14ac:dyDescent="0.2">
      <c r="A95" s="176" t="s">
        <v>882</v>
      </c>
      <c r="B95" s="13" t="b">
        <v>1</v>
      </c>
      <c r="C95">
        <v>5437</v>
      </c>
    </row>
    <row r="96" spans="1:3" x14ac:dyDescent="0.2">
      <c r="A96" s="176" t="s">
        <v>883</v>
      </c>
      <c r="B96" s="13" t="b">
        <v>0</v>
      </c>
      <c r="C96">
        <v>267455</v>
      </c>
    </row>
    <row r="97" spans="1:3" x14ac:dyDescent="0.2">
      <c r="A97" s="176" t="s">
        <v>884</v>
      </c>
      <c r="B97" s="13" t="b">
        <v>0</v>
      </c>
      <c r="C97">
        <v>1767080</v>
      </c>
    </row>
    <row r="98" spans="1:3" x14ac:dyDescent="0.2">
      <c r="A98" s="176" t="s">
        <v>885</v>
      </c>
      <c r="B98" s="13" t="b">
        <v>1</v>
      </c>
      <c r="C98">
        <v>6180</v>
      </c>
    </row>
    <row r="99" spans="1:3" x14ac:dyDescent="0.2">
      <c r="A99" s="176" t="s">
        <v>886</v>
      </c>
      <c r="B99" s="13" t="b">
        <v>0</v>
      </c>
      <c r="C99">
        <v>267475</v>
      </c>
    </row>
    <row r="100" spans="1:3" x14ac:dyDescent="0.2">
      <c r="A100" s="176" t="s">
        <v>887</v>
      </c>
      <c r="B100" s="13" t="b">
        <v>1</v>
      </c>
      <c r="C100">
        <v>1520593</v>
      </c>
    </row>
    <row r="101" spans="1:3" x14ac:dyDescent="0.2">
      <c r="A101" s="176" t="s">
        <v>888</v>
      </c>
      <c r="B101" s="13" t="b">
        <v>1</v>
      </c>
      <c r="C101">
        <v>5651</v>
      </c>
    </row>
    <row r="102" spans="1:3" x14ac:dyDescent="0.2">
      <c r="A102" s="176" t="s">
        <v>889</v>
      </c>
      <c r="B102" s="13" t="b">
        <v>1</v>
      </c>
      <c r="C102">
        <v>5702</v>
      </c>
    </row>
    <row r="103" spans="1:3" x14ac:dyDescent="0.2">
      <c r="A103" s="176" t="s">
        <v>890</v>
      </c>
      <c r="B103" s="13" t="b">
        <v>0</v>
      </c>
      <c r="C103">
        <v>267661</v>
      </c>
    </row>
    <row r="104" spans="1:3" x14ac:dyDescent="0.2">
      <c r="A104" s="176" t="s">
        <v>891</v>
      </c>
      <c r="B104" s="13" t="b">
        <v>0</v>
      </c>
      <c r="C104">
        <v>268149</v>
      </c>
    </row>
    <row r="105" spans="1:3" x14ac:dyDescent="0.2">
      <c r="A105" s="176" t="s">
        <v>892</v>
      </c>
      <c r="B105" s="13" t="b">
        <v>0</v>
      </c>
      <c r="C105">
        <v>51575076</v>
      </c>
    </row>
    <row r="106" spans="1:3" x14ac:dyDescent="0.2">
      <c r="A106" s="176" t="s">
        <v>563</v>
      </c>
      <c r="B106" s="13" t="b">
        <v>0</v>
      </c>
      <c r="C106">
        <v>268084</v>
      </c>
    </row>
    <row r="107" spans="1:3" x14ac:dyDescent="0.2">
      <c r="A107" s="176" t="s">
        <v>893</v>
      </c>
      <c r="B107" s="13" t="b">
        <v>1</v>
      </c>
      <c r="C107">
        <v>5794</v>
      </c>
    </row>
    <row r="108" spans="1:3" x14ac:dyDescent="0.2">
      <c r="A108" s="176" t="s">
        <v>894</v>
      </c>
      <c r="B108" s="13" t="b">
        <v>1</v>
      </c>
      <c r="C108">
        <v>8894</v>
      </c>
    </row>
    <row r="109" spans="1:3" x14ac:dyDescent="0.2">
      <c r="A109" s="176" t="s">
        <v>895</v>
      </c>
      <c r="B109" s="13" t="b">
        <v>1</v>
      </c>
      <c r="C109">
        <v>5749</v>
      </c>
    </row>
    <row r="110" spans="1:3" x14ac:dyDescent="0.2">
      <c r="A110" s="176" t="s">
        <v>896</v>
      </c>
      <c r="B110" s="13" t="b">
        <v>0</v>
      </c>
      <c r="C110">
        <v>9358</v>
      </c>
    </row>
    <row r="111" spans="1:3" x14ac:dyDescent="0.2">
      <c r="A111" s="176" t="s">
        <v>897</v>
      </c>
      <c r="B111" s="13" t="b">
        <v>1</v>
      </c>
      <c r="C111">
        <v>5800</v>
      </c>
    </row>
    <row r="112" spans="1:3" x14ac:dyDescent="0.2">
      <c r="A112" s="176" t="s">
        <v>898</v>
      </c>
      <c r="B112" s="13" t="b">
        <v>1</v>
      </c>
      <c r="C112">
        <v>10188791</v>
      </c>
    </row>
    <row r="113" spans="1:3" x14ac:dyDescent="0.2">
      <c r="A113" s="176" t="s">
        <v>899</v>
      </c>
      <c r="B113" s="13" t="b">
        <v>0</v>
      </c>
      <c r="C113">
        <v>37875225</v>
      </c>
    </row>
    <row r="114" spans="1:3" x14ac:dyDescent="0.2">
      <c r="A114" s="176" t="s">
        <v>900</v>
      </c>
      <c r="B114" s="13" t="b">
        <v>1</v>
      </c>
      <c r="C114">
        <v>5402</v>
      </c>
    </row>
    <row r="115" spans="1:3" x14ac:dyDescent="0.2">
      <c r="A115" s="176" t="s">
        <v>901</v>
      </c>
      <c r="B115" s="13" t="b">
        <v>1</v>
      </c>
      <c r="C115">
        <v>6691</v>
      </c>
    </row>
    <row r="116" spans="1:3" x14ac:dyDescent="0.2">
      <c r="A116" s="176" t="s">
        <v>902</v>
      </c>
      <c r="B116" s="13" t="b">
        <v>1</v>
      </c>
      <c r="C116">
        <v>5840</v>
      </c>
    </row>
    <row r="117" spans="1:3" x14ac:dyDescent="0.2">
      <c r="A117" s="176" t="s">
        <v>903</v>
      </c>
      <c r="B117" s="13" t="b">
        <v>1</v>
      </c>
      <c r="C117">
        <v>7655</v>
      </c>
    </row>
    <row r="118" spans="1:3" x14ac:dyDescent="0.2">
      <c r="A118" s="176" t="s">
        <v>904</v>
      </c>
      <c r="B118" s="13" t="b">
        <v>1</v>
      </c>
      <c r="C118">
        <v>4082282</v>
      </c>
    </row>
    <row r="119" spans="1:3" x14ac:dyDescent="0.2">
      <c r="A119" s="176" t="s">
        <v>905</v>
      </c>
      <c r="B119" s="13" t="b">
        <v>1</v>
      </c>
      <c r="C119">
        <v>6207</v>
      </c>
    </row>
    <row r="120" spans="1:3" x14ac:dyDescent="0.2">
      <c r="A120" s="176" t="s">
        <v>906</v>
      </c>
      <c r="B120" s="13" t="b">
        <v>1</v>
      </c>
      <c r="C120">
        <v>6477855</v>
      </c>
    </row>
    <row r="121" spans="1:3" x14ac:dyDescent="0.2">
      <c r="A121" s="176" t="s">
        <v>907</v>
      </c>
      <c r="B121" s="13" t="b">
        <v>1</v>
      </c>
      <c r="C121">
        <v>268627</v>
      </c>
    </row>
    <row r="122" spans="1:3" x14ac:dyDescent="0.2">
      <c r="A122" s="176" t="s">
        <v>908</v>
      </c>
      <c r="B122" s="13" t="b">
        <v>1</v>
      </c>
      <c r="C122">
        <v>6442</v>
      </c>
    </row>
    <row r="123" spans="1:3" x14ac:dyDescent="0.2">
      <c r="A123" s="176" t="s">
        <v>909</v>
      </c>
      <c r="B123" s="13" t="b">
        <v>1</v>
      </c>
      <c r="C123">
        <v>6497</v>
      </c>
    </row>
    <row r="124" spans="1:3" x14ac:dyDescent="0.2">
      <c r="A124" s="176" t="s">
        <v>910</v>
      </c>
      <c r="B124" s="13" t="b">
        <v>0</v>
      </c>
      <c r="C124">
        <v>4728759</v>
      </c>
    </row>
    <row r="125" spans="1:3" x14ac:dyDescent="0.2">
      <c r="A125" s="176" t="s">
        <v>911</v>
      </c>
      <c r="B125" s="13" t="b">
        <v>1</v>
      </c>
      <c r="C125">
        <v>6437</v>
      </c>
    </row>
    <row r="126" spans="1:3" x14ac:dyDescent="0.2">
      <c r="A126" s="176" t="s">
        <v>912</v>
      </c>
      <c r="B126" s="13" t="b">
        <v>1</v>
      </c>
      <c r="C126">
        <v>1311127</v>
      </c>
    </row>
    <row r="127" spans="1:3" x14ac:dyDescent="0.2">
      <c r="A127" s="176" t="s">
        <v>913</v>
      </c>
      <c r="B127" s="13" t="b">
        <v>1</v>
      </c>
      <c r="C127">
        <v>6393</v>
      </c>
    </row>
    <row r="128" spans="1:3" x14ac:dyDescent="0.2">
      <c r="A128" s="176" t="s">
        <v>914</v>
      </c>
      <c r="B128" s="13" t="b">
        <v>1</v>
      </c>
      <c r="C128">
        <v>2841574</v>
      </c>
    </row>
    <row r="129" spans="1:3" x14ac:dyDescent="0.2">
      <c r="A129" s="176" t="s">
        <v>915</v>
      </c>
      <c r="B129" s="13" t="b">
        <v>1</v>
      </c>
      <c r="C129">
        <v>6478024</v>
      </c>
    </row>
    <row r="130" spans="1:3" x14ac:dyDescent="0.2">
      <c r="A130" s="176" t="s">
        <v>916</v>
      </c>
      <c r="B130" s="13" t="b">
        <v>1</v>
      </c>
      <c r="C130">
        <v>6459</v>
      </c>
    </row>
    <row r="131" spans="1:3" x14ac:dyDescent="0.2">
      <c r="A131" s="176" t="s">
        <v>917</v>
      </c>
      <c r="B131" s="13" t="b">
        <v>0</v>
      </c>
      <c r="C131">
        <v>49388062</v>
      </c>
    </row>
    <row r="132" spans="1:3" x14ac:dyDescent="0.2">
      <c r="A132" s="176" t="s">
        <v>918</v>
      </c>
      <c r="B132" s="13" t="b">
        <v>1</v>
      </c>
      <c r="C132">
        <v>6517</v>
      </c>
    </row>
    <row r="133" spans="1:3" x14ac:dyDescent="0.2">
      <c r="A133" s="176" t="s">
        <v>919</v>
      </c>
      <c r="B133" s="13" t="b">
        <v>1</v>
      </c>
      <c r="C133">
        <v>6522</v>
      </c>
    </row>
    <row r="134" spans="1:3" x14ac:dyDescent="0.2">
      <c r="A134" s="176" t="s">
        <v>920</v>
      </c>
      <c r="B134" s="13" t="b">
        <v>1</v>
      </c>
      <c r="C134">
        <v>10811</v>
      </c>
    </row>
    <row r="135" spans="1:3" x14ac:dyDescent="0.2">
      <c r="A135" s="176" t="s">
        <v>921</v>
      </c>
      <c r="B135" s="13" t="b">
        <v>1</v>
      </c>
      <c r="C135">
        <v>6585</v>
      </c>
    </row>
    <row r="136" spans="1:3" x14ac:dyDescent="0.2">
      <c r="A136" s="176" t="s">
        <v>922</v>
      </c>
      <c r="B136" s="13" t="b">
        <v>1</v>
      </c>
      <c r="C136">
        <v>6477749</v>
      </c>
    </row>
    <row r="137" spans="1:3" x14ac:dyDescent="0.2">
      <c r="A137" s="176" t="s">
        <v>923</v>
      </c>
      <c r="B137" s="13" t="b">
        <v>1</v>
      </c>
      <c r="C137">
        <v>661440</v>
      </c>
    </row>
    <row r="138" spans="1:3" x14ac:dyDescent="0.2">
      <c r="A138" s="176" t="s">
        <v>924</v>
      </c>
      <c r="B138" s="13" t="b">
        <v>0</v>
      </c>
      <c r="C138">
        <v>4347086</v>
      </c>
    </row>
    <row r="139" spans="1:3" x14ac:dyDescent="0.2">
      <c r="A139" s="176" t="s">
        <v>925</v>
      </c>
      <c r="B139" s="13" t="b">
        <v>1</v>
      </c>
      <c r="C139">
        <v>6813</v>
      </c>
    </row>
    <row r="140" spans="1:3" x14ac:dyDescent="0.2">
      <c r="A140" s="176" t="s">
        <v>926</v>
      </c>
      <c r="B140" s="13" t="b">
        <v>1</v>
      </c>
      <c r="C140">
        <v>10098</v>
      </c>
    </row>
    <row r="141" spans="1:3" x14ac:dyDescent="0.2">
      <c r="A141" s="176" t="s">
        <v>36</v>
      </c>
      <c r="B141" s="13" t="b">
        <v>1</v>
      </c>
      <c r="C141">
        <v>87335484</v>
      </c>
    </row>
    <row r="142" spans="1:3" x14ac:dyDescent="0.2">
      <c r="A142" s="176" t="s">
        <v>927</v>
      </c>
      <c r="B142" s="13" t="b">
        <v>1</v>
      </c>
      <c r="C142">
        <v>6832</v>
      </c>
    </row>
    <row r="143" spans="1:3" x14ac:dyDescent="0.2">
      <c r="A143" s="176" t="s">
        <v>928</v>
      </c>
      <c r="B143" s="13" t="b">
        <v>0</v>
      </c>
      <c r="C143">
        <v>75961319</v>
      </c>
    </row>
    <row r="144" spans="1:3" x14ac:dyDescent="0.2">
      <c r="A144" s="176" t="s">
        <v>929</v>
      </c>
      <c r="B144" s="13" t="b">
        <v>1</v>
      </c>
      <c r="C144">
        <v>6682</v>
      </c>
    </row>
    <row r="145" spans="1:3" x14ac:dyDescent="0.2">
      <c r="A145" s="176" t="s">
        <v>930</v>
      </c>
      <c r="B145" s="13" t="b">
        <v>1</v>
      </c>
      <c r="C145">
        <v>6737</v>
      </c>
    </row>
    <row r="146" spans="1:3" x14ac:dyDescent="0.2">
      <c r="A146" s="176" t="s">
        <v>931</v>
      </c>
      <c r="B146" s="13" t="b">
        <v>0</v>
      </c>
      <c r="C146">
        <v>268995</v>
      </c>
    </row>
    <row r="147" spans="1:3" x14ac:dyDescent="0.2">
      <c r="A147" s="176" t="s">
        <v>932</v>
      </c>
      <c r="B147" s="13" t="b">
        <v>1</v>
      </c>
      <c r="C147">
        <v>29624264</v>
      </c>
    </row>
    <row r="148" spans="1:3" x14ac:dyDescent="0.2">
      <c r="A148" s="176" t="s">
        <v>933</v>
      </c>
      <c r="B148" s="13" t="b">
        <v>1</v>
      </c>
      <c r="C148">
        <v>6842</v>
      </c>
    </row>
    <row r="149" spans="1:3" x14ac:dyDescent="0.2">
      <c r="A149" s="176" t="s">
        <v>934</v>
      </c>
      <c r="B149" s="13" t="b">
        <v>1</v>
      </c>
      <c r="C149">
        <v>6946</v>
      </c>
    </row>
    <row r="150" spans="1:3" x14ac:dyDescent="0.2">
      <c r="A150" s="176" t="s">
        <v>935</v>
      </c>
      <c r="B150" s="13" t="b">
        <v>1</v>
      </c>
      <c r="C150">
        <v>6969</v>
      </c>
    </row>
    <row r="151" spans="1:3" x14ac:dyDescent="0.2">
      <c r="A151" s="176" t="s">
        <v>936</v>
      </c>
      <c r="B151" s="13" t="b">
        <v>1</v>
      </c>
      <c r="C151">
        <v>6890</v>
      </c>
    </row>
    <row r="152" spans="1:3" x14ac:dyDescent="0.2">
      <c r="A152" s="176" t="s">
        <v>937</v>
      </c>
      <c r="B152" s="13" t="b">
        <v>1</v>
      </c>
      <c r="C152">
        <v>6735</v>
      </c>
    </row>
    <row r="153" spans="1:3" x14ac:dyDescent="0.2">
      <c r="A153" s="176" t="s">
        <v>938</v>
      </c>
      <c r="B153" s="13" t="b">
        <v>1</v>
      </c>
      <c r="C153">
        <v>6917</v>
      </c>
    </row>
    <row r="154" spans="1:3" x14ac:dyDescent="0.2">
      <c r="A154" s="176" t="s">
        <v>939</v>
      </c>
      <c r="B154" s="13" t="b">
        <v>1</v>
      </c>
      <c r="C154">
        <v>57698865</v>
      </c>
    </row>
    <row r="155" spans="1:3" x14ac:dyDescent="0.2">
      <c r="A155" s="176" t="s">
        <v>940</v>
      </c>
      <c r="B155" s="13" t="b">
        <v>1</v>
      </c>
      <c r="C155">
        <v>1448477</v>
      </c>
    </row>
    <row r="156" spans="1:3" x14ac:dyDescent="0.2">
      <c r="A156" s="176" t="s">
        <v>941</v>
      </c>
      <c r="B156" s="13" t="b">
        <v>0</v>
      </c>
      <c r="C156">
        <v>269082</v>
      </c>
    </row>
    <row r="157" spans="1:3" x14ac:dyDescent="0.2">
      <c r="A157" s="176" t="s">
        <v>942</v>
      </c>
      <c r="B157" s="13" t="b">
        <v>1</v>
      </c>
      <c r="C157">
        <v>13977</v>
      </c>
    </row>
    <row r="158" spans="1:3" x14ac:dyDescent="0.2">
      <c r="A158" s="176" t="s">
        <v>943</v>
      </c>
      <c r="B158" s="13" t="b">
        <v>1</v>
      </c>
      <c r="C158">
        <v>7238</v>
      </c>
    </row>
    <row r="159" spans="1:3" x14ac:dyDescent="0.2">
      <c r="A159" s="176" t="s">
        <v>944</v>
      </c>
      <c r="B159" s="13" t="b">
        <v>1</v>
      </c>
      <c r="C159">
        <v>75960201</v>
      </c>
    </row>
    <row r="160" spans="1:3" x14ac:dyDescent="0.2">
      <c r="A160" s="176" t="s">
        <v>945</v>
      </c>
      <c r="B160" s="13" t="b">
        <v>1</v>
      </c>
      <c r="C160">
        <v>27727424</v>
      </c>
    </row>
    <row r="161" spans="1:3" x14ac:dyDescent="0.2">
      <c r="A161" s="176" t="s">
        <v>946</v>
      </c>
      <c r="B161" s="13" t="b">
        <v>0</v>
      </c>
      <c r="C161">
        <v>269120</v>
      </c>
    </row>
    <row r="162" spans="1:3" x14ac:dyDescent="0.2">
      <c r="A162" s="176" t="s">
        <v>947</v>
      </c>
      <c r="B162" s="13" t="b">
        <v>0</v>
      </c>
      <c r="C162">
        <v>269318</v>
      </c>
    </row>
    <row r="163" spans="1:3" x14ac:dyDescent="0.2">
      <c r="A163" s="176" t="s">
        <v>948</v>
      </c>
      <c r="B163" s="13" t="b">
        <v>1</v>
      </c>
      <c r="C163">
        <v>2585323</v>
      </c>
    </row>
    <row r="164" spans="1:3" x14ac:dyDescent="0.2">
      <c r="A164" s="176" t="s">
        <v>949</v>
      </c>
      <c r="B164" s="13" t="b">
        <v>0</v>
      </c>
      <c r="C164">
        <v>269315</v>
      </c>
    </row>
    <row r="165" spans="1:3" x14ac:dyDescent="0.2">
      <c r="A165" s="176" t="s">
        <v>950</v>
      </c>
      <c r="B165" s="13" t="b">
        <v>0</v>
      </c>
      <c r="C165">
        <v>269345</v>
      </c>
    </row>
    <row r="166" spans="1:3" x14ac:dyDescent="0.2">
      <c r="A166" s="176" t="s">
        <v>951</v>
      </c>
      <c r="B166" s="13" t="b">
        <v>1</v>
      </c>
      <c r="C166">
        <v>44475946</v>
      </c>
    </row>
    <row r="167" spans="1:3" x14ac:dyDescent="0.2">
      <c r="A167" s="176" t="s">
        <v>952</v>
      </c>
      <c r="B167" s="13" t="b">
        <v>1</v>
      </c>
      <c r="C167">
        <v>4906</v>
      </c>
    </row>
    <row r="168" spans="1:3" x14ac:dyDescent="0.2">
      <c r="A168" s="176" t="s">
        <v>953</v>
      </c>
      <c r="B168" s="13" t="b">
        <v>1</v>
      </c>
      <c r="C168">
        <v>7089</v>
      </c>
    </row>
    <row r="169" spans="1:3" x14ac:dyDescent="0.2">
      <c r="A169" s="176" t="s">
        <v>954</v>
      </c>
      <c r="B169" s="13" t="b">
        <v>1</v>
      </c>
      <c r="C169">
        <v>7765</v>
      </c>
    </row>
    <row r="170" spans="1:3" x14ac:dyDescent="0.2">
      <c r="A170" s="176" t="s">
        <v>955</v>
      </c>
      <c r="B170" s="13" t="b">
        <v>0</v>
      </c>
      <c r="C170">
        <v>224225737</v>
      </c>
    </row>
    <row r="171" spans="1:3" x14ac:dyDescent="0.2">
      <c r="A171" s="176" t="s">
        <v>956</v>
      </c>
      <c r="B171" s="13" t="b">
        <v>1</v>
      </c>
      <c r="C171">
        <v>7496</v>
      </c>
    </row>
    <row r="172" spans="1:3" x14ac:dyDescent="0.2">
      <c r="A172" s="176" t="s">
        <v>957</v>
      </c>
      <c r="B172" s="13" t="b">
        <v>1</v>
      </c>
      <c r="C172">
        <v>7616</v>
      </c>
    </row>
    <row r="173" spans="1:3" x14ac:dyDescent="0.2">
      <c r="A173" s="176" t="s">
        <v>958</v>
      </c>
      <c r="B173" s="13" t="b">
        <v>1</v>
      </c>
      <c r="C173">
        <v>7745</v>
      </c>
    </row>
    <row r="174" spans="1:3" x14ac:dyDescent="0.2">
      <c r="A174" s="176" t="s">
        <v>959</v>
      </c>
      <c r="B174" s="13" t="b">
        <v>0</v>
      </c>
      <c r="C174">
        <v>269753</v>
      </c>
    </row>
    <row r="175" spans="1:3" x14ac:dyDescent="0.2">
      <c r="A175" s="176" t="s">
        <v>960</v>
      </c>
      <c r="B175" s="13" t="b">
        <v>0</v>
      </c>
      <c r="C175">
        <v>7830</v>
      </c>
    </row>
    <row r="176" spans="1:3" x14ac:dyDescent="0.2">
      <c r="A176" s="176" t="s">
        <v>961</v>
      </c>
      <c r="B176" s="13" t="b">
        <v>1</v>
      </c>
      <c r="C176">
        <v>9657</v>
      </c>
    </row>
    <row r="177" spans="1:3" x14ac:dyDescent="0.2">
      <c r="A177" s="176" t="s">
        <v>962</v>
      </c>
      <c r="B177" s="13" t="b">
        <v>0</v>
      </c>
      <c r="C177">
        <v>4815747</v>
      </c>
    </row>
    <row r="178" spans="1:3" x14ac:dyDescent="0.2">
      <c r="A178" s="176" t="s">
        <v>89</v>
      </c>
      <c r="B178" s="13" t="b">
        <v>1</v>
      </c>
      <c r="C178">
        <v>7516</v>
      </c>
    </row>
    <row r="179" spans="1:3" x14ac:dyDescent="0.2">
      <c r="A179" s="176" t="s">
        <v>963</v>
      </c>
      <c r="B179" s="13" t="b">
        <v>1</v>
      </c>
      <c r="C179">
        <v>7867</v>
      </c>
    </row>
    <row r="180" spans="1:3" x14ac:dyDescent="0.2">
      <c r="A180" s="176" t="s">
        <v>964</v>
      </c>
      <c r="B180" s="13" t="b">
        <v>1</v>
      </c>
      <c r="C180">
        <v>7890</v>
      </c>
    </row>
    <row r="181" spans="1:3" x14ac:dyDescent="0.2">
      <c r="A181" s="176" t="s">
        <v>965</v>
      </c>
      <c r="B181" s="13" t="b">
        <v>1</v>
      </c>
      <c r="C181">
        <v>4627828</v>
      </c>
    </row>
    <row r="182" spans="1:3" x14ac:dyDescent="0.2">
      <c r="A182" s="176" t="s">
        <v>966</v>
      </c>
      <c r="B182" s="13" t="b">
        <v>1</v>
      </c>
      <c r="C182">
        <v>7935</v>
      </c>
    </row>
    <row r="183" spans="1:3" x14ac:dyDescent="0.2">
      <c r="A183" s="176" t="s">
        <v>967</v>
      </c>
      <c r="B183" s="13" t="b">
        <v>1</v>
      </c>
      <c r="C183">
        <v>7896</v>
      </c>
    </row>
    <row r="184" spans="1:3" x14ac:dyDescent="0.2">
      <c r="A184" s="176" t="s">
        <v>968</v>
      </c>
      <c r="B184" s="13" t="b">
        <v>1</v>
      </c>
      <c r="C184">
        <v>8160</v>
      </c>
    </row>
    <row r="185" spans="1:3" x14ac:dyDescent="0.2">
      <c r="A185" s="176" t="s">
        <v>969</v>
      </c>
      <c r="B185" s="13" t="b">
        <v>0</v>
      </c>
      <c r="C185">
        <v>754956</v>
      </c>
    </row>
    <row r="186" spans="1:3" x14ac:dyDescent="0.2">
      <c r="A186" s="176" t="s">
        <v>970</v>
      </c>
      <c r="B186" s="13" t="b">
        <v>0</v>
      </c>
      <c r="C186">
        <v>3655640</v>
      </c>
    </row>
    <row r="187" spans="1:3" x14ac:dyDescent="0.2">
      <c r="A187" s="176" t="s">
        <v>971</v>
      </c>
      <c r="B187" s="13" t="b">
        <v>1</v>
      </c>
      <c r="C187">
        <v>46126937</v>
      </c>
    </row>
    <row r="188" spans="1:3" x14ac:dyDescent="0.2">
      <c r="A188" s="176" t="s">
        <v>972</v>
      </c>
      <c r="B188" s="13" t="b">
        <v>1</v>
      </c>
      <c r="C188">
        <v>8097</v>
      </c>
    </row>
    <row r="189" spans="1:3" x14ac:dyDescent="0.2">
      <c r="A189" s="176" t="s">
        <v>973</v>
      </c>
      <c r="B189" s="13" t="b">
        <v>1</v>
      </c>
      <c r="C189">
        <v>8199</v>
      </c>
    </row>
    <row r="190" spans="1:3" x14ac:dyDescent="0.2">
      <c r="A190" s="176" t="s">
        <v>974</v>
      </c>
      <c r="B190" s="13" t="b">
        <v>0</v>
      </c>
      <c r="C190">
        <v>6248713</v>
      </c>
    </row>
    <row r="191" spans="1:3" x14ac:dyDescent="0.2">
      <c r="A191" s="176" t="s">
        <v>975</v>
      </c>
      <c r="B191" s="13" t="b">
        <v>1</v>
      </c>
      <c r="C191">
        <v>4740381</v>
      </c>
    </row>
    <row r="192" spans="1:3" x14ac:dyDescent="0.2">
      <c r="A192" s="176" t="s">
        <v>976</v>
      </c>
      <c r="B192" s="13" t="b">
        <v>1</v>
      </c>
      <c r="C192">
        <v>6248722</v>
      </c>
    </row>
    <row r="193" spans="1:3" x14ac:dyDescent="0.2">
      <c r="A193" s="176" t="s">
        <v>977</v>
      </c>
      <c r="B193" s="13" t="b">
        <v>1</v>
      </c>
      <c r="C193">
        <v>13277</v>
      </c>
    </row>
    <row r="194" spans="1:3" x14ac:dyDescent="0.2">
      <c r="A194" s="176" t="s">
        <v>978</v>
      </c>
      <c r="B194" s="13" t="b">
        <v>1</v>
      </c>
      <c r="C194">
        <v>7930</v>
      </c>
    </row>
    <row r="195" spans="1:3" x14ac:dyDescent="0.2">
      <c r="A195" s="176" t="s">
        <v>979</v>
      </c>
      <c r="B195" s="13" t="b">
        <v>1</v>
      </c>
      <c r="C195">
        <v>8153</v>
      </c>
    </row>
    <row r="196" spans="1:3" x14ac:dyDescent="0.2">
      <c r="A196" s="176" t="s">
        <v>980</v>
      </c>
      <c r="B196" s="13" t="b">
        <v>1</v>
      </c>
      <c r="C196">
        <v>8093</v>
      </c>
    </row>
    <row r="197" spans="1:3" x14ac:dyDescent="0.2">
      <c r="A197" s="176" t="s">
        <v>981</v>
      </c>
      <c r="B197" s="13" t="b">
        <v>1</v>
      </c>
      <c r="C197">
        <v>8251</v>
      </c>
    </row>
    <row r="198" spans="1:3" x14ac:dyDescent="0.2">
      <c r="A198" s="176" t="s">
        <v>982</v>
      </c>
      <c r="B198" s="13" t="b">
        <v>0</v>
      </c>
      <c r="C198">
        <v>270825</v>
      </c>
    </row>
    <row r="199" spans="1:3" x14ac:dyDescent="0.2">
      <c r="A199" s="176" t="s">
        <v>983</v>
      </c>
      <c r="B199" s="13" t="b">
        <v>0</v>
      </c>
      <c r="C199">
        <v>270018</v>
      </c>
    </row>
    <row r="200" spans="1:3" x14ac:dyDescent="0.2">
      <c r="A200" s="176" t="s">
        <v>984</v>
      </c>
      <c r="B200" s="13" t="b">
        <v>1</v>
      </c>
      <c r="C200">
        <v>5090107</v>
      </c>
    </row>
    <row r="201" spans="1:3" x14ac:dyDescent="0.2">
      <c r="A201" s="176" t="s">
        <v>985</v>
      </c>
      <c r="B201" s="13" t="b">
        <v>0</v>
      </c>
      <c r="C201">
        <v>26734397</v>
      </c>
    </row>
    <row r="202" spans="1:3" x14ac:dyDescent="0.2">
      <c r="A202" s="176" t="s">
        <v>986</v>
      </c>
      <c r="B202" s="13" t="b">
        <v>1</v>
      </c>
      <c r="C202">
        <v>8620</v>
      </c>
    </row>
    <row r="203" spans="1:3" x14ac:dyDescent="0.2">
      <c r="A203" s="176" t="s">
        <v>987</v>
      </c>
      <c r="B203" s="13" t="b">
        <v>0</v>
      </c>
      <c r="C203">
        <v>270662</v>
      </c>
    </row>
    <row r="204" spans="1:3" x14ac:dyDescent="0.2">
      <c r="A204" s="176" t="s">
        <v>988</v>
      </c>
      <c r="B204" s="13" t="b">
        <v>0</v>
      </c>
      <c r="C204">
        <v>270639</v>
      </c>
    </row>
    <row r="205" spans="1:3" x14ac:dyDescent="0.2">
      <c r="A205" s="176" t="s">
        <v>989</v>
      </c>
      <c r="B205" s="13" t="b">
        <v>1</v>
      </c>
      <c r="C205">
        <v>8385</v>
      </c>
    </row>
    <row r="206" spans="1:3" x14ac:dyDescent="0.2">
      <c r="A206" s="176" t="s">
        <v>990</v>
      </c>
      <c r="B206" s="13" t="b">
        <v>1</v>
      </c>
      <c r="C206">
        <v>8511</v>
      </c>
    </row>
    <row r="207" spans="1:3" x14ac:dyDescent="0.2">
      <c r="A207" s="176" t="s">
        <v>991</v>
      </c>
      <c r="B207" s="13" t="b">
        <v>1</v>
      </c>
      <c r="C207">
        <v>8514</v>
      </c>
    </row>
    <row r="208" spans="1:3" x14ac:dyDescent="0.2">
      <c r="A208" s="176" t="s">
        <v>992</v>
      </c>
      <c r="B208" s="13" t="b">
        <v>1</v>
      </c>
      <c r="C208">
        <v>8660</v>
      </c>
    </row>
    <row r="209" spans="1:3" x14ac:dyDescent="0.2">
      <c r="A209" s="176" t="s">
        <v>993</v>
      </c>
      <c r="B209" s="13" t="b">
        <v>1</v>
      </c>
      <c r="C209">
        <v>8719</v>
      </c>
    </row>
    <row r="210" spans="1:3" x14ac:dyDescent="0.2">
      <c r="A210" s="176" t="s">
        <v>994</v>
      </c>
      <c r="B210" s="13" t="b">
        <v>1</v>
      </c>
      <c r="C210">
        <v>1217009</v>
      </c>
    </row>
    <row r="211" spans="1:3" x14ac:dyDescent="0.2">
      <c r="A211" s="176" t="s">
        <v>995</v>
      </c>
      <c r="B211" s="13" t="b">
        <v>1</v>
      </c>
      <c r="C211">
        <v>8650</v>
      </c>
    </row>
    <row r="212" spans="1:3" x14ac:dyDescent="0.2">
      <c r="A212" s="176" t="s">
        <v>996</v>
      </c>
      <c r="B212" s="13" t="b">
        <v>0</v>
      </c>
      <c r="C212">
        <v>270957</v>
      </c>
    </row>
    <row r="213" spans="1:3" x14ac:dyDescent="0.2">
      <c r="A213" s="176" t="s">
        <v>997</v>
      </c>
      <c r="B213" s="13" t="b">
        <v>1</v>
      </c>
      <c r="C213">
        <v>754442</v>
      </c>
    </row>
    <row r="214" spans="1:3" x14ac:dyDescent="0.2">
      <c r="A214" s="176" t="s">
        <v>998</v>
      </c>
      <c r="B214" s="13" t="b">
        <v>1</v>
      </c>
      <c r="C214">
        <v>8758</v>
      </c>
    </row>
    <row r="215" spans="1:3" x14ac:dyDescent="0.2">
      <c r="A215" s="176" t="s">
        <v>999</v>
      </c>
      <c r="B215" s="13" t="b">
        <v>1</v>
      </c>
      <c r="C215">
        <v>8809</v>
      </c>
    </row>
    <row r="216" spans="1:3" x14ac:dyDescent="0.2">
      <c r="A216" s="176" t="s">
        <v>1000</v>
      </c>
      <c r="B216" s="13" t="b">
        <v>1</v>
      </c>
      <c r="C216">
        <v>8845</v>
      </c>
    </row>
    <row r="217" spans="1:3" x14ac:dyDescent="0.2">
      <c r="A217" s="176" t="s">
        <v>1001</v>
      </c>
      <c r="B217" s="13" t="b">
        <v>1</v>
      </c>
      <c r="C217">
        <v>8864</v>
      </c>
    </row>
    <row r="218" spans="1:3" x14ac:dyDescent="0.2">
      <c r="A218" s="176" t="s">
        <v>1002</v>
      </c>
      <c r="B218" s="13" t="b">
        <v>1</v>
      </c>
      <c r="C218">
        <v>5049</v>
      </c>
    </row>
    <row r="219" spans="1:3" x14ac:dyDescent="0.2">
      <c r="A219" s="176" t="s">
        <v>1003</v>
      </c>
      <c r="B219" s="13" t="b">
        <v>1</v>
      </c>
      <c r="C219">
        <v>8942</v>
      </c>
    </row>
    <row r="220" spans="1:3" x14ac:dyDescent="0.2">
      <c r="A220" s="176" t="s">
        <v>1004</v>
      </c>
      <c r="B220" s="13" t="b">
        <v>1</v>
      </c>
      <c r="C220">
        <v>8908</v>
      </c>
    </row>
    <row r="221" spans="1:3" x14ac:dyDescent="0.2">
      <c r="A221" s="176" t="s">
        <v>1005</v>
      </c>
      <c r="B221" s="13" t="b">
        <v>0</v>
      </c>
      <c r="C221">
        <v>271308</v>
      </c>
    </row>
    <row r="222" spans="1:3" x14ac:dyDescent="0.2">
      <c r="A222" s="176" t="s">
        <v>1006</v>
      </c>
      <c r="B222" s="13" t="b">
        <v>0</v>
      </c>
      <c r="C222">
        <v>6220356</v>
      </c>
    </row>
    <row r="223" spans="1:3" x14ac:dyDescent="0.2">
      <c r="A223" s="176" t="s">
        <v>1007</v>
      </c>
      <c r="B223" s="13" t="b">
        <v>1</v>
      </c>
      <c r="C223">
        <v>9165</v>
      </c>
    </row>
    <row r="224" spans="1:3" x14ac:dyDescent="0.2">
      <c r="A224" s="176" t="s">
        <v>1008</v>
      </c>
      <c r="B224" s="13" t="b">
        <v>1</v>
      </c>
      <c r="C224">
        <v>9081</v>
      </c>
    </row>
    <row r="225" spans="1:3" x14ac:dyDescent="0.2">
      <c r="A225" s="176" t="s">
        <v>1009</v>
      </c>
      <c r="B225" s="13" t="b">
        <v>1</v>
      </c>
      <c r="C225">
        <v>9091</v>
      </c>
    </row>
    <row r="226" spans="1:3" x14ac:dyDescent="0.2">
      <c r="A226" s="176" t="s">
        <v>1010</v>
      </c>
      <c r="B226" s="13" t="b">
        <v>1</v>
      </c>
      <c r="C226">
        <v>9274</v>
      </c>
    </row>
    <row r="227" spans="1:3" x14ac:dyDescent="0.2">
      <c r="A227" s="176" t="s">
        <v>1011</v>
      </c>
      <c r="B227" s="13" t="b">
        <v>1</v>
      </c>
      <c r="C227">
        <v>9160</v>
      </c>
    </row>
    <row r="228" spans="1:3" x14ac:dyDescent="0.2">
      <c r="A228" s="176" t="s">
        <v>1012</v>
      </c>
      <c r="B228" s="13" t="b">
        <v>1</v>
      </c>
      <c r="C228">
        <v>9174</v>
      </c>
    </row>
    <row r="229" spans="1:3" x14ac:dyDescent="0.2">
      <c r="A229" s="176" t="s">
        <v>1013</v>
      </c>
      <c r="B229" s="13" t="b">
        <v>0</v>
      </c>
      <c r="C229">
        <v>271245</v>
      </c>
    </row>
    <row r="230" spans="1:3" x14ac:dyDescent="0.2">
      <c r="A230" s="176" t="s">
        <v>1014</v>
      </c>
      <c r="B230" s="13" t="b">
        <v>1</v>
      </c>
      <c r="C230">
        <v>6231002</v>
      </c>
    </row>
    <row r="231" spans="1:3" x14ac:dyDescent="0.2">
      <c r="A231" s="176" t="s">
        <v>316</v>
      </c>
      <c r="B231" s="13" t="b">
        <v>1</v>
      </c>
      <c r="C231">
        <v>1715006</v>
      </c>
    </row>
    <row r="232" spans="1:3" x14ac:dyDescent="0.2">
      <c r="A232" s="176" t="s">
        <v>393</v>
      </c>
      <c r="B232" s="13" t="b">
        <v>1</v>
      </c>
      <c r="C232">
        <v>611191</v>
      </c>
    </row>
    <row r="233" spans="1:3" x14ac:dyDescent="0.2">
      <c r="A233" s="176" t="s">
        <v>1015</v>
      </c>
      <c r="B233" s="13" t="b">
        <v>1</v>
      </c>
      <c r="C233">
        <v>9252</v>
      </c>
    </row>
    <row r="234" spans="1:3" x14ac:dyDescent="0.2">
      <c r="A234" s="176" t="s">
        <v>1016</v>
      </c>
      <c r="B234" s="13" t="b">
        <v>1</v>
      </c>
      <c r="C234">
        <v>5516</v>
      </c>
    </row>
    <row r="235" spans="1:3" x14ac:dyDescent="0.2">
      <c r="A235" s="176" t="s">
        <v>1017</v>
      </c>
      <c r="B235" s="13" t="b">
        <v>1</v>
      </c>
      <c r="C235">
        <v>6608450</v>
      </c>
    </row>
    <row r="236" spans="1:3" x14ac:dyDescent="0.2">
      <c r="A236" s="176" t="s">
        <v>793</v>
      </c>
      <c r="B236" s="13" t="b">
        <v>1</v>
      </c>
      <c r="C236">
        <v>9199</v>
      </c>
    </row>
    <row r="237" spans="1:3" x14ac:dyDescent="0.2">
      <c r="A237" s="176" t="s">
        <v>1018</v>
      </c>
      <c r="B237" s="13" t="b">
        <v>1</v>
      </c>
      <c r="C237">
        <v>6327</v>
      </c>
    </row>
    <row r="238" spans="1:3" x14ac:dyDescent="0.2">
      <c r="A238" s="176" t="s">
        <v>1019</v>
      </c>
      <c r="B238" s="13" t="b">
        <v>1</v>
      </c>
      <c r="C238">
        <v>9322</v>
      </c>
    </row>
    <row r="239" spans="1:3" x14ac:dyDescent="0.2">
      <c r="A239" s="176" t="s">
        <v>1020</v>
      </c>
      <c r="B239" s="13" t="b">
        <v>1</v>
      </c>
      <c r="C239">
        <v>11902</v>
      </c>
    </row>
    <row r="240" spans="1:3" x14ac:dyDescent="0.2">
      <c r="A240" s="176" t="s">
        <v>1021</v>
      </c>
      <c r="B240" s="13" t="b">
        <v>1</v>
      </c>
      <c r="C240">
        <v>271556</v>
      </c>
    </row>
    <row r="241" spans="1:3" x14ac:dyDescent="0.2">
      <c r="A241" s="176" t="s">
        <v>1022</v>
      </c>
      <c r="B241" s="13" t="b">
        <v>1</v>
      </c>
      <c r="C241">
        <v>9408</v>
      </c>
    </row>
    <row r="242" spans="1:3" x14ac:dyDescent="0.2">
      <c r="A242" s="176" t="s">
        <v>1023</v>
      </c>
      <c r="B242" s="13" t="b">
        <v>1</v>
      </c>
      <c r="C242">
        <v>8101142</v>
      </c>
    </row>
    <row r="243" spans="1:3" x14ac:dyDescent="0.2">
      <c r="A243" s="176" t="s">
        <v>1024</v>
      </c>
      <c r="B243" s="13" t="b">
        <v>1</v>
      </c>
      <c r="C243">
        <v>8057</v>
      </c>
    </row>
    <row r="244" spans="1:3" x14ac:dyDescent="0.2">
      <c r="A244" s="176" t="s">
        <v>1025</v>
      </c>
      <c r="B244" s="13" t="b">
        <v>1</v>
      </c>
      <c r="C244">
        <v>9705</v>
      </c>
    </row>
    <row r="245" spans="1:3" x14ac:dyDescent="0.2">
      <c r="A245" s="176" t="s">
        <v>1026</v>
      </c>
      <c r="B245" s="13" t="b">
        <v>1</v>
      </c>
      <c r="C245">
        <v>9360</v>
      </c>
    </row>
    <row r="246" spans="1:3" x14ac:dyDescent="0.2">
      <c r="A246" s="176" t="s">
        <v>1027</v>
      </c>
      <c r="B246" s="13" t="b">
        <v>1</v>
      </c>
      <c r="C246">
        <v>272428</v>
      </c>
    </row>
    <row r="247" spans="1:3" x14ac:dyDescent="0.2">
      <c r="A247" s="176" t="s">
        <v>1028</v>
      </c>
      <c r="B247" s="13" t="b">
        <v>1</v>
      </c>
      <c r="C247">
        <v>10497</v>
      </c>
    </row>
    <row r="248" spans="1:3" x14ac:dyDescent="0.2">
      <c r="A248" s="176" t="s">
        <v>1029</v>
      </c>
      <c r="B248" s="13" t="b">
        <v>1</v>
      </c>
      <c r="C248">
        <v>10260</v>
      </c>
    </row>
    <row r="249" spans="1:3" x14ac:dyDescent="0.2">
      <c r="A249" s="176" t="s">
        <v>1030</v>
      </c>
      <c r="B249" s="13" t="b">
        <v>1</v>
      </c>
      <c r="C249">
        <v>10413985</v>
      </c>
    </row>
    <row r="250" spans="1:3" x14ac:dyDescent="0.2">
      <c r="A250" s="176" t="s">
        <v>1031</v>
      </c>
      <c r="B250" s="13" t="b">
        <v>0</v>
      </c>
      <c r="C250">
        <v>272565</v>
      </c>
    </row>
    <row r="251" spans="1:3" x14ac:dyDescent="0.2">
      <c r="A251" s="176" t="s">
        <v>1032</v>
      </c>
      <c r="B251" s="13" t="b">
        <v>1</v>
      </c>
      <c r="C251">
        <v>10376</v>
      </c>
    </row>
    <row r="252" spans="1:3" x14ac:dyDescent="0.2">
      <c r="A252" s="176" t="s">
        <v>1033</v>
      </c>
      <c r="B252" s="13" t="b">
        <v>1</v>
      </c>
      <c r="C252">
        <v>10375</v>
      </c>
    </row>
    <row r="253" spans="1:3" x14ac:dyDescent="0.2">
      <c r="A253" s="176" t="s">
        <v>1034</v>
      </c>
      <c r="B253" s="13" t="b">
        <v>1</v>
      </c>
      <c r="C253">
        <v>10557</v>
      </c>
    </row>
    <row r="254" spans="1:3" x14ac:dyDescent="0.2">
      <c r="A254" s="176" t="s">
        <v>1035</v>
      </c>
      <c r="B254" s="13" t="b">
        <v>1</v>
      </c>
      <c r="C254">
        <v>10523297</v>
      </c>
    </row>
    <row r="255" spans="1:3" x14ac:dyDescent="0.2">
      <c r="A255" s="176" t="s">
        <v>1036</v>
      </c>
      <c r="B255" s="13" t="b">
        <v>1</v>
      </c>
      <c r="C255">
        <v>5941</v>
      </c>
    </row>
    <row r="256" spans="1:3" x14ac:dyDescent="0.2">
      <c r="A256" s="176" t="s">
        <v>1037</v>
      </c>
      <c r="B256" s="13" t="b">
        <v>1</v>
      </c>
      <c r="C256">
        <v>10880</v>
      </c>
    </row>
    <row r="257" spans="1:3" x14ac:dyDescent="0.2">
      <c r="A257" s="176" t="s">
        <v>1038</v>
      </c>
      <c r="B257" s="13" t="b">
        <v>1</v>
      </c>
      <c r="C257">
        <v>272800</v>
      </c>
    </row>
    <row r="258" spans="1:3" x14ac:dyDescent="0.2">
      <c r="A258" s="176" t="s">
        <v>1039</v>
      </c>
      <c r="B258" s="13" t="b">
        <v>1</v>
      </c>
      <c r="C258">
        <v>10760</v>
      </c>
    </row>
    <row r="259" spans="1:3" x14ac:dyDescent="0.2">
      <c r="A259" s="176" t="s">
        <v>1040</v>
      </c>
      <c r="B259" s="13" t="b">
        <v>0</v>
      </c>
      <c r="C259">
        <v>272992</v>
      </c>
    </row>
    <row r="260" spans="1:3" x14ac:dyDescent="0.2">
      <c r="A260" s="176" t="s">
        <v>1041</v>
      </c>
      <c r="B260" s="13" t="b">
        <v>1</v>
      </c>
      <c r="C260">
        <v>11000</v>
      </c>
    </row>
    <row r="261" spans="1:3" x14ac:dyDescent="0.2">
      <c r="A261" s="176" t="s">
        <v>1042</v>
      </c>
      <c r="B261" s="13" t="b">
        <v>1</v>
      </c>
      <c r="C261">
        <v>11094</v>
      </c>
    </row>
    <row r="262" spans="1:3" x14ac:dyDescent="0.2">
      <c r="A262" s="176" t="s">
        <v>1043</v>
      </c>
      <c r="B262" s="13" t="b">
        <v>0</v>
      </c>
      <c r="C262">
        <v>273035</v>
      </c>
    </row>
    <row r="263" spans="1:3" x14ac:dyDescent="0.2">
      <c r="A263" s="176" t="s">
        <v>1044</v>
      </c>
      <c r="B263" s="13" t="b">
        <v>0</v>
      </c>
      <c r="C263">
        <v>272942</v>
      </c>
    </row>
    <row r="264" spans="1:3" x14ac:dyDescent="0.2">
      <c r="A264" s="176" t="s">
        <v>1045</v>
      </c>
      <c r="B264" s="13" t="b">
        <v>1</v>
      </c>
      <c r="C264">
        <v>661547</v>
      </c>
    </row>
    <row r="265" spans="1:3" x14ac:dyDescent="0.2">
      <c r="A265" s="176" t="s">
        <v>1046</v>
      </c>
      <c r="B265" s="13" t="b">
        <v>1</v>
      </c>
      <c r="C265">
        <v>11017</v>
      </c>
    </row>
    <row r="266" spans="1:3" x14ac:dyDescent="0.2">
      <c r="A266" s="176" t="s">
        <v>1047</v>
      </c>
      <c r="B266" s="13" t="b">
        <v>1</v>
      </c>
      <c r="C266">
        <v>11031</v>
      </c>
    </row>
    <row r="267" spans="1:3" x14ac:dyDescent="0.2">
      <c r="A267" s="176" t="s">
        <v>1048</v>
      </c>
      <c r="B267" s="13" t="b">
        <v>1</v>
      </c>
      <c r="C267">
        <v>10885</v>
      </c>
    </row>
    <row r="268" spans="1:3" x14ac:dyDescent="0.2">
      <c r="A268" s="176" t="s">
        <v>1049</v>
      </c>
      <c r="B268" s="13" t="b">
        <v>1</v>
      </c>
      <c r="C268">
        <v>2586035</v>
      </c>
    </row>
    <row r="269" spans="1:3" x14ac:dyDescent="0.2">
      <c r="A269" s="176" t="s">
        <v>1050</v>
      </c>
      <c r="B269" s="13" t="b">
        <v>1</v>
      </c>
      <c r="C269">
        <v>10920</v>
      </c>
    </row>
    <row r="270" spans="1:3" x14ac:dyDescent="0.2">
      <c r="A270" s="176" t="s">
        <v>1051</v>
      </c>
      <c r="B270" s="13" t="b">
        <v>1</v>
      </c>
      <c r="C270">
        <v>3142097</v>
      </c>
    </row>
    <row r="271" spans="1:3" x14ac:dyDescent="0.2">
      <c r="A271" s="176" t="s">
        <v>1052</v>
      </c>
      <c r="B271" s="13" t="b">
        <v>1</v>
      </c>
      <c r="C271">
        <v>9769</v>
      </c>
    </row>
    <row r="272" spans="1:3" x14ac:dyDescent="0.2">
      <c r="A272" s="176" t="s">
        <v>1053</v>
      </c>
      <c r="B272" s="13" t="b">
        <v>1</v>
      </c>
      <c r="C272">
        <v>11240</v>
      </c>
    </row>
    <row r="273" spans="1:3" x14ac:dyDescent="0.2">
      <c r="A273" s="176" t="s">
        <v>1054</v>
      </c>
      <c r="B273" s="13" t="b">
        <v>1</v>
      </c>
      <c r="C273">
        <v>11070844</v>
      </c>
    </row>
    <row r="274" spans="1:3" x14ac:dyDescent="0.2">
      <c r="A274" s="176" t="s">
        <v>1055</v>
      </c>
      <c r="B274" s="13" t="b">
        <v>1</v>
      </c>
      <c r="C274">
        <v>11218575</v>
      </c>
    </row>
    <row r="275" spans="1:3" x14ac:dyDescent="0.2">
      <c r="A275" s="176" t="s">
        <v>1056</v>
      </c>
      <c r="B275" s="13" t="b">
        <v>1</v>
      </c>
      <c r="C275">
        <v>11295</v>
      </c>
    </row>
    <row r="276" spans="1:3" x14ac:dyDescent="0.2">
      <c r="A276" s="176" t="s">
        <v>1057</v>
      </c>
      <c r="B276" s="13" t="b">
        <v>1</v>
      </c>
      <c r="C276">
        <v>11450</v>
      </c>
    </row>
    <row r="277" spans="1:3" x14ac:dyDescent="0.2">
      <c r="A277" s="176" t="s">
        <v>1058</v>
      </c>
      <c r="B277" s="13" t="b">
        <v>0</v>
      </c>
      <c r="C277">
        <v>272997</v>
      </c>
    </row>
    <row r="278" spans="1:3" x14ac:dyDescent="0.2">
      <c r="A278" s="176" t="s">
        <v>1059</v>
      </c>
      <c r="B278" s="13" t="b">
        <v>0</v>
      </c>
      <c r="C278">
        <v>275321</v>
      </c>
    </row>
    <row r="279" spans="1:3" x14ac:dyDescent="0.2">
      <c r="A279" s="176" t="s">
        <v>1060</v>
      </c>
      <c r="B279" s="13" t="b">
        <v>1</v>
      </c>
      <c r="C279">
        <v>2459465</v>
      </c>
    </row>
    <row r="280" spans="1:3" x14ac:dyDescent="0.2">
      <c r="A280" s="176" t="s">
        <v>1061</v>
      </c>
      <c r="B280" s="13" t="b">
        <v>1</v>
      </c>
      <c r="C280">
        <v>11054</v>
      </c>
    </row>
    <row r="281" spans="1:3" x14ac:dyDescent="0.2">
      <c r="A281" s="176" t="s">
        <v>1062</v>
      </c>
      <c r="B281" s="13" t="b">
        <v>1</v>
      </c>
      <c r="C281">
        <v>11080</v>
      </c>
    </row>
    <row r="282" spans="1:3" x14ac:dyDescent="0.2">
      <c r="A282" s="176" t="s">
        <v>1063</v>
      </c>
      <c r="B282" s="13" t="b">
        <v>1</v>
      </c>
      <c r="C282">
        <v>11005</v>
      </c>
    </row>
    <row r="283" spans="1:3" x14ac:dyDescent="0.2">
      <c r="A283" s="176" t="s">
        <v>1064</v>
      </c>
      <c r="B283" s="13" t="b">
        <v>1</v>
      </c>
      <c r="C283">
        <v>11109</v>
      </c>
    </row>
    <row r="284" spans="1:3" x14ac:dyDescent="0.2">
      <c r="A284" s="176" t="s">
        <v>1065</v>
      </c>
      <c r="B284" s="13" t="b">
        <v>0</v>
      </c>
      <c r="C284">
        <v>273544</v>
      </c>
    </row>
    <row r="285" spans="1:3" x14ac:dyDescent="0.2">
      <c r="A285" s="176" t="s">
        <v>116</v>
      </c>
      <c r="B285" s="13" t="b">
        <v>1</v>
      </c>
      <c r="C285">
        <v>10672</v>
      </c>
    </row>
    <row r="286" spans="1:3" x14ac:dyDescent="0.2">
      <c r="A286" s="176" t="s">
        <v>1066</v>
      </c>
      <c r="B286" s="13" t="b">
        <v>0</v>
      </c>
      <c r="C286">
        <v>273733</v>
      </c>
    </row>
    <row r="287" spans="1:3" x14ac:dyDescent="0.2">
      <c r="A287" s="176" t="s">
        <v>1067</v>
      </c>
      <c r="B287" s="13" t="b">
        <v>1</v>
      </c>
      <c r="C287">
        <v>4528615</v>
      </c>
    </row>
    <row r="288" spans="1:3" x14ac:dyDescent="0.2">
      <c r="A288" s="176" t="s">
        <v>1068</v>
      </c>
      <c r="B288" s="13" t="b">
        <v>1</v>
      </c>
      <c r="C288">
        <v>11669769</v>
      </c>
    </row>
    <row r="289" spans="1:3" x14ac:dyDescent="0.2">
      <c r="A289" s="176" t="s">
        <v>1069</v>
      </c>
      <c r="B289" s="13" t="b">
        <v>0</v>
      </c>
      <c r="C289">
        <v>273939</v>
      </c>
    </row>
    <row r="290" spans="1:3" x14ac:dyDescent="0.2">
      <c r="A290" s="176" t="s">
        <v>1070</v>
      </c>
      <c r="B290" s="13" t="b">
        <v>1</v>
      </c>
      <c r="C290">
        <v>2585629</v>
      </c>
    </row>
    <row r="291" spans="1:3" x14ac:dyDescent="0.2">
      <c r="A291" s="176" t="s">
        <v>1071</v>
      </c>
      <c r="B291" s="13" t="b">
        <v>1</v>
      </c>
      <c r="C291">
        <v>11697</v>
      </c>
    </row>
    <row r="292" spans="1:3" x14ac:dyDescent="0.2">
      <c r="A292" s="176" t="s">
        <v>1072</v>
      </c>
      <c r="B292" s="13" t="b">
        <v>1</v>
      </c>
      <c r="C292">
        <v>11520</v>
      </c>
    </row>
    <row r="293" spans="1:3" x14ac:dyDescent="0.2">
      <c r="A293" s="176" t="s">
        <v>1073</v>
      </c>
      <c r="B293" s="13" t="b">
        <v>1</v>
      </c>
      <c r="C293">
        <v>11758</v>
      </c>
    </row>
    <row r="294" spans="1:3" x14ac:dyDescent="0.2">
      <c r="A294" s="176" t="s">
        <v>1074</v>
      </c>
      <c r="B294" s="13" t="b">
        <v>1</v>
      </c>
      <c r="C294">
        <v>11478</v>
      </c>
    </row>
    <row r="295" spans="1:3" x14ac:dyDescent="0.2">
      <c r="A295" s="176" t="s">
        <v>1075</v>
      </c>
      <c r="B295" s="13" t="b">
        <v>1</v>
      </c>
      <c r="C295">
        <v>12362013</v>
      </c>
    </row>
    <row r="296" spans="1:3" x14ac:dyDescent="0.2">
      <c r="A296" s="176" t="s">
        <v>1076</v>
      </c>
      <c r="B296" s="13" t="b">
        <v>1</v>
      </c>
      <c r="C296">
        <v>12379601</v>
      </c>
    </row>
    <row r="297" spans="1:3" x14ac:dyDescent="0.2">
      <c r="A297" s="176" t="s">
        <v>1077</v>
      </c>
      <c r="B297" s="13" t="b">
        <v>1</v>
      </c>
      <c r="C297">
        <v>12588744</v>
      </c>
    </row>
    <row r="298" spans="1:3" x14ac:dyDescent="0.2">
      <c r="A298" s="176" t="s">
        <v>1078</v>
      </c>
      <c r="B298" s="13" t="b">
        <v>1</v>
      </c>
      <c r="C298">
        <v>2467215</v>
      </c>
    </row>
    <row r="299" spans="1:3" x14ac:dyDescent="0.2">
      <c r="A299" s="176" t="s">
        <v>1079</v>
      </c>
      <c r="B299" s="13" t="b">
        <v>1</v>
      </c>
      <c r="C299">
        <v>43150617</v>
      </c>
    </row>
    <row r="300" spans="1:3" x14ac:dyDescent="0.2">
      <c r="A300" s="176" t="s">
        <v>1080</v>
      </c>
      <c r="B300" s="13" t="b">
        <v>1</v>
      </c>
      <c r="C300">
        <v>37866641</v>
      </c>
    </row>
    <row r="301" spans="1:3" x14ac:dyDescent="0.2">
      <c r="A301" s="176" t="s">
        <v>1081</v>
      </c>
      <c r="B301" s="13" t="b">
        <v>1</v>
      </c>
      <c r="C301">
        <v>70101545</v>
      </c>
    </row>
    <row r="302" spans="1:3" x14ac:dyDescent="0.2">
      <c r="A302" s="176" t="s">
        <v>1082</v>
      </c>
      <c r="B302" s="13" t="b">
        <v>0</v>
      </c>
      <c r="C302">
        <v>4651842</v>
      </c>
    </row>
    <row r="303" spans="1:3" x14ac:dyDescent="0.2">
      <c r="A303" s="176" t="s">
        <v>1083</v>
      </c>
      <c r="B303" s="13" t="b">
        <v>1</v>
      </c>
      <c r="C303">
        <v>12200</v>
      </c>
    </row>
    <row r="304" spans="1:3" x14ac:dyDescent="0.2">
      <c r="A304" s="176" t="s">
        <v>1084</v>
      </c>
      <c r="B304" s="13" t="b">
        <v>1</v>
      </c>
      <c r="C304">
        <v>11905</v>
      </c>
    </row>
    <row r="305" spans="1:3" x14ac:dyDescent="0.2">
      <c r="A305" s="176" t="s">
        <v>1085</v>
      </c>
      <c r="B305" s="13" t="b">
        <v>1</v>
      </c>
      <c r="C305">
        <v>12851783</v>
      </c>
    </row>
    <row r="306" spans="1:3" x14ac:dyDescent="0.2">
      <c r="A306" s="176" t="s">
        <v>1086</v>
      </c>
      <c r="B306" s="13" t="b">
        <v>1</v>
      </c>
      <c r="C306">
        <v>1714996</v>
      </c>
    </row>
    <row r="307" spans="1:3" x14ac:dyDescent="0.2">
      <c r="A307" s="176" t="s">
        <v>1087</v>
      </c>
      <c r="B307" s="13" t="b">
        <v>1</v>
      </c>
      <c r="C307">
        <v>11032</v>
      </c>
    </row>
    <row r="308" spans="1:3" x14ac:dyDescent="0.2">
      <c r="A308" s="176" t="s">
        <v>1088</v>
      </c>
      <c r="B308" s="13" t="b">
        <v>1</v>
      </c>
      <c r="C308">
        <v>12120</v>
      </c>
    </row>
    <row r="309" spans="1:3" x14ac:dyDescent="0.2">
      <c r="A309" s="176" t="s">
        <v>1089</v>
      </c>
      <c r="B309" s="13" t="b">
        <v>1</v>
      </c>
      <c r="C309">
        <v>2009113</v>
      </c>
    </row>
    <row r="310" spans="1:3" x14ac:dyDescent="0.2">
      <c r="A310" s="176" t="s">
        <v>1090</v>
      </c>
      <c r="B310" s="13" t="b">
        <v>1</v>
      </c>
      <c r="C310">
        <v>12259</v>
      </c>
    </row>
    <row r="311" spans="1:3" x14ac:dyDescent="0.2">
      <c r="A311" s="176" t="s">
        <v>1091</v>
      </c>
      <c r="B311" s="13" t="b">
        <v>1</v>
      </c>
      <c r="C311">
        <v>13865082</v>
      </c>
    </row>
    <row r="312" spans="1:3" x14ac:dyDescent="0.2">
      <c r="A312" s="176" t="s">
        <v>1092</v>
      </c>
      <c r="B312" s="13" t="b">
        <v>1</v>
      </c>
      <c r="C312">
        <v>4027</v>
      </c>
    </row>
    <row r="313" spans="1:3" x14ac:dyDescent="0.2">
      <c r="A313" s="176" t="s">
        <v>1093</v>
      </c>
      <c r="B313" s="13" t="b">
        <v>1</v>
      </c>
      <c r="C313">
        <v>12531</v>
      </c>
    </row>
    <row r="314" spans="1:3" x14ac:dyDescent="0.2">
      <c r="A314" s="176" t="s">
        <v>1094</v>
      </c>
      <c r="B314" s="13" t="b">
        <v>1</v>
      </c>
      <c r="C314">
        <v>11899</v>
      </c>
    </row>
    <row r="315" spans="1:3" x14ac:dyDescent="0.2">
      <c r="A315" s="176" t="s">
        <v>1095</v>
      </c>
      <c r="B315" s="13" t="b">
        <v>1</v>
      </c>
      <c r="C315">
        <v>12300</v>
      </c>
    </row>
    <row r="316" spans="1:3" x14ac:dyDescent="0.2">
      <c r="A316" s="176" t="s">
        <v>1096</v>
      </c>
      <c r="B316" s="13" t="b">
        <v>1</v>
      </c>
      <c r="C316">
        <v>2806100</v>
      </c>
    </row>
    <row r="317" spans="1:3" x14ac:dyDescent="0.2">
      <c r="A317" s="176" t="s">
        <v>1097</v>
      </c>
      <c r="B317" s="13" t="b">
        <v>1</v>
      </c>
      <c r="C317">
        <v>9282</v>
      </c>
    </row>
    <row r="318" spans="1:3" x14ac:dyDescent="0.2">
      <c r="A318" s="176" t="s">
        <v>1098</v>
      </c>
      <c r="B318" s="13" t="b">
        <v>1</v>
      </c>
      <c r="C318">
        <v>37018770</v>
      </c>
    </row>
    <row r="319" spans="1:3" x14ac:dyDescent="0.2">
      <c r="A319" s="176" t="s">
        <v>1099</v>
      </c>
      <c r="B319" s="13" t="b">
        <v>1</v>
      </c>
      <c r="C319">
        <v>5684</v>
      </c>
    </row>
    <row r="320" spans="1:3" x14ac:dyDescent="0.2">
      <c r="A320" s="176" t="s">
        <v>1100</v>
      </c>
      <c r="B320" s="13" t="b">
        <v>0</v>
      </c>
      <c r="C320">
        <v>274599</v>
      </c>
    </row>
    <row r="321" spans="1:3" x14ac:dyDescent="0.2">
      <c r="A321" s="176" t="s">
        <v>1101</v>
      </c>
      <c r="B321" s="13" t="b">
        <v>1</v>
      </c>
      <c r="C321">
        <v>2730980</v>
      </c>
    </row>
    <row r="322" spans="1:3" x14ac:dyDescent="0.2">
      <c r="A322" s="176" t="s">
        <v>1102</v>
      </c>
      <c r="B322" s="13" t="b">
        <v>0</v>
      </c>
      <c r="C322">
        <v>274105</v>
      </c>
    </row>
    <row r="323" spans="1:3" x14ac:dyDescent="0.2">
      <c r="A323" s="176" t="s">
        <v>1103</v>
      </c>
      <c r="B323" s="13" t="b">
        <v>1</v>
      </c>
      <c r="C323">
        <v>12002</v>
      </c>
    </row>
    <row r="324" spans="1:3" x14ac:dyDescent="0.2">
      <c r="A324" s="176" t="s">
        <v>1104</v>
      </c>
      <c r="B324" s="13" t="b">
        <v>1</v>
      </c>
      <c r="C324">
        <v>4430948</v>
      </c>
    </row>
    <row r="325" spans="1:3" x14ac:dyDescent="0.2">
      <c r="A325" s="176" t="s">
        <v>1105</v>
      </c>
      <c r="B325" s="13" t="b">
        <v>0</v>
      </c>
      <c r="C325">
        <v>15124833</v>
      </c>
    </row>
    <row r="326" spans="1:3" x14ac:dyDescent="0.2">
      <c r="A326" s="176" t="s">
        <v>1106</v>
      </c>
      <c r="B326" s="13" t="b">
        <v>0</v>
      </c>
      <c r="C326">
        <v>6478100</v>
      </c>
    </row>
    <row r="327" spans="1:3" x14ac:dyDescent="0.2">
      <c r="A327" s="176" t="s">
        <v>1107</v>
      </c>
      <c r="B327" s="13" t="b">
        <v>1</v>
      </c>
      <c r="C327">
        <v>12451</v>
      </c>
    </row>
    <row r="328" spans="1:3" x14ac:dyDescent="0.2">
      <c r="A328" s="176" t="s">
        <v>1108</v>
      </c>
      <c r="B328" s="13" t="b">
        <v>0</v>
      </c>
      <c r="C328">
        <v>274925</v>
      </c>
    </row>
    <row r="329" spans="1:3" x14ac:dyDescent="0.2">
      <c r="A329" s="176" t="s">
        <v>1109</v>
      </c>
      <c r="B329" s="13" t="b">
        <v>1</v>
      </c>
      <c r="C329">
        <v>12581</v>
      </c>
    </row>
    <row r="330" spans="1:3" x14ac:dyDescent="0.2">
      <c r="A330" s="176" t="s">
        <v>1110</v>
      </c>
      <c r="B330" s="13" t="b">
        <v>0</v>
      </c>
      <c r="C330">
        <v>9063285</v>
      </c>
    </row>
    <row r="331" spans="1:3" x14ac:dyDescent="0.2">
      <c r="A331" s="176" t="s">
        <v>1111</v>
      </c>
      <c r="B331" s="13" t="b">
        <v>1</v>
      </c>
      <c r="C331">
        <v>13011</v>
      </c>
    </row>
    <row r="332" spans="1:3" x14ac:dyDescent="0.2">
      <c r="A332" s="176" t="s">
        <v>1112</v>
      </c>
      <c r="B332" s="13" t="b">
        <v>0</v>
      </c>
      <c r="C332">
        <v>13096</v>
      </c>
    </row>
    <row r="333" spans="1:3" x14ac:dyDescent="0.2">
      <c r="A333" s="176" t="s">
        <v>1113</v>
      </c>
      <c r="B333" s="13" t="b">
        <v>1</v>
      </c>
      <c r="C333">
        <v>13101</v>
      </c>
    </row>
    <row r="334" spans="1:3" x14ac:dyDescent="0.2">
      <c r="A334" s="176" t="s">
        <v>1114</v>
      </c>
      <c r="B334" s="13" t="b">
        <v>1</v>
      </c>
      <c r="C334">
        <v>12869</v>
      </c>
    </row>
    <row r="335" spans="1:3" x14ac:dyDescent="0.2">
      <c r="A335" s="176" t="s">
        <v>1115</v>
      </c>
      <c r="B335" s="13" t="b">
        <v>1</v>
      </c>
      <c r="C335">
        <v>12791</v>
      </c>
    </row>
    <row r="336" spans="1:3" x14ac:dyDescent="0.2">
      <c r="A336" s="176" t="s">
        <v>1116</v>
      </c>
      <c r="B336" s="13" t="b">
        <v>1</v>
      </c>
      <c r="C336">
        <v>12856</v>
      </c>
    </row>
    <row r="337" spans="1:3" x14ac:dyDescent="0.2">
      <c r="A337" s="176" t="s">
        <v>1117</v>
      </c>
      <c r="B337" s="13" t="b">
        <v>1</v>
      </c>
      <c r="C337">
        <v>13014</v>
      </c>
    </row>
    <row r="338" spans="1:3" x14ac:dyDescent="0.2">
      <c r="A338" s="176" t="s">
        <v>1118</v>
      </c>
      <c r="B338" s="13" t="b">
        <v>1</v>
      </c>
      <c r="C338">
        <v>1035459</v>
      </c>
    </row>
    <row r="339" spans="1:3" x14ac:dyDescent="0.2">
      <c r="A339" s="176" t="s">
        <v>1119</v>
      </c>
      <c r="B339" s="13" t="b">
        <v>0</v>
      </c>
      <c r="C339">
        <v>6858322</v>
      </c>
    </row>
    <row r="340" spans="1:3" x14ac:dyDescent="0.2">
      <c r="A340" s="176" t="s">
        <v>1120</v>
      </c>
      <c r="B340" s="13" t="b">
        <v>1</v>
      </c>
      <c r="C340">
        <v>275405</v>
      </c>
    </row>
    <row r="341" spans="1:3" x14ac:dyDescent="0.2">
      <c r="A341" s="176" t="s">
        <v>1121</v>
      </c>
      <c r="B341" s="13" t="b">
        <v>1</v>
      </c>
      <c r="C341">
        <v>9831</v>
      </c>
    </row>
    <row r="342" spans="1:3" x14ac:dyDescent="0.2">
      <c r="A342" s="176" t="s">
        <v>1122</v>
      </c>
      <c r="B342" s="13" t="b">
        <v>1</v>
      </c>
      <c r="C342">
        <v>13284</v>
      </c>
    </row>
    <row r="343" spans="1:3" x14ac:dyDescent="0.2">
      <c r="A343" s="176" t="s">
        <v>1123</v>
      </c>
      <c r="B343" s="13" t="b">
        <v>1</v>
      </c>
      <c r="C343">
        <v>13364</v>
      </c>
    </row>
    <row r="344" spans="1:3" x14ac:dyDescent="0.2">
      <c r="A344" s="176" t="s">
        <v>1124</v>
      </c>
      <c r="B344" s="13" t="b">
        <v>1</v>
      </c>
      <c r="C344">
        <v>13272</v>
      </c>
    </row>
    <row r="345" spans="1:3" x14ac:dyDescent="0.2">
      <c r="A345" s="176" t="s">
        <v>1125</v>
      </c>
      <c r="B345" s="13" t="b">
        <v>1</v>
      </c>
      <c r="C345">
        <v>13206</v>
      </c>
    </row>
    <row r="346" spans="1:3" x14ac:dyDescent="0.2">
      <c r="A346" s="176" t="s">
        <v>1126</v>
      </c>
      <c r="B346" s="13" t="b">
        <v>1</v>
      </c>
      <c r="C346">
        <v>13400</v>
      </c>
    </row>
    <row r="347" spans="1:3" x14ac:dyDescent="0.2">
      <c r="A347" s="176" t="s">
        <v>1127</v>
      </c>
      <c r="B347" s="13" t="b">
        <v>1</v>
      </c>
      <c r="C347">
        <v>4044062</v>
      </c>
    </row>
    <row r="348" spans="1:3" x14ac:dyDescent="0.2">
      <c r="A348" s="176" t="s">
        <v>1128</v>
      </c>
      <c r="B348" s="13" t="b">
        <v>1</v>
      </c>
      <c r="C348">
        <v>13440</v>
      </c>
    </row>
    <row r="349" spans="1:3" x14ac:dyDescent="0.2">
      <c r="A349" s="176" t="s">
        <v>1129</v>
      </c>
      <c r="B349" s="13" t="b">
        <v>0</v>
      </c>
      <c r="C349">
        <v>275850</v>
      </c>
    </row>
    <row r="350" spans="1:3" x14ac:dyDescent="0.2">
      <c r="A350" s="176" t="s">
        <v>1130</v>
      </c>
      <c r="B350" s="13" t="b">
        <v>1</v>
      </c>
      <c r="C350">
        <v>13515</v>
      </c>
    </row>
    <row r="351" spans="1:3" x14ac:dyDescent="0.2">
      <c r="A351" s="176" t="s">
        <v>1131</v>
      </c>
      <c r="B351" s="13" t="b">
        <v>0</v>
      </c>
      <c r="C351">
        <v>275527</v>
      </c>
    </row>
    <row r="352" spans="1:3" x14ac:dyDescent="0.2">
      <c r="A352" s="176" t="s">
        <v>1132</v>
      </c>
      <c r="B352" s="13" t="b">
        <v>1</v>
      </c>
      <c r="C352">
        <v>13535</v>
      </c>
    </row>
    <row r="353" spans="1:3" x14ac:dyDescent="0.2">
      <c r="A353" s="176" t="s">
        <v>1133</v>
      </c>
      <c r="B353" s="13" t="b">
        <v>1</v>
      </c>
      <c r="C353">
        <v>13824</v>
      </c>
    </row>
    <row r="354" spans="1:3" x14ac:dyDescent="0.2">
      <c r="A354" s="176" t="s">
        <v>1134</v>
      </c>
      <c r="B354" s="13" t="b">
        <v>1</v>
      </c>
      <c r="C354">
        <v>13379</v>
      </c>
    </row>
    <row r="355" spans="1:3" x14ac:dyDescent="0.2">
      <c r="A355" s="176" t="s">
        <v>1135</v>
      </c>
      <c r="B355" s="13" t="b">
        <v>1</v>
      </c>
      <c r="C355">
        <v>1448494</v>
      </c>
    </row>
    <row r="356" spans="1:3" x14ac:dyDescent="0.2">
      <c r="A356" s="176" t="s">
        <v>1136</v>
      </c>
      <c r="B356" s="13" t="b">
        <v>1</v>
      </c>
      <c r="C356">
        <v>15130038</v>
      </c>
    </row>
    <row r="357" spans="1:3" x14ac:dyDescent="0.2">
      <c r="A357" s="176" t="s">
        <v>1137</v>
      </c>
      <c r="B357" s="13" t="b">
        <v>0</v>
      </c>
      <c r="C357">
        <v>13681</v>
      </c>
    </row>
    <row r="358" spans="1:3" x14ac:dyDescent="0.2">
      <c r="A358" s="176" t="s">
        <v>1138</v>
      </c>
      <c r="B358" s="13" t="b">
        <v>1</v>
      </c>
      <c r="C358">
        <v>13949</v>
      </c>
    </row>
    <row r="359" spans="1:3" x14ac:dyDescent="0.2">
      <c r="A359" s="176" t="s">
        <v>1139</v>
      </c>
      <c r="B359" s="13" t="b">
        <v>1</v>
      </c>
      <c r="C359">
        <v>13751</v>
      </c>
    </row>
    <row r="360" spans="1:3" x14ac:dyDescent="0.2">
      <c r="A360" s="176" t="s">
        <v>1140</v>
      </c>
      <c r="B360" s="13" t="b">
        <v>0</v>
      </c>
      <c r="C360">
        <v>4726021</v>
      </c>
    </row>
    <row r="361" spans="1:3" x14ac:dyDescent="0.2">
      <c r="A361" s="176" t="s">
        <v>1141</v>
      </c>
      <c r="B361" s="13" t="b">
        <v>0</v>
      </c>
      <c r="C361">
        <v>16454492</v>
      </c>
    </row>
    <row r="362" spans="1:3" x14ac:dyDescent="0.2">
      <c r="A362" s="176" t="s">
        <v>1142</v>
      </c>
      <c r="B362" s="13" t="b">
        <v>0</v>
      </c>
      <c r="C362">
        <v>276024</v>
      </c>
    </row>
    <row r="363" spans="1:3" x14ac:dyDescent="0.2">
      <c r="A363" s="176" t="s">
        <v>1143</v>
      </c>
      <c r="B363" s="13" t="b">
        <v>0</v>
      </c>
      <c r="C363">
        <v>29380756</v>
      </c>
    </row>
    <row r="364" spans="1:3" x14ac:dyDescent="0.2">
      <c r="A364" s="176" t="s">
        <v>1144</v>
      </c>
      <c r="B364" s="13" t="b">
        <v>0</v>
      </c>
      <c r="C364">
        <v>45127739</v>
      </c>
    </row>
    <row r="365" spans="1:3" x14ac:dyDescent="0.2">
      <c r="A365" s="176" t="s">
        <v>1145</v>
      </c>
      <c r="B365" s="13" t="b">
        <v>1</v>
      </c>
      <c r="C365">
        <v>13805</v>
      </c>
    </row>
    <row r="366" spans="1:3" x14ac:dyDescent="0.2">
      <c r="A366" s="176" t="s">
        <v>1146</v>
      </c>
      <c r="B366" s="13" t="b">
        <v>1</v>
      </c>
      <c r="C366">
        <v>2586156</v>
      </c>
    </row>
    <row r="367" spans="1:3" x14ac:dyDescent="0.2">
      <c r="A367" s="176" t="s">
        <v>1147</v>
      </c>
      <c r="B367" s="13" t="b">
        <v>1</v>
      </c>
      <c r="C367">
        <v>13980</v>
      </c>
    </row>
    <row r="368" spans="1:3" x14ac:dyDescent="0.2">
      <c r="A368" s="176" t="s">
        <v>1148</v>
      </c>
      <c r="B368" s="13" t="b">
        <v>0</v>
      </c>
      <c r="C368">
        <v>276222</v>
      </c>
    </row>
    <row r="369" spans="1:3" x14ac:dyDescent="0.2">
      <c r="A369" s="176" t="s">
        <v>70</v>
      </c>
      <c r="B369" s="13" t="b">
        <v>0</v>
      </c>
      <c r="C369">
        <v>3312890</v>
      </c>
    </row>
    <row r="370" spans="1:3" x14ac:dyDescent="0.2">
      <c r="A370" s="176" t="s">
        <v>1149</v>
      </c>
      <c r="B370" s="13" t="b">
        <v>1</v>
      </c>
      <c r="C370">
        <v>16191746</v>
      </c>
    </row>
    <row r="371" spans="1:3" x14ac:dyDescent="0.2">
      <c r="A371" s="176" t="s">
        <v>1150</v>
      </c>
      <c r="B371" s="13" t="b">
        <v>1</v>
      </c>
      <c r="C371">
        <v>12814</v>
      </c>
    </row>
    <row r="372" spans="1:3" x14ac:dyDescent="0.2">
      <c r="A372" s="176" t="s">
        <v>1151</v>
      </c>
      <c r="B372" s="13" t="b">
        <v>0</v>
      </c>
      <c r="C372">
        <v>276329</v>
      </c>
    </row>
    <row r="373" spans="1:3" x14ac:dyDescent="0.2">
      <c r="A373" s="176" t="s">
        <v>1152</v>
      </c>
      <c r="B373" s="13" t="b">
        <v>1</v>
      </c>
      <c r="C373">
        <v>273815</v>
      </c>
    </row>
    <row r="374" spans="1:3" x14ac:dyDescent="0.2">
      <c r="A374" s="176" t="s">
        <v>1153</v>
      </c>
      <c r="B374" s="13" t="b">
        <v>1</v>
      </c>
      <c r="C374">
        <v>33191300</v>
      </c>
    </row>
    <row r="375" spans="1:3" x14ac:dyDescent="0.2">
      <c r="A375" s="176" t="s">
        <v>1154</v>
      </c>
      <c r="B375" s="13" t="b">
        <v>1</v>
      </c>
      <c r="C375">
        <v>35447205</v>
      </c>
    </row>
    <row r="376" spans="1:3" x14ac:dyDescent="0.2">
      <c r="A376" s="176" t="s">
        <v>1155</v>
      </c>
      <c r="B376" s="13" t="b">
        <v>1</v>
      </c>
      <c r="C376">
        <v>35970258</v>
      </c>
    </row>
    <row r="377" spans="1:3" x14ac:dyDescent="0.2">
      <c r="A377" s="176" t="s">
        <v>1156</v>
      </c>
      <c r="B377" s="13" t="b">
        <v>1</v>
      </c>
      <c r="C377">
        <v>36285627</v>
      </c>
    </row>
    <row r="378" spans="1:3" x14ac:dyDescent="0.2">
      <c r="A378" s="176" t="s">
        <v>1157</v>
      </c>
      <c r="B378" s="13" t="b">
        <v>1</v>
      </c>
      <c r="C378">
        <v>36786278</v>
      </c>
    </row>
    <row r="379" spans="1:3" x14ac:dyDescent="0.2">
      <c r="A379" s="176" t="s">
        <v>1158</v>
      </c>
      <c r="B379" s="13" t="b">
        <v>0</v>
      </c>
      <c r="C379">
        <v>37083557</v>
      </c>
    </row>
    <row r="380" spans="1:3" x14ac:dyDescent="0.2">
      <c r="A380" s="176" t="s">
        <v>1159</v>
      </c>
      <c r="B380" s="13" t="b">
        <v>1</v>
      </c>
      <c r="C380">
        <v>37083548</v>
      </c>
    </row>
    <row r="381" spans="1:3" x14ac:dyDescent="0.2">
      <c r="A381" s="176" t="s">
        <v>1160</v>
      </c>
      <c r="B381" s="13" t="b">
        <v>1</v>
      </c>
      <c r="C381">
        <v>37655664</v>
      </c>
    </row>
    <row r="382" spans="1:3" x14ac:dyDescent="0.2">
      <c r="A382" s="176" t="s">
        <v>1161</v>
      </c>
      <c r="B382" s="13" t="b">
        <v>1</v>
      </c>
      <c r="C382">
        <v>38685693</v>
      </c>
    </row>
    <row r="383" spans="1:3" x14ac:dyDescent="0.2">
      <c r="A383" s="176" t="s">
        <v>1162</v>
      </c>
      <c r="B383" s="13" t="b">
        <v>1</v>
      </c>
      <c r="C383">
        <v>38734858</v>
      </c>
    </row>
    <row r="384" spans="1:3" x14ac:dyDescent="0.2">
      <c r="A384" s="176" t="s">
        <v>1163</v>
      </c>
      <c r="B384" s="13" t="b">
        <v>1</v>
      </c>
      <c r="C384">
        <v>40021002</v>
      </c>
    </row>
    <row r="385" spans="1:3" x14ac:dyDescent="0.2">
      <c r="A385" s="176" t="s">
        <v>1164</v>
      </c>
      <c r="B385" s="13" t="b">
        <v>1</v>
      </c>
      <c r="C385">
        <v>40369429</v>
      </c>
    </row>
    <row r="386" spans="1:3" x14ac:dyDescent="0.2">
      <c r="A386" s="176" t="s">
        <v>1165</v>
      </c>
      <c r="B386" s="13" t="b">
        <v>1</v>
      </c>
      <c r="C386">
        <v>40773257</v>
      </c>
    </row>
    <row r="387" spans="1:3" x14ac:dyDescent="0.2">
      <c r="A387" s="176" t="s">
        <v>1166</v>
      </c>
      <c r="B387" s="13" t="b">
        <v>0</v>
      </c>
      <c r="C387">
        <v>41622169</v>
      </c>
    </row>
    <row r="388" spans="1:3" x14ac:dyDescent="0.2">
      <c r="A388" s="176" t="s">
        <v>1167</v>
      </c>
      <c r="B388" s="13" t="b">
        <v>1</v>
      </c>
      <c r="C388">
        <v>41993017</v>
      </c>
    </row>
    <row r="389" spans="1:3" x14ac:dyDescent="0.2">
      <c r="A389" s="176" t="s">
        <v>1168</v>
      </c>
      <c r="B389" s="13" t="b">
        <v>0</v>
      </c>
      <c r="C389">
        <v>43670008</v>
      </c>
    </row>
    <row r="390" spans="1:3" x14ac:dyDescent="0.2">
      <c r="A390" s="176" t="s">
        <v>1169</v>
      </c>
      <c r="B390" s="13" t="b">
        <v>1</v>
      </c>
      <c r="C390">
        <v>44001820</v>
      </c>
    </row>
    <row r="391" spans="1:3" x14ac:dyDescent="0.2">
      <c r="A391" s="176" t="s">
        <v>1170</v>
      </c>
      <c r="B391" s="13" t="b">
        <v>1</v>
      </c>
      <c r="C391">
        <v>44652220</v>
      </c>
    </row>
    <row r="392" spans="1:3" x14ac:dyDescent="0.2">
      <c r="A392" s="176" t="s">
        <v>1171</v>
      </c>
      <c r="B392" s="13" t="b">
        <v>1</v>
      </c>
      <c r="C392">
        <v>44986804</v>
      </c>
    </row>
    <row r="393" spans="1:3" x14ac:dyDescent="0.2">
      <c r="A393" s="176" t="s">
        <v>1172</v>
      </c>
      <c r="B393" s="13" t="b">
        <v>1</v>
      </c>
      <c r="C393">
        <v>46128760</v>
      </c>
    </row>
    <row r="394" spans="1:3" x14ac:dyDescent="0.2">
      <c r="A394" s="176" t="s">
        <v>1173</v>
      </c>
      <c r="B394" s="13" t="b">
        <v>1</v>
      </c>
      <c r="C394">
        <v>47550606</v>
      </c>
    </row>
    <row r="395" spans="1:3" x14ac:dyDescent="0.2">
      <c r="A395" s="176" t="s">
        <v>1174</v>
      </c>
      <c r="B395" s="13" t="b">
        <v>1</v>
      </c>
      <c r="C395">
        <v>49588376</v>
      </c>
    </row>
    <row r="396" spans="1:3" x14ac:dyDescent="0.2">
      <c r="A396" s="176" t="s">
        <v>1175</v>
      </c>
      <c r="B396" s="13" t="b">
        <v>1</v>
      </c>
      <c r="C396">
        <v>49462172</v>
      </c>
    </row>
    <row r="397" spans="1:3" x14ac:dyDescent="0.2">
      <c r="A397" s="176" t="s">
        <v>1176</v>
      </c>
      <c r="B397" s="13" t="b">
        <v>1</v>
      </c>
      <c r="C397">
        <v>50860546</v>
      </c>
    </row>
    <row r="398" spans="1:3" x14ac:dyDescent="0.2">
      <c r="A398" s="176" t="s">
        <v>1177</v>
      </c>
      <c r="B398" s="13" t="b">
        <v>0</v>
      </c>
      <c r="C398">
        <v>51782225</v>
      </c>
    </row>
    <row r="399" spans="1:3" x14ac:dyDescent="0.2">
      <c r="A399" s="176" t="s">
        <v>1178</v>
      </c>
      <c r="B399" s="13" t="b">
        <v>1</v>
      </c>
      <c r="C399">
        <v>53747825</v>
      </c>
    </row>
    <row r="400" spans="1:3" x14ac:dyDescent="0.2">
      <c r="A400" s="176" t="s">
        <v>1179</v>
      </c>
      <c r="B400" s="13" t="b">
        <v>0</v>
      </c>
      <c r="C400">
        <v>53855036</v>
      </c>
    </row>
    <row r="401" spans="1:3" x14ac:dyDescent="0.2">
      <c r="A401" s="176" t="s">
        <v>1180</v>
      </c>
      <c r="B401" s="13" t="b">
        <v>1</v>
      </c>
      <c r="C401">
        <v>89495776</v>
      </c>
    </row>
    <row r="402" spans="1:3" x14ac:dyDescent="0.2">
      <c r="A402" s="176" t="s">
        <v>1181</v>
      </c>
      <c r="B402" s="13" t="b">
        <v>1</v>
      </c>
      <c r="C402">
        <v>56505491</v>
      </c>
    </row>
    <row r="403" spans="1:3" x14ac:dyDescent="0.2">
      <c r="A403" s="176" t="s">
        <v>1182</v>
      </c>
      <c r="B403" s="13" t="b">
        <v>1</v>
      </c>
      <c r="C403">
        <v>88292752</v>
      </c>
    </row>
    <row r="404" spans="1:3" x14ac:dyDescent="0.2">
      <c r="A404" s="176" t="s">
        <v>1183</v>
      </c>
      <c r="B404" s="13" t="b">
        <v>1</v>
      </c>
      <c r="C404">
        <v>83975037</v>
      </c>
    </row>
    <row r="405" spans="1:3" x14ac:dyDescent="0.2">
      <c r="A405" s="176" t="s">
        <v>1184</v>
      </c>
      <c r="B405" s="13" t="b">
        <v>1</v>
      </c>
      <c r="C405">
        <v>95703740</v>
      </c>
    </row>
    <row r="406" spans="1:3" x14ac:dyDescent="0.2">
      <c r="A406" s="176" t="s">
        <v>1185</v>
      </c>
      <c r="B406" s="13" t="b">
        <v>1</v>
      </c>
      <c r="C406">
        <v>73354293</v>
      </c>
    </row>
    <row r="407" spans="1:3" x14ac:dyDescent="0.2">
      <c r="A407" s="176" t="s">
        <v>1186</v>
      </c>
      <c r="B407" s="13" t="b">
        <v>1</v>
      </c>
      <c r="C407">
        <v>74866700</v>
      </c>
    </row>
    <row r="408" spans="1:3" x14ac:dyDescent="0.2">
      <c r="A408" s="176" t="s">
        <v>1187</v>
      </c>
      <c r="B408" s="13" t="b">
        <v>1</v>
      </c>
      <c r="C408">
        <v>90794895</v>
      </c>
    </row>
    <row r="409" spans="1:3" x14ac:dyDescent="0.2">
      <c r="A409" s="176" t="s">
        <v>1188</v>
      </c>
      <c r="B409" s="13" t="b">
        <v>0</v>
      </c>
      <c r="C409">
        <v>221033377</v>
      </c>
    </row>
    <row r="410" spans="1:3" x14ac:dyDescent="0.2">
      <c r="A410" s="176" t="s">
        <v>1189</v>
      </c>
      <c r="B410" s="13" t="b">
        <v>0</v>
      </c>
      <c r="C410">
        <v>76791198</v>
      </c>
    </row>
    <row r="411" spans="1:3" x14ac:dyDescent="0.2">
      <c r="A411" s="176" t="s">
        <v>1190</v>
      </c>
      <c r="B411" s="13" t="b">
        <v>1</v>
      </c>
      <c r="C411">
        <v>88819288</v>
      </c>
    </row>
    <row r="412" spans="1:3" x14ac:dyDescent="0.2">
      <c r="A412" s="176" t="s">
        <v>1191</v>
      </c>
      <c r="B412" s="13" t="b">
        <v>1</v>
      </c>
      <c r="C412">
        <v>67889930</v>
      </c>
    </row>
    <row r="413" spans="1:3" x14ac:dyDescent="0.2">
      <c r="A413" s="176" t="s">
        <v>1192</v>
      </c>
      <c r="B413" s="13" t="b">
        <v>1</v>
      </c>
      <c r="C413">
        <v>85076790</v>
      </c>
    </row>
    <row r="414" spans="1:3" x14ac:dyDescent="0.2">
      <c r="A414" s="176" t="s">
        <v>1193</v>
      </c>
      <c r="B414" s="13" t="b">
        <v>0</v>
      </c>
      <c r="C414">
        <v>69293559</v>
      </c>
    </row>
    <row r="415" spans="1:3" x14ac:dyDescent="0.2">
      <c r="A415" s="176" t="s">
        <v>1194</v>
      </c>
      <c r="B415" s="13" t="b">
        <v>1</v>
      </c>
      <c r="C415">
        <v>79498203</v>
      </c>
    </row>
    <row r="416" spans="1:3" x14ac:dyDescent="0.2">
      <c r="A416" s="176" t="s">
        <v>1195</v>
      </c>
      <c r="B416" s="13" t="b">
        <v>1</v>
      </c>
      <c r="C416">
        <v>92306678</v>
      </c>
    </row>
    <row r="417" spans="1:3" x14ac:dyDescent="0.2">
      <c r="A417" s="176" t="s">
        <v>1196</v>
      </c>
      <c r="B417" s="13" t="b">
        <v>1</v>
      </c>
      <c r="C417">
        <v>57755168</v>
      </c>
    </row>
    <row r="418" spans="1:3" x14ac:dyDescent="0.2">
      <c r="A418" s="176" t="s">
        <v>1197</v>
      </c>
      <c r="B418" s="13" t="b">
        <v>1</v>
      </c>
      <c r="C418">
        <v>80664970</v>
      </c>
    </row>
    <row r="419" spans="1:3" x14ac:dyDescent="0.2">
      <c r="A419" s="176" t="s">
        <v>1198</v>
      </c>
      <c r="B419" s="13" t="b">
        <v>0</v>
      </c>
      <c r="C419">
        <v>76915240</v>
      </c>
    </row>
    <row r="420" spans="1:3" x14ac:dyDescent="0.2">
      <c r="A420" s="176" t="s">
        <v>1199</v>
      </c>
      <c r="B420" s="13" t="b">
        <v>1</v>
      </c>
      <c r="C420">
        <v>70212228</v>
      </c>
    </row>
    <row r="421" spans="1:3" x14ac:dyDescent="0.2">
      <c r="A421" s="176" t="s">
        <v>1200</v>
      </c>
      <c r="B421" s="13" t="b">
        <v>1</v>
      </c>
      <c r="C421">
        <v>81581011</v>
      </c>
    </row>
    <row r="422" spans="1:3" x14ac:dyDescent="0.2">
      <c r="A422" s="176" t="s">
        <v>1201</v>
      </c>
      <c r="B422" s="13" t="b">
        <v>1</v>
      </c>
      <c r="C422">
        <v>105316759</v>
      </c>
    </row>
    <row r="423" spans="1:3" x14ac:dyDescent="0.2">
      <c r="A423" s="176" t="s">
        <v>1202</v>
      </c>
      <c r="B423" s="13" t="b">
        <v>1</v>
      </c>
      <c r="C423">
        <v>96079833</v>
      </c>
    </row>
    <row r="424" spans="1:3" x14ac:dyDescent="0.2">
      <c r="A424" s="176" t="s">
        <v>1203</v>
      </c>
      <c r="B424" s="13" t="b">
        <v>1</v>
      </c>
      <c r="C424">
        <v>240495576</v>
      </c>
    </row>
    <row r="425" spans="1:3" x14ac:dyDescent="0.2">
      <c r="A425" s="176" t="s">
        <v>1204</v>
      </c>
      <c r="B425" s="13" t="b">
        <v>1</v>
      </c>
      <c r="C425">
        <v>85548741</v>
      </c>
    </row>
    <row r="426" spans="1:3" x14ac:dyDescent="0.2">
      <c r="A426" s="176" t="s">
        <v>1205</v>
      </c>
      <c r="B426" s="13" t="b">
        <v>1</v>
      </c>
      <c r="C426">
        <v>61440265</v>
      </c>
    </row>
    <row r="427" spans="1:3" x14ac:dyDescent="0.2">
      <c r="A427" s="176" t="s">
        <v>1206</v>
      </c>
      <c r="B427" s="13" t="b">
        <v>1</v>
      </c>
      <c r="C427">
        <v>59085966</v>
      </c>
    </row>
    <row r="428" spans="1:3" x14ac:dyDescent="0.2">
      <c r="A428" s="176" t="s">
        <v>1207</v>
      </c>
      <c r="B428" s="13" t="b">
        <v>0</v>
      </c>
      <c r="C428">
        <v>82457808</v>
      </c>
    </row>
    <row r="429" spans="1:3" x14ac:dyDescent="0.2">
      <c r="A429" s="176" t="s">
        <v>1208</v>
      </c>
      <c r="B429" s="13" t="b">
        <v>1</v>
      </c>
      <c r="C429">
        <v>80986742</v>
      </c>
    </row>
    <row r="430" spans="1:3" x14ac:dyDescent="0.2">
      <c r="A430" s="176" t="s">
        <v>1209</v>
      </c>
      <c r="B430" s="13" t="b">
        <v>1</v>
      </c>
      <c r="C430">
        <v>95514904</v>
      </c>
    </row>
    <row r="431" spans="1:3" x14ac:dyDescent="0.2">
      <c r="A431" s="176" t="s">
        <v>1210</v>
      </c>
      <c r="B431" s="13" t="b">
        <v>0</v>
      </c>
      <c r="C431">
        <v>98542026</v>
      </c>
    </row>
    <row r="432" spans="1:3" x14ac:dyDescent="0.2">
      <c r="A432" s="176" t="s">
        <v>1211</v>
      </c>
      <c r="B432" s="13" t="b">
        <v>1</v>
      </c>
      <c r="C432">
        <v>98606948</v>
      </c>
    </row>
    <row r="433" spans="1:3" x14ac:dyDescent="0.2">
      <c r="A433" s="176" t="s">
        <v>1212</v>
      </c>
      <c r="B433" s="13" t="b">
        <v>0</v>
      </c>
      <c r="C433">
        <v>98542021</v>
      </c>
    </row>
    <row r="434" spans="1:3" x14ac:dyDescent="0.2">
      <c r="A434" s="176" t="s">
        <v>1213</v>
      </c>
      <c r="B434" s="13" t="b">
        <v>1</v>
      </c>
      <c r="C434">
        <v>97478493</v>
      </c>
    </row>
    <row r="435" spans="1:3" x14ac:dyDescent="0.2">
      <c r="A435" s="176" t="s">
        <v>1214</v>
      </c>
      <c r="B435" s="13" t="b">
        <v>1</v>
      </c>
      <c r="C435">
        <v>105669270</v>
      </c>
    </row>
    <row r="436" spans="1:3" x14ac:dyDescent="0.2">
      <c r="A436" s="176" t="s">
        <v>1215</v>
      </c>
      <c r="B436" s="13" t="b">
        <v>1</v>
      </c>
      <c r="C436">
        <v>99831145</v>
      </c>
    </row>
    <row r="437" spans="1:3" x14ac:dyDescent="0.2">
      <c r="A437" s="176" t="s">
        <v>1216</v>
      </c>
      <c r="B437" s="13" t="b">
        <v>0</v>
      </c>
      <c r="C437">
        <v>105430010</v>
      </c>
    </row>
    <row r="438" spans="1:3" x14ac:dyDescent="0.2">
      <c r="A438" s="176" t="s">
        <v>1217</v>
      </c>
      <c r="B438" s="13" t="b">
        <v>0</v>
      </c>
      <c r="C438">
        <v>107113386</v>
      </c>
    </row>
    <row r="439" spans="1:3" x14ac:dyDescent="0.2">
      <c r="A439" s="176" t="s">
        <v>1218</v>
      </c>
      <c r="B439" s="13" t="b">
        <v>1</v>
      </c>
      <c r="C439">
        <v>110176011</v>
      </c>
    </row>
    <row r="440" spans="1:3" x14ac:dyDescent="0.2">
      <c r="A440" s="176" t="s">
        <v>1219</v>
      </c>
      <c r="B440" s="13" t="b">
        <v>0</v>
      </c>
      <c r="C440">
        <v>113599091</v>
      </c>
    </row>
    <row r="441" spans="1:3" x14ac:dyDescent="0.2">
      <c r="A441" s="176" t="s">
        <v>1220</v>
      </c>
      <c r="B441" s="13" t="b">
        <v>1</v>
      </c>
      <c r="C441">
        <v>118017869</v>
      </c>
    </row>
    <row r="442" spans="1:3" x14ac:dyDescent="0.2">
      <c r="A442" s="176" t="s">
        <v>1221</v>
      </c>
      <c r="B442" s="13" t="b">
        <v>1</v>
      </c>
      <c r="C442">
        <v>118089500</v>
      </c>
    </row>
    <row r="443" spans="1:3" x14ac:dyDescent="0.2">
      <c r="A443" s="176" t="s">
        <v>1222</v>
      </c>
      <c r="B443" s="13" t="b">
        <v>1</v>
      </c>
      <c r="C443">
        <v>121665622</v>
      </c>
    </row>
    <row r="444" spans="1:3" x14ac:dyDescent="0.2">
      <c r="A444" s="176" t="s">
        <v>1223</v>
      </c>
      <c r="B444" s="13" t="b">
        <v>1</v>
      </c>
      <c r="C444">
        <v>125005718</v>
      </c>
    </row>
    <row r="445" spans="1:3" x14ac:dyDescent="0.2">
      <c r="A445" s="176" t="s">
        <v>1224</v>
      </c>
      <c r="B445" s="13" t="b">
        <v>0</v>
      </c>
      <c r="C445">
        <v>129348130</v>
      </c>
    </row>
    <row r="446" spans="1:3" x14ac:dyDescent="0.2">
      <c r="A446" s="176" t="s">
        <v>1225</v>
      </c>
      <c r="B446" s="13" t="b">
        <v>1</v>
      </c>
      <c r="C446">
        <v>129166805</v>
      </c>
    </row>
    <row r="447" spans="1:3" x14ac:dyDescent="0.2">
      <c r="A447" s="176" t="s">
        <v>1226</v>
      </c>
      <c r="B447" s="13" t="b">
        <v>0</v>
      </c>
      <c r="C447">
        <v>139673266</v>
      </c>
    </row>
    <row r="448" spans="1:3" x14ac:dyDescent="0.2">
      <c r="A448" s="176" t="s">
        <v>1227</v>
      </c>
      <c r="B448" s="13" t="b">
        <v>0</v>
      </c>
      <c r="C448">
        <v>217947855</v>
      </c>
    </row>
    <row r="449" spans="1:3" x14ac:dyDescent="0.2">
      <c r="A449" s="176" t="s">
        <v>1228</v>
      </c>
      <c r="B449" s="13" t="b">
        <v>1</v>
      </c>
      <c r="C449">
        <v>138438437</v>
      </c>
    </row>
    <row r="450" spans="1:3" x14ac:dyDescent="0.2">
      <c r="A450" s="176" t="s">
        <v>1229</v>
      </c>
      <c r="B450" s="13" t="b">
        <v>1</v>
      </c>
      <c r="C450">
        <v>136370275</v>
      </c>
    </row>
    <row r="451" spans="1:3" x14ac:dyDescent="0.2">
      <c r="A451" s="176" t="s">
        <v>1230</v>
      </c>
      <c r="B451" s="13" t="b">
        <v>1</v>
      </c>
      <c r="C451">
        <v>140067524</v>
      </c>
    </row>
    <row r="452" spans="1:3" x14ac:dyDescent="0.2">
      <c r="A452" s="176" t="s">
        <v>1231</v>
      </c>
      <c r="B452" s="13" t="b">
        <v>0</v>
      </c>
      <c r="C452">
        <v>145588883</v>
      </c>
    </row>
    <row r="453" spans="1:3" x14ac:dyDescent="0.2">
      <c r="A453" s="176" t="s">
        <v>1232</v>
      </c>
      <c r="B453" s="13" t="b">
        <v>0</v>
      </c>
      <c r="C453">
        <v>148782986</v>
      </c>
    </row>
    <row r="454" spans="1:3" x14ac:dyDescent="0.2">
      <c r="A454" s="176" t="s">
        <v>1233</v>
      </c>
      <c r="B454" s="13" t="b">
        <v>1</v>
      </c>
      <c r="C454">
        <v>153068487</v>
      </c>
    </row>
    <row r="455" spans="1:3" x14ac:dyDescent="0.2">
      <c r="A455" s="176" t="s">
        <v>1234</v>
      </c>
      <c r="B455" s="13" t="b">
        <v>1</v>
      </c>
      <c r="C455">
        <v>162231797</v>
      </c>
    </row>
    <row r="456" spans="1:3" x14ac:dyDescent="0.2">
      <c r="A456" s="176" t="s">
        <v>1235</v>
      </c>
      <c r="B456" s="13" t="b">
        <v>1</v>
      </c>
      <c r="C456">
        <v>173432513</v>
      </c>
    </row>
    <row r="457" spans="1:3" x14ac:dyDescent="0.2">
      <c r="A457" s="176" t="s">
        <v>1236</v>
      </c>
      <c r="B457" s="13" t="b">
        <v>1</v>
      </c>
      <c r="C457">
        <v>173962302</v>
      </c>
    </row>
    <row r="458" spans="1:3" x14ac:dyDescent="0.2">
      <c r="A458" s="176" t="s">
        <v>1237</v>
      </c>
      <c r="B458" s="13" t="b">
        <v>1</v>
      </c>
      <c r="C458">
        <v>176571182</v>
      </c>
    </row>
    <row r="459" spans="1:3" x14ac:dyDescent="0.2">
      <c r="A459" s="176" t="s">
        <v>1238</v>
      </c>
      <c r="B459" s="13" t="b">
        <v>1</v>
      </c>
      <c r="C459">
        <v>181387075</v>
      </c>
    </row>
    <row r="460" spans="1:3" x14ac:dyDescent="0.2">
      <c r="A460" s="176" t="s">
        <v>1239</v>
      </c>
      <c r="B460" s="13" t="b">
        <v>0</v>
      </c>
      <c r="C460">
        <v>178634687</v>
      </c>
    </row>
    <row r="461" spans="1:3" x14ac:dyDescent="0.2">
      <c r="A461" s="176" t="s">
        <v>1240</v>
      </c>
      <c r="B461" s="13" t="b">
        <v>0</v>
      </c>
      <c r="C461">
        <v>185731883</v>
      </c>
    </row>
    <row r="462" spans="1:3" x14ac:dyDescent="0.2">
      <c r="A462" s="176" t="s">
        <v>1241</v>
      </c>
      <c r="B462" s="13" t="b">
        <v>1</v>
      </c>
      <c r="C462">
        <v>180350774</v>
      </c>
    </row>
    <row r="463" spans="1:3" x14ac:dyDescent="0.2">
      <c r="A463" s="176" t="s">
        <v>1242</v>
      </c>
      <c r="B463" s="13" t="b">
        <v>0</v>
      </c>
      <c r="C463">
        <v>181764593</v>
      </c>
    </row>
    <row r="464" spans="1:3" x14ac:dyDescent="0.2">
      <c r="A464" s="176" t="s">
        <v>1243</v>
      </c>
      <c r="B464" s="13" t="b">
        <v>1</v>
      </c>
      <c r="C464">
        <v>204429726</v>
      </c>
    </row>
    <row r="465" spans="1:3" x14ac:dyDescent="0.2">
      <c r="A465" s="176" t="s">
        <v>1244</v>
      </c>
      <c r="B465" s="13" t="b">
        <v>1</v>
      </c>
      <c r="C465">
        <v>212212843</v>
      </c>
    </row>
    <row r="466" spans="1:3" x14ac:dyDescent="0.2">
      <c r="A466" s="176" t="s">
        <v>1245</v>
      </c>
      <c r="B466" s="13" t="b">
        <v>1</v>
      </c>
      <c r="C466">
        <v>198032496</v>
      </c>
    </row>
    <row r="467" spans="1:3" x14ac:dyDescent="0.2">
      <c r="A467" s="176" t="s">
        <v>1246</v>
      </c>
      <c r="B467" s="13" t="b">
        <v>0</v>
      </c>
      <c r="C467">
        <v>199169586</v>
      </c>
    </row>
    <row r="468" spans="1:3" x14ac:dyDescent="0.2">
      <c r="A468" s="176" t="s">
        <v>1247</v>
      </c>
      <c r="B468" s="13" t="b">
        <v>1</v>
      </c>
      <c r="C468">
        <v>207739931</v>
      </c>
    </row>
    <row r="469" spans="1:3" x14ac:dyDescent="0.2">
      <c r="A469" s="176" t="s">
        <v>1248</v>
      </c>
      <c r="B469" s="13" t="b">
        <v>1</v>
      </c>
      <c r="C469">
        <v>209411798</v>
      </c>
    </row>
    <row r="470" spans="1:3" x14ac:dyDescent="0.2">
      <c r="A470" s="176" t="s">
        <v>1249</v>
      </c>
      <c r="B470" s="13" t="b">
        <v>0</v>
      </c>
      <c r="C470">
        <v>199169591</v>
      </c>
    </row>
    <row r="471" spans="1:3" x14ac:dyDescent="0.2">
      <c r="A471" s="176" t="s">
        <v>1250</v>
      </c>
      <c r="B471" s="13" t="b">
        <v>1</v>
      </c>
      <c r="C471">
        <v>209411801</v>
      </c>
    </row>
    <row r="472" spans="1:3" x14ac:dyDescent="0.2">
      <c r="A472" s="176" t="s">
        <v>1251</v>
      </c>
      <c r="B472" s="13" t="b">
        <v>1</v>
      </c>
      <c r="C472">
        <v>198560237</v>
      </c>
    </row>
    <row r="473" spans="1:3" x14ac:dyDescent="0.2">
      <c r="A473" s="176" t="s">
        <v>1252</v>
      </c>
      <c r="B473" s="13" t="b">
        <v>0</v>
      </c>
      <c r="C473">
        <v>196986496</v>
      </c>
    </row>
    <row r="474" spans="1:3" x14ac:dyDescent="0.2">
      <c r="A474" s="176" t="s">
        <v>1253</v>
      </c>
      <c r="B474" s="13" t="b">
        <v>1</v>
      </c>
      <c r="C474">
        <v>196887976</v>
      </c>
    </row>
    <row r="475" spans="1:3" x14ac:dyDescent="0.2">
      <c r="A475" s="176" t="s">
        <v>1254</v>
      </c>
      <c r="B475" s="13" t="b">
        <v>1</v>
      </c>
      <c r="C475">
        <v>30351205</v>
      </c>
    </row>
    <row r="476" spans="1:3" x14ac:dyDescent="0.2">
      <c r="A476" s="176" t="s">
        <v>1255</v>
      </c>
      <c r="B476" s="13" t="b">
        <v>1</v>
      </c>
      <c r="C476">
        <v>7361</v>
      </c>
    </row>
    <row r="477" spans="1:3" x14ac:dyDescent="0.2">
      <c r="A477" s="176" t="s">
        <v>1256</v>
      </c>
      <c r="B477" s="13" t="b">
        <v>1</v>
      </c>
      <c r="C477">
        <v>43274444</v>
      </c>
    </row>
    <row r="478" spans="1:3" x14ac:dyDescent="0.2">
      <c r="A478" s="176" t="s">
        <v>1257</v>
      </c>
      <c r="B478" s="13" t="b">
        <v>1</v>
      </c>
      <c r="C478">
        <v>45182651</v>
      </c>
    </row>
    <row r="479" spans="1:3" x14ac:dyDescent="0.2">
      <c r="A479" s="176" t="s">
        <v>1258</v>
      </c>
      <c r="B479" s="13" t="b">
        <v>1</v>
      </c>
      <c r="C479">
        <v>50530752</v>
      </c>
    </row>
    <row r="480" spans="1:3" x14ac:dyDescent="0.2">
      <c r="A480" s="176" t="s">
        <v>1259</v>
      </c>
      <c r="B480" s="13" t="b">
        <v>1</v>
      </c>
      <c r="C480">
        <v>167955370</v>
      </c>
    </row>
    <row r="481" spans="1:3" x14ac:dyDescent="0.2">
      <c r="A481" s="176" t="s">
        <v>1260</v>
      </c>
      <c r="B481" s="13" t="b">
        <v>0</v>
      </c>
      <c r="C481">
        <v>270188</v>
      </c>
    </row>
    <row r="482" spans="1:3" x14ac:dyDescent="0.2">
      <c r="A482" s="176" t="s">
        <v>1261</v>
      </c>
      <c r="B482" s="13" t="b">
        <v>1</v>
      </c>
      <c r="C482">
        <v>13878278</v>
      </c>
    </row>
    <row r="483" spans="1:3" x14ac:dyDescent="0.2">
      <c r="A483" s="176" t="s">
        <v>1262</v>
      </c>
      <c r="B483" s="13" t="b">
        <v>1</v>
      </c>
      <c r="C483">
        <v>14025</v>
      </c>
    </row>
    <row r="484" spans="1:3" x14ac:dyDescent="0.2">
      <c r="A484" s="176" t="s">
        <v>1263</v>
      </c>
      <c r="B484" s="13" t="b">
        <v>1</v>
      </c>
      <c r="C484">
        <v>11477774</v>
      </c>
    </row>
    <row r="485" spans="1:3" x14ac:dyDescent="0.2">
      <c r="A485" s="176" t="s">
        <v>1264</v>
      </c>
      <c r="B485" s="13" t="b">
        <v>1</v>
      </c>
      <c r="C485">
        <v>13838371</v>
      </c>
    </row>
    <row r="486" spans="1:3" x14ac:dyDescent="0.2">
      <c r="A486" s="176" t="s">
        <v>1265</v>
      </c>
      <c r="B486" s="13" t="b">
        <v>0</v>
      </c>
      <c r="C486">
        <v>46970422</v>
      </c>
    </row>
    <row r="487" spans="1:3" x14ac:dyDescent="0.2">
      <c r="A487" s="176" t="s">
        <v>1266</v>
      </c>
      <c r="B487" s="13" t="b">
        <v>1</v>
      </c>
      <c r="C487">
        <v>4352</v>
      </c>
    </row>
    <row r="488" spans="1:3" x14ac:dyDescent="0.2">
      <c r="A488" s="176" t="s">
        <v>1267</v>
      </c>
      <c r="B488" s="13" t="b">
        <v>0</v>
      </c>
      <c r="C488">
        <v>26345312</v>
      </c>
    </row>
    <row r="489" spans="1:3" x14ac:dyDescent="0.2">
      <c r="A489" s="176" t="s">
        <v>1268</v>
      </c>
      <c r="B489" s="13" t="b">
        <v>1</v>
      </c>
      <c r="C489">
        <v>31832526</v>
      </c>
    </row>
    <row r="490" spans="1:3" x14ac:dyDescent="0.2">
      <c r="A490" s="176" t="s">
        <v>1269</v>
      </c>
      <c r="B490" s="13" t="b">
        <v>1</v>
      </c>
      <c r="C490">
        <v>38285434</v>
      </c>
    </row>
    <row r="491" spans="1:3" x14ac:dyDescent="0.2">
      <c r="A491" s="176" t="s">
        <v>1270</v>
      </c>
      <c r="B491" s="13" t="b">
        <v>1</v>
      </c>
      <c r="C491">
        <v>4325</v>
      </c>
    </row>
    <row r="492" spans="1:3" x14ac:dyDescent="0.2">
      <c r="A492" s="176" t="s">
        <v>1271</v>
      </c>
      <c r="B492" s="13" t="b">
        <v>0</v>
      </c>
      <c r="C492">
        <v>129203964</v>
      </c>
    </row>
    <row r="493" spans="1:3" x14ac:dyDescent="0.2">
      <c r="A493" t="s">
        <v>588</v>
      </c>
      <c r="B493" s="13" t="b">
        <v>0</v>
      </c>
      <c r="C493">
        <v>43661924</v>
      </c>
    </row>
    <row r="494" spans="1:3" x14ac:dyDescent="0.2">
      <c r="A494" t="s">
        <v>589</v>
      </c>
      <c r="B494" s="13" t="b">
        <v>0</v>
      </c>
      <c r="C494">
        <v>208813719</v>
      </c>
    </row>
    <row r="495" spans="1:3" x14ac:dyDescent="0.2">
      <c r="A495" t="s">
        <v>590</v>
      </c>
      <c r="B495" s="13" t="b">
        <v>1</v>
      </c>
      <c r="C495">
        <v>166090175</v>
      </c>
    </row>
    <row r="496" spans="1:3" x14ac:dyDescent="0.2">
      <c r="A496" t="s">
        <v>591</v>
      </c>
      <c r="B496" s="13" t="b">
        <v>0</v>
      </c>
      <c r="C496">
        <v>15547841</v>
      </c>
    </row>
    <row r="497" spans="1:3" x14ac:dyDescent="0.2">
      <c r="A497" t="s">
        <v>592</v>
      </c>
      <c r="B497" s="13" t="b">
        <v>0</v>
      </c>
      <c r="C497">
        <v>76792991</v>
      </c>
    </row>
    <row r="498" spans="1:3" x14ac:dyDescent="0.2">
      <c r="A498" t="s">
        <v>593</v>
      </c>
      <c r="B498" s="13" t="b">
        <v>1</v>
      </c>
      <c r="C498">
        <v>196610642</v>
      </c>
    </row>
    <row r="499" spans="1:3" x14ac:dyDescent="0.2">
      <c r="A499" t="s">
        <v>594</v>
      </c>
      <c r="B499" s="13" t="b">
        <v>1</v>
      </c>
      <c r="C499">
        <v>79431711</v>
      </c>
    </row>
    <row r="500" spans="1:3" x14ac:dyDescent="0.2">
      <c r="A500" t="s">
        <v>595</v>
      </c>
      <c r="B500" s="13" t="b">
        <v>0</v>
      </c>
      <c r="C500">
        <v>11517520</v>
      </c>
    </row>
    <row r="501" spans="1:3" x14ac:dyDescent="0.2">
      <c r="A501" t="s">
        <v>596</v>
      </c>
      <c r="B501" s="13" t="b">
        <v>0</v>
      </c>
      <c r="C501">
        <v>35359385</v>
      </c>
    </row>
    <row r="502" spans="1:3" x14ac:dyDescent="0.2">
      <c r="A502" t="s">
        <v>597</v>
      </c>
      <c r="B502" s="13" t="b">
        <v>0</v>
      </c>
      <c r="C502">
        <v>233674866</v>
      </c>
    </row>
    <row r="503" spans="1:3" x14ac:dyDescent="0.2">
      <c r="A503" t="s">
        <v>598</v>
      </c>
      <c r="B503" s="13" t="b">
        <v>0</v>
      </c>
      <c r="C503">
        <v>4818054</v>
      </c>
    </row>
    <row r="504" spans="1:3" x14ac:dyDescent="0.2">
      <c r="A504" t="s">
        <v>599</v>
      </c>
      <c r="B504" s="13" t="b">
        <v>1</v>
      </c>
      <c r="C504">
        <v>88259585</v>
      </c>
    </row>
    <row r="505" spans="1:3" x14ac:dyDescent="0.2">
      <c r="A505" t="s">
        <v>600</v>
      </c>
      <c r="B505" s="13" t="b">
        <v>0</v>
      </c>
      <c r="C505">
        <v>72539702</v>
      </c>
    </row>
    <row r="506" spans="1:3" x14ac:dyDescent="0.2">
      <c r="A506" t="s">
        <v>601</v>
      </c>
      <c r="B506" s="13" t="b">
        <v>1</v>
      </c>
      <c r="C506">
        <v>275085</v>
      </c>
    </row>
    <row r="507" spans="1:3" x14ac:dyDescent="0.2">
      <c r="A507" t="s">
        <v>602</v>
      </c>
      <c r="B507" s="13" t="b">
        <v>0</v>
      </c>
      <c r="C507">
        <v>77791077</v>
      </c>
    </row>
    <row r="508" spans="1:3" x14ac:dyDescent="0.2">
      <c r="A508" t="s">
        <v>603</v>
      </c>
      <c r="B508" s="13" t="b">
        <v>1</v>
      </c>
      <c r="C508">
        <v>110619459</v>
      </c>
    </row>
    <row r="509" spans="1:3" x14ac:dyDescent="0.2">
      <c r="A509" t="s">
        <v>604</v>
      </c>
      <c r="B509" s="13" t="b">
        <v>1</v>
      </c>
      <c r="C509">
        <v>218939694</v>
      </c>
    </row>
    <row r="510" spans="1:3" x14ac:dyDescent="0.2">
      <c r="A510" t="s">
        <v>605</v>
      </c>
      <c r="B510" s="13" t="b">
        <v>1</v>
      </c>
      <c r="C510">
        <v>61481454</v>
      </c>
    </row>
    <row r="511" spans="1:3" x14ac:dyDescent="0.2">
      <c r="A511" t="s">
        <v>606</v>
      </c>
      <c r="B511" s="13" t="b">
        <v>0</v>
      </c>
      <c r="C511">
        <v>9541698</v>
      </c>
    </row>
    <row r="512" spans="1:3" x14ac:dyDescent="0.2">
      <c r="A512" t="s">
        <v>607</v>
      </c>
      <c r="B512" s="13" t="b">
        <v>1</v>
      </c>
      <c r="C512">
        <v>8794522</v>
      </c>
    </row>
    <row r="513" spans="1:3" x14ac:dyDescent="0.2">
      <c r="A513" t="s">
        <v>608</v>
      </c>
      <c r="B513" s="13" t="b">
        <v>0</v>
      </c>
      <c r="C513">
        <v>6857447</v>
      </c>
    </row>
    <row r="514" spans="1:3" x14ac:dyDescent="0.2">
      <c r="A514" t="s">
        <v>609</v>
      </c>
      <c r="B514" s="13" t="b">
        <v>0</v>
      </c>
      <c r="C514">
        <v>45157951</v>
      </c>
    </row>
    <row r="515" spans="1:3" x14ac:dyDescent="0.2">
      <c r="A515" t="s">
        <v>610</v>
      </c>
      <c r="B515" s="13" t="b">
        <v>1</v>
      </c>
      <c r="C515">
        <v>115324104</v>
      </c>
    </row>
    <row r="516" spans="1:3" x14ac:dyDescent="0.2">
      <c r="A516" t="s">
        <v>611</v>
      </c>
      <c r="B516" s="13" t="b">
        <v>1</v>
      </c>
      <c r="C516">
        <v>109911821</v>
      </c>
    </row>
    <row r="517" spans="1:3" x14ac:dyDescent="0.2">
      <c r="A517" t="s">
        <v>612</v>
      </c>
      <c r="B517" s="13" t="b">
        <v>1</v>
      </c>
      <c r="C517">
        <v>13432503</v>
      </c>
    </row>
    <row r="518" spans="1:3" x14ac:dyDescent="0.2">
      <c r="A518" t="s">
        <v>613</v>
      </c>
      <c r="B518" s="13" t="b">
        <v>0</v>
      </c>
      <c r="C518">
        <v>4172987</v>
      </c>
    </row>
    <row r="519" spans="1:3" x14ac:dyDescent="0.2">
      <c r="A519" t="s">
        <v>614</v>
      </c>
      <c r="B519" s="13" t="b">
        <v>0</v>
      </c>
      <c r="C519">
        <v>4369855</v>
      </c>
    </row>
    <row r="520" spans="1:3" x14ac:dyDescent="0.2">
      <c r="A520" t="s">
        <v>615</v>
      </c>
      <c r="B520" s="13" t="b">
        <v>0</v>
      </c>
      <c r="C520">
        <v>48410287</v>
      </c>
    </row>
    <row r="521" spans="1:3" x14ac:dyDescent="0.2">
      <c r="A521" t="s">
        <v>616</v>
      </c>
      <c r="B521" s="13" t="b">
        <v>1</v>
      </c>
      <c r="C521">
        <v>45642839</v>
      </c>
    </row>
    <row r="522" spans="1:3" x14ac:dyDescent="0.2">
      <c r="A522" t="s">
        <v>617</v>
      </c>
      <c r="B522" s="13" t="b">
        <v>0</v>
      </c>
      <c r="C522">
        <v>49954154</v>
      </c>
    </row>
    <row r="523" spans="1:3" x14ac:dyDescent="0.2">
      <c r="A523" t="s">
        <v>618</v>
      </c>
      <c r="B523" s="13" t="b">
        <v>1</v>
      </c>
      <c r="C523">
        <v>229629397</v>
      </c>
    </row>
    <row r="524" spans="1:3" x14ac:dyDescent="0.2">
      <c r="A524" t="s">
        <v>619</v>
      </c>
      <c r="B524" s="13" t="b">
        <v>0</v>
      </c>
      <c r="C524">
        <v>6246667</v>
      </c>
    </row>
    <row r="525" spans="1:3" x14ac:dyDescent="0.2">
      <c r="A525" t="s">
        <v>620</v>
      </c>
      <c r="B525" s="13" t="b">
        <v>1</v>
      </c>
      <c r="C525">
        <v>611242</v>
      </c>
    </row>
    <row r="526" spans="1:3" x14ac:dyDescent="0.2">
      <c r="A526" t="s">
        <v>621</v>
      </c>
      <c r="B526" s="13" t="b">
        <v>1</v>
      </c>
      <c r="C526">
        <v>81835582</v>
      </c>
    </row>
    <row r="527" spans="1:3" x14ac:dyDescent="0.2">
      <c r="A527" t="s">
        <v>622</v>
      </c>
      <c r="B527" s="13" t="b">
        <v>1</v>
      </c>
      <c r="C527">
        <v>32618459</v>
      </c>
    </row>
    <row r="528" spans="1:3" x14ac:dyDescent="0.2">
      <c r="A528" t="s">
        <v>623</v>
      </c>
      <c r="B528" s="13" t="b">
        <v>1</v>
      </c>
      <c r="C528">
        <v>29831612</v>
      </c>
    </row>
    <row r="529" spans="1:3" x14ac:dyDescent="0.2">
      <c r="A529" t="s">
        <v>624</v>
      </c>
      <c r="B529" s="13" t="b">
        <v>1</v>
      </c>
      <c r="C529">
        <v>4347</v>
      </c>
    </row>
    <row r="530" spans="1:3" x14ac:dyDescent="0.2">
      <c r="A530" t="s">
        <v>625</v>
      </c>
      <c r="B530" s="13" t="b">
        <v>0</v>
      </c>
      <c r="C530">
        <v>115441080</v>
      </c>
    </row>
    <row r="531" spans="1:3" x14ac:dyDescent="0.2">
      <c r="A531" t="s">
        <v>626</v>
      </c>
      <c r="B531" s="13" t="b">
        <v>0</v>
      </c>
      <c r="C531">
        <v>100430853</v>
      </c>
    </row>
    <row r="532" spans="1:3" x14ac:dyDescent="0.2">
      <c r="A532" t="s">
        <v>627</v>
      </c>
      <c r="B532" s="13" t="b">
        <v>0</v>
      </c>
      <c r="C532">
        <v>6477985</v>
      </c>
    </row>
    <row r="533" spans="1:3" x14ac:dyDescent="0.2">
      <c r="A533" t="s">
        <v>390</v>
      </c>
      <c r="B533" s="13" t="b">
        <v>1</v>
      </c>
      <c r="C533">
        <v>182880167</v>
      </c>
    </row>
    <row r="534" spans="1:3" x14ac:dyDescent="0.2">
      <c r="A534" t="s">
        <v>628</v>
      </c>
      <c r="B534" s="13" t="b">
        <v>0</v>
      </c>
      <c r="C534">
        <v>105955748</v>
      </c>
    </row>
    <row r="535" spans="1:3" x14ac:dyDescent="0.2">
      <c r="A535" t="s">
        <v>629</v>
      </c>
      <c r="B535" s="13" t="b">
        <v>1</v>
      </c>
      <c r="C535">
        <v>70152668</v>
      </c>
    </row>
    <row r="536" spans="1:3" x14ac:dyDescent="0.2">
      <c r="A536" t="s">
        <v>630</v>
      </c>
      <c r="B536" s="13" t="b">
        <v>1</v>
      </c>
      <c r="C536">
        <v>5019164</v>
      </c>
    </row>
    <row r="537" spans="1:3" x14ac:dyDescent="0.2">
      <c r="A537" t="s">
        <v>631</v>
      </c>
      <c r="B537" s="13" t="b">
        <v>1</v>
      </c>
      <c r="C537">
        <v>127670820</v>
      </c>
    </row>
    <row r="538" spans="1:3" x14ac:dyDescent="0.2">
      <c r="A538" t="s">
        <v>632</v>
      </c>
      <c r="B538" s="13" t="b">
        <v>0</v>
      </c>
      <c r="C538">
        <v>15468463</v>
      </c>
    </row>
    <row r="539" spans="1:3" x14ac:dyDescent="0.2">
      <c r="A539" t="s">
        <v>633</v>
      </c>
      <c r="B539" s="13" t="b">
        <v>0</v>
      </c>
      <c r="C539">
        <v>70363037</v>
      </c>
    </row>
    <row r="540" spans="1:3" x14ac:dyDescent="0.2">
      <c r="A540" t="s">
        <v>634</v>
      </c>
      <c r="B540" s="13" t="b">
        <v>1</v>
      </c>
      <c r="C540">
        <v>104791597</v>
      </c>
    </row>
    <row r="541" spans="1:3" x14ac:dyDescent="0.2">
      <c r="A541" t="s">
        <v>635</v>
      </c>
      <c r="B541" s="13" t="b">
        <v>0</v>
      </c>
      <c r="C541">
        <v>26796053</v>
      </c>
    </row>
    <row r="542" spans="1:3" x14ac:dyDescent="0.2">
      <c r="A542" t="s">
        <v>636</v>
      </c>
      <c r="B542" s="13" t="b">
        <v>0</v>
      </c>
      <c r="C542">
        <v>179002152</v>
      </c>
    </row>
    <row r="543" spans="1:3" x14ac:dyDescent="0.2">
      <c r="A543" t="s">
        <v>637</v>
      </c>
      <c r="B543" s="13" t="b">
        <v>1</v>
      </c>
      <c r="C543">
        <v>3804335</v>
      </c>
    </row>
    <row r="544" spans="1:3" x14ac:dyDescent="0.2">
      <c r="A544" t="s">
        <v>638</v>
      </c>
      <c r="B544" s="13" t="b">
        <v>1</v>
      </c>
      <c r="C544">
        <v>10611</v>
      </c>
    </row>
    <row r="545" spans="1:3" x14ac:dyDescent="0.2">
      <c r="A545" t="s">
        <v>639</v>
      </c>
      <c r="B545" s="13" t="b">
        <v>1</v>
      </c>
      <c r="C545">
        <v>27059190</v>
      </c>
    </row>
    <row r="546" spans="1:3" x14ac:dyDescent="0.2">
      <c r="A546" t="s">
        <v>640</v>
      </c>
      <c r="B546" s="13" t="b">
        <v>1</v>
      </c>
      <c r="C546">
        <v>94078796</v>
      </c>
    </row>
    <row r="547" spans="1:3" x14ac:dyDescent="0.2">
      <c r="A547" t="s">
        <v>641</v>
      </c>
      <c r="B547" s="13" t="b">
        <v>0</v>
      </c>
      <c r="C547">
        <v>115353758</v>
      </c>
    </row>
    <row r="548" spans="1:3" x14ac:dyDescent="0.2">
      <c r="A548" t="s">
        <v>642</v>
      </c>
      <c r="B548" s="13" t="b">
        <v>0</v>
      </c>
      <c r="C548">
        <v>6746357</v>
      </c>
    </row>
    <row r="549" spans="1:3" x14ac:dyDescent="0.2">
      <c r="A549" t="s">
        <v>643</v>
      </c>
      <c r="B549" s="13" t="b">
        <v>1</v>
      </c>
      <c r="C549">
        <v>235248586</v>
      </c>
    </row>
    <row r="550" spans="1:3" x14ac:dyDescent="0.2">
      <c r="A550" t="s">
        <v>644</v>
      </c>
      <c r="B550" s="13" t="b">
        <v>1</v>
      </c>
      <c r="C550">
        <v>135699190</v>
      </c>
    </row>
    <row r="551" spans="1:3" x14ac:dyDescent="0.2">
      <c r="A551" t="s">
        <v>645</v>
      </c>
      <c r="B551" s="13" t="b">
        <v>0</v>
      </c>
      <c r="C551">
        <v>117902840</v>
      </c>
    </row>
    <row r="552" spans="1:3" x14ac:dyDescent="0.2">
      <c r="A552" t="s">
        <v>646</v>
      </c>
      <c r="B552" s="13" t="b">
        <v>1</v>
      </c>
      <c r="C552">
        <v>12844443</v>
      </c>
    </row>
    <row r="553" spans="1:3" x14ac:dyDescent="0.2">
      <c r="A553" t="s">
        <v>647</v>
      </c>
      <c r="B553" s="13" t="b">
        <v>1</v>
      </c>
      <c r="C553">
        <v>2585438</v>
      </c>
    </row>
    <row r="554" spans="1:3" x14ac:dyDescent="0.2">
      <c r="A554" t="s">
        <v>648</v>
      </c>
      <c r="B554" s="13" t="b">
        <v>1</v>
      </c>
      <c r="C554">
        <v>7788</v>
      </c>
    </row>
    <row r="555" spans="1:3" x14ac:dyDescent="0.2">
      <c r="A555" t="s">
        <v>649</v>
      </c>
      <c r="B555" s="13" t="b">
        <v>1</v>
      </c>
      <c r="C555">
        <v>127284359</v>
      </c>
    </row>
    <row r="556" spans="1:3" x14ac:dyDescent="0.2">
      <c r="A556" t="s">
        <v>650</v>
      </c>
      <c r="B556" s="13" t="b">
        <v>0</v>
      </c>
      <c r="C556">
        <v>28488706</v>
      </c>
    </row>
    <row r="557" spans="1:3" x14ac:dyDescent="0.2">
      <c r="A557" t="s">
        <v>651</v>
      </c>
      <c r="B557" s="13" t="b">
        <v>1</v>
      </c>
      <c r="C557">
        <v>47619244</v>
      </c>
    </row>
    <row r="558" spans="1:3" x14ac:dyDescent="0.2">
      <c r="A558" t="s">
        <v>652</v>
      </c>
      <c r="B558" s="13" t="b">
        <v>1</v>
      </c>
      <c r="C558">
        <v>661633</v>
      </c>
    </row>
    <row r="559" spans="1:3" x14ac:dyDescent="0.2">
      <c r="A559" t="s">
        <v>653</v>
      </c>
      <c r="B559" s="13" t="b">
        <v>0</v>
      </c>
      <c r="C559">
        <v>108773515</v>
      </c>
    </row>
    <row r="560" spans="1:3" x14ac:dyDescent="0.2">
      <c r="A560" t="s">
        <v>654</v>
      </c>
      <c r="B560" s="13" t="b">
        <v>1</v>
      </c>
      <c r="C560">
        <v>13394</v>
      </c>
    </row>
    <row r="561" spans="1:3" x14ac:dyDescent="0.2">
      <c r="A561" t="s">
        <v>655</v>
      </c>
      <c r="B561" s="13" t="b">
        <v>0</v>
      </c>
      <c r="C561">
        <v>274385</v>
      </c>
    </row>
    <row r="562" spans="1:3" x14ac:dyDescent="0.2">
      <c r="A562" t="s">
        <v>656</v>
      </c>
      <c r="B562" s="13" t="b">
        <v>1</v>
      </c>
      <c r="C562">
        <v>5754</v>
      </c>
    </row>
    <row r="563" spans="1:3" x14ac:dyDescent="0.2">
      <c r="A563" t="s">
        <v>657</v>
      </c>
      <c r="B563" s="13" t="b">
        <v>1</v>
      </c>
      <c r="C563">
        <v>26593783</v>
      </c>
    </row>
    <row r="564" spans="1:3" x14ac:dyDescent="0.2">
      <c r="A564" t="s">
        <v>658</v>
      </c>
      <c r="B564" s="13" t="b">
        <v>1</v>
      </c>
      <c r="C564">
        <v>34563763</v>
      </c>
    </row>
    <row r="565" spans="1:3" x14ac:dyDescent="0.2">
      <c r="A565" t="s">
        <v>659</v>
      </c>
      <c r="B565" s="13" t="b">
        <v>1</v>
      </c>
      <c r="C565">
        <v>2008980</v>
      </c>
    </row>
    <row r="566" spans="1:3" x14ac:dyDescent="0.2">
      <c r="A566" t="s">
        <v>660</v>
      </c>
      <c r="B566" s="13" t="b">
        <v>1</v>
      </c>
      <c r="C566">
        <v>21555838</v>
      </c>
    </row>
    <row r="567" spans="1:3" x14ac:dyDescent="0.2">
      <c r="A567" t="s">
        <v>661</v>
      </c>
      <c r="B567" s="13" t="b">
        <v>1</v>
      </c>
      <c r="C567">
        <v>7740411</v>
      </c>
    </row>
    <row r="568" spans="1:3" x14ac:dyDescent="0.2">
      <c r="A568" t="s">
        <v>662</v>
      </c>
      <c r="B568" s="13" t="b">
        <v>1</v>
      </c>
      <c r="C568">
        <v>4457163</v>
      </c>
    </row>
    <row r="569" spans="1:3" x14ac:dyDescent="0.2">
      <c r="A569" t="s">
        <v>663</v>
      </c>
      <c r="B569" s="13" t="b">
        <v>0</v>
      </c>
      <c r="C569">
        <v>70363051</v>
      </c>
    </row>
    <row r="570" spans="1:3" x14ac:dyDescent="0.2">
      <c r="A570" t="s">
        <v>664</v>
      </c>
      <c r="B570" s="13" t="b">
        <v>1</v>
      </c>
      <c r="C570">
        <v>100547520</v>
      </c>
    </row>
    <row r="571" spans="1:3" x14ac:dyDescent="0.2">
      <c r="A571" t="s">
        <v>665</v>
      </c>
      <c r="B571" s="13" t="b">
        <v>1</v>
      </c>
      <c r="C571">
        <v>137497719</v>
      </c>
    </row>
    <row r="572" spans="1:3" x14ac:dyDescent="0.2">
      <c r="A572" t="s">
        <v>666</v>
      </c>
      <c r="B572" s="13" t="b">
        <v>0</v>
      </c>
      <c r="C572">
        <v>6477825</v>
      </c>
    </row>
    <row r="573" spans="1:3" x14ac:dyDescent="0.2">
      <c r="A573" t="s">
        <v>667</v>
      </c>
      <c r="B573" s="13" t="b">
        <v>0</v>
      </c>
      <c r="C573">
        <v>28861260</v>
      </c>
    </row>
    <row r="574" spans="1:3" x14ac:dyDescent="0.2">
      <c r="A574" t="s">
        <v>668</v>
      </c>
      <c r="B574" s="13" t="b">
        <v>0</v>
      </c>
      <c r="C574">
        <v>33837089</v>
      </c>
    </row>
    <row r="575" spans="1:3" x14ac:dyDescent="0.2">
      <c r="A575" t="s">
        <v>669</v>
      </c>
      <c r="B575" s="13" t="b">
        <v>0</v>
      </c>
      <c r="C575">
        <v>29442968</v>
      </c>
    </row>
    <row r="576" spans="1:3" x14ac:dyDescent="0.2">
      <c r="A576" t="s">
        <v>670</v>
      </c>
      <c r="B576" s="13" t="b">
        <v>1</v>
      </c>
      <c r="C576">
        <v>5960</v>
      </c>
    </row>
    <row r="577" spans="1:3" x14ac:dyDescent="0.2">
      <c r="A577" t="s">
        <v>671</v>
      </c>
      <c r="B577" s="13" t="b">
        <v>1</v>
      </c>
      <c r="C577">
        <v>81731135</v>
      </c>
    </row>
    <row r="578" spans="1:3" x14ac:dyDescent="0.2">
      <c r="A578" t="s">
        <v>672</v>
      </c>
      <c r="B578" s="13" t="b">
        <v>1</v>
      </c>
      <c r="C578">
        <v>4817352</v>
      </c>
    </row>
    <row r="579" spans="1:3" x14ac:dyDescent="0.2">
      <c r="A579" t="s">
        <v>673</v>
      </c>
      <c r="B579" s="13" t="b">
        <v>1</v>
      </c>
      <c r="C579">
        <v>107051249</v>
      </c>
    </row>
    <row r="580" spans="1:3" x14ac:dyDescent="0.2">
      <c r="A580" t="s">
        <v>674</v>
      </c>
      <c r="B580" s="13" t="b">
        <v>1</v>
      </c>
      <c r="C580">
        <v>69238858</v>
      </c>
    </row>
    <row r="581" spans="1:3" x14ac:dyDescent="0.2">
      <c r="A581" t="s">
        <v>675</v>
      </c>
      <c r="B581" s="13" t="b">
        <v>1</v>
      </c>
      <c r="C581">
        <v>6477908</v>
      </c>
    </row>
    <row r="582" spans="1:3" x14ac:dyDescent="0.2">
      <c r="A582" t="s">
        <v>676</v>
      </c>
      <c r="B582" s="13" t="b">
        <v>1</v>
      </c>
      <c r="C582">
        <v>32943358</v>
      </c>
    </row>
    <row r="583" spans="1:3" x14ac:dyDescent="0.2">
      <c r="A583" t="s">
        <v>677</v>
      </c>
      <c r="B583" s="13" t="b">
        <v>0</v>
      </c>
      <c r="C583">
        <v>4726278</v>
      </c>
    </row>
    <row r="584" spans="1:3" x14ac:dyDescent="0.2">
      <c r="A584" t="s">
        <v>678</v>
      </c>
      <c r="B584" s="13" t="b">
        <v>1</v>
      </c>
      <c r="C584">
        <v>9317</v>
      </c>
    </row>
    <row r="585" spans="1:3" x14ac:dyDescent="0.2">
      <c r="A585" t="s">
        <v>679</v>
      </c>
      <c r="B585" s="13" t="b">
        <v>1</v>
      </c>
      <c r="C585">
        <v>6477725</v>
      </c>
    </row>
    <row r="586" spans="1:3" x14ac:dyDescent="0.2">
      <c r="A586" t="s">
        <v>680</v>
      </c>
      <c r="B586" s="13" t="b">
        <v>1</v>
      </c>
      <c r="C586">
        <v>9355</v>
      </c>
    </row>
    <row r="587" spans="1:3" x14ac:dyDescent="0.2">
      <c r="A587" t="s">
        <v>681</v>
      </c>
      <c r="B587" s="13" t="b">
        <v>1</v>
      </c>
      <c r="C587">
        <v>6630</v>
      </c>
    </row>
    <row r="588" spans="1:3" x14ac:dyDescent="0.2">
      <c r="A588" t="s">
        <v>682</v>
      </c>
      <c r="B588" s="13" t="b">
        <v>0</v>
      </c>
      <c r="C588">
        <v>270413</v>
      </c>
    </row>
    <row r="589" spans="1:3" x14ac:dyDescent="0.2">
      <c r="A589" t="s">
        <v>683</v>
      </c>
      <c r="B589" s="13" t="b">
        <v>1</v>
      </c>
      <c r="C589">
        <v>10802095</v>
      </c>
    </row>
    <row r="590" spans="1:3" x14ac:dyDescent="0.2">
      <c r="A590" t="s">
        <v>684</v>
      </c>
      <c r="B590" s="13" t="b">
        <v>1</v>
      </c>
      <c r="C590">
        <v>4083812</v>
      </c>
    </row>
    <row r="591" spans="1:3" x14ac:dyDescent="0.2">
      <c r="A591" t="s">
        <v>685</v>
      </c>
      <c r="B591" s="13" t="b">
        <v>1</v>
      </c>
      <c r="C591">
        <v>2746144</v>
      </c>
    </row>
    <row r="592" spans="1:3" x14ac:dyDescent="0.2">
      <c r="A592" t="s">
        <v>686</v>
      </c>
      <c r="B592" s="13" t="b">
        <v>1</v>
      </c>
      <c r="C592">
        <v>79565601</v>
      </c>
    </row>
    <row r="593" spans="1:3" x14ac:dyDescent="0.2">
      <c r="A593" t="s">
        <v>687</v>
      </c>
      <c r="B593" s="13" t="b">
        <v>1</v>
      </c>
      <c r="C593">
        <v>12225</v>
      </c>
    </row>
    <row r="594" spans="1:3" x14ac:dyDescent="0.2">
      <c r="A594" t="s">
        <v>688</v>
      </c>
      <c r="B594" s="13" t="b">
        <v>1</v>
      </c>
      <c r="C594">
        <v>611070</v>
      </c>
    </row>
    <row r="595" spans="1:3" x14ac:dyDescent="0.2">
      <c r="A595" t="s">
        <v>689</v>
      </c>
      <c r="B595" s="13" t="b">
        <v>0</v>
      </c>
      <c r="C595">
        <v>129348123</v>
      </c>
    </row>
    <row r="596" spans="1:3" x14ac:dyDescent="0.2">
      <c r="A596" t="s">
        <v>690</v>
      </c>
      <c r="B596" s="13" t="b">
        <v>0</v>
      </c>
      <c r="C596">
        <v>45602025</v>
      </c>
    </row>
    <row r="597" spans="1:3" x14ac:dyDescent="0.2">
      <c r="A597" t="s">
        <v>691</v>
      </c>
      <c r="B597" s="13" t="b">
        <v>1</v>
      </c>
      <c r="C597">
        <v>196179389</v>
      </c>
    </row>
    <row r="598" spans="1:3" x14ac:dyDescent="0.2">
      <c r="A598" t="s">
        <v>692</v>
      </c>
      <c r="B598" s="13" t="b">
        <v>0</v>
      </c>
      <c r="C598">
        <v>265655</v>
      </c>
    </row>
    <row r="599" spans="1:3" x14ac:dyDescent="0.2">
      <c r="A599" t="s">
        <v>693</v>
      </c>
      <c r="B599" s="13" t="b">
        <v>0</v>
      </c>
      <c r="C599">
        <v>179340941</v>
      </c>
    </row>
    <row r="600" spans="1:3" x14ac:dyDescent="0.2">
      <c r="A600" t="s">
        <v>694</v>
      </c>
      <c r="B600" s="13" t="b">
        <v>1</v>
      </c>
      <c r="C600">
        <v>153912055</v>
      </c>
    </row>
    <row r="601" spans="1:3" x14ac:dyDescent="0.2">
      <c r="A601" t="s">
        <v>695</v>
      </c>
      <c r="B601" s="13" t="b">
        <v>1</v>
      </c>
      <c r="C601">
        <v>19012089</v>
      </c>
    </row>
    <row r="602" spans="1:3" x14ac:dyDescent="0.2">
      <c r="A602" t="s">
        <v>696</v>
      </c>
      <c r="B602" s="13" t="b">
        <v>0</v>
      </c>
      <c r="C602">
        <v>46128135</v>
      </c>
    </row>
    <row r="603" spans="1:3" x14ac:dyDescent="0.2">
      <c r="A603" t="s">
        <v>697</v>
      </c>
      <c r="B603" s="13" t="b">
        <v>0</v>
      </c>
      <c r="C603">
        <v>89596984</v>
      </c>
    </row>
    <row r="604" spans="1:3" x14ac:dyDescent="0.2">
      <c r="A604" t="s">
        <v>698</v>
      </c>
      <c r="B604" s="13" t="b">
        <v>0</v>
      </c>
      <c r="C604">
        <v>4817403</v>
      </c>
    </row>
    <row r="605" spans="1:3" x14ac:dyDescent="0.2">
      <c r="A605" t="s">
        <v>699</v>
      </c>
      <c r="B605" s="13" t="b">
        <v>1</v>
      </c>
      <c r="C605">
        <v>6608072</v>
      </c>
    </row>
    <row r="606" spans="1:3" x14ac:dyDescent="0.2">
      <c r="A606" t="s">
        <v>700</v>
      </c>
      <c r="B606" s="13" t="b">
        <v>0</v>
      </c>
      <c r="C606">
        <v>267265</v>
      </c>
    </row>
    <row r="607" spans="1:3" x14ac:dyDescent="0.2">
      <c r="A607" t="s">
        <v>701</v>
      </c>
      <c r="B607" s="13" t="b">
        <v>1</v>
      </c>
      <c r="C607">
        <v>47101335</v>
      </c>
    </row>
    <row r="608" spans="1:3" x14ac:dyDescent="0.2">
      <c r="A608" t="s">
        <v>702</v>
      </c>
      <c r="B608" s="13" t="b">
        <v>1</v>
      </c>
      <c r="C608">
        <v>45161769</v>
      </c>
    </row>
    <row r="609" spans="1:3" x14ac:dyDescent="0.2">
      <c r="A609" t="s">
        <v>703</v>
      </c>
      <c r="B609" s="13" t="b">
        <v>0</v>
      </c>
      <c r="C609">
        <v>109979708</v>
      </c>
    </row>
    <row r="610" spans="1:3" x14ac:dyDescent="0.2">
      <c r="A610" t="s">
        <v>704</v>
      </c>
      <c r="B610" s="13" t="b">
        <v>1</v>
      </c>
      <c r="C610">
        <v>6608113</v>
      </c>
    </row>
    <row r="611" spans="1:3" x14ac:dyDescent="0.2">
      <c r="A611" t="s">
        <v>705</v>
      </c>
      <c r="B611" s="13" t="b">
        <v>1</v>
      </c>
      <c r="C611">
        <v>11574</v>
      </c>
    </row>
    <row r="612" spans="1:3" x14ac:dyDescent="0.2">
      <c r="A612" t="s">
        <v>706</v>
      </c>
      <c r="B612" s="13" t="b">
        <v>1</v>
      </c>
      <c r="C612">
        <v>11656</v>
      </c>
    </row>
    <row r="613" spans="1:3" x14ac:dyDescent="0.2">
      <c r="A613" t="s">
        <v>707</v>
      </c>
      <c r="B613" s="13" t="b">
        <v>1</v>
      </c>
      <c r="C613">
        <v>6607487</v>
      </c>
    </row>
    <row r="614" spans="1:3" x14ac:dyDescent="0.2">
      <c r="A614" t="s">
        <v>708</v>
      </c>
      <c r="B614" s="13" t="b">
        <v>1</v>
      </c>
      <c r="C614">
        <v>211003293</v>
      </c>
    </row>
    <row r="615" spans="1:3" x14ac:dyDescent="0.2">
      <c r="A615" t="s">
        <v>709</v>
      </c>
      <c r="B615" s="13" t="b">
        <v>0</v>
      </c>
      <c r="C615">
        <v>89520835</v>
      </c>
    </row>
    <row r="616" spans="1:3" x14ac:dyDescent="0.2">
      <c r="A616" t="s">
        <v>710</v>
      </c>
      <c r="B616" s="13" t="b">
        <v>0</v>
      </c>
      <c r="C616">
        <v>6858367</v>
      </c>
    </row>
    <row r="617" spans="1:3" x14ac:dyDescent="0.2">
      <c r="A617" t="s">
        <v>711</v>
      </c>
      <c r="B617" s="13" t="b">
        <v>0</v>
      </c>
      <c r="C617">
        <v>156953397</v>
      </c>
    </row>
    <row r="618" spans="1:3" x14ac:dyDescent="0.2">
      <c r="A618" t="s">
        <v>712</v>
      </c>
      <c r="B618" s="13" t="b">
        <v>0</v>
      </c>
      <c r="C618">
        <v>11459264</v>
      </c>
    </row>
    <row r="619" spans="1:3" x14ac:dyDescent="0.2">
      <c r="A619" t="s">
        <v>713</v>
      </c>
      <c r="B619" s="13" t="b">
        <v>0</v>
      </c>
      <c r="C619">
        <v>53224215</v>
      </c>
    </row>
    <row r="620" spans="1:3" x14ac:dyDescent="0.2">
      <c r="A620" t="s">
        <v>714</v>
      </c>
      <c r="B620" s="13" t="b">
        <v>1</v>
      </c>
      <c r="C620">
        <v>86766111</v>
      </c>
    </row>
    <row r="621" spans="1:3" x14ac:dyDescent="0.2">
      <c r="A621" t="s">
        <v>715</v>
      </c>
      <c r="B621" s="13" t="b">
        <v>0</v>
      </c>
      <c r="C621">
        <v>96983623</v>
      </c>
    </row>
    <row r="622" spans="1:3" x14ac:dyDescent="0.2">
      <c r="A622" t="s">
        <v>716</v>
      </c>
      <c r="B622" s="13" t="b">
        <v>0</v>
      </c>
      <c r="C622">
        <v>53145883</v>
      </c>
    </row>
    <row r="623" spans="1:3" x14ac:dyDescent="0.2">
      <c r="A623" t="s">
        <v>717</v>
      </c>
      <c r="B623" s="13" t="b">
        <v>1</v>
      </c>
      <c r="C623">
        <v>75103410</v>
      </c>
    </row>
    <row r="624" spans="1:3" x14ac:dyDescent="0.2">
      <c r="A624" t="s">
        <v>718</v>
      </c>
      <c r="B624" s="13" t="b">
        <v>1</v>
      </c>
      <c r="C624">
        <v>2006458</v>
      </c>
    </row>
    <row r="625" spans="1:3" x14ac:dyDescent="0.2">
      <c r="A625" t="s">
        <v>719</v>
      </c>
      <c r="B625" s="13" t="b">
        <v>1</v>
      </c>
      <c r="C625">
        <v>29718938</v>
      </c>
    </row>
    <row r="626" spans="1:3" x14ac:dyDescent="0.2">
      <c r="A626" t="s">
        <v>720</v>
      </c>
      <c r="B626" s="13" t="b">
        <v>1</v>
      </c>
      <c r="C626">
        <v>56884113</v>
      </c>
    </row>
    <row r="627" spans="1:3" x14ac:dyDescent="0.2">
      <c r="A627" t="s">
        <v>721</v>
      </c>
      <c r="B627" s="13" t="b">
        <v>1</v>
      </c>
      <c r="C627">
        <v>181150075</v>
      </c>
    </row>
    <row r="628" spans="1:3" x14ac:dyDescent="0.2">
      <c r="A628" t="s">
        <v>722</v>
      </c>
      <c r="B628" s="13" t="b">
        <v>1</v>
      </c>
      <c r="C628">
        <v>275241</v>
      </c>
    </row>
    <row r="629" spans="1:3" x14ac:dyDescent="0.2">
      <c r="A629" t="s">
        <v>723</v>
      </c>
      <c r="B629" s="13" t="b">
        <v>1</v>
      </c>
      <c r="C629">
        <v>13116</v>
      </c>
    </row>
    <row r="630" spans="1:3" x14ac:dyDescent="0.2">
      <c r="A630" t="s">
        <v>724</v>
      </c>
      <c r="B630" s="13" t="b">
        <v>0</v>
      </c>
      <c r="C630">
        <v>36206901</v>
      </c>
    </row>
    <row r="631" spans="1:3" x14ac:dyDescent="0.2">
      <c r="A631" t="s">
        <v>725</v>
      </c>
      <c r="B631" s="13" t="b">
        <v>0</v>
      </c>
      <c r="C631">
        <v>14241431</v>
      </c>
    </row>
    <row r="632" spans="1:3" x14ac:dyDescent="0.2">
      <c r="A632" t="s">
        <v>726</v>
      </c>
      <c r="B632" s="13" t="b">
        <v>1</v>
      </c>
      <c r="C632">
        <v>6004</v>
      </c>
    </row>
    <row r="633" spans="1:3" x14ac:dyDescent="0.2">
      <c r="A633" t="s">
        <v>727</v>
      </c>
      <c r="B633" s="13" t="b">
        <v>1</v>
      </c>
      <c r="C633">
        <v>12750</v>
      </c>
    </row>
    <row r="634" spans="1:3" x14ac:dyDescent="0.2">
      <c r="A634" t="s">
        <v>728</v>
      </c>
      <c r="B634" s="13" t="b">
        <v>0</v>
      </c>
      <c r="C634">
        <v>117636259</v>
      </c>
    </row>
    <row r="635" spans="1:3" x14ac:dyDescent="0.2">
      <c r="A635" t="s">
        <v>729</v>
      </c>
      <c r="B635" s="13" t="b">
        <v>1</v>
      </c>
      <c r="C635">
        <v>1847145</v>
      </c>
    </row>
    <row r="636" spans="1:3" x14ac:dyDescent="0.2">
      <c r="A636" t="s">
        <v>730</v>
      </c>
      <c r="B636" s="13" t="b">
        <v>0</v>
      </c>
      <c r="C636">
        <v>56483316</v>
      </c>
    </row>
    <row r="637" spans="1:3" x14ac:dyDescent="0.2">
      <c r="A637" t="s">
        <v>731</v>
      </c>
      <c r="B637" s="13" t="b">
        <v>1</v>
      </c>
      <c r="C637">
        <v>5610</v>
      </c>
    </row>
    <row r="638" spans="1:3" x14ac:dyDescent="0.2">
      <c r="A638" t="s">
        <v>732</v>
      </c>
      <c r="B638" s="13" t="b">
        <v>1</v>
      </c>
      <c r="C638">
        <v>43523793</v>
      </c>
    </row>
    <row r="639" spans="1:3" x14ac:dyDescent="0.2">
      <c r="A639" t="s">
        <v>733</v>
      </c>
      <c r="B639" s="13" t="b">
        <v>1</v>
      </c>
      <c r="C639">
        <v>27267807</v>
      </c>
    </row>
    <row r="640" spans="1:3" x14ac:dyDescent="0.2">
      <c r="A640" t="s">
        <v>734</v>
      </c>
      <c r="B640" s="13" t="b">
        <v>0</v>
      </c>
      <c r="C640">
        <v>4814876</v>
      </c>
    </row>
    <row r="641" spans="1:3" x14ac:dyDescent="0.2">
      <c r="A641" t="s">
        <v>735</v>
      </c>
      <c r="B641" s="13" t="b">
        <v>1</v>
      </c>
      <c r="C641">
        <v>86033355</v>
      </c>
    </row>
    <row r="642" spans="1:3" x14ac:dyDescent="0.2">
      <c r="A642" t="s">
        <v>736</v>
      </c>
      <c r="B642" s="13" t="b">
        <v>0</v>
      </c>
      <c r="C642">
        <v>276304</v>
      </c>
    </row>
    <row r="643" spans="1:3" x14ac:dyDescent="0.2">
      <c r="A643" t="s">
        <v>737</v>
      </c>
      <c r="B643" s="13" t="b">
        <v>1</v>
      </c>
      <c r="C643">
        <v>11735</v>
      </c>
    </row>
    <row r="644" spans="1:3" x14ac:dyDescent="0.2">
      <c r="A644" t="s">
        <v>738</v>
      </c>
      <c r="B644" s="13" t="b">
        <v>1</v>
      </c>
      <c r="C644">
        <v>5513</v>
      </c>
    </row>
    <row r="645" spans="1:3" x14ac:dyDescent="0.2">
      <c r="A645" t="s">
        <v>739</v>
      </c>
      <c r="B645" s="13" t="b">
        <v>0</v>
      </c>
      <c r="C645">
        <v>81026179</v>
      </c>
    </row>
    <row r="646" spans="1:3" x14ac:dyDescent="0.2">
      <c r="A646" t="s">
        <v>740</v>
      </c>
      <c r="B646" s="13" t="b">
        <v>0</v>
      </c>
      <c r="C646">
        <v>4814485</v>
      </c>
    </row>
    <row r="647" spans="1:3" x14ac:dyDescent="0.2">
      <c r="A647" t="s">
        <v>741</v>
      </c>
      <c r="B647" s="13" t="b">
        <v>0</v>
      </c>
      <c r="C647">
        <v>83635951</v>
      </c>
    </row>
    <row r="648" spans="1:3" x14ac:dyDescent="0.2">
      <c r="A648" t="s">
        <v>742</v>
      </c>
      <c r="B648" s="13" t="b">
        <v>0</v>
      </c>
      <c r="C648">
        <v>128835017</v>
      </c>
    </row>
    <row r="649" spans="1:3" x14ac:dyDescent="0.2">
      <c r="A649" t="s">
        <v>743</v>
      </c>
      <c r="B649" s="13" t="b">
        <v>1</v>
      </c>
      <c r="C649">
        <v>2586162</v>
      </c>
    </row>
    <row r="650" spans="1:3" x14ac:dyDescent="0.2">
      <c r="A650" t="s">
        <v>744</v>
      </c>
      <c r="B650" s="13" t="b">
        <v>1</v>
      </c>
      <c r="C650">
        <v>4644</v>
      </c>
    </row>
    <row r="651" spans="1:3" x14ac:dyDescent="0.2">
      <c r="A651" t="s">
        <v>745</v>
      </c>
      <c r="B651" s="13" t="b">
        <v>1</v>
      </c>
      <c r="C651">
        <v>5021349</v>
      </c>
    </row>
    <row r="652" spans="1:3" x14ac:dyDescent="0.2">
      <c r="A652" t="s">
        <v>746</v>
      </c>
      <c r="B652" s="13" t="b">
        <v>0</v>
      </c>
      <c r="C652">
        <v>4816645</v>
      </c>
    </row>
    <row r="653" spans="1:3" x14ac:dyDescent="0.2">
      <c r="A653" t="s">
        <v>747</v>
      </c>
      <c r="B653" s="13" t="b">
        <v>1</v>
      </c>
      <c r="C653">
        <v>755864</v>
      </c>
    </row>
    <row r="654" spans="1:3" x14ac:dyDescent="0.2">
      <c r="A654" t="s">
        <v>748</v>
      </c>
      <c r="B654" s="13" t="b">
        <v>1</v>
      </c>
      <c r="C654">
        <v>5177</v>
      </c>
    </row>
    <row r="655" spans="1:3" x14ac:dyDescent="0.2">
      <c r="A655" t="s">
        <v>749</v>
      </c>
      <c r="B655" s="13" t="b">
        <v>0</v>
      </c>
      <c r="C655">
        <v>272667</v>
      </c>
    </row>
    <row r="656" spans="1:3" x14ac:dyDescent="0.2">
      <c r="A656" t="s">
        <v>750</v>
      </c>
      <c r="B656" s="13" t="b">
        <v>1</v>
      </c>
      <c r="C656">
        <v>44963008</v>
      </c>
    </row>
    <row r="657" spans="1:3" x14ac:dyDescent="0.2">
      <c r="A657" t="s">
        <v>751</v>
      </c>
      <c r="B657" s="13" t="b">
        <v>0</v>
      </c>
      <c r="C657">
        <v>4726368</v>
      </c>
    </row>
    <row r="658" spans="1:3" x14ac:dyDescent="0.2">
      <c r="A658" t="s">
        <v>752</v>
      </c>
      <c r="B658" s="13" t="b">
        <v>0</v>
      </c>
      <c r="C658">
        <v>143541504</v>
      </c>
    </row>
    <row r="659" spans="1:3" x14ac:dyDescent="0.2">
      <c r="A659" t="s">
        <v>753</v>
      </c>
      <c r="B659" s="13" t="b">
        <v>0</v>
      </c>
      <c r="C659">
        <v>126993722</v>
      </c>
    </row>
    <row r="660" spans="1:3" x14ac:dyDescent="0.2">
      <c r="A660" t="s">
        <v>754</v>
      </c>
      <c r="B660" s="13" t="b">
        <v>0</v>
      </c>
      <c r="C660">
        <v>167236260</v>
      </c>
    </row>
    <row r="661" spans="1:3" x14ac:dyDescent="0.2">
      <c r="A661" t="s">
        <v>755</v>
      </c>
      <c r="B661" s="13" t="b">
        <v>0</v>
      </c>
      <c r="C661">
        <v>4816201</v>
      </c>
    </row>
    <row r="662" spans="1:3" x14ac:dyDescent="0.2">
      <c r="A662" t="s">
        <v>756</v>
      </c>
      <c r="B662" s="13" t="b">
        <v>0</v>
      </c>
      <c r="C662">
        <v>13793280</v>
      </c>
    </row>
    <row r="663" spans="1:3" x14ac:dyDescent="0.2">
      <c r="A663" t="s">
        <v>757</v>
      </c>
      <c r="B663" s="13" t="b">
        <v>1</v>
      </c>
      <c r="C663">
        <v>271460</v>
      </c>
    </row>
    <row r="664" spans="1:3" x14ac:dyDescent="0.2">
      <c r="A664" t="s">
        <v>758</v>
      </c>
      <c r="B664" s="13" t="b">
        <v>1</v>
      </c>
      <c r="C664">
        <v>2008216</v>
      </c>
    </row>
    <row r="665" spans="1:3" x14ac:dyDescent="0.2">
      <c r="A665" t="s">
        <v>759</v>
      </c>
      <c r="B665" s="13" t="b">
        <v>0</v>
      </c>
      <c r="C665">
        <v>106001565</v>
      </c>
    </row>
    <row r="666" spans="1:3" x14ac:dyDescent="0.2">
      <c r="A666" t="s">
        <v>760</v>
      </c>
      <c r="B666" s="13" t="b">
        <v>1</v>
      </c>
      <c r="C666">
        <v>2585501</v>
      </c>
    </row>
    <row r="667" spans="1:3" x14ac:dyDescent="0.2">
      <c r="A667" t="s">
        <v>761</v>
      </c>
      <c r="B667" s="13" t="b">
        <v>0</v>
      </c>
      <c r="C667">
        <v>4457288</v>
      </c>
    </row>
    <row r="668" spans="1:3" x14ac:dyDescent="0.2">
      <c r="A668" t="s">
        <v>762</v>
      </c>
      <c r="B668" s="13" t="b">
        <v>1</v>
      </c>
      <c r="C668">
        <v>2586128</v>
      </c>
    </row>
    <row r="669" spans="1:3" x14ac:dyDescent="0.2">
      <c r="A669" t="s">
        <v>763</v>
      </c>
      <c r="B669" s="13" t="b">
        <v>1</v>
      </c>
      <c r="C669">
        <v>6390</v>
      </c>
    </row>
    <row r="670" spans="1:3" x14ac:dyDescent="0.2">
      <c r="A670" t="s">
        <v>764</v>
      </c>
      <c r="B670" s="13" t="b">
        <v>0</v>
      </c>
      <c r="C670">
        <v>98538357</v>
      </c>
    </row>
    <row r="671" spans="1:3" x14ac:dyDescent="0.2">
      <c r="A671" t="s">
        <v>765</v>
      </c>
      <c r="B671" s="13" t="b">
        <v>1</v>
      </c>
      <c r="C671">
        <v>35418811</v>
      </c>
    </row>
    <row r="672" spans="1:3" x14ac:dyDescent="0.2">
      <c r="A672" t="s">
        <v>766</v>
      </c>
      <c r="B672" s="13" t="b">
        <v>1</v>
      </c>
      <c r="C672">
        <v>12796138</v>
      </c>
    </row>
    <row r="673" spans="1:3" x14ac:dyDescent="0.2">
      <c r="A673" t="s">
        <v>767</v>
      </c>
      <c r="B673" s="13" t="b">
        <v>1</v>
      </c>
      <c r="C673">
        <v>268376</v>
      </c>
    </row>
    <row r="674" spans="1:3" x14ac:dyDescent="0.2">
      <c r="A674" t="s">
        <v>768</v>
      </c>
      <c r="B674" s="13" t="b">
        <v>1</v>
      </c>
      <c r="C674">
        <v>6120</v>
      </c>
    </row>
    <row r="675" spans="1:3" x14ac:dyDescent="0.2">
      <c r="A675" t="s">
        <v>769</v>
      </c>
      <c r="B675" s="13" t="b">
        <v>1</v>
      </c>
      <c r="C675">
        <v>5022638</v>
      </c>
    </row>
    <row r="676" spans="1:3" x14ac:dyDescent="0.2">
      <c r="A676" t="s">
        <v>770</v>
      </c>
      <c r="B676" s="13" t="b">
        <v>0</v>
      </c>
      <c r="C676">
        <v>274027</v>
      </c>
    </row>
    <row r="677" spans="1:3" x14ac:dyDescent="0.2">
      <c r="A677" t="s">
        <v>771</v>
      </c>
      <c r="B677" s="13" t="b">
        <v>1</v>
      </c>
      <c r="C677">
        <v>5094</v>
      </c>
    </row>
    <row r="678" spans="1:3" x14ac:dyDescent="0.2">
      <c r="A678" t="s">
        <v>772</v>
      </c>
      <c r="B678" s="13" t="b">
        <v>0</v>
      </c>
      <c r="C678">
        <v>8885958</v>
      </c>
    </row>
    <row r="679" spans="1:3" x14ac:dyDescent="0.2">
      <c r="A679" t="s">
        <v>773</v>
      </c>
      <c r="B679" s="13" t="b">
        <v>0</v>
      </c>
      <c r="C679">
        <v>267192</v>
      </c>
    </row>
    <row r="680" spans="1:3" x14ac:dyDescent="0.2">
      <c r="A680" t="s">
        <v>774</v>
      </c>
      <c r="B680" s="13" t="b">
        <v>1</v>
      </c>
      <c r="C680">
        <v>1717101</v>
      </c>
    </row>
    <row r="681" spans="1:3" x14ac:dyDescent="0.2">
      <c r="A681" t="s">
        <v>775</v>
      </c>
      <c r="B681" s="13" t="b">
        <v>1</v>
      </c>
      <c r="C681">
        <v>6608665</v>
      </c>
    </row>
    <row r="682" spans="1:3" x14ac:dyDescent="0.2">
      <c r="A682" t="s">
        <v>776</v>
      </c>
      <c r="B682" s="13" t="b">
        <v>0</v>
      </c>
      <c r="C682">
        <v>31918430</v>
      </c>
    </row>
    <row r="683" spans="1:3" x14ac:dyDescent="0.2">
      <c r="A683" t="s">
        <v>777</v>
      </c>
      <c r="B683" s="13" t="b">
        <v>1</v>
      </c>
      <c r="C683">
        <v>2730877</v>
      </c>
    </row>
    <row r="684" spans="1:3" x14ac:dyDescent="0.2">
      <c r="A684" t="s">
        <v>778</v>
      </c>
      <c r="B684" s="13" t="b">
        <v>0</v>
      </c>
      <c r="C684">
        <v>210918190</v>
      </c>
    </row>
    <row r="685" spans="1:3" x14ac:dyDescent="0.2">
      <c r="A685" t="s">
        <v>779</v>
      </c>
      <c r="B685" s="13" t="b">
        <v>0</v>
      </c>
      <c r="C685">
        <v>174076715</v>
      </c>
    </row>
    <row r="686" spans="1:3" x14ac:dyDescent="0.2">
      <c r="A686" t="s">
        <v>780</v>
      </c>
      <c r="B686" s="13" t="b">
        <v>1</v>
      </c>
      <c r="C686">
        <v>76266556</v>
      </c>
    </row>
    <row r="687" spans="1:3" x14ac:dyDescent="0.2">
      <c r="A687" t="s">
        <v>781</v>
      </c>
      <c r="B687" s="13" t="b">
        <v>1</v>
      </c>
      <c r="C687">
        <v>116776441</v>
      </c>
    </row>
    <row r="688" spans="1:3" x14ac:dyDescent="0.2">
      <c r="A688" t="s">
        <v>782</v>
      </c>
      <c r="B688" s="13" t="b">
        <v>1</v>
      </c>
      <c r="C688">
        <v>4812396</v>
      </c>
    </row>
    <row r="689" spans="1:3" x14ac:dyDescent="0.2">
      <c r="A689" t="s">
        <v>783</v>
      </c>
      <c r="B689" s="13" t="b">
        <v>1</v>
      </c>
      <c r="C689">
        <v>172738518</v>
      </c>
    </row>
    <row r="690" spans="1:3" x14ac:dyDescent="0.2">
      <c r="A690" t="s">
        <v>784</v>
      </c>
      <c r="B690" s="13" t="b">
        <v>0</v>
      </c>
      <c r="C690">
        <v>4730589</v>
      </c>
    </row>
    <row r="691" spans="1:3" x14ac:dyDescent="0.2">
      <c r="A691" t="s">
        <v>785</v>
      </c>
      <c r="B691" s="13" t="b">
        <v>0</v>
      </c>
      <c r="C691">
        <v>270869</v>
      </c>
    </row>
    <row r="692" spans="1:3" x14ac:dyDescent="0.2">
      <c r="A692" t="s">
        <v>786</v>
      </c>
      <c r="B692" s="13" t="b">
        <v>1</v>
      </c>
      <c r="C692">
        <v>12485</v>
      </c>
    </row>
    <row r="693" spans="1:3" x14ac:dyDescent="0.2">
      <c r="A693" t="s">
        <v>787</v>
      </c>
      <c r="B693" s="13" t="b">
        <v>1</v>
      </c>
      <c r="C693">
        <v>4568</v>
      </c>
    </row>
    <row r="694" spans="1:3" x14ac:dyDescent="0.2">
      <c r="A694" t="s">
        <v>788</v>
      </c>
      <c r="B694" s="13" t="b">
        <v>1</v>
      </c>
      <c r="C694">
        <v>37162669</v>
      </c>
    </row>
    <row r="695" spans="1:3" x14ac:dyDescent="0.2">
      <c r="A695" t="s">
        <v>789</v>
      </c>
      <c r="B695" s="13" t="b">
        <v>1</v>
      </c>
      <c r="C695">
        <v>4457287</v>
      </c>
    </row>
    <row r="696" spans="1:3" x14ac:dyDescent="0.2">
      <c r="A696" t="s">
        <v>790</v>
      </c>
      <c r="B696" s="13" t="b">
        <v>0</v>
      </c>
      <c r="C696">
        <v>6726677</v>
      </c>
    </row>
    <row r="697" spans="1:3" x14ac:dyDescent="0.2">
      <c r="A697" t="s">
        <v>791</v>
      </c>
      <c r="B697" s="13" t="b">
        <v>0</v>
      </c>
      <c r="C697">
        <v>29241131</v>
      </c>
    </row>
    <row r="698" spans="1:3" x14ac:dyDescent="0.2">
      <c r="A698" t="s">
        <v>792</v>
      </c>
      <c r="B698" s="13" t="b">
        <v>1</v>
      </c>
      <c r="C698">
        <v>80269548</v>
      </c>
    </row>
  </sheetData>
  <autoFilter ref="A1:C698"/>
  <conditionalFormatting sqref="A513:A698">
    <cfRule type="expression" dxfId="7" priority="1" stopIfTrue="1">
      <formula>TRUE</formula>
    </cfRule>
  </conditionalFormatting>
  <conditionalFormatting sqref="A2:A512">
    <cfRule type="expression" dxfId="3" priority="4" stopIfTrue="1">
      <formula>TRUE</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ontainsText" priority="3" operator="containsText" text="FALSE" id="{5B05CA79-D234-4738-9680-A089D80EAEA7}">
            <xm:f>NOT(ISERROR(SEARCH("FALSE",'Contract Details'!C2)))</xm:f>
            <x14:dxf>
              <fill>
                <patternFill>
                  <bgColor rgb="FFFF0000"/>
                </patternFill>
              </fill>
            </x14:dxf>
          </x14:cfRule>
          <xm:sqref>B2:B512</xm:sqref>
        </x14:conditionalFormatting>
        <x14:conditionalFormatting xmlns:xm="http://schemas.microsoft.com/office/excel/2006/main">
          <x14:cfRule type="containsText" priority="2" operator="containsText" text="FALSE" id="{4ADF214D-3FFC-4327-89E5-C20CB048D845}">
            <xm:f>NOT(ISERROR(SEARCH("FALSE",'Contract Details'!C513)))</xm:f>
            <x14:dxf>
              <fill>
                <patternFill>
                  <bgColor rgb="FFFF0000"/>
                </patternFill>
              </fill>
            </x14:dxf>
          </x14:cfRule>
          <xm:sqref>B513:B698</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109</vt:i4>
      </vt:variant>
    </vt:vector>
  </HeadingPairs>
  <TitlesOfParts>
    <vt:vector size="128" baseType="lpstr">
      <vt:lpstr>Tickers</vt:lpstr>
      <vt:lpstr>Basic Orders</vt:lpstr>
      <vt:lpstr>Extended Order Attributes</vt:lpstr>
      <vt:lpstr>Conditional Orders</vt:lpstr>
      <vt:lpstr>Advanced Orders</vt:lpstr>
      <vt:lpstr>Open Orders</vt:lpstr>
      <vt:lpstr>Executions</vt:lpstr>
      <vt:lpstr>Executions Reporting</vt:lpstr>
      <vt:lpstr>Account</vt:lpstr>
      <vt:lpstr>Portfolio</vt:lpstr>
      <vt:lpstr>Market Scanner</vt:lpstr>
      <vt:lpstr>Bond Contract Details</vt:lpstr>
      <vt:lpstr>Market Depth</vt:lpstr>
      <vt:lpstr>Advisors</vt:lpstr>
      <vt:lpstr>Old Style Executions</vt:lpstr>
      <vt:lpstr>Old Style Account-Portfolio</vt:lpstr>
      <vt:lpstr>Contract Details</vt:lpstr>
      <vt:lpstr>Historical Data</vt:lpstr>
      <vt:lpstr>Conid</vt:lpstr>
      <vt:lpstr>accountValues</vt:lpstr>
      <vt:lpstr>acctCode</vt:lpstr>
      <vt:lpstr>acctErrorPosition</vt:lpstr>
      <vt:lpstr>acctsCode</vt:lpstr>
      <vt:lpstr>acctsControl</vt:lpstr>
      <vt:lpstr>acctsErrorPosition</vt:lpstr>
      <vt:lpstr>acctServer</vt:lpstr>
      <vt:lpstr>acctsServer</vt:lpstr>
      <vt:lpstr>acctsSubColumn1</vt:lpstr>
      <vt:lpstr>acctsSubColumn2</vt:lpstr>
      <vt:lpstr>acctsSubColumn3</vt:lpstr>
      <vt:lpstr>acctsSubColumn4</vt:lpstr>
      <vt:lpstr>acctsTime</vt:lpstr>
      <vt:lpstr>acctTime</vt:lpstr>
      <vt:lpstr>'Advanced Orders'!advancedOrdersCells</vt:lpstr>
      <vt:lpstr>Advisors!advisorsOrderCells</vt:lpstr>
      <vt:lpstr>bondContractDetails</vt:lpstr>
      <vt:lpstr>bondErrorPosition</vt:lpstr>
      <vt:lpstr>bondServer</vt:lpstr>
      <vt:lpstr>bulletinCell</vt:lpstr>
      <vt:lpstr>bulletinCtrl</vt:lpstr>
      <vt:lpstr>bulletinText</vt:lpstr>
      <vt:lpstr>bulletinTitle</vt:lpstr>
      <vt:lpstr>condErrorPosition</vt:lpstr>
      <vt:lpstr>conditionalOrderCells</vt:lpstr>
      <vt:lpstr>condServer</vt:lpstr>
      <vt:lpstr>contErrorPosition</vt:lpstr>
      <vt:lpstr>contractDetails</vt:lpstr>
      <vt:lpstr>contServer</vt:lpstr>
      <vt:lpstr>Currency</vt:lpstr>
      <vt:lpstr>errorMsg</vt:lpstr>
      <vt:lpstr>exec_filter_start</vt:lpstr>
      <vt:lpstr>execErrorPosition</vt:lpstr>
      <vt:lpstr>execReportKey</vt:lpstr>
      <vt:lpstr>execReportType</vt:lpstr>
      <vt:lpstr>execReportTypes</vt:lpstr>
      <vt:lpstr>execServer</vt:lpstr>
      <vt:lpstr>execSubContracts</vt:lpstr>
      <vt:lpstr>execSubControl</vt:lpstr>
      <vt:lpstr>execSubDetails</vt:lpstr>
      <vt:lpstr>execSubErrorPosition</vt:lpstr>
      <vt:lpstr>execSubServer</vt:lpstr>
      <vt:lpstr>executionContracts</vt:lpstr>
      <vt:lpstr>executionDetails</vt:lpstr>
      <vt:lpstr>faAcctCtrl</vt:lpstr>
      <vt:lpstr>faAcctValue</vt:lpstr>
      <vt:lpstr>firstHistRow</vt:lpstr>
      <vt:lpstr>firstMonitorRow</vt:lpstr>
      <vt:lpstr>firstScanRow</vt:lpstr>
      <vt:lpstr>histCtrl</vt:lpstr>
      <vt:lpstr>histErrorPosition</vt:lpstr>
      <vt:lpstr>histServer</vt:lpstr>
      <vt:lpstr>lastHistRow</vt:lpstr>
      <vt:lpstr>lastMonitorRow</vt:lpstr>
      <vt:lpstr>lastScanRow</vt:lpstr>
      <vt:lpstr>logLevel</vt:lpstr>
      <vt:lpstr>logLevelResult</vt:lpstr>
      <vt:lpstr>microStruc_symbol</vt:lpstr>
      <vt:lpstr>mktDepthAsk</vt:lpstr>
      <vt:lpstr>mktDepthBid</vt:lpstr>
      <vt:lpstr>mktdErrorPosition</vt:lpstr>
      <vt:lpstr>mktdRefreshLink</vt:lpstr>
      <vt:lpstr>mktdRefreshRate</vt:lpstr>
      <vt:lpstr>mktdServer</vt:lpstr>
      <vt:lpstr>'Advanced Orders'!Open_orders_can_be_downloaded_here.</vt:lpstr>
      <vt:lpstr>Advisors!Open_orders_can_be_downloaded_here.</vt:lpstr>
      <vt:lpstr>Open_orders_can_be_downloaded_here.</vt:lpstr>
      <vt:lpstr>'Advanced Orders'!openOrdContracts</vt:lpstr>
      <vt:lpstr>Advisors!openOrdContracts</vt:lpstr>
      <vt:lpstr>openOrdContracts</vt:lpstr>
      <vt:lpstr>'Advanced Orders'!openOrdOrders</vt:lpstr>
      <vt:lpstr>Advisors!openOrdOrders</vt:lpstr>
      <vt:lpstr>openOrdOrders</vt:lpstr>
      <vt:lpstr>'Advanced Orders'!openOrdStatuses</vt:lpstr>
      <vt:lpstr>Advisors!openOrdStatuses</vt:lpstr>
      <vt:lpstr>openOrdStatuses</vt:lpstr>
      <vt:lpstr>openSubContracts</vt:lpstr>
      <vt:lpstr>openSubExtended</vt:lpstr>
      <vt:lpstr>openSubOrders</vt:lpstr>
      <vt:lpstr>openSubStatuses</vt:lpstr>
      <vt:lpstr>orderCells</vt:lpstr>
      <vt:lpstr>'Advanced Orders'!orderErrorPosition</vt:lpstr>
      <vt:lpstr>Advisors!orderErrorPosition</vt:lpstr>
      <vt:lpstr>orderErrorPosition</vt:lpstr>
      <vt:lpstr>ordersControl</vt:lpstr>
      <vt:lpstr>ordersErrorPosition</vt:lpstr>
      <vt:lpstr>'Advanced Orders'!orderServer</vt:lpstr>
      <vt:lpstr>Advisors!orderServer</vt:lpstr>
      <vt:lpstr>orderServer</vt:lpstr>
      <vt:lpstr>ordersServer</vt:lpstr>
      <vt:lpstr>portfolioValues</vt:lpstr>
      <vt:lpstr>portsCode</vt:lpstr>
      <vt:lpstr>portsControl</vt:lpstr>
      <vt:lpstr>portsErrorPosition</vt:lpstr>
      <vt:lpstr>portsServer</vt:lpstr>
      <vt:lpstr>portsSubColumn</vt:lpstr>
      <vt:lpstr>portsTime</vt:lpstr>
      <vt:lpstr>processingRate</vt:lpstr>
      <vt:lpstr>processingRateLink</vt:lpstr>
      <vt:lpstr>refreshRate</vt:lpstr>
      <vt:lpstr>refreshRateLink</vt:lpstr>
      <vt:lpstr>scanCtrl</vt:lpstr>
      <vt:lpstr>scanErrorPosition</vt:lpstr>
      <vt:lpstr>scanServer</vt:lpstr>
      <vt:lpstr>subFAAcctCtrl</vt:lpstr>
      <vt:lpstr>subFAAcctValue</vt:lpstr>
      <vt:lpstr>tickerCells</vt:lpstr>
      <vt:lpstr>tickerErrorPosition</vt:lpstr>
      <vt:lpstr>tickerServer</vt:lpstr>
    </vt:vector>
  </TitlesOfParts>
  <Company>Timber Hill LLC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spiro</dc:creator>
  <cp:lastModifiedBy>Langyu</cp:lastModifiedBy>
  <cp:revision>1</cp:revision>
  <dcterms:created xsi:type="dcterms:W3CDTF">2001-11-14T17:13:30Z</dcterms:created>
  <dcterms:modified xsi:type="dcterms:W3CDTF">2016-09-01T21:51:53Z</dcterms:modified>
</cp:coreProperties>
</file>